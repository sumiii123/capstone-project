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9000" activeTab="1"/>
  </bookViews>
  <sheets>
    <sheet name="Transaction table" sheetId="1" r:id="rId1"/>
    <sheet name="Sheet2" sheetId="2" r:id="rId2"/>
    <sheet name="Sheet3" sheetId="13" r:id="rId3"/>
    <sheet name="Product" sheetId="4" r:id="rId4"/>
    <sheet name=" Dashboard 1" sheetId="15" r:id="rId5"/>
    <sheet name="Dashboard 2" sheetId="12" r:id="rId6"/>
  </sheets>
  <definedNames>
    <definedName name="_xlnm._FilterDatabase" localSheetId="1" hidden="1">Sheet2!$A$1:$G$5001</definedName>
    <definedName name="_xlnm._FilterDatabase" localSheetId="0" hidden="1">'Transaction table'!$A$2:$G$5002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<sst xmlns="http://schemas.openxmlformats.org/spreadsheetml/2006/main" count="30692" uniqueCount="280">
  <si>
    <t>TRANSACTION TABLE</t>
  </si>
  <si>
    <t>order_id</t>
  </si>
  <si>
    <t>customer_id</t>
  </si>
  <si>
    <t>order_date</t>
  </si>
  <si>
    <t>total_amount</t>
  </si>
  <si>
    <t>status</t>
  </si>
  <si>
    <t>region</t>
  </si>
  <si>
    <t>payment_method</t>
  </si>
  <si>
    <t>product_id</t>
  </si>
  <si>
    <t>product_name</t>
  </si>
  <si>
    <t>Completed</t>
  </si>
  <si>
    <t>East</t>
  </si>
  <si>
    <t>Debit Card</t>
  </si>
  <si>
    <t>Central</t>
  </si>
  <si>
    <t>North</t>
  </si>
  <si>
    <t>Credit Card</t>
  </si>
  <si>
    <t>West</t>
  </si>
  <si>
    <t>Apple Pay</t>
  </si>
  <si>
    <t>South</t>
  </si>
  <si>
    <t>others</t>
  </si>
  <si>
    <t>PayPal</t>
  </si>
  <si>
    <t>Returned</t>
  </si>
  <si>
    <t>Cancelled</t>
  </si>
  <si>
    <t>Following exel functions were used</t>
  </si>
  <si>
    <t>Calculate total revenue</t>
  </si>
  <si>
    <t>ANS</t>
  </si>
  <si>
    <t>Calculate average of total amount</t>
  </si>
  <si>
    <t>If total amount greater than 2000 mark High otherwise Low</t>
  </si>
  <si>
    <t>How many total order are there</t>
  </si>
  <si>
    <t>How many order are from West Region</t>
  </si>
  <si>
    <t>Find highest order value</t>
  </si>
  <si>
    <t>Find lowest order value</t>
  </si>
  <si>
    <t>Convert region to uppercase</t>
  </si>
  <si>
    <t>Find region using order id</t>
  </si>
  <si>
    <t>Total revenue from completed orders only</t>
  </si>
  <si>
    <t>MONTHLY REVENUE BY REGIONS</t>
  </si>
  <si>
    <t>Sum of total_amount</t>
  </si>
  <si>
    <t>Column Labels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</si>
  <si>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</si>
  <si>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</si>
  <si>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</si>
  <si>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</si>
  <si>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</si>
  <si>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</si>
  <si>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</si>
  <si>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</si>
  <si>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</si>
  <si>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</si>
  <si>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</si>
  <si>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</si>
  <si>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</si>
  <si>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</si>
  <si>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</si>
  <si>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brand</t>
  </si>
  <si>
    <t>price</t>
  </si>
  <si>
    <t>cost</t>
  </si>
  <si>
    <t>profit_margin</t>
  </si>
  <si>
    <t>Dell Laptop Model 1</t>
  </si>
  <si>
    <t>Laptops</t>
  </si>
  <si>
    <t>Dell</t>
  </si>
  <si>
    <t>HP Laptop Model 2</t>
  </si>
  <si>
    <t>HP</t>
  </si>
  <si>
    <t>ASUS Laptop Model 3</t>
  </si>
  <si>
    <t>ASUS</t>
  </si>
  <si>
    <t>Dell Laptop Model 4</t>
  </si>
  <si>
    <t>ASUS Laptop Model 5</t>
  </si>
  <si>
    <t>ASUS Laptop Model 6</t>
  </si>
  <si>
    <t>Lenovo Laptop Model 7</t>
  </si>
  <si>
    <t>Lenovo</t>
  </si>
  <si>
    <t>HP Laptop Model 8</t>
  </si>
  <si>
    <t>HP Laptop Model 9</t>
  </si>
  <si>
    <t>Dell Laptop Model 10</t>
  </si>
  <si>
    <t>Lenovo Laptop Model 11</t>
  </si>
  <si>
    <t>Apple Laptop Model 12</t>
  </si>
  <si>
    <t>Apple</t>
  </si>
  <si>
    <t>Apple Laptop Model 13</t>
  </si>
  <si>
    <t>ASUS Laptop Model 14</t>
  </si>
  <si>
    <t>HP Laptop Model 15</t>
  </si>
  <si>
    <t>HP Laptop Model 16</t>
  </si>
  <si>
    <t>HP Laptop Model 17</t>
  </si>
  <si>
    <t>Apple Laptop Model 18</t>
  </si>
  <si>
    <t>Lenovo Laptop Model 19</t>
  </si>
  <si>
    <t>Dell Laptop Model 20</t>
  </si>
  <si>
    <t>HP Laptop Model 21</t>
  </si>
  <si>
    <t>ASUS Laptop Model 22</t>
  </si>
  <si>
    <t>Dell Laptop Model 23</t>
  </si>
  <si>
    <t>Lenovo Laptop Model 24</t>
  </si>
  <si>
    <t>ASUS Laptop Model 25</t>
  </si>
  <si>
    <t>Apple Laptop Model 26</t>
  </si>
  <si>
    <t>Apple Laptop Model 27</t>
  </si>
  <si>
    <t>ASUS Laptop Model 28</t>
  </si>
  <si>
    <t>Apple Laptop Model 29</t>
  </si>
  <si>
    <t>HP Laptop Model 30</t>
  </si>
  <si>
    <t>Apple Laptop Model 31</t>
  </si>
  <si>
    <t>Dell Laptop Model 32</t>
  </si>
  <si>
    <t>Apple Laptop Model 33</t>
  </si>
  <si>
    <t>ASUS Laptop Model 34</t>
  </si>
  <si>
    <t>ASUS Laptop Model 35</t>
  </si>
  <si>
    <t>Dell Laptop Model 36</t>
  </si>
  <si>
    <t>Lenovo Laptop Model 37</t>
  </si>
  <si>
    <t>Lenovo Laptop Model 38</t>
  </si>
  <si>
    <t>Lenovo Laptop Model 39</t>
  </si>
  <si>
    <t>ASUS Laptop Model 40</t>
  </si>
  <si>
    <t>Google Smartphone Model 1</t>
  </si>
  <si>
    <t>Smartphones</t>
  </si>
  <si>
    <t>Google</t>
  </si>
  <si>
    <t>Apple Smartphone Model 2</t>
  </si>
  <si>
    <t>Xiaomi Smartphone Model 3</t>
  </si>
  <si>
    <t>Xiaomi</t>
  </si>
  <si>
    <t>Samsung Smartphone Model 4</t>
  </si>
  <si>
    <t>Samsung</t>
  </si>
  <si>
    <t>Samsung Smartphone Model 5</t>
  </si>
  <si>
    <t>Google Smartphone Model 6</t>
  </si>
  <si>
    <t>Xiaomi Smartphone Model 7</t>
  </si>
  <si>
    <t>OnePlus Smartphone Model 8</t>
  </si>
  <si>
    <t>OnePlus</t>
  </si>
  <si>
    <t>Xiaomi Smartphone Model 9</t>
  </si>
  <si>
    <t>OnePlus Smartphone Model 10</t>
  </si>
  <si>
    <t>Xiaomi Smartphone Model 11</t>
  </si>
  <si>
    <t>Apple Smartphone Model 12</t>
  </si>
  <si>
    <t>Apple Smartphone Model 13</t>
  </si>
  <si>
    <t>Google Smartphone Model 14</t>
  </si>
  <si>
    <t>Samsung Smartphone Model 15</t>
  </si>
  <si>
    <t>Samsung Smartphone Model 16</t>
  </si>
  <si>
    <t>Apple Smartphone Model 17</t>
  </si>
  <si>
    <t>Samsung Smartphone Model 18</t>
  </si>
  <si>
    <t>Google Smartphone Model 19</t>
  </si>
  <si>
    <t>OnePlus Smartphone Model 20</t>
  </si>
  <si>
    <t>Xiaomi Smartphone Model 21</t>
  </si>
  <si>
    <t>OnePlus Smartphone Model 22</t>
  </si>
  <si>
    <t>Samsung Smartphone Model 23</t>
  </si>
  <si>
    <t>OnePlus Smartphone Model 24</t>
  </si>
  <si>
    <t>Samsung Smartphone Model 25</t>
  </si>
  <si>
    <t>Samsung Smartphone Model 26</t>
  </si>
  <si>
    <t>OnePlus Smartphone Model 27</t>
  </si>
  <si>
    <t>OnePlus Smartphone Model 28</t>
  </si>
  <si>
    <t>OnePlus Smartphone Model 29</t>
  </si>
  <si>
    <t>Samsung Smartphone Model 30</t>
  </si>
  <si>
    <t>Samsung Smartphone Model 31</t>
  </si>
  <si>
    <t>Apple Smartphone Model 32</t>
  </si>
  <si>
    <t>Apple Smartphone Model 33</t>
  </si>
  <si>
    <t>Apple Smartphone Model 34</t>
  </si>
  <si>
    <t>Google Smartphone Model 35</t>
  </si>
  <si>
    <t>Google Smartphone Model 36</t>
  </si>
  <si>
    <t>Xiaomi Smartphone Model 37</t>
  </si>
  <si>
    <t>Apple Smartphone Model 38</t>
  </si>
  <si>
    <t>Xiaomi Smartphone Model 39</t>
  </si>
  <si>
    <t>Google Smartphone Model 40</t>
  </si>
  <si>
    <t>Lenovo Tablet Model 1</t>
  </si>
  <si>
    <t>Tablets</t>
  </si>
  <si>
    <t>Apple Tablet Model 2</t>
  </si>
  <si>
    <t>Samsung Tablet Model 3</t>
  </si>
  <si>
    <t>Samsung Tablet Model 4</t>
  </si>
  <si>
    <t>Lenovo Tablet Model 5</t>
  </si>
  <si>
    <t>Lenovo Tablet Model 6</t>
  </si>
  <si>
    <t>Lenovo Tablet Model 7</t>
  </si>
  <si>
    <t>Samsung Tablet Model 8</t>
  </si>
  <si>
    <t>Amazon Tablet Model 9</t>
  </si>
  <si>
    <t>Amazon</t>
  </si>
  <si>
    <t>Amazon Tablet Model 10</t>
  </si>
  <si>
    <t>Apple Tablet Model 11</t>
  </si>
  <si>
    <t>Lenovo Tablet Model 12</t>
  </si>
  <si>
    <t>Samsung Tablet Model 13</t>
  </si>
  <si>
    <t>Amazon Tablet Model 14</t>
  </si>
  <si>
    <t>Amazon Tablet Model 15</t>
  </si>
  <si>
    <t>Lenovo Tablet Model 16</t>
  </si>
  <si>
    <t>Lenovo Tablet Model 17</t>
  </si>
  <si>
    <t>Amazon Tablet Model 18</t>
  </si>
  <si>
    <t>Samsung Tablet Model 19</t>
  </si>
  <si>
    <t>Lenovo Tablet Model 20</t>
  </si>
  <si>
    <t>Samsung Tablet Model 21</t>
  </si>
  <si>
    <t>Amazon Tablet Model 22</t>
  </si>
  <si>
    <t>Apple Tablet Model 23</t>
  </si>
  <si>
    <t>Amazon Tablet Model 24</t>
  </si>
  <si>
    <t>Samsung Tablet Model 25</t>
  </si>
  <si>
    <t>Microsoft Tablet Model 26</t>
  </si>
  <si>
    <t>Microsoft</t>
  </si>
  <si>
    <t>Apple Tablet Model 27</t>
  </si>
  <si>
    <t>Samsung Tablet Model 28</t>
  </si>
  <si>
    <t>Lenovo Tablet Model 29</t>
  </si>
  <si>
    <t>Apple Tablet Model 30</t>
  </si>
  <si>
    <t>Apple Tablet Model 31</t>
  </si>
  <si>
    <t>Samsung Tablet Model 32</t>
  </si>
  <si>
    <t>Lenovo Tablet Model 33</t>
  </si>
  <si>
    <t>Lenovo Tablet Model 34</t>
  </si>
  <si>
    <t>Samsung Tablet Model 35</t>
  </si>
  <si>
    <t>Samsung Tablet Model 36</t>
  </si>
  <si>
    <t>Amazon Tablet Model 37</t>
  </si>
  <si>
    <t>Samsung Tablet Model 38</t>
  </si>
  <si>
    <t>Apple Tablet Model 39</t>
  </si>
  <si>
    <t>Microsoft Tablet Model 40</t>
  </si>
  <si>
    <t>Apple Headphone Model 1</t>
  </si>
  <si>
    <t>Headphones</t>
  </si>
  <si>
    <t>Bose Headphone Model 2</t>
  </si>
  <si>
    <t>Bose</t>
  </si>
  <si>
    <t>Apple Headphone Model 3</t>
  </si>
  <si>
    <t>JBL Headphone Model 4</t>
  </si>
  <si>
    <t>JBL</t>
  </si>
  <si>
    <t>Sennheiser Headphone Model 5</t>
  </si>
  <si>
    <t>Sennheiser</t>
  </si>
  <si>
    <t>JBL Headphone Model 6</t>
  </si>
  <si>
    <t>JBL Headphone Model 7</t>
  </si>
  <si>
    <t>JBL Headphone Model 8</t>
  </si>
  <si>
    <t>Sennheiser Headphone Model 9</t>
  </si>
  <si>
    <t>Sennheiser Headphone Model 10</t>
  </si>
  <si>
    <t>Apple Headphone Model 11</t>
  </si>
  <si>
    <t>Sennheiser Headphone Model 12</t>
  </si>
  <si>
    <t>Bose Headphone Model 13</t>
  </si>
  <si>
    <t>JBL Headphone Model 14</t>
  </si>
  <si>
    <t>Sony Headphone Model 15</t>
  </si>
  <si>
    <t>Sony</t>
  </si>
  <si>
    <t>JBL Headphone Model 16</t>
  </si>
  <si>
    <t>JBL Headphone Model 17</t>
  </si>
  <si>
    <t>Apple Headphone Model 18</t>
  </si>
  <si>
    <t>Sennheiser Headphone Model 19</t>
  </si>
  <si>
    <t>Sony Headphone Model 20</t>
  </si>
  <si>
    <t>Sennheiser Headphone Model 21</t>
  </si>
  <si>
    <t>Apple Headphone Model 22</t>
  </si>
  <si>
    <t>Apple Headphone Model 23</t>
  </si>
  <si>
    <t>Bose Headphone Model 24</t>
  </si>
  <si>
    <t>Sennheiser Headphone Model 25</t>
  </si>
  <si>
    <t>Bose Headphone Model 26</t>
  </si>
  <si>
    <t>Bose Headphone Model 27</t>
  </si>
  <si>
    <t>Apple Headphone Model 28</t>
  </si>
  <si>
    <t>Apple Headphone Model 29</t>
  </si>
  <si>
    <t>Bose Headphone Model 30</t>
  </si>
  <si>
    <t>Apple Headphone Model 31</t>
  </si>
  <si>
    <t>Sony Headphone Model 32</t>
  </si>
  <si>
    <t>Sony Headphone Model 33</t>
  </si>
  <si>
    <t>Sennheiser Headphone Model 34</t>
  </si>
  <si>
    <t>Sony Headphone Model 35</t>
  </si>
  <si>
    <t>Sennheiser Headphone Model 36</t>
  </si>
  <si>
    <t>Apple Headphone Model 37</t>
  </si>
  <si>
    <t>Sennheiser Headphone Model 38</t>
  </si>
  <si>
    <t>Apple Headphone Model 39</t>
  </si>
  <si>
    <t>Apple Headphone Model 40</t>
  </si>
  <si>
    <t>Garmin Smartwatche Model 1</t>
  </si>
  <si>
    <t>Smartwatches</t>
  </si>
  <si>
    <t>Garmin</t>
  </si>
  <si>
    <t>Samsung Smartwatche Model 2</t>
  </si>
  <si>
    <t>Garmin Smartwatche Model 3</t>
  </si>
  <si>
    <t>Fossil Smartwatche Model 4</t>
  </si>
  <si>
    <t>Fossil</t>
  </si>
  <si>
    <t>Fitbit Smartwatche Model 5</t>
  </si>
  <si>
    <t>Fitbit</t>
  </si>
  <si>
    <t>Apple Smartwatche Model 6</t>
  </si>
  <si>
    <t>Fitbit Smartwatche Model 7</t>
  </si>
  <si>
    <t>Fitbit Smartwatche Model 8</t>
  </si>
  <si>
    <t>Apple Smartwatche Model 9</t>
  </si>
  <si>
    <t>Fitbit Smartwatche Model 10</t>
  </si>
  <si>
    <t>Garmin Smartwatche Model 11</t>
  </si>
  <si>
    <t>Fitbit Smartwatche Model 12</t>
  </si>
  <si>
    <t>Fossil Smartwatche Model 13</t>
  </si>
  <si>
    <t>Garmin Smartwatche Model 14</t>
  </si>
  <si>
    <t>Garmin Smartwatche Model 15</t>
  </si>
  <si>
    <t>Samsung Smartwatche Model 16</t>
  </si>
  <si>
    <t>Fossil Smartwatche Model 17</t>
  </si>
  <si>
    <t>Fossil Smartwatche Model 18</t>
  </si>
  <si>
    <t>Fitbit Smartwatche Model 19</t>
  </si>
  <si>
    <t>Apple Smartwatche Model 20</t>
  </si>
  <si>
    <t>Fitbit Smartwatche Model 21</t>
  </si>
  <si>
    <t>Fitbit Smartwatche Model 22</t>
  </si>
  <si>
    <t>Fitbit Smartwatche Model 23</t>
  </si>
  <si>
    <t>Apple Smartwatche Model 24</t>
  </si>
  <si>
    <t>Garmin Smartwatche Model 25</t>
  </si>
  <si>
    <t>Apple Smartwatche Model 26</t>
  </si>
  <si>
    <t>Samsung Smartwatche Model 27</t>
  </si>
  <si>
    <t>Samsung Smartwatche Model 28</t>
  </si>
  <si>
    <t>Fossil Smartwatche Model 29</t>
  </si>
  <si>
    <t>Garmin Smartwatche Model 30</t>
  </si>
  <si>
    <t>Fossil Smartwatche Model 31</t>
  </si>
  <si>
    <t>Samsung Smartwatche Model 32</t>
  </si>
  <si>
    <t>Apple Smartwatche Model 33</t>
  </si>
  <si>
    <t>Fitbit Smartwatche Model 34</t>
  </si>
  <si>
    <t>Apple Smartwatche Model 35</t>
  </si>
  <si>
    <t>Samsung Smartwatche Model 36</t>
  </si>
  <si>
    <t>Fossil Smartwatche Model 37</t>
  </si>
  <si>
    <t>Fossil Smartwatche Model 38</t>
  </si>
  <si>
    <t>Fitbit Smartwatche Model 39</t>
  </si>
  <si>
    <t>Garmin Smartwatche Model 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</si>
</sst>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indexed="8"/>
      <name val="Calibri"/>
      <charset val="134"/>
    </font>
    <font>
      <sz val="11"/>
      <color indexed="8"/>
      <name val="Calibri"/>
      <charset val="134"/>
    </font>
    <font>
      <b/>
      <sz val="20"/>
      <color theme="1"/>
      <name val="Artifakt Element Black"/>
      <charset val="134"/>
    </font>
    <font>
      <b/>
      <sz val="11"/>
      <color theme="1"/>
      <name val="Arial"/>
      <charset val="134"/>
    </font>
    <font>
      <b/>
      <u/>
      <sz val="16"/>
      <color theme="1"/>
      <name val="Arial Black"/>
      <charset val="134"/>
    </font>
    <font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28"/>
      <color theme="1"/>
      <name val="Algerian"/>
      <charset val="134"/>
    </font>
    <font>
      <b/>
      <sz val="12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1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6" applyNumberFormat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5" borderId="16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0" applyFont="1" applyAlignment="1">
      <alignment horizontal="center" vertical="center"/>
    </xf>
    <xf numFmtId="0" fontId="5" fillId="0" borderId="10" xfId="0" applyFont="1" applyBorder="1" applyAlignment="1">
      <alignment wrapText="1"/>
    </xf>
    <xf numFmtId="0" fontId="6" fillId="0" borderId="0" xfId="0" applyFont="1" applyFill="1" applyBorder="1" applyAlignment="1">
      <alignment horizontal="center" wrapText="1"/>
    </xf>
    <xf numFmtId="0" fontId="7" fillId="0" borderId="10" xfId="0" applyFont="1" applyBorder="1" applyAlignment="1">
      <alignment horizontal="right" wrapText="1"/>
    </xf>
    <xf numFmtId="58" fontId="7" fillId="0" borderId="10" xfId="0" applyNumberFormat="1" applyFont="1" applyBorder="1" applyAlignment="1">
      <alignment horizontal="right" wrapText="1"/>
    </xf>
    <xf numFmtId="0" fontId="7" fillId="0" borderId="10" xfId="0" applyFont="1" applyBorder="1" applyAlignment="1">
      <alignment wrapText="1"/>
    </xf>
    <xf numFmtId="0" fontId="8" fillId="0" borderId="0" xfId="0" applyFont="1"/>
    <xf numFmtId="0" fontId="9" fillId="0" borderId="0" xfId="0" applyFont="1" applyFill="1" applyBorder="1" applyAlignment="1">
      <alignment horizontal="left" wrapText="1"/>
    </xf>
    <xf numFmtId="0" fontId="9" fillId="2" borderId="11" xfId="0" applyFont="1" applyFill="1" applyBorder="1" applyAlignment="1">
      <alignment horizontal="right" wrapText="1"/>
    </xf>
    <xf numFmtId="0" fontId="8" fillId="2" borderId="11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9" fillId="2" borderId="11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left"/>
    </xf>
    <xf numFmtId="0" fontId="10" fillId="0" borderId="12" xfId="0" applyFont="1" applyBorder="1" applyAlignment="1">
      <alignment horizontal="center"/>
    </xf>
    <xf numFmtId="0" fontId="11" fillId="0" borderId="10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3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 Dashboard 1!PivotTable3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32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MONTHLY REVENUE TREND</a:t>
            </a:r>
            <a:endParaRPr 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64820841839215"/>
          <c:y val="0.0340687914592748"/>
        </c:manualLayout>
      </c:layout>
      <c:overlay val="0"/>
      <c:spPr>
        <a:solidFill>
          <a:srgbClr val="00206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Dashboard 1'!$B$9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 Dashboard 1'!$A$10:$A$22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 Dashboard 1'!$B$10:$B$22</c:f>
              <c:numCache>
                <c:formatCode>General</c:formatCode>
                <c:ptCount val="12"/>
                <c:pt idx="0">
                  <c:v>1112641.92</c:v>
                </c:pt>
                <c:pt idx="1">
                  <c:v>1102766.4</c:v>
                </c:pt>
                <c:pt idx="2">
                  <c:v>1083015.36</c:v>
                </c:pt>
                <c:pt idx="3">
                  <c:v>1165311.36</c:v>
                </c:pt>
                <c:pt idx="4">
                  <c:v>1063264.32</c:v>
                </c:pt>
                <c:pt idx="5">
                  <c:v>1050096.96</c:v>
                </c:pt>
                <c:pt idx="6">
                  <c:v>1300276.8</c:v>
                </c:pt>
                <c:pt idx="7">
                  <c:v>1343070.72</c:v>
                </c:pt>
                <c:pt idx="8">
                  <c:v>1175186.88</c:v>
                </c:pt>
                <c:pt idx="9">
                  <c:v>1639336.32000001</c:v>
                </c:pt>
                <c:pt idx="10">
                  <c:v>2189073.60000002</c:v>
                </c:pt>
                <c:pt idx="11">
                  <c:v>2235159.36000002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930544"/>
        <c:axId val="1463931792"/>
      </c:lineChart>
      <c:catAx>
        <c:axId val="1463930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48251774083795"/>
              <c:y val="0.91461707530461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3931792"/>
        <c:crosses val="autoZero"/>
        <c:auto val="1"/>
        <c:lblAlgn val="ctr"/>
        <c:lblOffset val="100"/>
        <c:noMultiLvlLbl val="0"/>
      </c:catAx>
      <c:valAx>
        <c:axId val="146393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0246913580246914"/>
              <c:y val="0.3551773253953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39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ceb37c5c-210f-4875-b406-107989bfc022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[Book1.xlsx]Dashboard 2!PivotTable6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TOP</a:t>
            </a:r>
            <a:r>
              <a:rPr lang="en-IN" sz="1800" b="1" baseline="0">
                <a:solidFill>
                  <a:schemeClr val="tx1"/>
                </a:solidFill>
              </a:rPr>
              <a:t> 5 PRODUCT NAME</a:t>
            </a:r>
            <a:endParaRPr lang="en-IN" sz="1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0516420031946409"/>
          <c:y val="0.019646365422396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2551772181292"/>
          <c:y val="0.137791174540682"/>
          <c:w val="0.843936163475544"/>
          <c:h val="0.6074511251350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'Dashboard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'Dashboard 2'!$A$4:$A$9</c:f>
              <c:strCache>
                <c:ptCount val="5"/>
                <c:pt idx="0">
                  <c:v>Apple Headphone Model 18</c:v>
                </c:pt>
                <c:pt idx="1">
                  <c:v>Apple Laptop Model 33</c:v>
                </c:pt>
                <c:pt idx="2">
                  <c:v>Bose Headphone Model 26</c:v>
                </c:pt>
                <c:pt idx="3">
                  <c:v>HP Laptop Model 9</c:v>
                </c:pt>
                <c:pt idx="4">
                  <c:v>Samsung Smartphone Model 31</c:v>
                </c:pt>
              </c:strCache>
            </c:strRef>
          </c:cat>
          <c:val>
            <c:numRef>
              <c:f>'Dashboard 2'!$B$4:$B$9</c:f>
              <c:numCache>
                <c:formatCode>General</c:formatCode>
                <c:ptCount val="5"/>
                <c:pt idx="0">
                  <c:v>4140.13</c:v>
                </c:pt>
                <c:pt idx="1">
                  <c:v>4384.92</c:v>
                </c:pt>
                <c:pt idx="2">
                  <c:v>8831.2</c:v>
                </c:pt>
                <c:pt idx="3">
                  <c:v>14069.29</c:v>
                </c:pt>
                <c:pt idx="4">
                  <c:v>8984.9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646000"/>
        <c:axId val="1082639760"/>
      </c:barChart>
      <c:catAx>
        <c:axId val="1082646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PRODUCT</a:t>
                </a:r>
                <a:r>
                  <a:rPr lang="en-IN" b="1" baseline="0"/>
                  <a:t> NAME</a:t>
                </a:r>
                <a:endParaRPr lang="en-IN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2639760"/>
        <c:crosses val="autoZero"/>
        <c:auto val="1"/>
        <c:lblAlgn val="ctr"/>
        <c:lblOffset val="100"/>
        <c:noMultiLvlLbl val="0"/>
      </c:catAx>
      <c:valAx>
        <c:axId val="108263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TOTAL</a:t>
                </a:r>
                <a:r>
                  <a:rPr lang="en-IN" b="1" baseline="0"/>
                  <a:t> AMOUNT</a:t>
                </a:r>
                <a:endParaRPr lang="en-IN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264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83ca851-a1cf-4386-b77c-1586b1e1e20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967740</xdr:colOff>
      <xdr:row>0</xdr:row>
      <xdr:rowOff>106680</xdr:rowOff>
    </xdr:from>
    <xdr:to>
      <xdr:col>1</xdr:col>
      <xdr:colOff>1272540</xdr:colOff>
      <xdr:row>6</xdr:row>
      <xdr:rowOff>91440</xdr:rowOff>
    </xdr:to>
    <xdr:sp>
      <xdr:nvSpPr>
        <xdr:cNvPr id="4" name="Rectangle: Rounded Corners 3"/>
        <xdr:cNvSpPr/>
      </xdr:nvSpPr>
      <xdr:spPr>
        <a:xfrm>
          <a:off x="967740" y="106680"/>
          <a:ext cx="1341120" cy="121920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/>
              </a:solidFill>
            </a:rPr>
            <a:t>TOTAL REVENUE 7064864.87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670560</xdr:colOff>
      <xdr:row>1</xdr:row>
      <xdr:rowOff>91440</xdr:rowOff>
    </xdr:from>
    <xdr:to>
      <xdr:col>9</xdr:col>
      <xdr:colOff>350520</xdr:colOff>
      <xdr:row>21</xdr:row>
      <xdr:rowOff>167640</xdr:rowOff>
    </xdr:to>
    <xdr:graphicFrame>
      <xdr:nvGraphicFramePr>
        <xdr:cNvPr id="5" name="Chart 4"/>
        <xdr:cNvGraphicFramePr/>
      </xdr:nvGraphicFramePr>
      <xdr:xfrm>
        <a:off x="4251960" y="297180"/>
        <a:ext cx="5212080" cy="4488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518160</xdr:colOff>
      <xdr:row>2</xdr:row>
      <xdr:rowOff>53340</xdr:rowOff>
    </xdr:from>
    <xdr:to>
      <xdr:col>12</xdr:col>
      <xdr:colOff>106680</xdr:colOff>
      <xdr:row>24</xdr:row>
      <xdr:rowOff>175260</xdr:rowOff>
    </xdr:to>
    <xdr:graphicFrame>
      <xdr:nvGraphicFramePr>
        <xdr:cNvPr id="2" name="Chart 1"/>
        <xdr:cNvGraphicFramePr/>
      </xdr:nvGraphicFramePr>
      <xdr:xfrm>
        <a:off x="3688080" y="419100"/>
        <a:ext cx="5760720" cy="414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113.7221975694" refreshedBy="Asus" recordCount="200">
  <cacheSource type="worksheet">
    <worksheetSource ref="A2:G202" sheet="Transaction table"/>
  </cacheSource>
  <cacheFields count="9">
    <cacheField name="order_id" numFmtId="0"/>
    <cacheField name="customer_id" numFmtId="0"/>
    <cacheField name="order_date" numFmtId="58"/>
    <cacheField name="total_amount" numFmtId="0"/>
    <cacheField name="status" numFmtId="0"/>
    <cacheField name="region" numFmtId="0"/>
    <cacheField name="payment_method" numFmtId="0"/>
    <cacheField name="product_id" numFmtId="0"/>
    <cacheField name="product _name" numFmtId="0">
      <sharedItems count="200">
        <s v="Dell Laptop Model 1"/>
        <s v="HP Laptop Model 2"/>
        <s v="ASUS Laptop Model 3"/>
        <s v="Dell Laptop Model 4"/>
        <s v="ASUS Laptop Model 5"/>
        <s v="ASUS Laptop Model 6"/>
        <s v="Lenovo Laptop Model 7"/>
        <s v="HP Laptop Model 8"/>
        <s v="HP Laptop Model 9"/>
        <s v="Dell Laptop Model 10"/>
        <s v="Lenovo Laptop Model 11"/>
        <s v="Apple Laptop Model 12"/>
        <s v="Apple Laptop Model 13"/>
        <s v="ASUS Laptop Model 14"/>
        <s v="HP Laptop Model 15"/>
        <s v="HP Laptop Model 16"/>
        <s v="HP Laptop Model 17"/>
        <s v="Apple Laptop Model 18"/>
        <s v="Lenovo Laptop Model 19"/>
        <s v="Dell Laptop Model 20"/>
        <s v="HP Laptop Model 21"/>
        <s v="ASUS Laptop Model 22"/>
        <s v="Dell Laptop Model 23"/>
        <s v="Lenovo Laptop Model 24"/>
        <s v="ASUS Laptop Model 25"/>
        <s v="Apple Laptop Model 26"/>
        <s v="Apple Laptop Model 27"/>
        <s v="ASUS Laptop Model 28"/>
        <s v="Apple Laptop Model 29"/>
        <s v="HP Laptop Model 30"/>
        <s v="Apple Laptop Model 31"/>
        <s v="Dell Laptop Model 32"/>
        <s v="Apple Laptop Model 33"/>
        <s v="ASUS Laptop Model 34"/>
        <s v="ASUS Laptop Model 35"/>
        <s v="Dell Laptop Model 36"/>
        <s v="Lenovo Laptop Model 37"/>
        <s v="Lenovo Laptop Model 38"/>
        <s v="Lenovo Laptop Model 39"/>
        <s v="ASUS Laptop Model 40"/>
        <s v="Google Smartphone Model 1"/>
        <s v="Apple Smartphone Model 2"/>
        <s v="Xiaomi Smartphone Model 3"/>
        <s v="Samsung Smartphone Model 4"/>
        <s v="Samsung Smartphone Model 5"/>
        <s v="Google Smartphone Model 6"/>
        <s v="Xiaomi Smartphone Model 7"/>
        <s v="OnePlus Smartphone Model 8"/>
        <s v="Xiaomi Smartphone Model 9"/>
        <s v="OnePlus Smartphone Model 10"/>
        <s v="Xiaomi Smartphone Model 11"/>
        <s v="Apple Smartphone Model 12"/>
        <s v="Apple Smartphone Model 13"/>
        <s v="Google Smartphone Model 14"/>
        <s v="Samsung Smartphone Model 15"/>
        <s v="Samsung Smartphone Model 16"/>
        <s v="Apple Smartphone Model 17"/>
        <s v="Samsung Smartphone Model 18"/>
        <s v="Google Smartphone Model 19"/>
        <s v="OnePlus Smartphone Model 20"/>
        <s v="Xiaomi Smartphone Model 21"/>
        <s v="OnePlus Smartphone Model 22"/>
        <s v="Samsung Smartphone Model 23"/>
        <s v="OnePlus Smartphone Model 24"/>
        <s v="Samsung Smartphone Model 25"/>
        <s v="Samsung Smartphone Model 26"/>
        <s v="OnePlus Smartphone Model 27"/>
        <s v="OnePlus Smartphone Model 28"/>
        <s v="OnePlus Smartphone Model 29"/>
        <s v="Samsung Smartphone Model 30"/>
        <s v="Samsung Smartphone Model 31"/>
        <s v="Apple Smartphone Model 32"/>
        <s v="Apple Smartphone Model 33"/>
        <s v="Apple Smartphone Model 34"/>
        <s v="Google Smartphone Model 35"/>
        <s v="Google Smartphone Model 36"/>
        <s v="Xiaomi Smartphone Model 37"/>
        <s v="Apple Smartphone Model 38"/>
        <s v="Xiaomi Smartphone Model 39"/>
        <s v="Google Smartphone Model 40"/>
        <s v="Lenovo Tablet Model 1"/>
        <s v="Apple Tablet Model 2"/>
        <s v="Samsung Tablet Model 3"/>
        <s v="Samsung Tablet Model 4"/>
        <s v="Lenovo Tablet Model 5"/>
        <s v="Lenovo Tablet Model 6"/>
        <s v="Lenovo Tablet Model 7"/>
        <s v="Samsung Tablet Model 8"/>
        <s v="Amazon Tablet Model 9"/>
        <s v="Amazon Tablet Model 10"/>
        <s v="Apple Tablet Model 11"/>
        <s v="Lenovo Tablet Model 12"/>
        <s v="Samsung Tablet Model 13"/>
        <s v="Amazon Tablet Model 14"/>
        <s v="Amazon Tablet Model 15"/>
        <s v="Lenovo Tablet Model 16"/>
        <s v="Lenovo Tablet Model 17"/>
        <s v="Amazon Tablet Model 18"/>
        <s v="Samsung Tablet Model 19"/>
        <s v="Lenovo Tablet Model 20"/>
        <s v="Samsung Tablet Model 21"/>
        <s v="Amazon Tablet Model 22"/>
        <s v="Apple Tablet Model 23"/>
        <s v="Amazon Tablet Model 24"/>
        <s v="Samsung Tablet Model 25"/>
        <s v="Microsoft Tablet Model 26"/>
        <s v="Apple Tablet Model 27"/>
        <s v="Samsung Tablet Model 28"/>
        <s v="Lenovo Tablet Model 29"/>
        <s v="Apple Tablet Model 30"/>
        <s v="Apple Tablet Model 31"/>
        <s v="Samsung Tablet Model 32"/>
        <s v="Lenovo Tablet Model 33"/>
        <s v="Lenovo Tablet Model 34"/>
        <s v="Samsung Tablet Model 35"/>
        <s v="Samsung Tablet Model 36"/>
        <s v="Amazon Tablet Model 37"/>
        <s v="Samsung Tablet Model 38"/>
        <s v="Apple Tablet Model 39"/>
        <s v="Microsoft Tablet Model 40"/>
        <s v="Apple Headphone Model 1"/>
        <s v="Bose Headphone Model 2"/>
        <s v="Apple Headphone Model 3"/>
        <s v="JBL Headphone Model 4"/>
        <s v="Sennheiser Headphone Model 5"/>
        <s v="JBL Headphone Model 6"/>
        <s v="JBL Headphone Model 7"/>
        <s v="JBL Headphone Model 8"/>
        <s v="Sennheiser Headphone Model 9"/>
        <s v="Sennheiser Headphone Model 10"/>
        <s v="Apple Headphone Model 11"/>
        <s v="Sennheiser Headphone Model 12"/>
        <s v="Bose Headphone Model 13"/>
        <s v="JBL Headphone Model 14"/>
        <s v="Sony Headphone Model 15"/>
        <s v="JBL Headphone Model 16"/>
        <s v="JBL Headphone Model 17"/>
        <s v="Apple Headphone Model 18"/>
        <s v="Sennheiser Headphone Model 19"/>
        <s v="Sony Headphone Model 20"/>
        <s v="Sennheiser Headphone Model 21"/>
        <s v="Apple Headphone Model 22"/>
        <s v="Apple Headphone Model 23"/>
        <s v="Bose Headphone Model 24"/>
        <s v="Sennheiser Headphone Model 25"/>
        <s v="Bose Headphone Model 26"/>
        <s v="Bose Headphone Model 27"/>
        <s v="Apple Headphone Model 28"/>
        <s v="Apple Headphone Model 29"/>
        <s v="Bose Headphone Model 30"/>
        <s v="Apple Headphone Model 31"/>
        <s v="Sony Headphone Model 32"/>
        <s v="Sony Headphone Model 33"/>
        <s v="Sennheiser Headphone Model 34"/>
        <s v="Sony Headphone Model 35"/>
        <s v="Sennheiser Headphone Model 36"/>
        <s v="Apple Headphone Model 37"/>
        <s v="Sennheiser Headphone Model 38"/>
        <s v="Apple Headphone Model 39"/>
        <s v="Apple Headphone Model 40"/>
        <s v="Garmin Smartwatche Model 1"/>
        <s v="Samsung Smartwatche Model 2"/>
        <s v="Garmin Smartwatche Model 3"/>
        <s v="Fossil Smartwatche Model 4"/>
        <s v="Fitbit Smartwatche Model 5"/>
        <s v="Apple Smartwatche Model 6"/>
        <s v="Fitbit Smartwatche Model 7"/>
        <s v="Fitbit Smartwatche Model 8"/>
        <s v="Apple Smartwatche Model 9"/>
        <s v="Fitbit Smartwatche Model 10"/>
        <s v="Garmin Smartwatche Model 11"/>
        <s v="Fitbit Smartwatche Model 12"/>
        <s v="Fossil Smartwatche Model 13"/>
        <s v="Garmin Smartwatche Model 14"/>
        <s v="Garmin Smartwatche Model 15"/>
        <s v="Samsung Smartwatche Model 16"/>
        <s v="Fossil Smartwatche Model 17"/>
        <s v="Fossil Smartwatche Model 18"/>
        <s v="Fitbit Smartwatche Model 19"/>
        <s v="Apple Smartwatche Model 20"/>
        <s v="Fitbit Smartwatche Model 21"/>
        <s v="Fitbit Smartwatche Model 22"/>
        <s v="Fitbit Smartwatche Model 23"/>
        <s v="Apple Smartwatche Model 24"/>
        <s v="Garmin Smartwatche Model 25"/>
        <s v="Apple Smartwatche Model 26"/>
        <s v="Samsung Smartwatche Model 27"/>
        <s v="Samsung Smartwatche Model 28"/>
        <s v="Fossil Smartwatche Model 29"/>
        <s v="Garmin Smartwatche Model 30"/>
        <s v="Fossil Smartwatche Model 31"/>
        <s v="Samsung Smartwatche Model 32"/>
        <s v="Apple Smartwatche Model 33"/>
        <s v="Fitbit Smartwatche Model 34"/>
        <s v="Apple Smartwatche Model 35"/>
        <s v="Samsung Smartwatche Model 36"/>
        <s v="Fossil Smartwatche Model 37"/>
        <s v="Fossil Smartwatche Model 38"/>
        <s v="Fitbit Smartwatche Model 39"/>
        <s v="Garmin Smartwatche Model 4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114.6347068287" refreshedBy="Asus" recordCount="5000">
  <cacheSource type="worksheet">
    <worksheetSource ref="A2:G5002" sheet="Transaction table"/>
  </cacheSource>
  <cacheFields count="8">
    <cacheField name="order_id" numFmtId="0"/>
    <cacheField name="customer_id" numFmtId="0"/>
    <cacheField name="order_date" numFmtId="58">
      <sharedItems containsSemiMixedTypes="0" containsString="0" containsNonDate="0" containsDate="1" minDate="2023-01-01T00:00:00" maxDate="2023-12-31T00:00:00" count="365">
        <d v="2023-07-03T00:00:00"/>
        <d v="2023-12-01T00:00:00"/>
        <d v="2023-03-06T00:00:00"/>
        <d v="2023-08-08T00:00:00"/>
        <d v="2023-11-19T00:00:00"/>
        <d v="2023-08-24T00:00:00"/>
        <d v="2023-12-30T00:00:00"/>
        <d v="2023-10-28T00:00:00"/>
        <d v="2023-04-09T00:00:00"/>
        <d v="2023-10-15T00:00:00"/>
        <d v="2023-05-08T00:00:00"/>
        <d v="2023-07-24T00:00:00"/>
        <d v="2023-09-13T00:00:00"/>
        <d v="2023-07-28T00:00:00"/>
        <d v="2023-07-21T00:00:00"/>
        <d v="2023-12-23T00:00:00"/>
        <d v="2023-12-19T00:00:00"/>
        <d v="2023-12-16T00:00:00"/>
        <d v="2023-11-08T00:00:00"/>
        <d v="2023-08-12T00:00:00"/>
        <d v="2023-06-28T00:00:00"/>
        <d v="2023-12-25T00:00:00"/>
        <d v="2023-07-13T00:00:00"/>
        <d v="2023-01-04T00:00:00"/>
        <d v="2023-08-30T00:00:00"/>
        <d v="2023-02-04T00:00:00"/>
        <d v="2023-07-12T00:00:00"/>
        <d v="2023-10-10T00:00:00"/>
        <d v="2023-07-10T00:00:00"/>
        <d v="2023-12-03T00:00:00"/>
        <d v="2023-04-21T00:00:00"/>
        <d v="2023-04-22T00:00:00"/>
        <d v="2023-07-30T00:00:00"/>
        <d v="2023-09-19T00:00:00"/>
        <d v="2023-11-16T00:00:00"/>
        <d v="2023-11-23T00:00:00"/>
        <d v="2023-09-07T00:00:00"/>
        <d v="2023-04-24T00:00:00"/>
        <d v="2023-05-30T00:00:00"/>
        <d v="2023-04-14T00:00:00"/>
        <d v="2023-02-05T00:00:00"/>
        <d v="2023-08-25T00:00:00"/>
        <d v="2023-06-06T00:00:00"/>
        <d v="2023-06-08T00:00:00"/>
        <d v="2023-12-11T00:00:00"/>
        <d v="2023-10-25T00:00:00"/>
        <d v="2023-01-27T00:00:00"/>
        <d v="2023-04-11T00:00:00"/>
        <d v="2023-11-29T00:00:00"/>
        <d v="2023-04-02T00:00:00"/>
        <d v="2023-07-14T00:00:00"/>
        <d v="2023-07-19T00:00:00"/>
        <d v="2023-11-07T00:00:00"/>
        <d v="2023-10-20T00:00:00"/>
        <d v="2023-06-17T00:00:00"/>
        <d v="2023-06-29T00:00:00"/>
        <d v="2023-01-22T00:00:00"/>
        <d v="2023-09-30T00:00:00"/>
        <d v="2023-11-13T00:00:00"/>
        <d v="2023-06-05T00:00:00"/>
        <d v="2023-12-12T00:00:00"/>
        <d v="2023-12-13T00:00:00"/>
        <d v="2023-12-02T00:00:00"/>
        <d v="2023-08-11T00:00:00"/>
        <d v="2023-02-01T00:00:00"/>
        <d v="2023-10-29T00:00:00"/>
        <d v="2023-05-29T00:00:00"/>
        <d v="2023-10-19T00:00:00"/>
        <d v="2023-10-03T00:00:00"/>
        <d v="2023-01-02T00:00:00"/>
        <d v="2023-05-04T00:00:00"/>
        <d v="2023-07-01T00:00:00"/>
        <d v="2023-02-12T00:00:00"/>
        <d v="2023-02-08T00:00:00"/>
        <d v="2023-10-13T00:00:00"/>
        <d v="2023-01-19T00:00:00"/>
        <d v="2023-06-11T00:00:00"/>
        <d v="2023-06-14T00:00:00"/>
        <d v="2023-05-09T00:00:00"/>
        <d v="2023-08-04T00:00:00"/>
        <d v="2023-02-09T00:00:00"/>
        <d v="2023-04-15T00:00:00"/>
        <d v="2023-01-30T00:00:00"/>
        <d v="2023-11-15T00:00:00"/>
        <d v="2023-10-06T00:00:00"/>
        <d v="2023-12-08T00:00:00"/>
        <d v="2023-10-09T00:00:00"/>
        <d v="2023-08-31T00:00:00"/>
        <d v="2023-12-05T00:00:00"/>
        <d v="2023-12-31T00:00:00"/>
        <d v="2023-11-24T00:00:00"/>
        <d v="2023-12-22T00:00:00"/>
        <d v="2023-08-21T00:00:00"/>
        <d v="2023-12-17T00:00:00"/>
        <d v="2023-04-13T00:00:00"/>
        <d v="2023-08-16T00:00:00"/>
        <d v="2023-11-01T00:00:00"/>
        <d v="2023-12-27T00:00:00"/>
        <d v="2023-07-11T00:00:00"/>
        <d v="2023-05-11T00:00:00"/>
        <d v="2023-08-03T00:00:00"/>
        <d v="2023-06-07T00:00:00"/>
        <d v="2023-11-04T00:00:00"/>
        <d v="2023-11-10T00:00:00"/>
        <d v="2023-09-12T00:00:00"/>
        <d v="2023-02-15T00:00:00"/>
        <d v="2023-04-27T00:00:00"/>
        <d v="2023-11-30T00:00:00"/>
        <d v="2023-01-10T00:00:00"/>
        <d v="2023-05-13T00:00:00"/>
        <d v="2023-05-24T00:00:00"/>
        <d v="2023-04-19T00:00:00"/>
        <d v="2023-08-15T00:00:00"/>
        <d v="2023-12-07T00:00:00"/>
        <d v="2023-10-30T00:00:00"/>
        <d v="2023-09-23T00:00:00"/>
        <d v="2023-12-20T00:00:00"/>
        <d v="2023-02-22T00:00:00"/>
        <d v="2023-03-08T00:00:00"/>
        <d v="2023-01-26T00:00:00"/>
        <d v="2023-08-26T00:00:00"/>
        <d v="2023-03-19T00:00:00"/>
        <d v="2023-12-29T00:00:00"/>
        <d v="2023-10-01T00:00:00"/>
        <d v="2023-08-02T00:00:00"/>
        <d v="2023-11-11T00:00:00"/>
        <d v="2023-10-11T00:00:00"/>
        <d v="2023-04-23T00:00:00"/>
        <d v="2023-11-14T00:00:00"/>
        <d v="2023-06-25T00:00:00"/>
        <d v="2023-09-03T00:00:00"/>
        <d v="2023-04-04T00:00:00"/>
        <d v="2023-01-15T00:00:00"/>
        <d v="2023-03-12T00:00:00"/>
        <d v="2023-03-21T00:00:00"/>
        <d v="2023-01-12T00:00:00"/>
        <d v="2023-08-10T00:00:00"/>
        <d v="2023-09-08T00:00:00"/>
        <d v="2023-02-13T00:00:00"/>
        <d v="2023-01-31T00:00:00"/>
        <d v="2023-09-09T00:00:00"/>
        <d v="2023-01-28T00:00:00"/>
        <d v="2023-02-21T00:00:00"/>
        <d v="2023-05-15T00:00:00"/>
        <d v="2023-05-25T00:00:00"/>
        <d v="2023-04-25T00:00:00"/>
        <d v="2023-11-20T00:00:00"/>
        <d v="2023-03-04T00:00:00"/>
        <d v="2023-11-02T00:00:00"/>
        <d v="2023-04-10T00:00:00"/>
        <d v="2023-09-28T00:00:00"/>
        <d v="2023-04-01T00:00:00"/>
        <d v="2023-12-18T00:00:00"/>
        <d v="2023-07-20T00:00:00"/>
        <d v="2023-01-03T00:00:00"/>
        <d v="2023-10-04T00:00:00"/>
        <d v="2023-03-23T00:00:00"/>
        <d v="2023-11-21T00:00:00"/>
        <d v="2023-06-22T00:00:00"/>
        <d v="2023-12-09T00:00:00"/>
        <d v="2023-03-11T00:00:00"/>
        <d v="2023-12-26T00:00:00"/>
        <d v="2023-12-04T00:00:00"/>
        <d v="2023-02-25T00:00:00"/>
        <d v="2023-10-17T00:00:00"/>
        <d v="2023-02-19T00:00:00"/>
        <d v="2023-11-12T00:00:00"/>
        <d v="2023-10-22T00:00:00"/>
        <d v="2023-09-10T00:00:00"/>
        <d v="2023-07-07T00:00:00"/>
        <d v="2023-06-19T00:00:00"/>
        <d v="2023-03-15T00:00:00"/>
        <d v="2023-11-05T00:00:00"/>
        <d v="2023-07-27T00:00:00"/>
        <d v="2023-10-08T00:00:00"/>
        <d v="2023-06-27T00:00:00"/>
        <d v="2023-11-17T00:00:00"/>
        <d v="2023-08-29T00:00:00"/>
        <d v="2023-10-07T00:00:00"/>
        <d v="2023-03-27T00:00:00"/>
        <d v="2023-12-21T00:00:00"/>
        <d v="2023-03-18T00:00:00"/>
        <d v="2023-10-18T00:00:00"/>
        <d v="2023-05-19T00:00:00"/>
        <d v="2023-02-26T00:00:00"/>
        <d v="2023-09-14T00:00:00"/>
        <d v="2023-07-18T00:00:00"/>
        <d v="2023-01-11T00:00:00"/>
        <d v="2023-10-24T00:00:00"/>
        <d v="2023-09-05T00:00:00"/>
        <d v="2023-11-06T00:00:00"/>
        <d v="2023-05-06T00:00:00"/>
        <d v="2023-06-18T00:00:00"/>
        <d v="2023-01-16T00:00:00"/>
        <d v="2023-11-26T00:00:00"/>
        <d v="2023-08-13T00:00:00"/>
        <d v="2023-01-07T00:00:00"/>
        <d v="2023-02-24T00:00:00"/>
        <d v="2023-08-20T00:00:00"/>
        <d v="2023-10-27T00:00:00"/>
        <d v="2023-11-18T00:00:00"/>
        <d v="2023-03-20T00:00:00"/>
        <d v="2023-12-06T00:00:00"/>
        <d v="2023-04-08T00:00:00"/>
        <d v="2023-07-04T00:00:00"/>
        <d v="2023-10-02T00:00:00"/>
        <d v="2023-05-16T00:00:00"/>
        <d v="2023-03-17T00:00:00"/>
        <d v="2023-09-22T00:00:00"/>
        <d v="2023-06-21T00:00:00"/>
        <d v="2023-07-17T00:00:00"/>
        <d v="2023-11-28T00:00:00"/>
        <d v="2023-05-12T00:00:00"/>
        <d v="2023-06-20T00:00:00"/>
        <d v="2023-01-09T00:00:00"/>
        <d v="2023-01-14T00:00:00"/>
        <d v="2023-12-10T00:00:00"/>
        <d v="2023-03-02T00:00:00"/>
        <d v="2023-04-16T00:00:00"/>
        <d v="2023-08-05T00:00:00"/>
        <d v="2023-02-17T00:00:00"/>
        <d v="2023-01-21T00:00:00"/>
        <d v="2023-10-23T00:00:00"/>
        <d v="2023-12-24T00:00:00"/>
        <d v="2023-12-14T00:00:00"/>
        <d v="2023-01-06T00:00:00"/>
        <d v="2023-11-03T00:00:00"/>
        <d v="2023-03-09T00:00:00"/>
        <d v="2023-07-08T00:00:00"/>
        <d v="2023-09-21T00:00:00"/>
        <d v="2023-03-24T00:00:00"/>
        <d v="2023-06-26T00:00:00"/>
        <d v="2023-02-18T00:00:00"/>
        <d v="2023-07-06T00:00:00"/>
        <d v="2023-07-31T00:00:00"/>
        <d v="2023-08-22T00:00:00"/>
        <d v="2023-10-26T00:00:00"/>
        <d v="2023-10-05T00:00:00"/>
        <d v="2023-05-18T00:00:00"/>
        <d v="2023-05-31T00:00:00"/>
        <d v="2023-04-18T00:00:00"/>
        <d v="2023-02-07T00:00:00"/>
        <d v="2023-07-05T00:00:00"/>
        <d v="2023-09-06T00:00:00"/>
        <d v="2023-03-22T00:00:00"/>
        <d v="2023-07-23T00:00:00"/>
        <d v="2023-11-25T00:00:00"/>
        <d v="2023-10-12T00:00:00"/>
        <d v="2023-12-28T00:00:00"/>
        <d v="2023-08-09T00:00:00"/>
        <d v="2023-10-14T00:00:00"/>
        <d v="2023-01-17T00:00:00"/>
        <d v="2023-11-09T00:00:00"/>
        <d v="2023-01-01T00:00:00"/>
        <d v="2023-04-12T00:00:00"/>
        <d v="2023-02-16T00:00:00"/>
        <d v="2023-11-22T00:00:00"/>
        <d v="2023-03-03T00:00:00"/>
        <d v="2023-04-29T00:00:00"/>
        <d v="2023-06-03T00:00:00"/>
        <d v="2023-06-02T00:00:00"/>
        <d v="2023-06-23T00:00:00"/>
        <d v="2023-07-26T00:00:00"/>
        <d v="2023-04-20T00:00:00"/>
        <d v="2023-03-28T00:00:00"/>
        <d v="2023-10-21T00:00:00"/>
        <d v="2023-01-08T00:00:00"/>
        <d v="2023-02-10T00:00:00"/>
        <d v="2023-09-26T00:00:00"/>
        <d v="2023-10-31T00:00:00"/>
        <d v="2023-05-27T00:00:00"/>
        <d v="2023-08-18T00:00:00"/>
        <d v="2023-11-27T00:00:00"/>
        <d v="2023-02-28T00:00:00"/>
        <d v="2023-05-02T00:00:00"/>
        <d v="2023-04-26T00:00:00"/>
        <d v="2023-02-27T00:00:00"/>
        <d v="2023-09-17T00:00:00"/>
        <d v="2023-09-16T00:00:00"/>
        <d v="2023-09-29T00:00:00"/>
        <d v="2023-04-28T00:00:00"/>
        <d v="2023-08-14T00:00:00"/>
        <d v="2023-02-20T00:00:00"/>
        <d v="2023-08-28T00:00:00"/>
        <d v="2023-07-25T00:00:00"/>
        <d v="2023-06-09T00:00:00"/>
        <d v="2023-09-02T00:00:00"/>
        <d v="2023-03-16T00:00:00"/>
        <d v="2023-03-01T00:00:00"/>
        <d v="2023-05-20T00:00:00"/>
        <d v="2023-10-16T00:00:00"/>
        <d v="2023-08-01T00:00:00"/>
        <d v="2023-07-02T00:00:00"/>
        <d v="2023-06-01T00:00:00"/>
        <d v="2023-03-31T00:00:00"/>
        <d v="2023-01-23T00:00:00"/>
        <d v="2023-01-24T00:00:00"/>
        <d v="2023-03-25T00:00:00"/>
        <d v="2023-01-25T00:00:00"/>
        <d v="2023-02-02T00:00:00"/>
        <d v="2023-08-19T00:00:00"/>
        <d v="2023-02-11T00:00:00"/>
        <d v="2023-03-30T00:00:00"/>
        <d v="2023-05-21T00:00:00"/>
        <d v="2023-04-06T00:00:00"/>
        <d v="2023-02-03T00:00:00"/>
        <d v="2023-09-20T00:00:00"/>
        <d v="2023-05-10T00:00:00"/>
        <d v="2023-12-15T00:00:00"/>
        <d v="2023-04-05T00:00:00"/>
        <d v="2023-06-04T00:00:00"/>
        <d v="2023-09-25T00:00:00"/>
        <d v="2023-08-07T00:00:00"/>
        <d v="2023-03-07T00:00:00"/>
        <d v="2023-08-06T00:00:00"/>
        <d v="2023-07-29T00:00:00"/>
        <d v="2023-05-26T00:00:00"/>
        <d v="2023-07-15T00:00:00"/>
        <d v="2023-01-05T00:00:00"/>
        <d v="2023-05-22T00:00:00"/>
        <d v="2023-09-04T00:00:00"/>
        <d v="2023-04-17T00:00:00"/>
        <d v="2023-06-30T00:00:00"/>
        <d v="2023-04-03T00:00:00"/>
        <d v="2023-06-13T00:00:00"/>
        <d v="2023-07-16T00:00:00"/>
        <d v="2023-08-27T00:00:00"/>
        <d v="2023-01-20T00:00:00"/>
        <d v="2023-07-09T00:00:00"/>
        <d v="2023-03-29T00:00:00"/>
        <d v="2023-03-05T00:00:00"/>
        <d v="2023-06-24T00:00:00"/>
        <d v="2023-09-18T00:00:00"/>
        <d v="2023-04-30T00:00:00"/>
        <d v="2023-05-01T00:00:00"/>
        <d v="2023-04-07T00:00:00"/>
        <d v="2023-09-11T00:00:00"/>
        <d v="2023-06-16T00:00:00"/>
        <d v="2023-03-10T00:00:00"/>
        <d v="2023-05-03T00:00:00"/>
        <d v="2023-09-24T00:00:00"/>
        <d v="2023-02-23T00:00:00"/>
        <d v="2023-05-23T00:00:00"/>
        <d v="2023-08-23T00:00:00"/>
        <d v="2023-03-13T00:00:00"/>
        <d v="2023-01-29T00:00:00"/>
        <d v="2023-05-07T00:00:00"/>
        <d v="2023-08-17T00:00:00"/>
        <d v="2023-06-15T00:00:00"/>
        <d v="2023-09-01T00:00:00"/>
        <d v="2023-06-10T00:00:00"/>
        <d v="2023-05-05T00:00:00"/>
        <d v="2023-02-06T00:00:00"/>
        <d v="2023-05-28T00:00:00"/>
        <d v="2023-06-12T00:00:00"/>
        <d v="2023-05-17T00:00:00"/>
        <d v="2023-09-27T00:00:00"/>
        <d v="2023-05-14T00:00:00"/>
        <d v="2023-03-14T00:00:00"/>
        <d v="2023-07-22T00:00:00"/>
        <d v="2023-01-18T00:00:00"/>
        <d v="2023-01-13T00:00:00"/>
        <d v="2023-03-26T00:00:00"/>
        <d v="2023-02-14T00:00:00"/>
        <d v="2023-09-15T00:00:00"/>
      </sharedItems>
      <fieldGroup base="2">
        <rangePr groupBy="days" startDate="2023-01-01T00:00:00" endDate="2024-01-01T00:00:00" groupInterval="1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4"/>
        </groupItems>
      </fieldGroup>
    </cacheField>
    <cacheField name="total_amount" numFmtId="0"/>
    <cacheField name="status" numFmtId="0"/>
    <cacheField name="region" numFmtId="0">
      <sharedItems count="6">
        <s v="East"/>
        <s v="Central"/>
        <s v="North"/>
        <s v="West"/>
        <s v="South"/>
        <s v="others"/>
      </sharedItems>
    </cacheField>
    <cacheField name="payment_method" numFmtId="0"/>
    <cacheField name="Months" numFmtId="0" databaseField="0">
      <fieldGroup base="2">
        <rangePr groupBy="months" startDate="2023-01-01T00:00:00" endDate="2024-01-01T00:00:00" groupInterval="1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114.9552349537" refreshedBy="Asus" recordCount="5000">
  <cacheSource type="worksheet">
    <worksheetSource ref="A2:I5002" sheet="Transaction table"/>
  </cacheSource>
  <cacheFields count="10">
    <cacheField name="order_id" numFmtId="0"/>
    <cacheField name="customer_id" numFmtId="0"/>
    <cacheField name="order_date" numFmtId="58">
      <sharedItems containsSemiMixedTypes="0" containsString="0" containsNonDate="0" containsDate="1" minDate="2023-01-01T00:00:00" maxDate="2023-12-31T00:00:00" count="365">
        <d v="2023-07-03T00:00:00"/>
        <d v="2023-12-01T00:00:00"/>
        <d v="2023-03-06T00:00:00"/>
        <d v="2023-08-08T00:00:00"/>
        <d v="2023-11-19T00:00:00"/>
        <d v="2023-08-24T00:00:00"/>
        <d v="2023-12-30T00:00:00"/>
        <d v="2023-10-28T00:00:00"/>
        <d v="2023-04-09T00:00:00"/>
        <d v="2023-10-15T00:00:00"/>
        <d v="2023-05-08T00:00:00"/>
        <d v="2023-07-24T00:00:00"/>
        <d v="2023-09-13T00:00:00"/>
        <d v="2023-07-28T00:00:00"/>
        <d v="2023-07-21T00:00:00"/>
        <d v="2023-12-23T00:00:00"/>
        <d v="2023-12-19T00:00:00"/>
        <d v="2023-12-16T00:00:00"/>
        <d v="2023-11-08T00:00:00"/>
        <d v="2023-08-12T00:00:00"/>
        <d v="2023-06-28T00:00:00"/>
        <d v="2023-12-25T00:00:00"/>
        <d v="2023-07-13T00:00:00"/>
        <d v="2023-01-04T00:00:00"/>
        <d v="2023-08-30T00:00:00"/>
        <d v="2023-02-04T00:00:00"/>
        <d v="2023-07-12T00:00:00"/>
        <d v="2023-10-10T00:00:00"/>
        <d v="2023-07-10T00:00:00"/>
        <d v="2023-12-03T00:00:00"/>
        <d v="2023-04-21T00:00:00"/>
        <d v="2023-04-22T00:00:00"/>
        <d v="2023-07-30T00:00:00"/>
        <d v="2023-09-19T00:00:00"/>
        <d v="2023-11-16T00:00:00"/>
        <d v="2023-11-23T00:00:00"/>
        <d v="2023-09-07T00:00:00"/>
        <d v="2023-04-24T00:00:00"/>
        <d v="2023-05-30T00:00:00"/>
        <d v="2023-04-14T00:00:00"/>
        <d v="2023-02-05T00:00:00"/>
        <d v="2023-08-25T00:00:00"/>
        <d v="2023-06-06T00:00:00"/>
        <d v="2023-06-08T00:00:00"/>
        <d v="2023-12-11T00:00:00"/>
        <d v="2023-10-25T00:00:00"/>
        <d v="2023-01-27T00:00:00"/>
        <d v="2023-04-11T00:00:00"/>
        <d v="2023-11-29T00:00:00"/>
        <d v="2023-04-02T00:00:00"/>
        <d v="2023-07-14T00:00:00"/>
        <d v="2023-07-19T00:00:00"/>
        <d v="2023-11-07T00:00:00"/>
        <d v="2023-10-20T00:00:00"/>
        <d v="2023-06-17T00:00:00"/>
        <d v="2023-06-29T00:00:00"/>
        <d v="2023-01-22T00:00:00"/>
        <d v="2023-09-30T00:00:00"/>
        <d v="2023-11-13T00:00:00"/>
        <d v="2023-06-05T00:00:00"/>
        <d v="2023-12-12T00:00:00"/>
        <d v="2023-12-13T00:00:00"/>
        <d v="2023-12-02T00:00:00"/>
        <d v="2023-08-11T00:00:00"/>
        <d v="2023-02-01T00:00:00"/>
        <d v="2023-10-29T00:00:00"/>
        <d v="2023-05-29T00:00:00"/>
        <d v="2023-10-19T00:00:00"/>
        <d v="2023-10-03T00:00:00"/>
        <d v="2023-01-02T00:00:00"/>
        <d v="2023-05-04T00:00:00"/>
        <d v="2023-07-01T00:00:00"/>
        <d v="2023-02-12T00:00:00"/>
        <d v="2023-02-08T00:00:00"/>
        <d v="2023-10-13T00:00:00"/>
        <d v="2023-01-19T00:00:00"/>
        <d v="2023-06-11T00:00:00"/>
        <d v="2023-06-14T00:00:00"/>
        <d v="2023-05-09T00:00:00"/>
        <d v="2023-08-04T00:00:00"/>
        <d v="2023-02-09T00:00:00"/>
        <d v="2023-04-15T00:00:00"/>
        <d v="2023-01-30T00:00:00"/>
        <d v="2023-11-15T00:00:00"/>
        <d v="2023-10-06T00:00:00"/>
        <d v="2023-12-08T00:00:00"/>
        <d v="2023-10-09T00:00:00"/>
        <d v="2023-08-31T00:00:00"/>
        <d v="2023-12-05T00:00:00"/>
        <d v="2023-12-31T00:00:00"/>
        <d v="2023-11-24T00:00:00"/>
        <d v="2023-12-22T00:00:00"/>
        <d v="2023-08-21T00:00:00"/>
        <d v="2023-12-17T00:00:00"/>
        <d v="2023-04-13T00:00:00"/>
        <d v="2023-08-16T00:00:00"/>
        <d v="2023-11-01T00:00:00"/>
        <d v="2023-12-27T00:00:00"/>
        <d v="2023-07-11T00:00:00"/>
        <d v="2023-05-11T00:00:00"/>
        <d v="2023-08-03T00:00:00"/>
        <d v="2023-06-07T00:00:00"/>
        <d v="2023-11-04T00:00:00"/>
        <d v="2023-11-10T00:00:00"/>
        <d v="2023-09-12T00:00:00"/>
        <d v="2023-02-15T00:00:00"/>
        <d v="2023-04-27T00:00:00"/>
        <d v="2023-11-30T00:00:00"/>
        <d v="2023-01-10T00:00:00"/>
        <d v="2023-05-13T00:00:00"/>
        <d v="2023-05-24T00:00:00"/>
        <d v="2023-04-19T00:00:00"/>
        <d v="2023-08-15T00:00:00"/>
        <d v="2023-12-07T00:00:00"/>
        <d v="2023-10-30T00:00:00"/>
        <d v="2023-09-23T00:00:00"/>
        <d v="2023-12-20T00:00:00"/>
        <d v="2023-02-22T00:00:00"/>
        <d v="2023-03-08T00:00:00"/>
        <d v="2023-01-26T00:00:00"/>
        <d v="2023-08-26T00:00:00"/>
        <d v="2023-03-19T00:00:00"/>
        <d v="2023-12-29T00:00:00"/>
        <d v="2023-10-01T00:00:00"/>
        <d v="2023-08-02T00:00:00"/>
        <d v="2023-11-11T00:00:00"/>
        <d v="2023-10-11T00:00:00"/>
        <d v="2023-04-23T00:00:00"/>
        <d v="2023-11-14T00:00:00"/>
        <d v="2023-06-25T00:00:00"/>
        <d v="2023-09-03T00:00:00"/>
        <d v="2023-04-04T00:00:00"/>
        <d v="2023-01-15T00:00:00"/>
        <d v="2023-03-12T00:00:00"/>
        <d v="2023-03-21T00:00:00"/>
        <d v="2023-01-12T00:00:00"/>
        <d v="2023-08-10T00:00:00"/>
        <d v="2023-09-08T00:00:00"/>
        <d v="2023-02-13T00:00:00"/>
        <d v="2023-01-31T00:00:00"/>
        <d v="2023-09-09T00:00:00"/>
        <d v="2023-01-28T00:00:00"/>
        <d v="2023-02-21T00:00:00"/>
        <d v="2023-05-15T00:00:00"/>
        <d v="2023-05-25T00:00:00"/>
        <d v="2023-04-25T00:00:00"/>
        <d v="2023-11-20T00:00:00"/>
        <d v="2023-03-04T00:00:00"/>
        <d v="2023-11-02T00:00:00"/>
        <d v="2023-04-10T00:00:00"/>
        <d v="2023-09-28T00:00:00"/>
        <d v="2023-04-01T00:00:00"/>
        <d v="2023-12-18T00:00:00"/>
        <d v="2023-07-20T00:00:00"/>
        <d v="2023-01-03T00:00:00"/>
        <d v="2023-10-04T00:00:00"/>
        <d v="2023-03-23T00:00:00"/>
        <d v="2023-11-21T00:00:00"/>
        <d v="2023-06-22T00:00:00"/>
        <d v="2023-12-09T00:00:00"/>
        <d v="2023-03-11T00:00:00"/>
        <d v="2023-12-26T00:00:00"/>
        <d v="2023-12-04T00:00:00"/>
        <d v="2023-02-25T00:00:00"/>
        <d v="2023-10-17T00:00:00"/>
        <d v="2023-02-19T00:00:00"/>
        <d v="2023-11-12T00:00:00"/>
        <d v="2023-10-22T00:00:00"/>
        <d v="2023-09-10T00:00:00"/>
        <d v="2023-07-07T00:00:00"/>
        <d v="2023-06-19T00:00:00"/>
        <d v="2023-03-15T00:00:00"/>
        <d v="2023-11-05T00:00:00"/>
        <d v="2023-07-27T00:00:00"/>
        <d v="2023-10-08T00:00:00"/>
        <d v="2023-06-27T00:00:00"/>
        <d v="2023-11-17T00:00:00"/>
        <d v="2023-08-29T00:00:00"/>
        <d v="2023-10-07T00:00:00"/>
        <d v="2023-03-27T00:00:00"/>
        <d v="2023-12-21T00:00:00"/>
        <d v="2023-03-18T00:00:00"/>
        <d v="2023-10-18T00:00:00"/>
        <d v="2023-05-19T00:00:00"/>
        <d v="2023-02-26T00:00:00"/>
        <d v="2023-09-14T00:00:00"/>
        <d v="2023-07-18T00:00:00"/>
        <d v="2023-01-11T00:00:00"/>
        <d v="2023-10-24T00:00:00"/>
        <d v="2023-09-05T00:00:00"/>
        <d v="2023-11-06T00:00:00"/>
        <d v="2023-05-06T00:00:00"/>
        <d v="2023-06-18T00:00:00"/>
        <d v="2023-01-16T00:00:00"/>
        <d v="2023-11-26T00:00:00"/>
        <d v="2023-08-13T00:00:00"/>
        <d v="2023-01-07T00:00:00"/>
        <d v="2023-02-24T00:00:00"/>
        <d v="2023-08-20T00:00:00"/>
        <d v="2023-10-27T00:00:00"/>
        <d v="2023-11-18T00:00:00"/>
        <d v="2023-03-20T00:00:00"/>
        <d v="2023-12-06T00:00:00"/>
        <d v="2023-04-08T00:00:00"/>
        <d v="2023-07-04T00:00:00"/>
        <d v="2023-10-02T00:00:00"/>
        <d v="2023-05-16T00:00:00"/>
        <d v="2023-03-17T00:00:00"/>
        <d v="2023-09-22T00:00:00"/>
        <d v="2023-06-21T00:00:00"/>
        <d v="2023-07-17T00:00:00"/>
        <d v="2023-11-28T00:00:00"/>
        <d v="2023-05-12T00:00:00"/>
        <d v="2023-06-20T00:00:00"/>
        <d v="2023-01-09T00:00:00"/>
        <d v="2023-01-14T00:00:00"/>
        <d v="2023-12-10T00:00:00"/>
        <d v="2023-03-02T00:00:00"/>
        <d v="2023-04-16T00:00:00"/>
        <d v="2023-08-05T00:00:00"/>
        <d v="2023-02-17T00:00:00"/>
        <d v="2023-01-21T00:00:00"/>
        <d v="2023-10-23T00:00:00"/>
        <d v="2023-12-24T00:00:00"/>
        <d v="2023-12-14T00:00:00"/>
        <d v="2023-01-06T00:00:00"/>
        <d v="2023-11-03T00:00:00"/>
        <d v="2023-03-09T00:00:00"/>
        <d v="2023-07-08T00:00:00"/>
        <d v="2023-09-21T00:00:00"/>
        <d v="2023-03-24T00:00:00"/>
        <d v="2023-06-26T00:00:00"/>
        <d v="2023-02-18T00:00:00"/>
        <d v="2023-07-06T00:00:00"/>
        <d v="2023-07-31T00:00:00"/>
        <d v="2023-08-22T00:00:00"/>
        <d v="2023-10-26T00:00:00"/>
        <d v="2023-10-05T00:00:00"/>
        <d v="2023-05-18T00:00:00"/>
        <d v="2023-05-31T00:00:00"/>
        <d v="2023-04-18T00:00:00"/>
        <d v="2023-02-07T00:00:00"/>
        <d v="2023-07-05T00:00:00"/>
        <d v="2023-09-06T00:00:00"/>
        <d v="2023-03-22T00:00:00"/>
        <d v="2023-07-23T00:00:00"/>
        <d v="2023-11-25T00:00:00"/>
        <d v="2023-10-12T00:00:00"/>
        <d v="2023-12-28T00:00:00"/>
        <d v="2023-08-09T00:00:00"/>
        <d v="2023-10-14T00:00:00"/>
        <d v="2023-01-17T00:00:00"/>
        <d v="2023-11-09T00:00:00"/>
        <d v="2023-01-01T00:00:00"/>
        <d v="2023-04-12T00:00:00"/>
        <d v="2023-02-16T00:00:00"/>
        <d v="2023-11-22T00:00:00"/>
        <d v="2023-03-03T00:00:00"/>
        <d v="2023-04-29T00:00:00"/>
        <d v="2023-06-03T00:00:00"/>
        <d v="2023-06-02T00:00:00"/>
        <d v="2023-06-23T00:00:00"/>
        <d v="2023-07-26T00:00:00"/>
        <d v="2023-04-20T00:00:00"/>
        <d v="2023-03-28T00:00:00"/>
        <d v="2023-10-21T00:00:00"/>
        <d v="2023-01-08T00:00:00"/>
        <d v="2023-02-10T00:00:00"/>
        <d v="2023-09-26T00:00:00"/>
        <d v="2023-10-31T00:00:00"/>
        <d v="2023-05-27T00:00:00"/>
        <d v="2023-08-18T00:00:00"/>
        <d v="2023-11-27T00:00:00"/>
        <d v="2023-02-28T00:00:00"/>
        <d v="2023-05-02T00:00:00"/>
        <d v="2023-04-26T00:00:00"/>
        <d v="2023-02-27T00:00:00"/>
        <d v="2023-09-17T00:00:00"/>
        <d v="2023-09-16T00:00:00"/>
        <d v="2023-09-29T00:00:00"/>
        <d v="2023-04-28T00:00:00"/>
        <d v="2023-08-14T00:00:00"/>
        <d v="2023-02-20T00:00:00"/>
        <d v="2023-08-28T00:00:00"/>
        <d v="2023-07-25T00:00:00"/>
        <d v="2023-06-09T00:00:00"/>
        <d v="2023-09-02T00:00:00"/>
        <d v="2023-03-16T00:00:00"/>
        <d v="2023-03-01T00:00:00"/>
        <d v="2023-05-20T00:00:00"/>
        <d v="2023-10-16T00:00:00"/>
        <d v="2023-08-01T00:00:00"/>
        <d v="2023-07-02T00:00:00"/>
        <d v="2023-06-01T00:00:00"/>
        <d v="2023-03-31T00:00:00"/>
        <d v="2023-01-23T00:00:00"/>
        <d v="2023-01-24T00:00:00"/>
        <d v="2023-03-25T00:00:00"/>
        <d v="2023-01-25T00:00:00"/>
        <d v="2023-02-02T00:00:00"/>
        <d v="2023-08-19T00:00:00"/>
        <d v="2023-02-11T00:00:00"/>
        <d v="2023-03-30T00:00:00"/>
        <d v="2023-05-21T00:00:00"/>
        <d v="2023-04-06T00:00:00"/>
        <d v="2023-02-03T00:00:00"/>
        <d v="2023-09-20T00:00:00"/>
        <d v="2023-05-10T00:00:00"/>
        <d v="2023-12-15T00:00:00"/>
        <d v="2023-04-05T00:00:00"/>
        <d v="2023-06-04T00:00:00"/>
        <d v="2023-09-25T00:00:00"/>
        <d v="2023-08-07T00:00:00"/>
        <d v="2023-03-07T00:00:00"/>
        <d v="2023-08-06T00:00:00"/>
        <d v="2023-07-29T00:00:00"/>
        <d v="2023-05-26T00:00:00"/>
        <d v="2023-07-15T00:00:00"/>
        <d v="2023-01-05T00:00:00"/>
        <d v="2023-05-22T00:00:00"/>
        <d v="2023-09-04T00:00:00"/>
        <d v="2023-04-17T00:00:00"/>
        <d v="2023-06-30T00:00:00"/>
        <d v="2023-04-03T00:00:00"/>
        <d v="2023-06-13T00:00:00"/>
        <d v="2023-07-16T00:00:00"/>
        <d v="2023-08-27T00:00:00"/>
        <d v="2023-01-20T00:00:00"/>
        <d v="2023-07-09T00:00:00"/>
        <d v="2023-03-29T00:00:00"/>
        <d v="2023-03-05T00:00:00"/>
        <d v="2023-06-24T00:00:00"/>
        <d v="2023-09-18T00:00:00"/>
        <d v="2023-04-30T00:00:00"/>
        <d v="2023-05-01T00:00:00"/>
        <d v="2023-04-07T00:00:00"/>
        <d v="2023-09-11T00:00:00"/>
        <d v="2023-06-16T00:00:00"/>
        <d v="2023-03-10T00:00:00"/>
        <d v="2023-05-03T00:00:00"/>
        <d v="2023-09-24T00:00:00"/>
        <d v="2023-02-23T00:00:00"/>
        <d v="2023-05-23T00:00:00"/>
        <d v="2023-08-23T00:00:00"/>
        <d v="2023-03-13T00:00:00"/>
        <d v="2023-01-29T00:00:00"/>
        <d v="2023-05-07T00:00:00"/>
        <d v="2023-08-17T00:00:00"/>
        <d v="2023-06-15T00:00:00"/>
        <d v="2023-09-01T00:00:00"/>
        <d v="2023-06-10T00:00:00"/>
        <d v="2023-05-05T00:00:00"/>
        <d v="2023-02-06T00:00:00"/>
        <d v="2023-05-28T00:00:00"/>
        <d v="2023-06-12T00:00:00"/>
        <d v="2023-05-17T00:00:00"/>
        <d v="2023-09-27T00:00:00"/>
        <d v="2023-05-14T00:00:00"/>
        <d v="2023-03-14T00:00:00"/>
        <d v="2023-07-22T00:00:00"/>
        <d v="2023-01-18T00:00:00"/>
        <d v="2023-01-13T00:00:00"/>
        <d v="2023-03-26T00:00:00"/>
        <d v="2023-02-14T00:00:00"/>
        <d v="2023-09-15T00:00:00"/>
      </sharedItems>
      <fieldGroup base="2">
        <rangePr groupBy="days" startDate="2023-01-01T00:00:00" endDate="2024-01-01T00:00:00" groupInterval="1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4"/>
        </groupItems>
      </fieldGroup>
    </cacheField>
    <cacheField name="total_amount" numFmtId="0"/>
    <cacheField name="status" numFmtId="0"/>
    <cacheField name="region" numFmtId="0"/>
    <cacheField name="payment_method" numFmtId="0"/>
    <cacheField name="product_id" numFmtId="0"/>
    <cacheField name="product_name" numFmtId="0"/>
    <cacheField name="Months" numFmtId="0" databaseField="0">
      <fieldGroup base="2">
        <rangePr groupBy="months" startDate="2023-01-01T00:00:00" endDate="2024-01-01T00:00:00" groupInterval="1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n v="799"/>
    <d v="2023-07-03T00:00:00"/>
    <n v="3291.84"/>
    <s v="Completed"/>
    <s v="East"/>
    <s v="Debit Card"/>
    <n v="1"/>
    <x v="0"/>
  </r>
  <r>
    <n v="2"/>
    <n v="5547"/>
    <d v="2023-12-01T00:00:00"/>
    <n v="758"/>
    <s v="Completed"/>
    <s v="Central"/>
    <s v="Debit Card"/>
    <n v="2"/>
    <x v="1"/>
  </r>
  <r>
    <n v="3"/>
    <n v="9198"/>
    <d v="2023-03-06T00:00:00"/>
    <n v="1053.57"/>
    <s v="Completed"/>
    <s v="East"/>
    <s v="Debit Card"/>
    <n v="3"/>
    <x v="2"/>
  </r>
  <r>
    <n v="4"/>
    <n v="4722"/>
    <d v="2023-08-08T00:00:00"/>
    <n v="1936.86"/>
    <s v="Completed"/>
    <s v="North"/>
    <s v="Credit Card"/>
    <n v="4"/>
    <x v="3"/>
  </r>
  <r>
    <n v="5"/>
    <n v="1154"/>
    <d v="2023-11-19T00:00:00"/>
    <n v="315.29000000000002"/>
    <s v="Completed"/>
    <s v="North"/>
    <s v="Debit Card"/>
    <n v="5"/>
    <x v="4"/>
  </r>
  <r>
    <n v="6"/>
    <n v="1460"/>
    <d v="2023-08-24T00:00:00"/>
    <n v="1125.06"/>
    <s v="Completed"/>
    <s v="West"/>
    <s v="Debit Card"/>
    <n v="6"/>
    <x v="5"/>
  </r>
  <r>
    <n v="7"/>
    <n v="1308"/>
    <d v="2023-12-30T00:00:00"/>
    <n v="2036.83"/>
    <s v="Completed"/>
    <s v="West"/>
    <s v="Apple Pay"/>
    <n v="7"/>
    <x v="6"/>
  </r>
  <r>
    <n v="8"/>
    <n v="3308"/>
    <d v="2023-10-28T00:00:00"/>
    <n v="888.69"/>
    <s v="Completed"/>
    <s v="North"/>
    <s v="Debit Card"/>
    <n v="8"/>
    <x v="7"/>
  </r>
  <r>
    <n v="9"/>
    <n v="2724"/>
    <d v="2023-04-09T00:00:00"/>
    <n v="14069.29"/>
    <s v="Completed"/>
    <s v="East"/>
    <s v="Debit Card"/>
    <n v="9"/>
    <x v="8"/>
  </r>
  <r>
    <n v="10"/>
    <n v="3884"/>
    <d v="2023-10-15T00:00:00"/>
    <n v="2931.18"/>
    <s v="Completed"/>
    <s v="North"/>
    <s v="Debit Card"/>
    <n v="10"/>
    <x v="9"/>
  </r>
  <r>
    <n v="11"/>
    <n v="1180"/>
    <d v="2023-05-08T00:00:00"/>
    <n v="1217.05"/>
    <s v="Completed"/>
    <s v="Central"/>
    <s v="Credit Card"/>
    <n v="11"/>
    <x v="10"/>
  </r>
  <r>
    <n v="12"/>
    <n v="9183"/>
    <d v="2023-07-24T00:00:00"/>
    <n v="1082.75"/>
    <s v="Completed"/>
    <s v="West"/>
    <s v="Credit Card"/>
    <n v="12"/>
    <x v="11"/>
  </r>
  <r>
    <n v="13"/>
    <n v="7875"/>
    <d v="2023-09-13T00:00:00"/>
    <n v="256.17"/>
    <s v="Completed"/>
    <s v="North"/>
    <s v="Apple Pay"/>
    <n v="13"/>
    <x v="12"/>
  </r>
  <r>
    <n v="14"/>
    <n v="7610"/>
    <d v="2023-07-28T00:00:00"/>
    <n v="827.49"/>
    <s v="Completed"/>
    <s v="Central"/>
    <s v="Credit Card"/>
    <n v="14"/>
    <x v="13"/>
  </r>
  <r>
    <n v="15"/>
    <n v="4366"/>
    <d v="2023-07-21T00:00:00"/>
    <n v="1814.82"/>
    <s v="Completed"/>
    <s v="South"/>
    <s v="Credit Card"/>
    <n v="15"/>
    <x v="14"/>
  </r>
  <r>
    <n v="16"/>
    <n v="9556"/>
    <d v="2023-12-23T00:00:00"/>
    <n v="329.52"/>
    <s v="Completed"/>
    <s v="Central"/>
    <s v="Debit Card"/>
    <n v="16"/>
    <x v="15"/>
  </r>
  <r>
    <n v="17"/>
    <n v="799"/>
    <d v="2023-12-19T00:00:00"/>
    <n v="274.33"/>
    <s v="Completed"/>
    <s v="others"/>
    <s v="PayPal"/>
    <n v="17"/>
    <x v="16"/>
  </r>
  <r>
    <n v="18"/>
    <n v="5978"/>
    <d v="2023-12-16T00:00:00"/>
    <n v="966.66"/>
    <s v="Completed"/>
    <s v="others"/>
    <s v="Debit Card"/>
    <n v="18"/>
    <x v="17"/>
  </r>
  <r>
    <n v="19"/>
    <n v="4676"/>
    <d v="2023-11-08T00:00:00"/>
    <n v="2337.54"/>
    <s v="Completed"/>
    <s v="South"/>
    <s v="Credit Card"/>
    <n v="19"/>
    <x v="18"/>
  </r>
  <r>
    <n v="20"/>
    <n v="4057"/>
    <d v="2023-08-12T00:00:00"/>
    <n v="973.32"/>
    <s v="Completed"/>
    <s v="East"/>
    <s v="Debit Card"/>
    <n v="20"/>
    <x v="19"/>
  </r>
  <r>
    <n v="21"/>
    <n v="2428"/>
    <d v="2023-06-28T00:00:00"/>
    <n v="613.75"/>
    <s v="Completed"/>
    <s v="East"/>
    <s v="Apple Pay"/>
    <n v="21"/>
    <x v="20"/>
  </r>
  <r>
    <n v="22"/>
    <n v="3514"/>
    <d v="2023-12-25T00:00:00"/>
    <n v="282.13"/>
    <s v="Completed"/>
    <s v="South"/>
    <s v="Apple Pay"/>
    <n v="22"/>
    <x v="21"/>
  </r>
  <r>
    <n v="23"/>
    <n v="9743"/>
    <d v="2023-07-13T00:00:00"/>
    <n v="2362.58"/>
    <s v="Completed"/>
    <s v="East"/>
    <s v="Apple Pay"/>
    <n v="23"/>
    <x v="22"/>
  </r>
  <r>
    <n v="24"/>
    <n v="4501"/>
    <d v="2023-01-04T00:00:00"/>
    <n v="340.47"/>
    <s v="Returned"/>
    <s v="South"/>
    <s v="Apple Pay"/>
    <n v="24"/>
    <x v="23"/>
  </r>
  <r>
    <n v="25"/>
    <n v="9749"/>
    <d v="2023-08-30T00:00:00"/>
    <n v="436.2"/>
    <s v="Completed"/>
    <s v="West"/>
    <s v="Debit Card"/>
    <n v="25"/>
    <x v="24"/>
  </r>
  <r>
    <n v="26"/>
    <n v="9799"/>
    <d v="2023-02-04T00:00:00"/>
    <n v="1417.1"/>
    <s v="Completed"/>
    <s v="Central"/>
    <s v="Apple Pay"/>
    <n v="26"/>
    <x v="25"/>
  </r>
  <r>
    <n v="27"/>
    <n v="4031"/>
    <d v="2023-07-12T00:00:00"/>
    <n v="307.60000000000002"/>
    <s v="Completed"/>
    <s v="South"/>
    <s v="PayPal"/>
    <n v="27"/>
    <x v="26"/>
  </r>
  <r>
    <n v="28"/>
    <n v="6404"/>
    <d v="2023-10-10T00:00:00"/>
    <n v="1393.02"/>
    <s v="Cancelled"/>
    <s v="East"/>
    <s v="Apple Pay"/>
    <n v="28"/>
    <x v="27"/>
  </r>
  <r>
    <n v="29"/>
    <n v="6151"/>
    <d v="2023-07-10T00:00:00"/>
    <n v="1125.1300000000001"/>
    <s v="Completed"/>
    <s v="others"/>
    <s v="Credit Card"/>
    <n v="29"/>
    <x v="28"/>
  </r>
  <r>
    <n v="30"/>
    <n v="3505"/>
    <d v="2023-12-03T00:00:00"/>
    <n v="319.83999999999997"/>
    <s v="Completed"/>
    <s v="West"/>
    <s v="Debit Card"/>
    <n v="30"/>
    <x v="29"/>
  </r>
  <r>
    <n v="31"/>
    <n v="2726"/>
    <d v="2023-04-21T00:00:00"/>
    <n v="143.55000000000001"/>
    <s v="Completed"/>
    <s v="South"/>
    <s v="Credit Card"/>
    <n v="31"/>
    <x v="30"/>
  </r>
  <r>
    <n v="32"/>
    <n v="4985"/>
    <d v="2023-04-22T00:00:00"/>
    <n v="606.49"/>
    <s v="Completed"/>
    <s v="West"/>
    <s v="Apple Pay"/>
    <n v="32"/>
    <x v="31"/>
  </r>
  <r>
    <n v="33"/>
    <n v="537"/>
    <d v="2023-07-30T00:00:00"/>
    <n v="4384.92"/>
    <s v="Completed"/>
    <s v="West"/>
    <s v="Apple Pay"/>
    <n v="33"/>
    <x v="32"/>
  </r>
  <r>
    <n v="34"/>
    <n v="2445"/>
    <d v="2023-09-19T00:00:00"/>
    <n v="623.26"/>
    <s v="Completed"/>
    <s v="West"/>
    <s v="Debit Card"/>
    <n v="34"/>
    <x v="33"/>
  </r>
  <r>
    <n v="35"/>
    <n v="9082"/>
    <d v="2023-07-03T00:00:00"/>
    <n v="189.69"/>
    <s v="Completed"/>
    <s v="West"/>
    <s v="Apple Pay"/>
    <n v="35"/>
    <x v="34"/>
  </r>
  <r>
    <n v="36"/>
    <n v="5591"/>
    <d v="2023-11-16T00:00:00"/>
    <n v="415.12"/>
    <s v="Completed"/>
    <s v="West"/>
    <s v="Debit Card"/>
    <n v="36"/>
    <x v="35"/>
  </r>
  <r>
    <n v="37"/>
    <n v="5023"/>
    <d v="2023-11-23T00:00:00"/>
    <n v="678.18"/>
    <s v="Completed"/>
    <s v="South"/>
    <s v="PayPal"/>
    <n v="37"/>
    <x v="36"/>
  </r>
  <r>
    <n v="38"/>
    <n v="8865"/>
    <d v="2023-09-07T00:00:00"/>
    <n v="413.05"/>
    <s v="Completed"/>
    <s v="East"/>
    <s v="Debit Card"/>
    <n v="38"/>
    <x v="37"/>
  </r>
  <r>
    <n v="39"/>
    <n v="6670"/>
    <d v="2023-04-24T00:00:00"/>
    <n v="292.39"/>
    <s v="Completed"/>
    <s v="West"/>
    <s v="Credit Card"/>
    <n v="39"/>
    <x v="38"/>
  </r>
  <r>
    <n v="40"/>
    <n v="5687"/>
    <d v="2023-05-30T00:00:00"/>
    <n v="1495.64"/>
    <s v="Completed"/>
    <s v="North"/>
    <s v="PayPal"/>
    <n v="40"/>
    <x v="39"/>
  </r>
  <r>
    <n v="41"/>
    <n v="9437"/>
    <d v="2023-04-14T00:00:00"/>
    <n v="2453.4499999999998"/>
    <s v="Completed"/>
    <s v="South"/>
    <s v="PayPal"/>
    <n v="41"/>
    <x v="40"/>
  </r>
  <r>
    <n v="42"/>
    <n v="326"/>
    <d v="2023-02-05T00:00:00"/>
    <n v="447.12"/>
    <s v="Completed"/>
    <s v="East"/>
    <s v="PayPal"/>
    <n v="42"/>
    <x v="41"/>
  </r>
  <r>
    <n v="43"/>
    <n v="6313"/>
    <d v="2023-08-25T00:00:00"/>
    <n v="366.68"/>
    <s v="Completed"/>
    <s v="Central"/>
    <s v="Credit Card"/>
    <n v="43"/>
    <x v="42"/>
  </r>
  <r>
    <n v="44"/>
    <n v="875"/>
    <d v="2023-06-06T00:00:00"/>
    <n v="736.35"/>
    <s v="Completed"/>
    <s v="South"/>
    <s v="Debit Card"/>
    <n v="44"/>
    <x v="43"/>
  </r>
  <r>
    <n v="45"/>
    <n v="1745"/>
    <d v="2023-06-08T00:00:00"/>
    <n v="1473.22"/>
    <s v="Completed"/>
    <s v="North"/>
    <s v="Credit Card"/>
    <n v="45"/>
    <x v="44"/>
  </r>
  <r>
    <n v="46"/>
    <n v="8560"/>
    <d v="2023-10-15T00:00:00"/>
    <n v="619.89"/>
    <s v="Completed"/>
    <s v="South"/>
    <s v="Debit Card"/>
    <n v="46"/>
    <x v="45"/>
  </r>
  <r>
    <n v="47"/>
    <n v="2518"/>
    <d v="2023-12-11T00:00:00"/>
    <n v="755.08"/>
    <s v="Completed"/>
    <s v="South"/>
    <s v="Credit Card"/>
    <n v="47"/>
    <x v="46"/>
  </r>
  <r>
    <n v="48"/>
    <n v="2329"/>
    <d v="2023-04-24T00:00:00"/>
    <n v="401.69"/>
    <s v="Completed"/>
    <s v="Central"/>
    <s v="Credit Card"/>
    <n v="48"/>
    <x v="47"/>
  </r>
  <r>
    <n v="49"/>
    <n v="9865"/>
    <d v="2023-10-25T00:00:00"/>
    <n v="274.33"/>
    <s v="Completed"/>
    <s v="Central"/>
    <s v="Apple Pay"/>
    <n v="49"/>
    <x v="48"/>
  </r>
  <r>
    <n v="50"/>
    <n v="3015"/>
    <d v="2023-01-27T00:00:00"/>
    <n v="273.77"/>
    <s v="Completed"/>
    <s v="Central"/>
    <s v="Debit Card"/>
    <n v="50"/>
    <x v="49"/>
  </r>
  <r>
    <n v="51"/>
    <n v="7498"/>
    <d v="2023-04-11T00:00:00"/>
    <n v="1777.25"/>
    <s v="Completed"/>
    <s v="Central"/>
    <s v="Credit Card"/>
    <n v="51"/>
    <x v="50"/>
  </r>
  <r>
    <n v="52"/>
    <n v="2655"/>
    <d v="2023-11-29T00:00:00"/>
    <n v="187.47"/>
    <s v="Completed"/>
    <s v="East"/>
    <s v="PayPal"/>
    <n v="52"/>
    <x v="51"/>
  </r>
  <r>
    <n v="53"/>
    <n v="5825"/>
    <d v="2023-04-02T00:00:00"/>
    <n v="449.81"/>
    <s v="Completed"/>
    <s v="North"/>
    <s v="Debit Card"/>
    <n v="53"/>
    <x v="52"/>
  </r>
  <r>
    <n v="54"/>
    <n v="9437"/>
    <d v="2023-07-14T00:00:00"/>
    <n v="744.5"/>
    <s v="Completed"/>
    <s v="South"/>
    <s v="Credit Card"/>
    <n v="54"/>
    <x v="53"/>
  </r>
  <r>
    <n v="55"/>
    <n v="3897"/>
    <d v="2023-07-19T00:00:00"/>
    <n v="397.06"/>
    <s v="Cancelled"/>
    <s v="Central"/>
    <s v="PayPal"/>
    <n v="55"/>
    <x v="54"/>
  </r>
  <r>
    <n v="56"/>
    <n v="2795"/>
    <d v="2023-11-07T00:00:00"/>
    <n v="401.39"/>
    <s v="Completed"/>
    <s v="North"/>
    <s v="Apple Pay"/>
    <n v="56"/>
    <x v="55"/>
  </r>
  <r>
    <n v="57"/>
    <n v="3995"/>
    <d v="2023-10-20T00:00:00"/>
    <n v="256.17"/>
    <s v="Completed"/>
    <s v="South"/>
    <s v="PayPal"/>
    <n v="57"/>
    <x v="56"/>
  </r>
  <r>
    <n v="58"/>
    <n v="431"/>
    <d v="2023-03-06T00:00:00"/>
    <n v="30.63"/>
    <s v="Completed"/>
    <s v="West"/>
    <s v="Apple Pay"/>
    <n v="58"/>
    <x v="57"/>
  </r>
  <r>
    <n v="59"/>
    <n v="3211"/>
    <d v="2023-06-17T00:00:00"/>
    <n v="1460.67"/>
    <s v="Completed"/>
    <s v="West"/>
    <s v="Debit Card"/>
    <n v="59"/>
    <x v="58"/>
  </r>
  <r>
    <n v="60"/>
    <n v="3960"/>
    <d v="2023-10-10T00:00:00"/>
    <n v="776.15"/>
    <s v="Completed"/>
    <s v="East"/>
    <s v="Apple Pay"/>
    <n v="60"/>
    <x v="59"/>
  </r>
  <r>
    <n v="61"/>
    <n v="1881"/>
    <d v="2023-06-29T00:00:00"/>
    <n v="3000.24"/>
    <s v="Completed"/>
    <s v="Central"/>
    <s v="PayPal"/>
    <n v="61"/>
    <x v="60"/>
  </r>
  <r>
    <n v="62"/>
    <n v="5022"/>
    <d v="2023-01-22T00:00:00"/>
    <n v="94.39"/>
    <s v="Completed"/>
    <s v="East"/>
    <s v="Debit Card"/>
    <n v="62"/>
    <x v="61"/>
  </r>
  <r>
    <n v="63"/>
    <n v="2661"/>
    <d v="2023-08-24T00:00:00"/>
    <n v="766.48"/>
    <s v="Completed"/>
    <s v="West"/>
    <s v="PayPal"/>
    <n v="63"/>
    <x v="62"/>
  </r>
  <r>
    <n v="64"/>
    <n v="2219"/>
    <d v="2023-08-30T00:00:00"/>
    <n v="1078.2"/>
    <s v="Cancelled"/>
    <s v="South"/>
    <s v="PayPal"/>
    <n v="64"/>
    <x v="63"/>
  </r>
  <r>
    <n v="65"/>
    <n v="5094"/>
    <d v="2023-09-30T00:00:00"/>
    <n v="252.07"/>
    <s v="Completed"/>
    <s v="East"/>
    <s v="Debit Card"/>
    <n v="65"/>
    <x v="64"/>
  </r>
  <r>
    <n v="66"/>
    <n v="2821"/>
    <d v="2023-11-13T00:00:00"/>
    <n v="273.77"/>
    <s v="Completed"/>
    <s v="Central"/>
    <s v="PayPal"/>
    <n v="66"/>
    <x v="65"/>
  </r>
  <r>
    <n v="67"/>
    <n v="2144"/>
    <d v="2023-06-05T00:00:00"/>
    <n v="1210.4100000000001"/>
    <s v="Cancelled"/>
    <s v="West"/>
    <s v="Credit Card"/>
    <n v="67"/>
    <x v="66"/>
  </r>
  <r>
    <n v="68"/>
    <n v="6529"/>
    <d v="2023-12-12T00:00:00"/>
    <n v="796.95"/>
    <s v="Completed"/>
    <s v="Central"/>
    <s v="Apple Pay"/>
    <n v="68"/>
    <x v="67"/>
  </r>
  <r>
    <n v="69"/>
    <n v="9673"/>
    <d v="2023-12-13T00:00:00"/>
    <n v="471.55"/>
    <s v="Completed"/>
    <s v="North"/>
    <s v="Credit Card"/>
    <n v="69"/>
    <x v="68"/>
  </r>
  <r>
    <n v="70"/>
    <n v="835"/>
    <d v="2023-12-02T00:00:00"/>
    <n v="543.33000000000004"/>
    <s v="Completed"/>
    <s v="Central"/>
    <s v="PayPal"/>
    <n v="70"/>
    <x v="69"/>
  </r>
  <r>
    <n v="71"/>
    <n v="7710"/>
    <d v="2023-08-11T00:00:00"/>
    <n v="8984.9"/>
    <s v="Completed"/>
    <s v="West"/>
    <s v="Apple Pay"/>
    <n v="71"/>
    <x v="70"/>
  </r>
  <r>
    <n v="72"/>
    <n v="6920"/>
    <d v="2023-02-01T00:00:00"/>
    <n v="1619.76"/>
    <s v="Completed"/>
    <s v="Central"/>
    <s v="Debit Card"/>
    <n v="72"/>
    <x v="71"/>
  </r>
  <r>
    <n v="73"/>
    <n v="5920"/>
    <d v="2023-10-29T00:00:00"/>
    <n v="732.93"/>
    <s v="Completed"/>
    <s v="North"/>
    <s v="Apple Pay"/>
    <n v="73"/>
    <x v="72"/>
  </r>
  <r>
    <n v="74"/>
    <n v="5998"/>
    <d v="2023-12-12T00:00:00"/>
    <n v="1859.56"/>
    <s v="Completed"/>
    <s v="Central"/>
    <s v="PayPal"/>
    <n v="74"/>
    <x v="73"/>
  </r>
  <r>
    <n v="75"/>
    <n v="574"/>
    <d v="2023-05-29T00:00:00"/>
    <n v="2150.85"/>
    <s v="Completed"/>
    <s v="West"/>
    <s v="PayPal"/>
    <n v="75"/>
    <x v="74"/>
  </r>
  <r>
    <n v="76"/>
    <n v="7701"/>
    <d v="2023-10-19T00:00:00"/>
    <n v="946.27"/>
    <s v="Completed"/>
    <s v="South"/>
    <s v="Apple Pay"/>
    <n v="76"/>
    <x v="75"/>
  </r>
  <r>
    <n v="77"/>
    <n v="13"/>
    <d v="2023-10-03T00:00:00"/>
    <n v="2429.42"/>
    <s v="Completed"/>
    <s v="East"/>
    <s v="Debit Card"/>
    <n v="77"/>
    <x v="76"/>
  </r>
  <r>
    <n v="78"/>
    <n v="9973"/>
    <d v="2023-01-02T00:00:00"/>
    <n v="2922.45"/>
    <s v="Completed"/>
    <s v="East"/>
    <s v="PayPal"/>
    <n v="78"/>
    <x v="77"/>
  </r>
  <r>
    <n v="79"/>
    <n v="6297"/>
    <d v="2023-05-04T00:00:00"/>
    <n v="941.99"/>
    <s v="Completed"/>
    <s v="East"/>
    <s v="Apple Pay"/>
    <n v="79"/>
    <x v="78"/>
  </r>
  <r>
    <n v="80"/>
    <n v="7652"/>
    <d v="2023-07-01T00:00:00"/>
    <n v="430.71"/>
    <s v="Completed"/>
    <s v="East"/>
    <s v="Debit Card"/>
    <n v="80"/>
    <x v="79"/>
  </r>
  <r>
    <n v="81"/>
    <n v="2163"/>
    <d v="2023-02-12T00:00:00"/>
    <n v="428.64"/>
    <s v="Completed"/>
    <s v="East"/>
    <s v="Apple Pay"/>
    <n v="81"/>
    <x v="80"/>
  </r>
  <r>
    <n v="82"/>
    <n v="2269"/>
    <d v="2023-02-08T00:00:00"/>
    <n v="447.91"/>
    <s v="Completed"/>
    <s v="West"/>
    <s v="Debit Card"/>
    <n v="82"/>
    <x v="81"/>
  </r>
  <r>
    <n v="83"/>
    <n v="17"/>
    <d v="2023-10-13T00:00:00"/>
    <n v="1354.25"/>
    <s v="Completed"/>
    <s v="West"/>
    <s v="Debit Card"/>
    <n v="83"/>
    <x v="82"/>
  </r>
  <r>
    <n v="84"/>
    <n v="4775"/>
    <d v="2023-04-24T00:00:00"/>
    <n v="778.42"/>
    <s v="Completed"/>
    <s v="South"/>
    <s v="PayPal"/>
    <n v="84"/>
    <x v="83"/>
  </r>
  <r>
    <n v="85"/>
    <n v="3868"/>
    <d v="2023-04-02T00:00:00"/>
    <n v="2635.23"/>
    <s v="Completed"/>
    <s v="Central"/>
    <s v="Credit Card"/>
    <n v="85"/>
    <x v="84"/>
  </r>
  <r>
    <n v="86"/>
    <n v="3415"/>
    <d v="2023-01-19T00:00:00"/>
    <n v="1681.99"/>
    <s v="Completed"/>
    <s v="Central"/>
    <s v="PayPal"/>
    <n v="86"/>
    <x v="85"/>
  </r>
  <r>
    <n v="87"/>
    <n v="9028"/>
    <d v="2023-06-11T00:00:00"/>
    <n v="352.84"/>
    <s v="Completed"/>
    <s v="Central"/>
    <s v="Apple Pay"/>
    <n v="87"/>
    <x v="86"/>
  </r>
  <r>
    <n v="88"/>
    <n v="7200"/>
    <d v="2023-06-14T00:00:00"/>
    <n v="1676.72"/>
    <s v="Completed"/>
    <s v="South"/>
    <s v="Apple Pay"/>
    <n v="88"/>
    <x v="87"/>
  </r>
  <r>
    <n v="89"/>
    <n v="9679"/>
    <d v="2023-05-09T00:00:00"/>
    <n v="1129.0999999999999"/>
    <s v="Completed"/>
    <s v="West"/>
    <s v="Debit Card"/>
    <n v="89"/>
    <x v="88"/>
  </r>
  <r>
    <n v="90"/>
    <n v="9529"/>
    <d v="2023-08-04T00:00:00"/>
    <n v="3515.5"/>
    <s v="Cancelled"/>
    <s v="South"/>
    <s v="Apple Pay"/>
    <n v="90"/>
    <x v="89"/>
  </r>
  <r>
    <n v="91"/>
    <n v="5292"/>
    <d v="2023-02-09T00:00:00"/>
    <n v="539.55999999999995"/>
    <s v="Completed"/>
    <s v="North"/>
    <s v="PayPal"/>
    <n v="91"/>
    <x v="90"/>
  </r>
  <r>
    <n v="92"/>
    <n v="1929"/>
    <d v="2023-04-15T00:00:00"/>
    <n v="479.76"/>
    <s v="Completed"/>
    <s v="North"/>
    <s v="Apple Pay"/>
    <n v="92"/>
    <x v="91"/>
  </r>
  <r>
    <n v="93"/>
    <n v="4392"/>
    <d v="2023-12-12T00:00:00"/>
    <n v="2742.27"/>
    <s v="Completed"/>
    <s v="Central"/>
    <s v="Credit Card"/>
    <n v="93"/>
    <x v="92"/>
  </r>
  <r>
    <n v="94"/>
    <n v="5447"/>
    <d v="2023-10-29T00:00:00"/>
    <n v="193.8"/>
    <s v="Completed"/>
    <s v="Central"/>
    <s v="PayPal"/>
    <n v="94"/>
    <x v="93"/>
  </r>
  <r>
    <n v="95"/>
    <n v="5612"/>
    <d v="2023-12-30T00:00:00"/>
    <n v="1080.92"/>
    <s v="Completed"/>
    <s v="North"/>
    <s v="Apple Pay"/>
    <n v="95"/>
    <x v="94"/>
  </r>
  <r>
    <n v="96"/>
    <n v="3661"/>
    <d v="2023-02-01T00:00:00"/>
    <n v="579.6"/>
    <s v="Completed"/>
    <s v="South"/>
    <s v="PayPal"/>
    <n v="96"/>
    <x v="95"/>
  </r>
  <r>
    <n v="97"/>
    <n v="252"/>
    <d v="2023-01-30T00:00:00"/>
    <n v="1060.75"/>
    <s v="Completed"/>
    <s v="East"/>
    <s v="Apple Pay"/>
    <n v="97"/>
    <x v="96"/>
  </r>
  <r>
    <n v="98"/>
    <n v="7714"/>
    <d v="2023-11-15T00:00:00"/>
    <n v="1587.17"/>
    <s v="Completed"/>
    <s v="South"/>
    <s v="PayPal"/>
    <n v="98"/>
    <x v="97"/>
  </r>
  <r>
    <n v="99"/>
    <n v="6060"/>
    <d v="2023-11-13T00:00:00"/>
    <n v="1729.86"/>
    <s v="Completed"/>
    <s v="North"/>
    <s v="Credit Card"/>
    <n v="99"/>
    <x v="98"/>
  </r>
  <r>
    <n v="100"/>
    <n v="1637"/>
    <d v="2023-10-06T00:00:00"/>
    <n v="154.28"/>
    <s v="Completed"/>
    <s v="West"/>
    <s v="Debit Card"/>
    <n v="100"/>
    <x v="99"/>
  </r>
  <r>
    <n v="101"/>
    <n v="3128"/>
    <d v="2023-12-08T00:00:00"/>
    <n v="2791.45"/>
    <s v="Completed"/>
    <s v="North"/>
    <s v="Credit Card"/>
    <n v="101"/>
    <x v="100"/>
  </r>
  <r>
    <n v="102"/>
    <n v="3899"/>
    <d v="2023-10-09T00:00:00"/>
    <n v="1830.15"/>
    <s v="Completed"/>
    <s v="West"/>
    <s v="Credit Card"/>
    <n v="102"/>
    <x v="101"/>
  </r>
  <r>
    <n v="103"/>
    <n v="9817"/>
    <d v="2023-08-31T00:00:00"/>
    <n v="367.55"/>
    <s v="Completed"/>
    <s v="East"/>
    <s v="Credit Card"/>
    <n v="103"/>
    <x v="102"/>
  </r>
  <r>
    <n v="104"/>
    <n v="2478"/>
    <d v="2023-12-05T00:00:00"/>
    <n v="1020.41"/>
    <s v="Completed"/>
    <s v="Central"/>
    <s v="Apple Pay"/>
    <n v="104"/>
    <x v="103"/>
  </r>
  <r>
    <n v="105"/>
    <n v="8493"/>
    <d v="2023-11-16T00:00:00"/>
    <n v="742.35"/>
    <s v="Completed"/>
    <s v="Central"/>
    <s v="PayPal"/>
    <n v="105"/>
    <x v="104"/>
  </r>
  <r>
    <n v="106"/>
    <n v="6690"/>
    <d v="2023-12-31T00:00:00"/>
    <n v="193.6"/>
    <s v="Completed"/>
    <s v="South"/>
    <s v="Apple Pay"/>
    <n v="106"/>
    <x v="105"/>
  </r>
  <r>
    <n v="107"/>
    <n v="8857"/>
    <d v="2023-11-24T00:00:00"/>
    <n v="164.76"/>
    <s v="Completed"/>
    <s v="East"/>
    <s v="Apple Pay"/>
    <n v="107"/>
    <x v="106"/>
  </r>
  <r>
    <n v="108"/>
    <n v="9904"/>
    <d v="2023-12-22T00:00:00"/>
    <n v="1816.72"/>
    <s v="Completed"/>
    <s v="South"/>
    <s v="Apple Pay"/>
    <n v="108"/>
    <x v="107"/>
  </r>
  <r>
    <n v="109"/>
    <n v="7569"/>
    <d v="2023-11-24T00:00:00"/>
    <n v="250.59"/>
    <s v="Completed"/>
    <s v="East"/>
    <s v="Apple Pay"/>
    <n v="109"/>
    <x v="108"/>
  </r>
  <r>
    <n v="110"/>
    <n v="4358"/>
    <d v="2023-08-21T00:00:00"/>
    <n v="2003.91"/>
    <s v="Completed"/>
    <s v="West"/>
    <s v="Credit Card"/>
    <n v="110"/>
    <x v="109"/>
  </r>
  <r>
    <n v="111"/>
    <n v="3325"/>
    <d v="2023-04-11T00:00:00"/>
    <n v="1238.19"/>
    <s v="Completed"/>
    <s v="Central"/>
    <s v="Apple Pay"/>
    <n v="111"/>
    <x v="110"/>
  </r>
  <r>
    <n v="112"/>
    <n v="3648"/>
    <d v="2023-12-17T00:00:00"/>
    <n v="805.26"/>
    <s v="Completed"/>
    <s v="North"/>
    <s v="Apple Pay"/>
    <n v="112"/>
    <x v="111"/>
  </r>
  <r>
    <n v="113"/>
    <n v="5220"/>
    <d v="2023-04-13T00:00:00"/>
    <n v="270.86"/>
    <s v="Completed"/>
    <s v="West"/>
    <s v="Credit Card"/>
    <n v="113"/>
    <x v="112"/>
  </r>
  <r>
    <n v="114"/>
    <n v="1765"/>
    <d v="2023-08-16T00:00:00"/>
    <n v="593.62"/>
    <s v="Completed"/>
    <s v="South"/>
    <s v="Credit Card"/>
    <n v="114"/>
    <x v="113"/>
  </r>
  <r>
    <n v="115"/>
    <n v="6907"/>
    <d v="2023-11-01T00:00:00"/>
    <n v="2876.18"/>
    <s v="Completed"/>
    <s v="North"/>
    <s v="PayPal"/>
    <n v="115"/>
    <x v="114"/>
  </r>
  <r>
    <n v="116"/>
    <n v="2252"/>
    <d v="2023-12-27T00:00:00"/>
    <n v="3170.97"/>
    <s v="Completed"/>
    <s v="East"/>
    <s v="PayPal"/>
    <n v="116"/>
    <x v="115"/>
  </r>
  <r>
    <n v="117"/>
    <n v="4293"/>
    <d v="2023-07-11T00:00:00"/>
    <n v="684.6"/>
    <s v="Completed"/>
    <s v="South"/>
    <s v="Debit Card"/>
    <n v="117"/>
    <x v="116"/>
  </r>
  <r>
    <n v="118"/>
    <n v="4625"/>
    <d v="2023-05-11T00:00:00"/>
    <n v="352.84"/>
    <s v="Completed"/>
    <s v="North"/>
    <s v="PayPal"/>
    <n v="118"/>
    <x v="117"/>
  </r>
  <r>
    <n v="119"/>
    <n v="6665"/>
    <d v="2023-08-03T00:00:00"/>
    <n v="2465.02"/>
    <s v="Completed"/>
    <s v="West"/>
    <s v="PayPal"/>
    <n v="119"/>
    <x v="118"/>
  </r>
  <r>
    <n v="120"/>
    <n v="9753"/>
    <d v="2023-11-13T00:00:00"/>
    <n v="475.16"/>
    <s v="Completed"/>
    <s v="Central"/>
    <s v="Credit Card"/>
    <n v="120"/>
    <x v="119"/>
  </r>
  <r>
    <n v="121"/>
    <n v="1158"/>
    <d v="2023-12-30T00:00:00"/>
    <n v="2574.63"/>
    <s v="Completed"/>
    <s v="North"/>
    <s v="PayPal"/>
    <n v="121"/>
    <x v="120"/>
  </r>
  <r>
    <n v="122"/>
    <n v="3040"/>
    <d v="2023-06-07T00:00:00"/>
    <n v="898.73"/>
    <s v="Completed"/>
    <s v="Central"/>
    <s v="PayPal"/>
    <n v="122"/>
    <x v="121"/>
  </r>
  <r>
    <n v="123"/>
    <n v="6832"/>
    <d v="2023-11-04T00:00:00"/>
    <n v="1860.2"/>
    <s v="Completed"/>
    <s v="South"/>
    <s v="PayPal"/>
    <n v="123"/>
    <x v="122"/>
  </r>
  <r>
    <n v="124"/>
    <n v="7927"/>
    <d v="2023-06-11T00:00:00"/>
    <n v="813.52"/>
    <s v="Completed"/>
    <s v="East"/>
    <s v="Debit Card"/>
    <n v="124"/>
    <x v="123"/>
  </r>
  <r>
    <n v="125"/>
    <n v="1940"/>
    <d v="2023-11-10T00:00:00"/>
    <n v="152.53"/>
    <s v="Completed"/>
    <s v="South"/>
    <s v="Debit Card"/>
    <n v="125"/>
    <x v="124"/>
  </r>
  <r>
    <n v="126"/>
    <n v="5013"/>
    <d v="2023-09-12T00:00:00"/>
    <n v="1611.98"/>
    <s v="Completed"/>
    <s v="West"/>
    <s v="Debit Card"/>
    <n v="126"/>
    <x v="125"/>
  </r>
  <r>
    <n v="127"/>
    <n v="1300"/>
    <d v="2023-08-08T00:00:00"/>
    <n v="1277.68"/>
    <s v="Completed"/>
    <s v="Central"/>
    <s v="Apple Pay"/>
    <n v="127"/>
    <x v="126"/>
  </r>
  <r>
    <n v="128"/>
    <n v="394"/>
    <d v="2023-02-15T00:00:00"/>
    <n v="1802.19"/>
    <s v="Completed"/>
    <s v="West"/>
    <s v="Debit Card"/>
    <n v="128"/>
    <x v="127"/>
  </r>
  <r>
    <n v="129"/>
    <n v="9908"/>
    <d v="2023-11-16T00:00:00"/>
    <n v="100.33"/>
    <s v="Completed"/>
    <s v="East"/>
    <s v="Debit Card"/>
    <n v="129"/>
    <x v="128"/>
  </r>
  <r>
    <n v="130"/>
    <n v="9139"/>
    <d v="2023-04-27T00:00:00"/>
    <n v="1630.78"/>
    <s v="Completed"/>
    <s v="West"/>
    <s v="PayPal"/>
    <n v="130"/>
    <x v="129"/>
  </r>
  <r>
    <n v="131"/>
    <n v="5281"/>
    <d v="2023-11-30T00:00:00"/>
    <n v="591.58000000000004"/>
    <s v="Completed"/>
    <s v="East"/>
    <s v="Debit Card"/>
    <n v="131"/>
    <x v="130"/>
  </r>
  <r>
    <n v="132"/>
    <n v="4722"/>
    <d v="2023-08-11T00:00:00"/>
    <n v="925.77"/>
    <s v="Completed"/>
    <s v="North"/>
    <s v="Credit Card"/>
    <n v="132"/>
    <x v="131"/>
  </r>
  <r>
    <n v="133"/>
    <n v="4458"/>
    <d v="2023-01-10T00:00:00"/>
    <n v="1565.22"/>
    <s v="Completed"/>
    <s v="West"/>
    <s v="Apple Pay"/>
    <n v="133"/>
    <x v="132"/>
  </r>
  <r>
    <n v="134"/>
    <n v="2839"/>
    <d v="2023-06-28T00:00:00"/>
    <n v="2100.86"/>
    <s v="Completed"/>
    <s v="East"/>
    <s v="Debit Card"/>
    <n v="134"/>
    <x v="133"/>
  </r>
  <r>
    <n v="135"/>
    <n v="7"/>
    <d v="2023-11-15T00:00:00"/>
    <n v="543.53"/>
    <s v="Completed"/>
    <s v="North"/>
    <s v="PayPal"/>
    <n v="135"/>
    <x v="134"/>
  </r>
  <r>
    <n v="136"/>
    <n v="1566"/>
    <d v="2023-08-16T00:00:00"/>
    <n v="661.44"/>
    <s v="Completed"/>
    <s v="East"/>
    <s v="PayPal"/>
    <n v="136"/>
    <x v="135"/>
  </r>
  <r>
    <n v="137"/>
    <n v="1604"/>
    <d v="2023-12-03T00:00:00"/>
    <n v="1686.49"/>
    <s v="Completed"/>
    <s v="West"/>
    <s v="Debit Card"/>
    <n v="137"/>
    <x v="136"/>
  </r>
  <r>
    <n v="138"/>
    <n v="3846"/>
    <d v="2023-05-13T00:00:00"/>
    <n v="4140.13"/>
    <s v="Completed"/>
    <s v="East"/>
    <s v="Debit Card"/>
    <n v="138"/>
    <x v="137"/>
  </r>
  <r>
    <n v="139"/>
    <n v="8004"/>
    <d v="2023-05-24T00:00:00"/>
    <n v="132.47999999999999"/>
    <s v="Completed"/>
    <s v="West"/>
    <s v="Apple Pay"/>
    <n v="139"/>
    <x v="138"/>
  </r>
  <r>
    <n v="140"/>
    <n v="7343"/>
    <d v="2023-04-19T00:00:00"/>
    <n v="779.55"/>
    <s v="Completed"/>
    <s v="North"/>
    <s v="PayPal"/>
    <n v="140"/>
    <x v="139"/>
  </r>
  <r>
    <n v="141"/>
    <n v="9531"/>
    <d v="2023-11-10T00:00:00"/>
    <n v="1022.19"/>
    <s v="Completed"/>
    <s v="South"/>
    <s v="Credit Card"/>
    <n v="141"/>
    <x v="140"/>
  </r>
  <r>
    <n v="142"/>
    <n v="2426"/>
    <d v="2023-11-30T00:00:00"/>
    <n v="2046.36"/>
    <s v="Completed"/>
    <s v="North"/>
    <s v="Debit Card"/>
    <n v="142"/>
    <x v="141"/>
  </r>
  <r>
    <n v="143"/>
    <n v="8362"/>
    <d v="2023-08-15T00:00:00"/>
    <n v="788.31"/>
    <s v="Completed"/>
    <s v="West"/>
    <s v="Credit Card"/>
    <n v="143"/>
    <x v="142"/>
  </r>
  <r>
    <n v="144"/>
    <n v="5701"/>
    <d v="2023-05-13T00:00:00"/>
    <n v="1365.96"/>
    <s v="Completed"/>
    <s v="North"/>
    <s v="Apple Pay"/>
    <n v="144"/>
    <x v="143"/>
  </r>
  <r>
    <n v="145"/>
    <n v="2798"/>
    <d v="2023-04-13T00:00:00"/>
    <n v="3440.55"/>
    <s v="Completed"/>
    <s v="Central"/>
    <s v="Debit Card"/>
    <n v="145"/>
    <x v="144"/>
  </r>
  <r>
    <n v="146"/>
    <n v="6045"/>
    <d v="2023-12-07T00:00:00"/>
    <n v="8831.2000000000007"/>
    <s v="Completed"/>
    <s v="East"/>
    <s v="Debit Card"/>
    <n v="146"/>
    <x v="145"/>
  </r>
  <r>
    <n v="147"/>
    <n v="1956"/>
    <d v="2023-10-30T00:00:00"/>
    <n v="1128.9100000000001"/>
    <s v="Completed"/>
    <s v="West"/>
    <s v="Debit Card"/>
    <n v="147"/>
    <x v="146"/>
  </r>
  <r>
    <n v="148"/>
    <n v="2684"/>
    <d v="2023-09-23T00:00:00"/>
    <n v="617.32000000000005"/>
    <s v="Completed"/>
    <s v="Central"/>
    <s v="Credit Card"/>
    <n v="148"/>
    <x v="147"/>
  </r>
  <r>
    <n v="149"/>
    <n v="3573"/>
    <d v="2023-04-15T00:00:00"/>
    <n v="1972.1"/>
    <s v="Completed"/>
    <s v="Central"/>
    <s v="Credit Card"/>
    <n v="149"/>
    <x v="148"/>
  </r>
  <r>
    <n v="150"/>
    <n v="9973"/>
    <d v="2023-12-20T00:00:00"/>
    <n v="618.92999999999995"/>
    <s v="Completed"/>
    <s v="East"/>
    <s v="Debit Card"/>
    <n v="150"/>
    <x v="149"/>
  </r>
  <r>
    <n v="151"/>
    <n v="6147"/>
    <d v="2023-08-03T00:00:00"/>
    <n v="442.46"/>
    <s v="Completed"/>
    <s v="West"/>
    <s v="Debit Card"/>
    <n v="151"/>
    <x v="150"/>
  </r>
  <r>
    <n v="152"/>
    <n v="3032"/>
    <d v="2023-11-24T00:00:00"/>
    <n v="391.53"/>
    <s v="Completed"/>
    <s v="West"/>
    <s v="PayPal"/>
    <n v="152"/>
    <x v="151"/>
  </r>
  <r>
    <n v="153"/>
    <n v="7882"/>
    <d v="2023-02-22T00:00:00"/>
    <n v="89.27"/>
    <s v="Completed"/>
    <s v="North"/>
    <s v="Debit Card"/>
    <n v="153"/>
    <x v="152"/>
  </r>
  <r>
    <n v="154"/>
    <n v="9739"/>
    <d v="2023-03-08T00:00:00"/>
    <n v="585.82000000000005"/>
    <s v="Completed"/>
    <s v="West"/>
    <s v="Debit Card"/>
    <n v="154"/>
    <x v="153"/>
  </r>
  <r>
    <n v="155"/>
    <n v="9862"/>
    <d v="2023-01-26T00:00:00"/>
    <n v="653.20000000000005"/>
    <s v="Completed"/>
    <s v="West"/>
    <s v="PayPal"/>
    <n v="155"/>
    <x v="154"/>
  </r>
  <r>
    <n v="156"/>
    <n v="2199"/>
    <d v="2023-08-26T00:00:00"/>
    <n v="303.45999999999998"/>
    <s v="Completed"/>
    <s v="North"/>
    <s v="PayPal"/>
    <n v="156"/>
    <x v="155"/>
  </r>
  <r>
    <n v="157"/>
    <n v="3962"/>
    <d v="2023-03-08T00:00:00"/>
    <n v="181.61"/>
    <s v="Completed"/>
    <s v="North"/>
    <s v="Apple Pay"/>
    <n v="157"/>
    <x v="156"/>
  </r>
  <r>
    <n v="158"/>
    <n v="2040"/>
    <d v="2023-03-19T00:00:00"/>
    <n v="3816.02"/>
    <s v="Completed"/>
    <s v="South"/>
    <s v="Debit Card"/>
    <n v="158"/>
    <x v="157"/>
  </r>
  <r>
    <n v="159"/>
    <n v="8737"/>
    <d v="2023-12-29T00:00:00"/>
    <n v="2161.8200000000002"/>
    <s v="Completed"/>
    <s v="West"/>
    <s v="PayPal"/>
    <n v="159"/>
    <x v="158"/>
  </r>
  <r>
    <n v="160"/>
    <n v="6122"/>
    <d v="2023-12-31T00:00:00"/>
    <n v="2051.35"/>
    <s v="Completed"/>
    <s v="East"/>
    <s v="Apple Pay"/>
    <n v="160"/>
    <x v="159"/>
  </r>
  <r>
    <n v="161"/>
    <n v="1112"/>
    <d v="2023-10-01T00:00:00"/>
    <n v="1151.76"/>
    <s v="Completed"/>
    <s v="West"/>
    <s v="PayPal"/>
    <n v="161"/>
    <x v="160"/>
  </r>
  <r>
    <n v="162"/>
    <n v="9761"/>
    <d v="2023-04-13T00:00:00"/>
    <n v="618.92999999999995"/>
    <s v="Completed"/>
    <s v="Central"/>
    <s v="Debit Card"/>
    <n v="162"/>
    <x v="161"/>
  </r>
  <r>
    <n v="163"/>
    <n v="5463"/>
    <d v="2023-08-02T00:00:00"/>
    <n v="2486.02"/>
    <s v="Completed"/>
    <s v="South"/>
    <s v="Credit Card"/>
    <n v="163"/>
    <x v="162"/>
  </r>
  <r>
    <n v="164"/>
    <n v="9953"/>
    <d v="2023-11-01T00:00:00"/>
    <n v="526.08000000000004"/>
    <s v="Completed"/>
    <s v="West"/>
    <s v="Apple Pay"/>
    <n v="164"/>
    <x v="163"/>
  </r>
  <r>
    <n v="165"/>
    <n v="8680"/>
    <d v="2023-11-11T00:00:00"/>
    <n v="352.84"/>
    <s v="Completed"/>
    <s v="Central"/>
    <s v="Debit Card"/>
    <n v="165"/>
    <x v="164"/>
  </r>
  <r>
    <n v="166"/>
    <n v="9531"/>
    <d v="2023-10-11T00:00:00"/>
    <n v="984.1"/>
    <s v="Completed"/>
    <s v="South"/>
    <s v="Debit Card"/>
    <n v="166"/>
    <x v="165"/>
  </r>
  <r>
    <n v="167"/>
    <n v="6540"/>
    <d v="2023-11-11T00:00:00"/>
    <n v="1695.09"/>
    <s v="Completed"/>
    <s v="South"/>
    <s v="PayPal"/>
    <n v="167"/>
    <x v="166"/>
  </r>
  <r>
    <n v="168"/>
    <n v="923"/>
    <d v="2023-12-29T00:00:00"/>
    <n v="2534.5700000000002"/>
    <s v="Completed"/>
    <s v="Central"/>
    <s v="PayPal"/>
    <n v="168"/>
    <x v="167"/>
  </r>
  <r>
    <n v="169"/>
    <n v="5751"/>
    <d v="2023-04-23T00:00:00"/>
    <n v="1608.66"/>
    <s v="Completed"/>
    <s v="Central"/>
    <s v="PayPal"/>
    <n v="169"/>
    <x v="168"/>
  </r>
  <r>
    <n v="170"/>
    <n v="1180"/>
    <d v="2023-03-08T00:00:00"/>
    <n v="2447.66"/>
    <s v="Completed"/>
    <s v="Central"/>
    <s v="PayPal"/>
    <n v="170"/>
    <x v="169"/>
  </r>
  <r>
    <n v="171"/>
    <n v="4321"/>
    <d v="2023-11-14T00:00:00"/>
    <n v="280.61"/>
    <s v="Completed"/>
    <s v="South"/>
    <s v="Credit Card"/>
    <n v="171"/>
    <x v="170"/>
  </r>
  <r>
    <n v="172"/>
    <n v="1885"/>
    <d v="2023-11-15T00:00:00"/>
    <n v="1417.1"/>
    <s v="Completed"/>
    <s v="East"/>
    <s v="Apple Pay"/>
    <n v="172"/>
    <x v="171"/>
  </r>
  <r>
    <n v="173"/>
    <n v="9172"/>
    <d v="2023-06-25T00:00:00"/>
    <n v="3998.39"/>
    <s v="Completed"/>
    <s v="West"/>
    <s v="Debit Card"/>
    <n v="173"/>
    <x v="172"/>
  </r>
  <r>
    <n v="174"/>
    <n v="597"/>
    <d v="2023-09-03T00:00:00"/>
    <n v="105.06"/>
    <s v="Completed"/>
    <s v="South"/>
    <s v="PayPal"/>
    <n v="174"/>
    <x v="173"/>
  </r>
  <r>
    <n v="175"/>
    <n v="8691"/>
    <d v="2023-04-04T00:00:00"/>
    <n v="435.69"/>
    <s v="Completed"/>
    <s v="Central"/>
    <s v="Debit Card"/>
    <n v="175"/>
    <x v="174"/>
  </r>
  <r>
    <n v="176"/>
    <n v="8684"/>
    <d v="2023-01-15T00:00:00"/>
    <n v="1252.19"/>
    <s v="Completed"/>
    <s v="West"/>
    <s v="Apple Pay"/>
    <n v="176"/>
    <x v="175"/>
  </r>
  <r>
    <n v="177"/>
    <n v="3553"/>
    <d v="2023-03-12T00:00:00"/>
    <n v="1185.6600000000001"/>
    <s v="Completed"/>
    <s v="East"/>
    <s v="Apple Pay"/>
    <n v="177"/>
    <x v="176"/>
  </r>
  <r>
    <n v="178"/>
    <n v="4796"/>
    <d v="2023-11-30T00:00:00"/>
    <n v="1321.63"/>
    <s v="Completed"/>
    <s v="South"/>
    <s v="Debit Card"/>
    <n v="178"/>
    <x v="177"/>
  </r>
  <r>
    <n v="179"/>
    <n v="4891"/>
    <d v="2023-01-02T00:00:00"/>
    <n v="485.89"/>
    <s v="Completed"/>
    <s v="Central"/>
    <s v="Apple Pay"/>
    <n v="179"/>
    <x v="178"/>
  </r>
  <r>
    <n v="180"/>
    <n v="1791"/>
    <d v="2023-10-28T00:00:00"/>
    <n v="661.44"/>
    <s v="Completed"/>
    <s v="South"/>
    <s v="Apple Pay"/>
    <n v="180"/>
    <x v="179"/>
  </r>
  <r>
    <n v="181"/>
    <n v="943"/>
    <d v="2023-03-21T00:00:00"/>
    <n v="235.13"/>
    <s v="Completed"/>
    <s v="East"/>
    <s v="PayPal"/>
    <n v="181"/>
    <x v="180"/>
  </r>
  <r>
    <n v="182"/>
    <n v="1682"/>
    <d v="2023-08-21T00:00:00"/>
    <n v="377.58"/>
    <s v="Completed"/>
    <s v="West"/>
    <s v="Debit Card"/>
    <n v="182"/>
    <x v="181"/>
  </r>
  <r>
    <n v="183"/>
    <n v="5689"/>
    <d v="2023-01-12T00:00:00"/>
    <n v="1910.87"/>
    <s v="Completed"/>
    <s v="South"/>
    <s v="Debit Card"/>
    <n v="183"/>
    <x v="182"/>
  </r>
  <r>
    <n v="184"/>
    <n v="9292"/>
    <d v="2023-08-10T00:00:00"/>
    <n v="88.32"/>
    <s v="Completed"/>
    <s v="Central"/>
    <s v="Credit Card"/>
    <n v="184"/>
    <x v="183"/>
  </r>
  <r>
    <n v="185"/>
    <n v="4122"/>
    <d v="2023-09-08T00:00:00"/>
    <n v="1262.3599999999999"/>
    <s v="Returned"/>
    <s v="Central"/>
    <s v="Credit Card"/>
    <n v="185"/>
    <x v="184"/>
  </r>
  <r>
    <n v="186"/>
    <n v="3974"/>
    <d v="2023-01-12T00:00:00"/>
    <n v="1714.39"/>
    <s v="Completed"/>
    <s v="West"/>
    <s v="PayPal"/>
    <n v="186"/>
    <x v="185"/>
  </r>
  <r>
    <n v="187"/>
    <n v="6762"/>
    <d v="2023-12-11T00:00:00"/>
    <n v="1911.37"/>
    <s v="Completed"/>
    <s v="North"/>
    <s v="Credit Card"/>
    <n v="187"/>
    <x v="186"/>
  </r>
  <r>
    <n v="188"/>
    <n v="3876"/>
    <d v="2023-02-15T00:00:00"/>
    <n v="493.21"/>
    <s v="Completed"/>
    <s v="South"/>
    <s v="Debit Card"/>
    <n v="188"/>
    <x v="187"/>
  </r>
  <r>
    <n v="189"/>
    <n v="3041"/>
    <d v="2023-02-13T00:00:00"/>
    <n v="1629.76"/>
    <s v="Completed"/>
    <s v="South"/>
    <s v="Apple Pay"/>
    <n v="189"/>
    <x v="188"/>
  </r>
  <r>
    <n v="190"/>
    <n v="3493"/>
    <d v="2023-01-31T00:00:00"/>
    <n v="428.94"/>
    <s v="Completed"/>
    <s v="East"/>
    <s v="PayPal"/>
    <n v="190"/>
    <x v="189"/>
  </r>
  <r>
    <n v="191"/>
    <n v="447"/>
    <d v="2023-12-05T00:00:00"/>
    <n v="2440.64"/>
    <s v="Completed"/>
    <s v="North"/>
    <s v="Debit Card"/>
    <n v="191"/>
    <x v="190"/>
  </r>
  <r>
    <n v="192"/>
    <n v="5978"/>
    <d v="2023-01-04T00:00:00"/>
    <n v="870.51"/>
    <s v="Completed"/>
    <s v="North"/>
    <s v="PayPal"/>
    <n v="192"/>
    <x v="191"/>
  </r>
  <r>
    <n v="193"/>
    <n v="3713"/>
    <d v="2023-09-09T00:00:00"/>
    <n v="2318.85"/>
    <s v="Completed"/>
    <s v="North"/>
    <s v="Debit Card"/>
    <n v="193"/>
    <x v="192"/>
  </r>
  <r>
    <n v="194"/>
    <n v="2255"/>
    <d v="2023-11-14T00:00:00"/>
    <n v="2784.03"/>
    <s v="Completed"/>
    <s v="South"/>
    <s v="Debit Card"/>
    <n v="194"/>
    <x v="193"/>
  </r>
  <r>
    <n v="195"/>
    <n v="7183"/>
    <d v="2023-01-28T00:00:00"/>
    <n v="517.32000000000005"/>
    <s v="Completed"/>
    <s v="North"/>
    <s v="Credit Card"/>
    <n v="195"/>
    <x v="194"/>
  </r>
  <r>
    <n v="196"/>
    <n v="4449"/>
    <d v="2023-02-21T00:00:00"/>
    <n v="2424.13"/>
    <s v="Completed"/>
    <s v="Central"/>
    <s v="Apple Pay"/>
    <n v="196"/>
    <x v="195"/>
  </r>
  <r>
    <n v="197"/>
    <n v="3272"/>
    <d v="2023-03-21T00:00:00"/>
    <n v="314.92"/>
    <s v="Completed"/>
    <s v="South"/>
    <s v="Apple Pay"/>
    <n v="197"/>
    <x v="196"/>
  </r>
  <r>
    <n v="198"/>
    <n v="5882"/>
    <d v="2023-05-15T00:00:00"/>
    <n v="428.96"/>
    <s v="Completed"/>
    <s v="West"/>
    <s v="Debit Card"/>
    <n v="198"/>
    <x v="197"/>
  </r>
  <r>
    <n v="199"/>
    <n v="8953"/>
    <d v="2023-05-25T00:00:00"/>
    <n v="409.78"/>
    <s v="Completed"/>
    <s v="West"/>
    <s v="Debit Card"/>
    <n v="199"/>
    <x v="198"/>
  </r>
  <r>
    <n v="200"/>
    <n v="651"/>
    <d v="2023-04-25T00:00:00"/>
    <n v="3419.98"/>
    <s v="Completed"/>
    <s v="West"/>
    <s v="Apple Pay"/>
    <n v="200"/>
    <x v="1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n v="799"/>
    <x v="0"/>
    <n v="3291.84"/>
    <s v="Completed"/>
    <x v="0"/>
    <s v="Debit Card"/>
  </r>
  <r>
    <n v="2"/>
    <n v="5547"/>
    <x v="1"/>
    <n v="758"/>
    <s v="Completed"/>
    <x v="1"/>
    <s v="Debit Card"/>
  </r>
  <r>
    <n v="3"/>
    <n v="9198"/>
    <x v="2"/>
    <n v="1053.57"/>
    <s v="Completed"/>
    <x v="0"/>
    <s v="Debit Card"/>
  </r>
  <r>
    <n v="4"/>
    <n v="4722"/>
    <x v="3"/>
    <n v="1936.86"/>
    <s v="Completed"/>
    <x v="2"/>
    <s v="Credit Card"/>
  </r>
  <r>
    <n v="5"/>
    <n v="1154"/>
    <x v="4"/>
    <n v="315.29000000000002"/>
    <s v="Completed"/>
    <x v="2"/>
    <s v="Debit Card"/>
  </r>
  <r>
    <n v="6"/>
    <n v="1460"/>
    <x v="5"/>
    <n v="1125.06"/>
    <s v="Completed"/>
    <x v="3"/>
    <s v="Debit Card"/>
  </r>
  <r>
    <n v="7"/>
    <n v="1308"/>
    <x v="6"/>
    <n v="2036.83"/>
    <s v="Completed"/>
    <x v="3"/>
    <s v="Apple Pay"/>
  </r>
  <r>
    <n v="8"/>
    <n v="3308"/>
    <x v="7"/>
    <n v="888.69"/>
    <s v="Completed"/>
    <x v="2"/>
    <s v="Debit Card"/>
  </r>
  <r>
    <n v="9"/>
    <n v="2724"/>
    <x v="8"/>
    <n v="14069.29"/>
    <s v="Completed"/>
    <x v="0"/>
    <s v="Debit Card"/>
  </r>
  <r>
    <n v="10"/>
    <n v="3884"/>
    <x v="9"/>
    <n v="2931.18"/>
    <s v="Completed"/>
    <x v="2"/>
    <s v="Debit Card"/>
  </r>
  <r>
    <n v="11"/>
    <n v="1180"/>
    <x v="10"/>
    <n v="1217.05"/>
    <s v="Completed"/>
    <x v="1"/>
    <s v="Credit Card"/>
  </r>
  <r>
    <n v="12"/>
    <n v="9183"/>
    <x v="11"/>
    <n v="1082.75"/>
    <s v="Completed"/>
    <x v="3"/>
    <s v="Credit Card"/>
  </r>
  <r>
    <n v="13"/>
    <n v="7875"/>
    <x v="12"/>
    <n v="256.17"/>
    <s v="Completed"/>
    <x v="2"/>
    <s v="Apple Pay"/>
  </r>
  <r>
    <n v="14"/>
    <n v="7610"/>
    <x v="13"/>
    <n v="827.49"/>
    <s v="Completed"/>
    <x v="1"/>
    <s v="Credit Card"/>
  </r>
  <r>
    <n v="15"/>
    <n v="4366"/>
    <x v="14"/>
    <n v="1814.82"/>
    <s v="Completed"/>
    <x v="4"/>
    <s v="Credit Card"/>
  </r>
  <r>
    <n v="16"/>
    <n v="9556"/>
    <x v="15"/>
    <n v="329.52"/>
    <s v="Completed"/>
    <x v="1"/>
    <s v="Debit Card"/>
  </r>
  <r>
    <n v="17"/>
    <n v="799"/>
    <x v="16"/>
    <n v="274.33"/>
    <s v="Completed"/>
    <x v="5"/>
    <s v="PayPal"/>
  </r>
  <r>
    <n v="18"/>
    <n v="5978"/>
    <x v="17"/>
    <n v="966.66"/>
    <s v="Completed"/>
    <x v="5"/>
    <s v="Debit Card"/>
  </r>
  <r>
    <n v="19"/>
    <n v="4676"/>
    <x v="18"/>
    <n v="2337.54"/>
    <s v="Completed"/>
    <x v="4"/>
    <s v="Credit Card"/>
  </r>
  <r>
    <n v="20"/>
    <n v="4057"/>
    <x v="19"/>
    <n v="973.32"/>
    <s v="Completed"/>
    <x v="0"/>
    <s v="Debit Card"/>
  </r>
  <r>
    <n v="21"/>
    <n v="2428"/>
    <x v="20"/>
    <n v="613.75"/>
    <s v="Completed"/>
    <x v="0"/>
    <s v="Apple Pay"/>
  </r>
  <r>
    <n v="22"/>
    <n v="3514"/>
    <x v="21"/>
    <n v="282.13"/>
    <s v="Completed"/>
    <x v="4"/>
    <s v="Apple Pay"/>
  </r>
  <r>
    <n v="23"/>
    <n v="9743"/>
    <x v="22"/>
    <n v="2362.58"/>
    <s v="Completed"/>
    <x v="0"/>
    <s v="Apple Pay"/>
  </r>
  <r>
    <n v="24"/>
    <n v="4501"/>
    <x v="23"/>
    <n v="340.47"/>
    <s v="Returned"/>
    <x v="4"/>
    <s v="Apple Pay"/>
  </r>
  <r>
    <n v="25"/>
    <n v="9749"/>
    <x v="24"/>
    <n v="436.2"/>
    <s v="Completed"/>
    <x v="3"/>
    <s v="Debit Card"/>
  </r>
  <r>
    <n v="26"/>
    <n v="9799"/>
    <x v="25"/>
    <n v="1417.1"/>
    <s v="Completed"/>
    <x v="1"/>
    <s v="Apple Pay"/>
  </r>
  <r>
    <n v="27"/>
    <n v="4031"/>
    <x v="26"/>
    <n v="307.60000000000002"/>
    <s v="Completed"/>
    <x v="4"/>
    <s v="PayPal"/>
  </r>
  <r>
    <n v="28"/>
    <n v="6404"/>
    <x v="27"/>
    <n v="1393.02"/>
    <s v="Cancelled"/>
    <x v="0"/>
    <s v="Apple Pay"/>
  </r>
  <r>
    <n v="29"/>
    <n v="6151"/>
    <x v="28"/>
    <n v="1125.1300000000001"/>
    <s v="Completed"/>
    <x v="5"/>
    <s v="Credit Card"/>
  </r>
  <r>
    <n v="30"/>
    <n v="3505"/>
    <x v="29"/>
    <n v="319.83999999999997"/>
    <s v="Completed"/>
    <x v="3"/>
    <s v="Debit Card"/>
  </r>
  <r>
    <n v="31"/>
    <n v="2726"/>
    <x v="30"/>
    <n v="143.55000000000001"/>
    <s v="Completed"/>
    <x v="4"/>
    <s v="Credit Card"/>
  </r>
  <r>
    <n v="32"/>
    <n v="4985"/>
    <x v="31"/>
    <n v="606.49"/>
    <s v="Completed"/>
    <x v="3"/>
    <s v="Apple Pay"/>
  </r>
  <r>
    <n v="33"/>
    <n v="537"/>
    <x v="32"/>
    <n v="4384.92"/>
    <s v="Completed"/>
    <x v="3"/>
    <s v="Apple Pay"/>
  </r>
  <r>
    <n v="34"/>
    <n v="2445"/>
    <x v="33"/>
    <n v="623.26"/>
    <s v="Completed"/>
    <x v="3"/>
    <s v="Debit Card"/>
  </r>
  <r>
    <n v="35"/>
    <n v="9082"/>
    <x v="0"/>
    <n v="189.69"/>
    <s v="Completed"/>
    <x v="3"/>
    <s v="Apple Pay"/>
  </r>
  <r>
    <n v="36"/>
    <n v="5591"/>
    <x v="34"/>
    <n v="415.12"/>
    <s v="Completed"/>
    <x v="3"/>
    <s v="Debit Card"/>
  </r>
  <r>
    <n v="37"/>
    <n v="5023"/>
    <x v="35"/>
    <n v="678.18"/>
    <s v="Completed"/>
    <x v="4"/>
    <s v="PayPal"/>
  </r>
  <r>
    <n v="38"/>
    <n v="8865"/>
    <x v="36"/>
    <n v="413.05"/>
    <s v="Completed"/>
    <x v="0"/>
    <s v="Debit Card"/>
  </r>
  <r>
    <n v="39"/>
    <n v="6670"/>
    <x v="37"/>
    <n v="292.39"/>
    <s v="Completed"/>
    <x v="3"/>
    <s v="Credit Card"/>
  </r>
  <r>
    <n v="40"/>
    <n v="5687"/>
    <x v="38"/>
    <n v="1495.64"/>
    <s v="Completed"/>
    <x v="2"/>
    <s v="PayPal"/>
  </r>
  <r>
    <n v="41"/>
    <n v="9437"/>
    <x v="39"/>
    <n v="2453.4499999999998"/>
    <s v="Completed"/>
    <x v="4"/>
    <s v="PayPal"/>
  </r>
  <r>
    <n v="42"/>
    <n v="326"/>
    <x v="40"/>
    <n v="447.12"/>
    <s v="Completed"/>
    <x v="0"/>
    <s v="PayPal"/>
  </r>
  <r>
    <n v="43"/>
    <n v="6313"/>
    <x v="41"/>
    <n v="366.68"/>
    <s v="Completed"/>
    <x v="1"/>
    <s v="Credit Card"/>
  </r>
  <r>
    <n v="44"/>
    <n v="875"/>
    <x v="42"/>
    <n v="736.35"/>
    <s v="Completed"/>
    <x v="4"/>
    <s v="Debit Card"/>
  </r>
  <r>
    <n v="45"/>
    <n v="1745"/>
    <x v="43"/>
    <n v="1473.22"/>
    <s v="Completed"/>
    <x v="2"/>
    <s v="Credit Card"/>
  </r>
  <r>
    <n v="46"/>
    <n v="8560"/>
    <x v="9"/>
    <n v="619.89"/>
    <s v="Completed"/>
    <x v="4"/>
    <s v="Debit Card"/>
  </r>
  <r>
    <n v="47"/>
    <n v="2518"/>
    <x v="44"/>
    <n v="755.08"/>
    <s v="Completed"/>
    <x v="4"/>
    <s v="Credit Card"/>
  </r>
  <r>
    <n v="48"/>
    <n v="2329"/>
    <x v="37"/>
    <n v="401.69"/>
    <s v="Completed"/>
    <x v="1"/>
    <s v="Credit Card"/>
  </r>
  <r>
    <n v="49"/>
    <n v="9865"/>
    <x v="45"/>
    <n v="274.33"/>
    <s v="Completed"/>
    <x v="1"/>
    <s v="Apple Pay"/>
  </r>
  <r>
    <n v="50"/>
    <n v="3015"/>
    <x v="46"/>
    <n v="273.77"/>
    <s v="Completed"/>
    <x v="1"/>
    <s v="Debit Card"/>
  </r>
  <r>
    <n v="51"/>
    <n v="7498"/>
    <x v="47"/>
    <n v="1777.25"/>
    <s v="Completed"/>
    <x v="1"/>
    <s v="Credit Card"/>
  </r>
  <r>
    <n v="52"/>
    <n v="2655"/>
    <x v="48"/>
    <n v="187.47"/>
    <s v="Completed"/>
    <x v="0"/>
    <s v="PayPal"/>
  </r>
  <r>
    <n v="53"/>
    <n v="5825"/>
    <x v="49"/>
    <n v="449.81"/>
    <s v="Completed"/>
    <x v="2"/>
    <s v="Debit Card"/>
  </r>
  <r>
    <n v="54"/>
    <n v="9437"/>
    <x v="50"/>
    <n v="744.5"/>
    <s v="Completed"/>
    <x v="4"/>
    <s v="Credit Card"/>
  </r>
  <r>
    <n v="55"/>
    <n v="3897"/>
    <x v="51"/>
    <n v="397.06"/>
    <s v="Cancelled"/>
    <x v="1"/>
    <s v="PayPal"/>
  </r>
  <r>
    <n v="56"/>
    <n v="2795"/>
    <x v="52"/>
    <n v="401.39"/>
    <s v="Completed"/>
    <x v="2"/>
    <s v="Apple Pay"/>
  </r>
  <r>
    <n v="57"/>
    <n v="3995"/>
    <x v="53"/>
    <n v="256.17"/>
    <s v="Completed"/>
    <x v="4"/>
    <s v="PayPal"/>
  </r>
  <r>
    <n v="58"/>
    <n v="431"/>
    <x v="2"/>
    <n v="30.63"/>
    <s v="Completed"/>
    <x v="3"/>
    <s v="Apple Pay"/>
  </r>
  <r>
    <n v="59"/>
    <n v="3211"/>
    <x v="54"/>
    <n v="1460.67"/>
    <s v="Completed"/>
    <x v="3"/>
    <s v="Debit Card"/>
  </r>
  <r>
    <n v="60"/>
    <n v="3960"/>
    <x v="27"/>
    <n v="776.15"/>
    <s v="Completed"/>
    <x v="0"/>
    <s v="Apple Pay"/>
  </r>
  <r>
    <n v="61"/>
    <n v="1881"/>
    <x v="55"/>
    <n v="3000.24"/>
    <s v="Completed"/>
    <x v="1"/>
    <s v="PayPal"/>
  </r>
  <r>
    <n v="62"/>
    <n v="5022"/>
    <x v="56"/>
    <n v="94.39"/>
    <s v="Completed"/>
    <x v="0"/>
    <s v="Debit Card"/>
  </r>
  <r>
    <n v="63"/>
    <n v="2661"/>
    <x v="5"/>
    <n v="766.48"/>
    <s v="Completed"/>
    <x v="3"/>
    <s v="PayPal"/>
  </r>
  <r>
    <n v="64"/>
    <n v="2219"/>
    <x v="24"/>
    <n v="1078.2"/>
    <s v="Cancelled"/>
    <x v="4"/>
    <s v="PayPal"/>
  </r>
  <r>
    <n v="65"/>
    <n v="5094"/>
    <x v="57"/>
    <n v="252.07"/>
    <s v="Completed"/>
    <x v="0"/>
    <s v="Debit Card"/>
  </r>
  <r>
    <n v="66"/>
    <n v="2821"/>
    <x v="58"/>
    <n v="273.77"/>
    <s v="Completed"/>
    <x v="1"/>
    <s v="PayPal"/>
  </r>
  <r>
    <n v="67"/>
    <n v="2144"/>
    <x v="59"/>
    <n v="1210.4100000000001"/>
    <s v="Cancelled"/>
    <x v="3"/>
    <s v="Credit Card"/>
  </r>
  <r>
    <n v="68"/>
    <n v="6529"/>
    <x v="60"/>
    <n v="796.95"/>
    <s v="Completed"/>
    <x v="1"/>
    <s v="Apple Pay"/>
  </r>
  <r>
    <n v="69"/>
    <n v="9673"/>
    <x v="61"/>
    <n v="471.55"/>
    <s v="Completed"/>
    <x v="2"/>
    <s v="Credit Card"/>
  </r>
  <r>
    <n v="70"/>
    <n v="835"/>
    <x v="62"/>
    <n v="543.33000000000004"/>
    <s v="Completed"/>
    <x v="1"/>
    <s v="PayPal"/>
  </r>
  <r>
    <n v="71"/>
    <n v="7710"/>
    <x v="63"/>
    <n v="8984.9"/>
    <s v="Completed"/>
    <x v="3"/>
    <s v="Apple Pay"/>
  </r>
  <r>
    <n v="72"/>
    <n v="6920"/>
    <x v="64"/>
    <n v="1619.76"/>
    <s v="Completed"/>
    <x v="1"/>
    <s v="Debit Card"/>
  </r>
  <r>
    <n v="73"/>
    <n v="5920"/>
    <x v="65"/>
    <n v="732.93"/>
    <s v="Completed"/>
    <x v="2"/>
    <s v="Apple Pay"/>
  </r>
  <r>
    <n v="74"/>
    <n v="5998"/>
    <x v="60"/>
    <n v="1859.56"/>
    <s v="Completed"/>
    <x v="1"/>
    <s v="PayPal"/>
  </r>
  <r>
    <n v="75"/>
    <n v="574"/>
    <x v="66"/>
    <n v="2150.85"/>
    <s v="Completed"/>
    <x v="3"/>
    <s v="PayPal"/>
  </r>
  <r>
    <n v="76"/>
    <n v="7701"/>
    <x v="67"/>
    <n v="946.27"/>
    <s v="Completed"/>
    <x v="4"/>
    <s v="Apple Pay"/>
  </r>
  <r>
    <n v="77"/>
    <n v="13"/>
    <x v="68"/>
    <n v="2429.42"/>
    <s v="Completed"/>
    <x v="0"/>
    <s v="Debit Card"/>
  </r>
  <r>
    <n v="78"/>
    <n v="9973"/>
    <x v="69"/>
    <n v="2922.45"/>
    <s v="Completed"/>
    <x v="0"/>
    <s v="PayPal"/>
  </r>
  <r>
    <n v="79"/>
    <n v="6297"/>
    <x v="70"/>
    <n v="941.99"/>
    <s v="Completed"/>
    <x v="0"/>
    <s v="Apple Pay"/>
  </r>
  <r>
    <n v="80"/>
    <n v="7652"/>
    <x v="71"/>
    <n v="430.71"/>
    <s v="Completed"/>
    <x v="0"/>
    <s v="Debit Card"/>
  </r>
  <r>
    <n v="81"/>
    <n v="2163"/>
    <x v="72"/>
    <n v="428.64"/>
    <s v="Completed"/>
    <x v="0"/>
    <s v="Apple Pay"/>
  </r>
  <r>
    <n v="82"/>
    <n v="2269"/>
    <x v="73"/>
    <n v="447.91"/>
    <s v="Completed"/>
    <x v="3"/>
    <s v="Debit Card"/>
  </r>
  <r>
    <n v="83"/>
    <n v="17"/>
    <x v="74"/>
    <n v="1354.25"/>
    <s v="Completed"/>
    <x v="3"/>
    <s v="Debit Card"/>
  </r>
  <r>
    <n v="84"/>
    <n v="4775"/>
    <x v="37"/>
    <n v="778.42"/>
    <s v="Completed"/>
    <x v="4"/>
    <s v="PayPal"/>
  </r>
  <r>
    <n v="85"/>
    <n v="3868"/>
    <x v="49"/>
    <n v="2635.23"/>
    <s v="Completed"/>
    <x v="1"/>
    <s v="Credit Card"/>
  </r>
  <r>
    <n v="86"/>
    <n v="3415"/>
    <x v="75"/>
    <n v="1681.99"/>
    <s v="Completed"/>
    <x v="1"/>
    <s v="PayPal"/>
  </r>
  <r>
    <n v="87"/>
    <n v="9028"/>
    <x v="76"/>
    <n v="352.84"/>
    <s v="Completed"/>
    <x v="1"/>
    <s v="Apple Pay"/>
  </r>
  <r>
    <n v="88"/>
    <n v="7200"/>
    <x v="77"/>
    <n v="1676.72"/>
    <s v="Completed"/>
    <x v="4"/>
    <s v="Apple Pay"/>
  </r>
  <r>
    <n v="89"/>
    <n v="9679"/>
    <x v="78"/>
    <n v="1129.0999999999999"/>
    <s v="Completed"/>
    <x v="3"/>
    <s v="Debit Card"/>
  </r>
  <r>
    <n v="90"/>
    <n v="9529"/>
    <x v="79"/>
    <n v="3515.5"/>
    <s v="Cancelled"/>
    <x v="4"/>
    <s v="Apple Pay"/>
  </r>
  <r>
    <n v="91"/>
    <n v="5292"/>
    <x v="80"/>
    <n v="539.55999999999995"/>
    <s v="Completed"/>
    <x v="2"/>
    <s v="PayPal"/>
  </r>
  <r>
    <n v="92"/>
    <n v="1929"/>
    <x v="81"/>
    <n v="479.76"/>
    <s v="Completed"/>
    <x v="2"/>
    <s v="Apple Pay"/>
  </r>
  <r>
    <n v="93"/>
    <n v="4392"/>
    <x v="60"/>
    <n v="2742.27"/>
    <s v="Completed"/>
    <x v="1"/>
    <s v="Credit Card"/>
  </r>
  <r>
    <n v="94"/>
    <n v="5447"/>
    <x v="65"/>
    <n v="193.8"/>
    <s v="Completed"/>
    <x v="1"/>
    <s v="PayPal"/>
  </r>
  <r>
    <n v="95"/>
    <n v="5612"/>
    <x v="6"/>
    <n v="1080.92"/>
    <s v="Completed"/>
    <x v="2"/>
    <s v="Apple Pay"/>
  </r>
  <r>
    <n v="96"/>
    <n v="3661"/>
    <x v="64"/>
    <n v="579.6"/>
    <s v="Completed"/>
    <x v="4"/>
    <s v="PayPal"/>
  </r>
  <r>
    <n v="97"/>
    <n v="252"/>
    <x v="82"/>
    <n v="1060.75"/>
    <s v="Completed"/>
    <x v="0"/>
    <s v="Apple Pay"/>
  </r>
  <r>
    <n v="98"/>
    <n v="7714"/>
    <x v="83"/>
    <n v="1587.17"/>
    <s v="Completed"/>
    <x v="4"/>
    <s v="PayPal"/>
  </r>
  <r>
    <n v="99"/>
    <n v="6060"/>
    <x v="58"/>
    <n v="1729.86"/>
    <s v="Completed"/>
    <x v="2"/>
    <s v="Credit Card"/>
  </r>
  <r>
    <n v="100"/>
    <n v="1637"/>
    <x v="84"/>
    <n v="154.28"/>
    <s v="Completed"/>
    <x v="3"/>
    <s v="Debit Card"/>
  </r>
  <r>
    <n v="101"/>
    <n v="3128"/>
    <x v="85"/>
    <n v="2791.45"/>
    <s v="Completed"/>
    <x v="2"/>
    <s v="Credit Card"/>
  </r>
  <r>
    <n v="102"/>
    <n v="3899"/>
    <x v="86"/>
    <n v="1830.15"/>
    <s v="Completed"/>
    <x v="3"/>
    <s v="Credit Card"/>
  </r>
  <r>
    <n v="103"/>
    <n v="9817"/>
    <x v="87"/>
    <n v="367.55"/>
    <s v="Completed"/>
    <x v="0"/>
    <s v="Credit Card"/>
  </r>
  <r>
    <n v="104"/>
    <n v="2478"/>
    <x v="88"/>
    <n v="1020.41"/>
    <s v="Completed"/>
    <x v="1"/>
    <s v="Apple Pay"/>
  </r>
  <r>
    <n v="105"/>
    <n v="8493"/>
    <x v="34"/>
    <n v="742.35"/>
    <s v="Completed"/>
    <x v="1"/>
    <s v="PayPal"/>
  </r>
  <r>
    <n v="106"/>
    <n v="6690"/>
    <x v="89"/>
    <n v="193.6"/>
    <s v="Completed"/>
    <x v="4"/>
    <s v="Apple Pay"/>
  </r>
  <r>
    <n v="107"/>
    <n v="8857"/>
    <x v="90"/>
    <n v="164.76"/>
    <s v="Completed"/>
    <x v="0"/>
    <s v="Apple Pay"/>
  </r>
  <r>
    <n v="108"/>
    <n v="9904"/>
    <x v="91"/>
    <n v="1816.72"/>
    <s v="Completed"/>
    <x v="4"/>
    <s v="Apple Pay"/>
  </r>
  <r>
    <n v="109"/>
    <n v="7569"/>
    <x v="90"/>
    <n v="250.59"/>
    <s v="Completed"/>
    <x v="0"/>
    <s v="Apple Pay"/>
  </r>
  <r>
    <n v="110"/>
    <n v="4358"/>
    <x v="92"/>
    <n v="2003.91"/>
    <s v="Completed"/>
    <x v="3"/>
    <s v="Credit Card"/>
  </r>
  <r>
    <n v="111"/>
    <n v="3325"/>
    <x v="47"/>
    <n v="1238.19"/>
    <s v="Completed"/>
    <x v="1"/>
    <s v="Apple Pay"/>
  </r>
  <r>
    <n v="112"/>
    <n v="3648"/>
    <x v="93"/>
    <n v="805.26"/>
    <s v="Completed"/>
    <x v="2"/>
    <s v="Apple Pay"/>
  </r>
  <r>
    <n v="113"/>
    <n v="5220"/>
    <x v="94"/>
    <n v="270.86"/>
    <s v="Completed"/>
    <x v="3"/>
    <s v="Credit Card"/>
  </r>
  <r>
    <n v="114"/>
    <n v="1765"/>
    <x v="95"/>
    <n v="593.62"/>
    <s v="Completed"/>
    <x v="4"/>
    <s v="Credit Card"/>
  </r>
  <r>
    <n v="115"/>
    <n v="6907"/>
    <x v="96"/>
    <n v="2876.18"/>
    <s v="Completed"/>
    <x v="2"/>
    <s v="PayPal"/>
  </r>
  <r>
    <n v="116"/>
    <n v="2252"/>
    <x v="97"/>
    <n v="3170.97"/>
    <s v="Completed"/>
    <x v="0"/>
    <s v="PayPal"/>
  </r>
  <r>
    <n v="117"/>
    <n v="4293"/>
    <x v="98"/>
    <n v="684.6"/>
    <s v="Completed"/>
    <x v="4"/>
    <s v="Debit Card"/>
  </r>
  <r>
    <n v="118"/>
    <n v="4625"/>
    <x v="99"/>
    <n v="352.84"/>
    <s v="Completed"/>
    <x v="2"/>
    <s v="PayPal"/>
  </r>
  <r>
    <n v="119"/>
    <n v="6665"/>
    <x v="100"/>
    <n v="2465.02"/>
    <s v="Completed"/>
    <x v="3"/>
    <s v="PayPal"/>
  </r>
  <r>
    <n v="120"/>
    <n v="9753"/>
    <x v="58"/>
    <n v="475.16"/>
    <s v="Completed"/>
    <x v="1"/>
    <s v="Credit Card"/>
  </r>
  <r>
    <n v="121"/>
    <n v="1158"/>
    <x v="6"/>
    <n v="2574.63"/>
    <s v="Completed"/>
    <x v="2"/>
    <s v="PayPal"/>
  </r>
  <r>
    <n v="122"/>
    <n v="3040"/>
    <x v="101"/>
    <n v="898.73"/>
    <s v="Completed"/>
    <x v="1"/>
    <s v="PayPal"/>
  </r>
  <r>
    <n v="123"/>
    <n v="6832"/>
    <x v="102"/>
    <n v="1860.2"/>
    <s v="Completed"/>
    <x v="4"/>
    <s v="PayPal"/>
  </r>
  <r>
    <n v="124"/>
    <n v="7927"/>
    <x v="76"/>
    <n v="813.52"/>
    <s v="Completed"/>
    <x v="0"/>
    <s v="Debit Card"/>
  </r>
  <r>
    <n v="125"/>
    <n v="1940"/>
    <x v="103"/>
    <n v="152.53"/>
    <s v="Completed"/>
    <x v="4"/>
    <s v="Debit Card"/>
  </r>
  <r>
    <n v="126"/>
    <n v="5013"/>
    <x v="104"/>
    <n v="1611.98"/>
    <s v="Completed"/>
    <x v="3"/>
    <s v="Debit Card"/>
  </r>
  <r>
    <n v="127"/>
    <n v="1300"/>
    <x v="3"/>
    <n v="1277.68"/>
    <s v="Completed"/>
    <x v="1"/>
    <s v="Apple Pay"/>
  </r>
  <r>
    <n v="128"/>
    <n v="394"/>
    <x v="105"/>
    <n v="1802.19"/>
    <s v="Completed"/>
    <x v="3"/>
    <s v="Debit Card"/>
  </r>
  <r>
    <n v="129"/>
    <n v="9908"/>
    <x v="34"/>
    <n v="100.33"/>
    <s v="Completed"/>
    <x v="0"/>
    <s v="Debit Card"/>
  </r>
  <r>
    <n v="130"/>
    <n v="9139"/>
    <x v="106"/>
    <n v="1630.78"/>
    <s v="Completed"/>
    <x v="3"/>
    <s v="PayPal"/>
  </r>
  <r>
    <n v="131"/>
    <n v="5281"/>
    <x v="107"/>
    <n v="591.58000000000004"/>
    <s v="Completed"/>
    <x v="0"/>
    <s v="Debit Card"/>
  </r>
  <r>
    <n v="132"/>
    <n v="4722"/>
    <x v="63"/>
    <n v="925.77"/>
    <s v="Completed"/>
    <x v="2"/>
    <s v="Credit Card"/>
  </r>
  <r>
    <n v="133"/>
    <n v="4458"/>
    <x v="108"/>
    <n v="1565.22"/>
    <s v="Completed"/>
    <x v="3"/>
    <s v="Apple Pay"/>
  </r>
  <r>
    <n v="134"/>
    <n v="2839"/>
    <x v="20"/>
    <n v="2100.86"/>
    <s v="Completed"/>
    <x v="0"/>
    <s v="Debit Card"/>
  </r>
  <r>
    <n v="135"/>
    <n v="7"/>
    <x v="83"/>
    <n v="543.53"/>
    <s v="Completed"/>
    <x v="2"/>
    <s v="PayPal"/>
  </r>
  <r>
    <n v="136"/>
    <n v="1566"/>
    <x v="95"/>
    <n v="661.44"/>
    <s v="Completed"/>
    <x v="0"/>
    <s v="PayPal"/>
  </r>
  <r>
    <n v="137"/>
    <n v="1604"/>
    <x v="29"/>
    <n v="1686.49"/>
    <s v="Completed"/>
    <x v="3"/>
    <s v="Debit Card"/>
  </r>
  <r>
    <n v="138"/>
    <n v="3846"/>
    <x v="109"/>
    <n v="4140.13"/>
    <s v="Completed"/>
    <x v="0"/>
    <s v="Debit Card"/>
  </r>
  <r>
    <n v="139"/>
    <n v="8004"/>
    <x v="110"/>
    <n v="132.47999999999999"/>
    <s v="Completed"/>
    <x v="3"/>
    <s v="Apple Pay"/>
  </r>
  <r>
    <n v="140"/>
    <n v="7343"/>
    <x v="111"/>
    <n v="779.55"/>
    <s v="Completed"/>
    <x v="2"/>
    <s v="PayPal"/>
  </r>
  <r>
    <n v="141"/>
    <n v="9531"/>
    <x v="103"/>
    <n v="1022.19"/>
    <s v="Completed"/>
    <x v="4"/>
    <s v="Credit Card"/>
  </r>
  <r>
    <n v="142"/>
    <n v="2426"/>
    <x v="107"/>
    <n v="2046.36"/>
    <s v="Completed"/>
    <x v="2"/>
    <s v="Debit Card"/>
  </r>
  <r>
    <n v="143"/>
    <n v="8362"/>
    <x v="112"/>
    <n v="788.31"/>
    <s v="Completed"/>
    <x v="3"/>
    <s v="Credit Card"/>
  </r>
  <r>
    <n v="144"/>
    <n v="5701"/>
    <x v="109"/>
    <n v="1365.96"/>
    <s v="Completed"/>
    <x v="2"/>
    <s v="Apple Pay"/>
  </r>
  <r>
    <n v="145"/>
    <n v="2798"/>
    <x v="94"/>
    <n v="3440.55"/>
    <s v="Completed"/>
    <x v="1"/>
    <s v="Debit Card"/>
  </r>
  <r>
    <n v="146"/>
    <n v="6045"/>
    <x v="113"/>
    <n v="8831.2000000000007"/>
    <s v="Completed"/>
    <x v="0"/>
    <s v="Debit Card"/>
  </r>
  <r>
    <n v="147"/>
    <n v="1956"/>
    <x v="114"/>
    <n v="1128.9100000000001"/>
    <s v="Completed"/>
    <x v="3"/>
    <s v="Debit Card"/>
  </r>
  <r>
    <n v="148"/>
    <n v="2684"/>
    <x v="115"/>
    <n v="617.32000000000005"/>
    <s v="Completed"/>
    <x v="1"/>
    <s v="Credit Card"/>
  </r>
  <r>
    <n v="149"/>
    <n v="3573"/>
    <x v="81"/>
    <n v="1972.1"/>
    <s v="Completed"/>
    <x v="1"/>
    <s v="Credit Card"/>
  </r>
  <r>
    <n v="150"/>
    <n v="9973"/>
    <x v="116"/>
    <n v="618.92999999999995"/>
    <s v="Completed"/>
    <x v="0"/>
    <s v="Debit Card"/>
  </r>
  <r>
    <n v="151"/>
    <n v="6147"/>
    <x v="100"/>
    <n v="442.46"/>
    <s v="Completed"/>
    <x v="3"/>
    <s v="Debit Card"/>
  </r>
  <r>
    <n v="152"/>
    <n v="3032"/>
    <x v="90"/>
    <n v="391.53"/>
    <s v="Completed"/>
    <x v="3"/>
    <s v="PayPal"/>
  </r>
  <r>
    <n v="153"/>
    <n v="7882"/>
    <x v="117"/>
    <n v="89.27"/>
    <s v="Completed"/>
    <x v="2"/>
    <s v="Debit Card"/>
  </r>
  <r>
    <n v="154"/>
    <n v="9739"/>
    <x v="118"/>
    <n v="585.82000000000005"/>
    <s v="Completed"/>
    <x v="3"/>
    <s v="Debit Card"/>
  </r>
  <r>
    <n v="155"/>
    <n v="9862"/>
    <x v="119"/>
    <n v="653.20000000000005"/>
    <s v="Completed"/>
    <x v="3"/>
    <s v="PayPal"/>
  </r>
  <r>
    <n v="156"/>
    <n v="2199"/>
    <x v="120"/>
    <n v="303.45999999999998"/>
    <s v="Completed"/>
    <x v="2"/>
    <s v="PayPal"/>
  </r>
  <r>
    <n v="157"/>
    <n v="3962"/>
    <x v="118"/>
    <n v="181.61"/>
    <s v="Completed"/>
    <x v="2"/>
    <s v="Apple Pay"/>
  </r>
  <r>
    <n v="158"/>
    <n v="2040"/>
    <x v="121"/>
    <n v="3816.02"/>
    <s v="Completed"/>
    <x v="4"/>
    <s v="Debit Card"/>
  </r>
  <r>
    <n v="159"/>
    <n v="8737"/>
    <x v="122"/>
    <n v="2161.8200000000002"/>
    <s v="Completed"/>
    <x v="3"/>
    <s v="PayPal"/>
  </r>
  <r>
    <n v="160"/>
    <n v="6122"/>
    <x v="89"/>
    <n v="2051.35"/>
    <s v="Completed"/>
    <x v="0"/>
    <s v="Apple Pay"/>
  </r>
  <r>
    <n v="161"/>
    <n v="1112"/>
    <x v="123"/>
    <n v="1151.76"/>
    <s v="Completed"/>
    <x v="3"/>
    <s v="PayPal"/>
  </r>
  <r>
    <n v="162"/>
    <n v="9761"/>
    <x v="94"/>
    <n v="618.92999999999995"/>
    <s v="Completed"/>
    <x v="1"/>
    <s v="Debit Card"/>
  </r>
  <r>
    <n v="163"/>
    <n v="5463"/>
    <x v="124"/>
    <n v="2486.02"/>
    <s v="Completed"/>
    <x v="4"/>
    <s v="Credit Card"/>
  </r>
  <r>
    <n v="164"/>
    <n v="9953"/>
    <x v="96"/>
    <n v="526.08000000000004"/>
    <s v="Completed"/>
    <x v="3"/>
    <s v="Apple Pay"/>
  </r>
  <r>
    <n v="165"/>
    <n v="8680"/>
    <x v="125"/>
    <n v="352.84"/>
    <s v="Completed"/>
    <x v="1"/>
    <s v="Debit Card"/>
  </r>
  <r>
    <n v="166"/>
    <n v="9531"/>
    <x v="126"/>
    <n v="984.1"/>
    <s v="Completed"/>
    <x v="4"/>
    <s v="Debit Card"/>
  </r>
  <r>
    <n v="167"/>
    <n v="6540"/>
    <x v="125"/>
    <n v="1695.09"/>
    <s v="Completed"/>
    <x v="4"/>
    <s v="PayPal"/>
  </r>
  <r>
    <n v="168"/>
    <n v="923"/>
    <x v="122"/>
    <n v="2534.5700000000002"/>
    <s v="Completed"/>
    <x v="1"/>
    <s v="PayPal"/>
  </r>
  <r>
    <n v="169"/>
    <n v="5751"/>
    <x v="127"/>
    <n v="1608.66"/>
    <s v="Completed"/>
    <x v="1"/>
    <s v="PayPal"/>
  </r>
  <r>
    <n v="170"/>
    <n v="1180"/>
    <x v="118"/>
    <n v="2447.66"/>
    <s v="Completed"/>
    <x v="1"/>
    <s v="PayPal"/>
  </r>
  <r>
    <n v="171"/>
    <n v="4321"/>
    <x v="128"/>
    <n v="280.61"/>
    <s v="Completed"/>
    <x v="4"/>
    <s v="Credit Card"/>
  </r>
  <r>
    <n v="172"/>
    <n v="1885"/>
    <x v="83"/>
    <n v="1417.1"/>
    <s v="Completed"/>
    <x v="0"/>
    <s v="Apple Pay"/>
  </r>
  <r>
    <n v="173"/>
    <n v="9172"/>
    <x v="129"/>
    <n v="3998.39"/>
    <s v="Completed"/>
    <x v="3"/>
    <s v="Debit Card"/>
  </r>
  <r>
    <n v="174"/>
    <n v="597"/>
    <x v="130"/>
    <n v="105.06"/>
    <s v="Completed"/>
    <x v="4"/>
    <s v="PayPal"/>
  </r>
  <r>
    <n v="175"/>
    <n v="8691"/>
    <x v="131"/>
    <n v="435.69"/>
    <s v="Completed"/>
    <x v="1"/>
    <s v="Debit Card"/>
  </r>
  <r>
    <n v="176"/>
    <n v="8684"/>
    <x v="132"/>
    <n v="1252.19"/>
    <s v="Completed"/>
    <x v="3"/>
    <s v="Apple Pay"/>
  </r>
  <r>
    <n v="177"/>
    <n v="3553"/>
    <x v="133"/>
    <n v="1185.6600000000001"/>
    <s v="Completed"/>
    <x v="0"/>
    <s v="Apple Pay"/>
  </r>
  <r>
    <n v="178"/>
    <n v="4796"/>
    <x v="107"/>
    <n v="1321.63"/>
    <s v="Completed"/>
    <x v="4"/>
    <s v="Debit Card"/>
  </r>
  <r>
    <n v="179"/>
    <n v="4891"/>
    <x v="69"/>
    <n v="485.89"/>
    <s v="Completed"/>
    <x v="1"/>
    <s v="Apple Pay"/>
  </r>
  <r>
    <n v="180"/>
    <n v="1791"/>
    <x v="7"/>
    <n v="661.44"/>
    <s v="Completed"/>
    <x v="4"/>
    <s v="Apple Pay"/>
  </r>
  <r>
    <n v="181"/>
    <n v="943"/>
    <x v="134"/>
    <n v="235.13"/>
    <s v="Completed"/>
    <x v="0"/>
    <s v="PayPal"/>
  </r>
  <r>
    <n v="182"/>
    <n v="1682"/>
    <x v="92"/>
    <n v="377.58"/>
    <s v="Completed"/>
    <x v="3"/>
    <s v="Debit Card"/>
  </r>
  <r>
    <n v="183"/>
    <n v="5689"/>
    <x v="135"/>
    <n v="1910.87"/>
    <s v="Completed"/>
    <x v="4"/>
    <s v="Debit Card"/>
  </r>
  <r>
    <n v="184"/>
    <n v="9292"/>
    <x v="136"/>
    <n v="88.32"/>
    <s v="Completed"/>
    <x v="1"/>
    <s v="Credit Card"/>
  </r>
  <r>
    <n v="185"/>
    <n v="4122"/>
    <x v="137"/>
    <n v="1262.3599999999999"/>
    <s v="Returned"/>
    <x v="1"/>
    <s v="Credit Card"/>
  </r>
  <r>
    <n v="186"/>
    <n v="3974"/>
    <x v="135"/>
    <n v="1714.39"/>
    <s v="Completed"/>
    <x v="3"/>
    <s v="PayPal"/>
  </r>
  <r>
    <n v="187"/>
    <n v="6762"/>
    <x v="44"/>
    <n v="1911.37"/>
    <s v="Completed"/>
    <x v="2"/>
    <s v="Credit Card"/>
  </r>
  <r>
    <n v="188"/>
    <n v="3876"/>
    <x v="105"/>
    <n v="493.21"/>
    <s v="Completed"/>
    <x v="4"/>
    <s v="Debit Card"/>
  </r>
  <r>
    <n v="189"/>
    <n v="3041"/>
    <x v="138"/>
    <n v="1629.76"/>
    <s v="Completed"/>
    <x v="4"/>
    <s v="Apple Pay"/>
  </r>
  <r>
    <n v="190"/>
    <n v="3493"/>
    <x v="139"/>
    <n v="428.94"/>
    <s v="Completed"/>
    <x v="0"/>
    <s v="PayPal"/>
  </r>
  <r>
    <n v="191"/>
    <n v="447"/>
    <x v="88"/>
    <n v="2440.64"/>
    <s v="Completed"/>
    <x v="2"/>
    <s v="Debit Card"/>
  </r>
  <r>
    <n v="192"/>
    <n v="5978"/>
    <x v="23"/>
    <n v="870.51"/>
    <s v="Completed"/>
    <x v="2"/>
    <s v="PayPal"/>
  </r>
  <r>
    <n v="193"/>
    <n v="3713"/>
    <x v="140"/>
    <n v="2318.85"/>
    <s v="Completed"/>
    <x v="2"/>
    <s v="Debit Card"/>
  </r>
  <r>
    <n v="194"/>
    <n v="2255"/>
    <x v="128"/>
    <n v="2784.03"/>
    <s v="Completed"/>
    <x v="4"/>
    <s v="Debit Card"/>
  </r>
  <r>
    <n v="195"/>
    <n v="7183"/>
    <x v="141"/>
    <n v="517.32000000000005"/>
    <s v="Completed"/>
    <x v="2"/>
    <s v="Credit Card"/>
  </r>
  <r>
    <n v="196"/>
    <n v="4449"/>
    <x v="142"/>
    <n v="2424.13"/>
    <s v="Completed"/>
    <x v="1"/>
    <s v="Apple Pay"/>
  </r>
  <r>
    <n v="197"/>
    <n v="3272"/>
    <x v="134"/>
    <n v="314.92"/>
    <s v="Completed"/>
    <x v="4"/>
    <s v="Apple Pay"/>
  </r>
  <r>
    <n v="198"/>
    <n v="5882"/>
    <x v="143"/>
    <n v="428.96"/>
    <s v="Completed"/>
    <x v="3"/>
    <s v="Debit Card"/>
  </r>
  <r>
    <n v="199"/>
    <n v="8953"/>
    <x v="144"/>
    <n v="409.78"/>
    <s v="Completed"/>
    <x v="3"/>
    <s v="Debit Card"/>
  </r>
  <r>
    <n v="200"/>
    <n v="651"/>
    <x v="145"/>
    <n v="3419.98"/>
    <s v="Completed"/>
    <x v="3"/>
    <s v="Apple Pay"/>
  </r>
  <r>
    <n v="201"/>
    <n v="731"/>
    <x v="63"/>
    <n v="442.46"/>
    <s v="Completed"/>
    <x v="0"/>
    <s v="Apple Pay"/>
  </r>
  <r>
    <n v="202"/>
    <n v="2296"/>
    <x v="146"/>
    <n v="3425.5"/>
    <s v="Completed"/>
    <x v="1"/>
    <s v="PayPal"/>
  </r>
  <r>
    <n v="203"/>
    <n v="2754"/>
    <x v="147"/>
    <n v="411.34"/>
    <s v="Completed"/>
    <x v="4"/>
    <s v="Debit Card"/>
  </r>
  <r>
    <n v="204"/>
    <n v="2145"/>
    <x v="148"/>
    <n v="295.79000000000002"/>
    <s v="Completed"/>
    <x v="3"/>
    <s v="Credit Card"/>
  </r>
  <r>
    <n v="205"/>
    <n v="1562"/>
    <x v="114"/>
    <n v="2338"/>
    <s v="Completed"/>
    <x v="1"/>
    <s v="Credit Card"/>
  </r>
  <r>
    <n v="206"/>
    <n v="7148"/>
    <x v="55"/>
    <n v="544.63"/>
    <s v="Completed"/>
    <x v="4"/>
    <s v="Credit Card"/>
  </r>
  <r>
    <n v="207"/>
    <n v="2966"/>
    <x v="49"/>
    <n v="1129.0999999999999"/>
    <s v="Returned"/>
    <x v="1"/>
    <s v="Credit Card"/>
  </r>
  <r>
    <n v="208"/>
    <n v="9250"/>
    <x v="41"/>
    <n v="528.34"/>
    <s v="Completed"/>
    <x v="0"/>
    <s v="Credit Card"/>
  </r>
  <r>
    <n v="209"/>
    <n v="3412"/>
    <x v="134"/>
    <n v="151.46"/>
    <s v="Cancelled"/>
    <x v="3"/>
    <s v="PayPal"/>
  </r>
  <r>
    <n v="210"/>
    <n v="7717"/>
    <x v="149"/>
    <n v="1311.98"/>
    <s v="Completed"/>
    <x v="1"/>
    <s v="Apple Pay"/>
  </r>
  <r>
    <n v="211"/>
    <n v="5927"/>
    <x v="150"/>
    <n v="2851"/>
    <s v="Completed"/>
    <x v="0"/>
    <s v="Apple Pay"/>
  </r>
  <r>
    <n v="212"/>
    <n v="3663"/>
    <x v="61"/>
    <n v="562.51"/>
    <s v="Completed"/>
    <x v="4"/>
    <s v="Debit Card"/>
  </r>
  <r>
    <n v="213"/>
    <n v="5879"/>
    <x v="151"/>
    <n v="878.84"/>
    <s v="Completed"/>
    <x v="1"/>
    <s v="Credit Card"/>
  </r>
  <r>
    <n v="214"/>
    <n v="3484"/>
    <x v="32"/>
    <n v="3417.97"/>
    <s v="Completed"/>
    <x v="2"/>
    <s v="Debit Card"/>
  </r>
  <r>
    <n v="215"/>
    <n v="8133"/>
    <x v="0"/>
    <n v="750.23"/>
    <s v="Completed"/>
    <x v="2"/>
    <s v="Debit Card"/>
  </r>
  <r>
    <n v="216"/>
    <n v="9954"/>
    <x v="109"/>
    <n v="4237.72"/>
    <s v="Completed"/>
    <x v="3"/>
    <s v="Credit Card"/>
  </r>
  <r>
    <n v="217"/>
    <n v="3106"/>
    <x v="152"/>
    <n v="244.93"/>
    <s v="Completed"/>
    <x v="1"/>
    <s v="Credit Card"/>
  </r>
  <r>
    <n v="218"/>
    <n v="9410"/>
    <x v="48"/>
    <n v="870.87"/>
    <s v="Completed"/>
    <x v="3"/>
    <s v="PayPal"/>
  </r>
  <r>
    <n v="219"/>
    <n v="4493"/>
    <x v="91"/>
    <n v="3365.73"/>
    <s v="Completed"/>
    <x v="4"/>
    <s v="Debit Card"/>
  </r>
  <r>
    <n v="220"/>
    <n v="9038"/>
    <x v="153"/>
    <n v="2230.69"/>
    <s v="Completed"/>
    <x v="2"/>
    <s v="Credit Card"/>
  </r>
  <r>
    <n v="221"/>
    <n v="8021"/>
    <x v="154"/>
    <n v="879.89"/>
    <s v="Completed"/>
    <x v="4"/>
    <s v="Debit Card"/>
  </r>
  <r>
    <n v="222"/>
    <n v="1864"/>
    <x v="47"/>
    <n v="257.17"/>
    <s v="Completed"/>
    <x v="1"/>
    <s v="Apple Pay"/>
  </r>
  <r>
    <n v="223"/>
    <n v="2241"/>
    <x v="155"/>
    <n v="3249.11"/>
    <s v="Completed"/>
    <x v="0"/>
    <s v="PayPal"/>
  </r>
  <r>
    <n v="224"/>
    <n v="2712"/>
    <x v="156"/>
    <n v="282.13"/>
    <s v="Completed"/>
    <x v="4"/>
    <s v="PayPal"/>
  </r>
  <r>
    <n v="225"/>
    <n v="9242"/>
    <x v="157"/>
    <n v="594.96"/>
    <s v="Completed"/>
    <x v="1"/>
    <s v="Credit Card"/>
  </r>
  <r>
    <n v="226"/>
    <n v="2682"/>
    <x v="7"/>
    <n v="1552.42"/>
    <s v="Completed"/>
    <x v="3"/>
    <s v="PayPal"/>
  </r>
  <r>
    <n v="227"/>
    <n v="8433"/>
    <x v="56"/>
    <n v="446.97"/>
    <s v="Completed"/>
    <x v="0"/>
    <s v="Credit Card"/>
  </r>
  <r>
    <n v="228"/>
    <n v="4894"/>
    <x v="111"/>
    <n v="628.59"/>
    <s v="Completed"/>
    <x v="3"/>
    <s v="Credit Card"/>
  </r>
  <r>
    <n v="229"/>
    <n v="5578"/>
    <x v="65"/>
    <n v="482.68"/>
    <s v="Completed"/>
    <x v="0"/>
    <s v="Apple Pay"/>
  </r>
  <r>
    <n v="230"/>
    <n v="9282"/>
    <x v="158"/>
    <n v="1564.3"/>
    <s v="Completed"/>
    <x v="1"/>
    <s v="Apple Pay"/>
  </r>
  <r>
    <n v="231"/>
    <n v="1224"/>
    <x v="37"/>
    <n v="3470.61"/>
    <s v="Completed"/>
    <x v="2"/>
    <s v="PayPal"/>
  </r>
  <r>
    <n v="232"/>
    <n v="9954"/>
    <x v="64"/>
    <n v="4988.5"/>
    <s v="Completed"/>
    <x v="3"/>
    <s v="Debit Card"/>
  </r>
  <r>
    <n v="233"/>
    <n v="9461"/>
    <x v="159"/>
    <n v="703.18"/>
    <s v="Completed"/>
    <x v="0"/>
    <s v="Apple Pay"/>
  </r>
  <r>
    <n v="234"/>
    <n v="5803"/>
    <x v="160"/>
    <n v="2764.02"/>
    <s v="Completed"/>
    <x v="4"/>
    <s v="Debit Card"/>
  </r>
  <r>
    <n v="235"/>
    <n v="3072"/>
    <x v="161"/>
    <n v="2470.88"/>
    <s v="Completed"/>
    <x v="1"/>
    <s v="Apple Pay"/>
  </r>
  <r>
    <n v="236"/>
    <n v="557"/>
    <x v="162"/>
    <n v="638.1"/>
    <s v="Completed"/>
    <x v="4"/>
    <s v="PayPal"/>
  </r>
  <r>
    <n v="237"/>
    <n v="1422"/>
    <x v="163"/>
    <n v="211.3"/>
    <s v="Completed"/>
    <x v="4"/>
    <s v="PayPal"/>
  </r>
  <r>
    <n v="238"/>
    <n v="1177"/>
    <x v="152"/>
    <n v="2282.0100000000002"/>
    <s v="Completed"/>
    <x v="1"/>
    <s v="Credit Card"/>
  </r>
  <r>
    <n v="239"/>
    <n v="314"/>
    <x v="164"/>
    <n v="1027.79"/>
    <s v="Completed"/>
    <x v="0"/>
    <s v="PayPal"/>
  </r>
  <r>
    <n v="240"/>
    <n v="5049"/>
    <x v="165"/>
    <n v="787.06"/>
    <s v="Completed"/>
    <x v="3"/>
    <s v="Apple Pay"/>
  </r>
  <r>
    <n v="241"/>
    <n v="6305"/>
    <x v="137"/>
    <n v="2997.87"/>
    <s v="Completed"/>
    <x v="4"/>
    <s v="Apple Pay"/>
  </r>
  <r>
    <n v="242"/>
    <n v="3008"/>
    <x v="166"/>
    <n v="5892.06"/>
    <s v="Completed"/>
    <x v="3"/>
    <s v="PayPal"/>
  </r>
  <r>
    <n v="243"/>
    <n v="8565"/>
    <x v="162"/>
    <n v="1767.82"/>
    <s v="Completed"/>
    <x v="4"/>
    <s v="Debit Card"/>
  </r>
  <r>
    <n v="244"/>
    <n v="1728"/>
    <x v="167"/>
    <n v="250.59"/>
    <s v="Completed"/>
    <x v="2"/>
    <s v="Debit Card"/>
  </r>
  <r>
    <n v="245"/>
    <n v="5990"/>
    <x v="22"/>
    <n v="3668.92"/>
    <s v="Completed"/>
    <x v="3"/>
    <s v="Credit Card"/>
  </r>
  <r>
    <n v="246"/>
    <n v="4125"/>
    <x v="168"/>
    <n v="396.62"/>
    <s v="Completed"/>
    <x v="4"/>
    <s v="PayPal"/>
  </r>
  <r>
    <n v="247"/>
    <n v="9901"/>
    <x v="58"/>
    <n v="1116.94"/>
    <s v="Completed"/>
    <x v="3"/>
    <s v="Credit Card"/>
  </r>
  <r>
    <n v="248"/>
    <n v="690"/>
    <x v="169"/>
    <n v="1415.13"/>
    <s v="Completed"/>
    <x v="3"/>
    <s v="Apple Pay"/>
  </r>
  <r>
    <n v="249"/>
    <n v="57"/>
    <x v="170"/>
    <n v="384.34"/>
    <s v="Completed"/>
    <x v="4"/>
    <s v="Credit Card"/>
  </r>
  <r>
    <n v="250"/>
    <n v="3571"/>
    <x v="118"/>
    <n v="996.68"/>
    <s v="Completed"/>
    <x v="2"/>
    <s v="Credit Card"/>
  </r>
  <r>
    <n v="251"/>
    <n v="534"/>
    <x v="128"/>
    <n v="1490.74"/>
    <s v="Completed"/>
    <x v="0"/>
    <s v="PayPal"/>
  </r>
  <r>
    <n v="252"/>
    <n v="6461"/>
    <x v="27"/>
    <n v="1043.3900000000001"/>
    <s v="Completed"/>
    <x v="1"/>
    <s v="Credit Card"/>
  </r>
  <r>
    <n v="253"/>
    <n v="598"/>
    <x v="3"/>
    <n v="652.69000000000005"/>
    <s v="Completed"/>
    <x v="2"/>
    <s v="Apple Pay"/>
  </r>
  <r>
    <n v="254"/>
    <n v="4048"/>
    <x v="13"/>
    <n v="1253.27"/>
    <s v="Completed"/>
    <x v="3"/>
    <s v="Credit Card"/>
  </r>
  <r>
    <n v="255"/>
    <n v="4637"/>
    <x v="171"/>
    <n v="1447.75"/>
    <s v="Completed"/>
    <x v="2"/>
    <s v="Apple Pay"/>
  </r>
  <r>
    <n v="256"/>
    <n v="7479"/>
    <x v="26"/>
    <n v="770.04"/>
    <s v="Completed"/>
    <x v="3"/>
    <s v="Debit Card"/>
  </r>
  <r>
    <n v="257"/>
    <n v="49"/>
    <x v="172"/>
    <n v="485.49"/>
    <s v="Completed"/>
    <x v="2"/>
    <s v="Credit Card"/>
  </r>
  <r>
    <n v="258"/>
    <n v="3947"/>
    <x v="173"/>
    <n v="7393.54"/>
    <s v="Completed"/>
    <x v="0"/>
    <s v="Debit Card"/>
  </r>
  <r>
    <n v="259"/>
    <n v="982"/>
    <x v="94"/>
    <n v="1951.27"/>
    <s v="Completed"/>
    <x v="2"/>
    <s v="Apple Pay"/>
  </r>
  <r>
    <n v="260"/>
    <n v="7308"/>
    <x v="90"/>
    <n v="2044.15"/>
    <s v="Completed"/>
    <x v="1"/>
    <s v="Debit Card"/>
  </r>
  <r>
    <n v="261"/>
    <n v="1449"/>
    <x v="174"/>
    <n v="1109.76"/>
    <s v="Completed"/>
    <x v="1"/>
    <s v="Credit Card"/>
  </r>
  <r>
    <n v="262"/>
    <n v="6828"/>
    <x v="175"/>
    <n v="652.85"/>
    <s v="Completed"/>
    <x v="2"/>
    <s v="Credit Card"/>
  </r>
  <r>
    <n v="263"/>
    <n v="4246"/>
    <x v="102"/>
    <n v="743.17"/>
    <s v="Completed"/>
    <x v="2"/>
    <s v="Apple Pay"/>
  </r>
  <r>
    <n v="264"/>
    <n v="8478"/>
    <x v="105"/>
    <n v="1012.36"/>
    <s v="Completed"/>
    <x v="0"/>
    <s v="Apple Pay"/>
  </r>
  <r>
    <n v="265"/>
    <n v="1292"/>
    <x v="13"/>
    <n v="1528.89"/>
    <s v="Completed"/>
    <x v="3"/>
    <s v="Credit Card"/>
  </r>
  <r>
    <n v="266"/>
    <n v="4055"/>
    <x v="52"/>
    <n v="230.74"/>
    <s v="Completed"/>
    <x v="0"/>
    <s v="Apple Pay"/>
  </r>
  <r>
    <n v="267"/>
    <n v="3571"/>
    <x v="5"/>
    <n v="1787.62"/>
    <s v="Completed"/>
    <x v="2"/>
    <s v="Credit Card"/>
  </r>
  <r>
    <n v="268"/>
    <n v="9009"/>
    <x v="176"/>
    <n v="2496.2600000000002"/>
    <s v="Completed"/>
    <x v="0"/>
    <s v="Credit Card"/>
  </r>
  <r>
    <n v="269"/>
    <n v="7640"/>
    <x v="155"/>
    <n v="685.35"/>
    <s v="Completed"/>
    <x v="0"/>
    <s v="Apple Pay"/>
  </r>
  <r>
    <n v="270"/>
    <n v="4469"/>
    <x v="52"/>
    <n v="2674.08"/>
    <s v="Completed"/>
    <x v="1"/>
    <s v="Apple Pay"/>
  </r>
  <r>
    <n v="271"/>
    <n v="5478"/>
    <x v="116"/>
    <n v="402.24"/>
    <s v="Completed"/>
    <x v="0"/>
    <s v="Credit Card"/>
  </r>
  <r>
    <n v="272"/>
    <n v="9904"/>
    <x v="177"/>
    <n v="159.91999999999999"/>
    <s v="Completed"/>
    <x v="4"/>
    <s v="Credit Card"/>
  </r>
  <r>
    <n v="273"/>
    <n v="4551"/>
    <x v="178"/>
    <n v="1745.47"/>
    <s v="Completed"/>
    <x v="2"/>
    <s v="Apple Pay"/>
  </r>
  <r>
    <n v="274"/>
    <n v="1735"/>
    <x v="44"/>
    <n v="1683.41"/>
    <s v="Completed"/>
    <x v="1"/>
    <s v="PayPal"/>
  </r>
  <r>
    <n v="275"/>
    <n v="7027"/>
    <x v="179"/>
    <n v="1365.96"/>
    <s v="Completed"/>
    <x v="2"/>
    <s v="Credit Card"/>
  </r>
  <r>
    <n v="276"/>
    <n v="8776"/>
    <x v="45"/>
    <n v="284.14"/>
    <s v="Completed"/>
    <x v="4"/>
    <s v="Credit Card"/>
  </r>
  <r>
    <n v="277"/>
    <n v="2986"/>
    <x v="180"/>
    <n v="1288.18"/>
    <s v="Completed"/>
    <x v="3"/>
    <s v="Apple Pay"/>
  </r>
  <r>
    <n v="278"/>
    <n v="2040"/>
    <x v="181"/>
    <n v="4720.6099999999997"/>
    <s v="Completed"/>
    <x v="4"/>
    <s v="PayPal"/>
  </r>
  <r>
    <n v="279"/>
    <n v="9077"/>
    <x v="182"/>
    <n v="1278.3"/>
    <s v="Completed"/>
    <x v="3"/>
    <s v="Debit Card"/>
  </r>
  <r>
    <n v="280"/>
    <n v="5332"/>
    <x v="28"/>
    <n v="377.58"/>
    <s v="Completed"/>
    <x v="3"/>
    <s v="PayPal"/>
  </r>
  <r>
    <n v="281"/>
    <n v="1320"/>
    <x v="128"/>
    <n v="1638.51"/>
    <s v="Completed"/>
    <x v="5"/>
    <s v="PayPal"/>
  </r>
  <r>
    <n v="282"/>
    <n v="8251"/>
    <x v="54"/>
    <n v="1657.78"/>
    <s v="Completed"/>
    <x v="0"/>
    <s v="Credit Card"/>
  </r>
  <r>
    <n v="283"/>
    <n v="9402"/>
    <x v="34"/>
    <n v="430.26"/>
    <s v="Completed"/>
    <x v="1"/>
    <s v="Apple Pay"/>
  </r>
  <r>
    <n v="284"/>
    <n v="157"/>
    <x v="46"/>
    <n v="492.32"/>
    <s v="Completed"/>
    <x v="4"/>
    <s v="PayPal"/>
  </r>
  <r>
    <n v="285"/>
    <n v="4732"/>
    <x v="183"/>
    <n v="1008.02"/>
    <s v="Completed"/>
    <x v="2"/>
    <s v="Debit Card"/>
  </r>
  <r>
    <n v="286"/>
    <n v="9023"/>
    <x v="65"/>
    <n v="496.71"/>
    <s v="Completed"/>
    <x v="0"/>
    <s v="Apple Pay"/>
  </r>
  <r>
    <n v="287"/>
    <n v="4783"/>
    <x v="100"/>
    <n v="2054.5700000000002"/>
    <s v="Completed"/>
    <x v="3"/>
    <s v="Debit Card"/>
  </r>
  <r>
    <n v="288"/>
    <n v="5743"/>
    <x v="184"/>
    <n v="2249.6799999999998"/>
    <s v="Completed"/>
    <x v="2"/>
    <s v="Apple Pay"/>
  </r>
  <r>
    <n v="289"/>
    <n v="9541"/>
    <x v="185"/>
    <n v="1426.12"/>
    <s v="Completed"/>
    <x v="0"/>
    <s v="Apple Pay"/>
  </r>
  <r>
    <n v="290"/>
    <n v="5053"/>
    <x v="184"/>
    <n v="1576.62"/>
    <s v="Completed"/>
    <x v="4"/>
    <s v="Debit Card"/>
  </r>
  <r>
    <n v="291"/>
    <n v="7343"/>
    <x v="23"/>
    <n v="2494.02"/>
    <s v="Completed"/>
    <x v="2"/>
    <s v="Debit Card"/>
  </r>
  <r>
    <n v="292"/>
    <n v="9000"/>
    <x v="17"/>
    <n v="149.63"/>
    <s v="Completed"/>
    <x v="4"/>
    <s v="Credit Card"/>
  </r>
  <r>
    <n v="293"/>
    <n v="4689"/>
    <x v="186"/>
    <n v="951.28"/>
    <s v="Completed"/>
    <x v="2"/>
    <s v="Credit Card"/>
  </r>
  <r>
    <n v="294"/>
    <n v="1759"/>
    <x v="179"/>
    <n v="881.33"/>
    <s v="Completed"/>
    <x v="3"/>
    <s v="Apple Pay"/>
  </r>
  <r>
    <n v="295"/>
    <n v="3291"/>
    <x v="79"/>
    <n v="132.22999999999999"/>
    <s v="Completed"/>
    <x v="1"/>
    <s v="Debit Card"/>
  </r>
  <r>
    <n v="296"/>
    <n v="5426"/>
    <x v="187"/>
    <n v="476.27"/>
    <s v="Completed"/>
    <x v="0"/>
    <s v="Apple Pay"/>
  </r>
  <r>
    <n v="297"/>
    <n v="4242"/>
    <x v="70"/>
    <n v="1527.31"/>
    <s v="Completed"/>
    <x v="5"/>
    <s v="Debit Card"/>
  </r>
  <r>
    <n v="298"/>
    <n v="9080"/>
    <x v="188"/>
    <n v="3525.04"/>
    <s v="Completed"/>
    <x v="3"/>
    <s v="Credit Card"/>
  </r>
  <r>
    <n v="299"/>
    <n v="4612"/>
    <x v="189"/>
    <n v="1404.52"/>
    <s v="Completed"/>
    <x v="4"/>
    <s v="Credit Card"/>
  </r>
  <r>
    <n v="300"/>
    <n v="7977"/>
    <x v="50"/>
    <n v="3095.87"/>
    <s v="Completed"/>
    <x v="2"/>
    <s v="PayPal"/>
  </r>
  <r>
    <n v="301"/>
    <n v="8114"/>
    <x v="6"/>
    <n v="414.51"/>
    <s v="Completed"/>
    <x v="3"/>
    <s v="Debit Card"/>
  </r>
  <r>
    <n v="302"/>
    <n v="951"/>
    <x v="27"/>
    <n v="871.51"/>
    <s v="Completed"/>
    <x v="3"/>
    <s v="PayPal"/>
  </r>
  <r>
    <n v="303"/>
    <n v="7355"/>
    <x v="22"/>
    <n v="1450.88"/>
    <s v="Completed"/>
    <x v="1"/>
    <s v="Apple Pay"/>
  </r>
  <r>
    <n v="304"/>
    <n v="7091"/>
    <x v="163"/>
    <n v="2114.31"/>
    <s v="Completed"/>
    <x v="3"/>
    <s v="Credit Card"/>
  </r>
  <r>
    <n v="305"/>
    <n v="9308"/>
    <x v="188"/>
    <n v="296.31"/>
    <s v="Completed"/>
    <x v="1"/>
    <s v="PayPal"/>
  </r>
  <r>
    <n v="306"/>
    <n v="171"/>
    <x v="117"/>
    <n v="953.26"/>
    <s v="Completed"/>
    <x v="0"/>
    <s v="PayPal"/>
  </r>
  <r>
    <n v="307"/>
    <n v="4479"/>
    <x v="190"/>
    <n v="140.76"/>
    <s v="Completed"/>
    <x v="2"/>
    <s v="Debit Card"/>
  </r>
  <r>
    <n v="308"/>
    <n v="2133"/>
    <x v="191"/>
    <n v="2239.79"/>
    <s v="Completed"/>
    <x v="4"/>
    <s v="Debit Card"/>
  </r>
  <r>
    <n v="309"/>
    <n v="3385"/>
    <x v="121"/>
    <n v="3161.05"/>
    <s v="Completed"/>
    <x v="2"/>
    <s v="PayPal"/>
  </r>
  <r>
    <n v="310"/>
    <n v="3943"/>
    <x v="192"/>
    <n v="2136.52"/>
    <s v="Completed"/>
    <x v="2"/>
    <s v="Credit Card"/>
  </r>
  <r>
    <n v="311"/>
    <n v="4249"/>
    <x v="133"/>
    <n v="439.1"/>
    <s v="Completed"/>
    <x v="3"/>
    <s v="Apple Pay"/>
  </r>
  <r>
    <n v="312"/>
    <n v="6644"/>
    <x v="193"/>
    <n v="1286.82"/>
    <s v="Completed"/>
    <x v="0"/>
    <s v="PayPal"/>
  </r>
  <r>
    <n v="313"/>
    <n v="1292"/>
    <x v="122"/>
    <n v="11482.2"/>
    <s v="Completed"/>
    <x v="3"/>
    <s v="Apple Pay"/>
  </r>
  <r>
    <n v="314"/>
    <n v="6036"/>
    <x v="194"/>
    <n v="1852.79"/>
    <s v="Completed"/>
    <x v="0"/>
    <s v="Credit Card"/>
  </r>
  <r>
    <n v="315"/>
    <n v="1875"/>
    <x v="195"/>
    <n v="263.39"/>
    <s v="Completed"/>
    <x v="1"/>
    <s v="Debit Card"/>
  </r>
  <r>
    <n v="316"/>
    <n v="2139"/>
    <x v="196"/>
    <n v="1458.48"/>
    <s v="Completed"/>
    <x v="3"/>
    <s v="Debit Card"/>
  </r>
  <r>
    <n v="317"/>
    <n v="5999"/>
    <x v="48"/>
    <n v="718.56"/>
    <s v="Completed"/>
    <x v="0"/>
    <s v="Debit Card"/>
  </r>
  <r>
    <n v="318"/>
    <n v="2491"/>
    <x v="46"/>
    <n v="475.16"/>
    <s v="Completed"/>
    <x v="0"/>
    <s v="Apple Pay"/>
  </r>
  <r>
    <n v="319"/>
    <n v="7875"/>
    <x v="197"/>
    <n v="414.24"/>
    <s v="Completed"/>
    <x v="2"/>
    <s v="Credit Card"/>
  </r>
  <r>
    <n v="320"/>
    <n v="8250"/>
    <x v="34"/>
    <n v="1639.19"/>
    <s v="Completed"/>
    <x v="1"/>
    <s v="Credit Card"/>
  </r>
  <r>
    <n v="321"/>
    <n v="3510"/>
    <x v="44"/>
    <n v="1473.1"/>
    <s v="Completed"/>
    <x v="3"/>
    <s v="PayPal"/>
  </r>
  <r>
    <n v="322"/>
    <n v="1506"/>
    <x v="178"/>
    <n v="748.01"/>
    <s v="Completed"/>
    <x v="4"/>
    <s v="Credit Card"/>
  </r>
  <r>
    <n v="323"/>
    <n v="6608"/>
    <x v="198"/>
    <n v="3127.97"/>
    <s v="Completed"/>
    <x v="4"/>
    <s v="Credit Card"/>
  </r>
  <r>
    <n v="324"/>
    <n v="3200"/>
    <x v="199"/>
    <n v="132.47999999999999"/>
    <s v="Completed"/>
    <x v="1"/>
    <s v="Credit Card"/>
  </r>
  <r>
    <n v="325"/>
    <n v="597"/>
    <x v="200"/>
    <n v="1092.28"/>
    <s v="Completed"/>
    <x v="4"/>
    <s v="Credit Card"/>
  </r>
  <r>
    <n v="326"/>
    <n v="6841"/>
    <x v="201"/>
    <n v="600.12"/>
    <s v="Completed"/>
    <x v="2"/>
    <s v="Credit Card"/>
  </r>
  <r>
    <n v="327"/>
    <n v="53"/>
    <x v="68"/>
    <n v="200.91"/>
    <s v="Completed"/>
    <x v="4"/>
    <s v="PayPal"/>
  </r>
  <r>
    <n v="328"/>
    <n v="9497"/>
    <x v="12"/>
    <n v="3026.99"/>
    <s v="Completed"/>
    <x v="2"/>
    <s v="PayPal"/>
  </r>
  <r>
    <n v="329"/>
    <n v="3869"/>
    <x v="202"/>
    <n v="2074.23"/>
    <s v="Completed"/>
    <x v="2"/>
    <s v="Debit Card"/>
  </r>
  <r>
    <n v="330"/>
    <n v="8114"/>
    <x v="34"/>
    <n v="378.43"/>
    <s v="Completed"/>
    <x v="3"/>
    <s v="PayPal"/>
  </r>
  <r>
    <n v="331"/>
    <n v="4252"/>
    <x v="203"/>
    <n v="1442.4"/>
    <s v="Completed"/>
    <x v="0"/>
    <s v="Debit Card"/>
  </r>
  <r>
    <n v="332"/>
    <n v="994"/>
    <x v="34"/>
    <n v="1816.72"/>
    <s v="Completed"/>
    <x v="4"/>
    <s v="PayPal"/>
  </r>
  <r>
    <n v="333"/>
    <n v="3252"/>
    <x v="204"/>
    <n v="1980.57"/>
    <s v="Completed"/>
    <x v="2"/>
    <s v="Apple Pay"/>
  </r>
  <r>
    <n v="334"/>
    <n v="5077"/>
    <x v="61"/>
    <n v="2016.04"/>
    <s v="Completed"/>
    <x v="0"/>
    <s v="PayPal"/>
  </r>
  <r>
    <n v="335"/>
    <n v="1850"/>
    <x v="42"/>
    <n v="1399.92"/>
    <s v="Completed"/>
    <x v="0"/>
    <s v="Debit Card"/>
  </r>
  <r>
    <n v="336"/>
    <n v="2627"/>
    <x v="188"/>
    <n v="325.76"/>
    <s v="Completed"/>
    <x v="0"/>
    <s v="Apple Pay"/>
  </r>
  <r>
    <n v="337"/>
    <n v="883"/>
    <x v="182"/>
    <n v="150.49"/>
    <s v="Completed"/>
    <x v="4"/>
    <s v="Debit Card"/>
  </r>
  <r>
    <n v="338"/>
    <n v="3110"/>
    <x v="205"/>
    <n v="240.57"/>
    <s v="Completed"/>
    <x v="1"/>
    <s v="PayPal"/>
  </r>
  <r>
    <n v="339"/>
    <n v="6815"/>
    <x v="206"/>
    <n v="1872.99"/>
    <s v="Completed"/>
    <x v="1"/>
    <s v="Debit Card"/>
  </r>
  <r>
    <n v="340"/>
    <n v="292"/>
    <x v="207"/>
    <n v="933.46"/>
    <s v="Completed"/>
    <x v="4"/>
    <s v="Credit Card"/>
  </r>
  <r>
    <n v="341"/>
    <n v="6553"/>
    <x v="208"/>
    <n v="843.26"/>
    <s v="Completed"/>
    <x v="0"/>
    <s v="Credit Card"/>
  </r>
  <r>
    <n v="342"/>
    <n v="2475"/>
    <x v="209"/>
    <n v="615.07000000000005"/>
    <s v="Completed"/>
    <x v="3"/>
    <s v="Apple Pay"/>
  </r>
  <r>
    <n v="343"/>
    <n v="1215"/>
    <x v="210"/>
    <n v="1752.79"/>
    <s v="Completed"/>
    <x v="4"/>
    <s v="PayPal"/>
  </r>
  <r>
    <n v="344"/>
    <n v="7269"/>
    <x v="211"/>
    <n v="382.42"/>
    <s v="Completed"/>
    <x v="2"/>
    <s v="Apple Pay"/>
  </r>
  <r>
    <n v="345"/>
    <n v="3542"/>
    <x v="30"/>
    <n v="2055.81"/>
    <s v="Completed"/>
    <x v="2"/>
    <s v="Credit Card"/>
  </r>
  <r>
    <n v="346"/>
    <n v="3498"/>
    <x v="40"/>
    <n v="152.53"/>
    <s v="Completed"/>
    <x v="0"/>
    <s v="PayPal"/>
  </r>
  <r>
    <n v="347"/>
    <n v="5923"/>
    <x v="212"/>
    <n v="1579.22"/>
    <s v="Completed"/>
    <x v="0"/>
    <s v="Apple Pay"/>
  </r>
  <r>
    <n v="348"/>
    <n v="7973"/>
    <x v="73"/>
    <n v="208.24"/>
    <s v="Completed"/>
    <x v="3"/>
    <s v="PayPal"/>
  </r>
  <r>
    <n v="349"/>
    <n v="4373"/>
    <x v="58"/>
    <n v="747.33"/>
    <s v="Completed"/>
    <x v="4"/>
    <s v="Credit Card"/>
  </r>
  <r>
    <n v="350"/>
    <n v="2113"/>
    <x v="213"/>
    <n v="2240.0300000000002"/>
    <s v="Completed"/>
    <x v="0"/>
    <s v="PayPal"/>
  </r>
  <r>
    <n v="351"/>
    <n v="9158"/>
    <x v="214"/>
    <n v="315.29000000000002"/>
    <s v="Completed"/>
    <x v="3"/>
    <s v="Apple Pay"/>
  </r>
  <r>
    <n v="352"/>
    <n v="9139"/>
    <x v="77"/>
    <n v="1085.53"/>
    <s v="Completed"/>
    <x v="3"/>
    <s v="Credit Card"/>
  </r>
  <r>
    <n v="353"/>
    <n v="1751"/>
    <x v="215"/>
    <n v="942.14"/>
    <s v="Completed"/>
    <x v="2"/>
    <s v="Credit Card"/>
  </r>
  <r>
    <n v="354"/>
    <n v="5591"/>
    <x v="216"/>
    <n v="661"/>
    <s v="Cancelled"/>
    <x v="3"/>
    <s v="Debit Card"/>
  </r>
  <r>
    <n v="355"/>
    <n v="4121"/>
    <x v="217"/>
    <n v="931.48"/>
    <s v="Completed"/>
    <x v="4"/>
    <s v="Apple Pay"/>
  </r>
  <r>
    <n v="356"/>
    <n v="3960"/>
    <x v="218"/>
    <n v="1218.0999999999999"/>
    <s v="Completed"/>
    <x v="0"/>
    <s v="Debit Card"/>
  </r>
  <r>
    <n v="357"/>
    <n v="824"/>
    <x v="110"/>
    <n v="931.48"/>
    <s v="Completed"/>
    <x v="2"/>
    <s v="PayPal"/>
  </r>
  <r>
    <n v="358"/>
    <n v="3460"/>
    <x v="219"/>
    <n v="240.57"/>
    <s v="Completed"/>
    <x v="1"/>
    <s v="PayPal"/>
  </r>
  <r>
    <n v="359"/>
    <n v="2395"/>
    <x v="216"/>
    <n v="971.78"/>
    <s v="Completed"/>
    <x v="3"/>
    <s v="Debit Card"/>
  </r>
  <r>
    <n v="360"/>
    <n v="5442"/>
    <x v="125"/>
    <n v="1559.09"/>
    <s v="Completed"/>
    <x v="2"/>
    <s v="PayPal"/>
  </r>
  <r>
    <n v="361"/>
    <n v="3585"/>
    <x v="78"/>
    <n v="217.22"/>
    <s v="Completed"/>
    <x v="3"/>
    <s v="Credit Card"/>
  </r>
  <r>
    <n v="362"/>
    <n v="8493"/>
    <x v="11"/>
    <n v="193.6"/>
    <s v="Completed"/>
    <x v="1"/>
    <s v="Credit Card"/>
  </r>
  <r>
    <n v="363"/>
    <n v="4753"/>
    <x v="220"/>
    <n v="1517.02"/>
    <s v="Completed"/>
    <x v="2"/>
    <s v="Credit Card"/>
  </r>
  <r>
    <n v="364"/>
    <n v="3123"/>
    <x v="202"/>
    <n v="2288.5700000000002"/>
    <s v="Completed"/>
    <x v="4"/>
    <s v="PayPal"/>
  </r>
  <r>
    <n v="365"/>
    <n v="308"/>
    <x v="221"/>
    <n v="1143.23"/>
    <s v="Completed"/>
    <x v="4"/>
    <s v="Apple Pay"/>
  </r>
  <r>
    <n v="366"/>
    <n v="619"/>
    <x v="113"/>
    <n v="313.3"/>
    <s v="Completed"/>
    <x v="3"/>
    <s v="Debit Card"/>
  </r>
  <r>
    <n v="367"/>
    <n v="5137"/>
    <x v="47"/>
    <n v="1849.26"/>
    <s v="Completed"/>
    <x v="4"/>
    <s v="Credit Card"/>
  </r>
  <r>
    <n v="368"/>
    <n v="975"/>
    <x v="222"/>
    <n v="997.08"/>
    <s v="Completed"/>
    <x v="2"/>
    <s v="Credit Card"/>
  </r>
  <r>
    <n v="369"/>
    <n v="8476"/>
    <x v="223"/>
    <n v="2418.11"/>
    <s v="Completed"/>
    <x v="4"/>
    <s v="Debit Card"/>
  </r>
  <r>
    <n v="370"/>
    <n v="7356"/>
    <x v="224"/>
    <n v="1206.5"/>
    <s v="Completed"/>
    <x v="1"/>
    <s v="PayPal"/>
  </r>
  <r>
    <n v="371"/>
    <n v="6014"/>
    <x v="101"/>
    <n v="353.18"/>
    <s v="Returned"/>
    <x v="1"/>
    <s v="PayPal"/>
  </r>
  <r>
    <n v="372"/>
    <n v="2437"/>
    <x v="190"/>
    <n v="2141.6799999999998"/>
    <s v="Cancelled"/>
    <x v="2"/>
    <s v="Debit Card"/>
  </r>
  <r>
    <n v="373"/>
    <n v="2004"/>
    <x v="225"/>
    <n v="539.1"/>
    <s v="Completed"/>
    <x v="3"/>
    <s v="Apple Pay"/>
  </r>
  <r>
    <n v="374"/>
    <n v="7197"/>
    <x v="34"/>
    <n v="1168.32"/>
    <s v="Completed"/>
    <x v="3"/>
    <s v="Apple Pay"/>
  </r>
  <r>
    <n v="375"/>
    <n v="1396"/>
    <x v="109"/>
    <n v="3288.53"/>
    <s v="Completed"/>
    <x v="3"/>
    <s v="Credit Card"/>
  </r>
  <r>
    <n v="376"/>
    <n v="2889"/>
    <x v="69"/>
    <n v="3837.52"/>
    <s v="Completed"/>
    <x v="1"/>
    <s v="Apple Pay"/>
  </r>
  <r>
    <n v="377"/>
    <n v="2132"/>
    <x v="226"/>
    <n v="2040.36"/>
    <s v="Completed"/>
    <x v="3"/>
    <s v="Debit Card"/>
  </r>
  <r>
    <n v="378"/>
    <n v="2584"/>
    <x v="227"/>
    <n v="193.6"/>
    <s v="Completed"/>
    <x v="0"/>
    <s v="Credit Card"/>
  </r>
  <r>
    <n v="379"/>
    <n v="8114"/>
    <x v="2"/>
    <n v="4835.24"/>
    <s v="Completed"/>
    <x v="3"/>
    <s v="Credit Card"/>
  </r>
  <r>
    <n v="380"/>
    <n v="3944"/>
    <x v="220"/>
    <n v="3063.38"/>
    <s v="Completed"/>
    <x v="1"/>
    <s v="PayPal"/>
  </r>
  <r>
    <n v="381"/>
    <n v="150"/>
    <x v="65"/>
    <n v="1459.24"/>
    <s v="Completed"/>
    <x v="0"/>
    <s v="Credit Card"/>
  </r>
  <r>
    <n v="382"/>
    <n v="3336"/>
    <x v="43"/>
    <n v="2571.4699999999998"/>
    <s v="Completed"/>
    <x v="4"/>
    <s v="Credit Card"/>
  </r>
  <r>
    <n v="383"/>
    <n v="7521"/>
    <x v="228"/>
    <n v="209.8"/>
    <s v="Completed"/>
    <x v="1"/>
    <s v="Credit Card"/>
  </r>
  <r>
    <n v="384"/>
    <n v="9169"/>
    <x v="229"/>
    <n v="1871.48"/>
    <s v="Completed"/>
    <x v="1"/>
    <s v="Apple Pay"/>
  </r>
  <r>
    <n v="385"/>
    <n v="5716"/>
    <x v="51"/>
    <n v="1276.05"/>
    <s v="Completed"/>
    <x v="0"/>
    <s v="Credit Card"/>
  </r>
  <r>
    <n v="386"/>
    <n v="1136"/>
    <x v="16"/>
    <n v="968.43"/>
    <s v="Completed"/>
    <x v="2"/>
    <s v="Apple Pay"/>
  </r>
  <r>
    <n v="387"/>
    <n v="2892"/>
    <x v="56"/>
    <n v="1095.6199999999999"/>
    <s v="Completed"/>
    <x v="2"/>
    <s v="PayPal"/>
  </r>
  <r>
    <n v="388"/>
    <n v="918"/>
    <x v="230"/>
    <n v="1955.93"/>
    <s v="Completed"/>
    <x v="4"/>
    <s v="Apple Pay"/>
  </r>
  <r>
    <n v="389"/>
    <n v="1069"/>
    <x v="52"/>
    <n v="661.44"/>
    <s v="Completed"/>
    <x v="2"/>
    <s v="PayPal"/>
  </r>
  <r>
    <n v="390"/>
    <n v="1636"/>
    <x v="199"/>
    <n v="1345.54"/>
    <s v="Completed"/>
    <x v="2"/>
    <s v="Apple Pay"/>
  </r>
  <r>
    <n v="391"/>
    <n v="5489"/>
    <x v="54"/>
    <n v="941.16"/>
    <s v="Completed"/>
    <x v="1"/>
    <s v="Credit Card"/>
  </r>
  <r>
    <n v="392"/>
    <n v="8101"/>
    <x v="181"/>
    <n v="363.68"/>
    <s v="Completed"/>
    <x v="1"/>
    <s v="Apple Pay"/>
  </r>
  <r>
    <n v="393"/>
    <n v="7658"/>
    <x v="202"/>
    <n v="313.64999999999998"/>
    <s v="Completed"/>
    <x v="3"/>
    <s v="PayPal"/>
  </r>
  <r>
    <n v="394"/>
    <n v="8889"/>
    <x v="231"/>
    <n v="1731.97"/>
    <s v="Completed"/>
    <x v="1"/>
    <s v="Apple Pay"/>
  </r>
  <r>
    <n v="395"/>
    <n v="5356"/>
    <x v="67"/>
    <n v="1061.2"/>
    <s v="Completed"/>
    <x v="4"/>
    <s v="Apple Pay"/>
  </r>
  <r>
    <n v="396"/>
    <n v="1277"/>
    <x v="125"/>
    <n v="552.98"/>
    <s v="Completed"/>
    <x v="4"/>
    <s v="Apple Pay"/>
  </r>
  <r>
    <n v="397"/>
    <n v="7183"/>
    <x v="75"/>
    <n v="88.32"/>
    <s v="Completed"/>
    <x v="2"/>
    <s v="Debit Card"/>
  </r>
  <r>
    <n v="398"/>
    <n v="344"/>
    <x v="181"/>
    <n v="3110.11"/>
    <s v="Returned"/>
    <x v="5"/>
    <s v="PayPal"/>
  </r>
  <r>
    <n v="399"/>
    <n v="4508"/>
    <x v="232"/>
    <n v="274.33"/>
    <s v="Completed"/>
    <x v="1"/>
    <s v="Debit Card"/>
  </r>
  <r>
    <n v="400"/>
    <n v="6946"/>
    <x v="124"/>
    <n v="154.28"/>
    <s v="Completed"/>
    <x v="4"/>
    <s v="Apple Pay"/>
  </r>
  <r>
    <n v="401"/>
    <n v="1730"/>
    <x v="74"/>
    <n v="2637.59"/>
    <s v="Completed"/>
    <x v="1"/>
    <s v="Debit Card"/>
  </r>
  <r>
    <n v="402"/>
    <n v="266"/>
    <x v="104"/>
    <n v="644.28"/>
    <s v="Completed"/>
    <x v="0"/>
    <s v="Debit Card"/>
  </r>
  <r>
    <n v="403"/>
    <n v="7472"/>
    <x v="48"/>
    <n v="207.19"/>
    <s v="Completed"/>
    <x v="3"/>
    <s v="Debit Card"/>
  </r>
  <r>
    <n v="404"/>
    <n v="4834"/>
    <x v="131"/>
    <n v="3639.15"/>
    <s v="Completed"/>
    <x v="3"/>
    <s v="PayPal"/>
  </r>
  <r>
    <n v="405"/>
    <n v="5691"/>
    <x v="233"/>
    <n v="154.02000000000001"/>
    <s v="Completed"/>
    <x v="1"/>
    <s v="Apple Pay"/>
  </r>
  <r>
    <n v="406"/>
    <n v="8017"/>
    <x v="148"/>
    <n v="1352.34"/>
    <s v="Completed"/>
    <x v="5"/>
    <s v="Debit Card"/>
  </r>
  <r>
    <n v="407"/>
    <n v="6965"/>
    <x v="166"/>
    <n v="1737.24"/>
    <s v="Returned"/>
    <x v="2"/>
    <s v="Credit Card"/>
  </r>
  <r>
    <n v="408"/>
    <n v="1627"/>
    <x v="62"/>
    <n v="613.75"/>
    <s v="Completed"/>
    <x v="0"/>
    <s v="Credit Card"/>
  </r>
  <r>
    <n v="409"/>
    <n v="8231"/>
    <x v="234"/>
    <n v="2252.67"/>
    <s v="Completed"/>
    <x v="3"/>
    <s v="Debit Card"/>
  </r>
  <r>
    <n v="410"/>
    <n v="9546"/>
    <x v="33"/>
    <n v="1814.64"/>
    <s v="Completed"/>
    <x v="0"/>
    <s v="Debit Card"/>
  </r>
  <r>
    <n v="411"/>
    <n v="8963"/>
    <x v="139"/>
    <n v="6922.31"/>
    <s v="Completed"/>
    <x v="4"/>
    <s v="PayPal"/>
  </r>
  <r>
    <n v="412"/>
    <n v="2184"/>
    <x v="120"/>
    <n v="935.66"/>
    <s v="Completed"/>
    <x v="0"/>
    <s v="Credit Card"/>
  </r>
  <r>
    <n v="413"/>
    <n v="1252"/>
    <x v="194"/>
    <n v="2731.92"/>
    <s v="Completed"/>
    <x v="4"/>
    <s v="Debit Card"/>
  </r>
  <r>
    <n v="414"/>
    <n v="3282"/>
    <x v="167"/>
    <n v="211.3"/>
    <s v="Completed"/>
    <x v="2"/>
    <s v="Apple Pay"/>
  </r>
  <r>
    <n v="415"/>
    <n v="7148"/>
    <x v="235"/>
    <n v="255.79"/>
    <s v="Completed"/>
    <x v="4"/>
    <s v="Apple Pay"/>
  </r>
  <r>
    <n v="416"/>
    <n v="6710"/>
    <x v="160"/>
    <n v="1992.18"/>
    <s v="Completed"/>
    <x v="4"/>
    <s v="PayPal"/>
  </r>
  <r>
    <n v="417"/>
    <n v="6325"/>
    <x v="224"/>
    <n v="1675.49"/>
    <s v="Completed"/>
    <x v="2"/>
    <s v="Debit Card"/>
  </r>
  <r>
    <n v="418"/>
    <n v="4288"/>
    <x v="155"/>
    <n v="313.64999999999998"/>
    <s v="Completed"/>
    <x v="1"/>
    <s v="Apple Pay"/>
  </r>
  <r>
    <n v="419"/>
    <n v="4312"/>
    <x v="233"/>
    <n v="1267.96"/>
    <s v="Completed"/>
    <x v="3"/>
    <s v="PayPal"/>
  </r>
  <r>
    <n v="420"/>
    <n v="2837"/>
    <x v="236"/>
    <n v="2238.85"/>
    <s v="Completed"/>
    <x v="3"/>
    <s v="Debit Card"/>
  </r>
  <r>
    <n v="421"/>
    <n v="1571"/>
    <x v="68"/>
    <n v="96.07"/>
    <s v="Completed"/>
    <x v="3"/>
    <s v="Credit Card"/>
  </r>
  <r>
    <n v="422"/>
    <n v="8781"/>
    <x v="32"/>
    <n v="1204.06"/>
    <s v="Completed"/>
    <x v="1"/>
    <s v="Debit Card"/>
  </r>
  <r>
    <n v="423"/>
    <n v="3602"/>
    <x v="64"/>
    <n v="2435.31"/>
    <s v="Completed"/>
    <x v="2"/>
    <s v="Debit Card"/>
  </r>
  <r>
    <n v="424"/>
    <n v="9139"/>
    <x v="197"/>
    <n v="861.87"/>
    <s v="Completed"/>
    <x v="3"/>
    <s v="Debit Card"/>
  </r>
  <r>
    <n v="425"/>
    <n v="3250"/>
    <x v="125"/>
    <n v="2752.78"/>
    <s v="Completed"/>
    <x v="3"/>
    <s v="PayPal"/>
  </r>
  <r>
    <n v="426"/>
    <n v="9029"/>
    <x v="30"/>
    <n v="2450.69"/>
    <s v="Completed"/>
    <x v="0"/>
    <s v="Apple Pay"/>
  </r>
  <r>
    <n v="427"/>
    <n v="5677"/>
    <x v="53"/>
    <n v="318.02"/>
    <s v="Completed"/>
    <x v="4"/>
    <s v="Apple Pay"/>
  </r>
  <r>
    <n v="428"/>
    <n v="1457"/>
    <x v="195"/>
    <n v="457.08"/>
    <s v="Completed"/>
    <x v="0"/>
    <s v="PayPal"/>
  </r>
  <r>
    <n v="429"/>
    <n v="3046"/>
    <x v="149"/>
    <n v="1858.95"/>
    <s v="Completed"/>
    <x v="4"/>
    <s v="PayPal"/>
  </r>
  <r>
    <n v="430"/>
    <n v="7237"/>
    <x v="237"/>
    <n v="992.37"/>
    <s v="Completed"/>
    <x v="0"/>
    <s v="Credit Card"/>
  </r>
  <r>
    <n v="431"/>
    <n v="7569"/>
    <x v="0"/>
    <n v="1644.93"/>
    <s v="Completed"/>
    <x v="0"/>
    <s v="Credit Card"/>
  </r>
  <r>
    <n v="432"/>
    <n v="1056"/>
    <x v="238"/>
    <n v="1164.17"/>
    <s v="Completed"/>
    <x v="3"/>
    <s v="Debit Card"/>
  </r>
  <r>
    <n v="433"/>
    <n v="9767"/>
    <x v="239"/>
    <n v="2529.81"/>
    <s v="Completed"/>
    <x v="4"/>
    <s v="Debit Card"/>
  </r>
  <r>
    <n v="434"/>
    <n v="4484"/>
    <x v="182"/>
    <n v="3031.85"/>
    <s v="Completed"/>
    <x v="2"/>
    <s v="PayPal"/>
  </r>
  <r>
    <n v="435"/>
    <n v="3045"/>
    <x v="29"/>
    <n v="1674.06"/>
    <s v="Completed"/>
    <x v="0"/>
    <s v="Apple Pay"/>
  </r>
  <r>
    <n v="436"/>
    <n v="4193"/>
    <x v="240"/>
    <n v="437.12"/>
    <s v="Completed"/>
    <x v="1"/>
    <s v="Apple Pay"/>
  </r>
  <r>
    <n v="437"/>
    <n v="2160"/>
    <x v="157"/>
    <n v="133.38"/>
    <s v="Completed"/>
    <x v="3"/>
    <s v="Apple Pay"/>
  </r>
  <r>
    <n v="438"/>
    <n v="1949"/>
    <x v="61"/>
    <n v="131.91"/>
    <s v="Completed"/>
    <x v="0"/>
    <s v="PayPal"/>
  </r>
  <r>
    <n v="439"/>
    <n v="3287"/>
    <x v="166"/>
    <n v="1912.64"/>
    <s v="Completed"/>
    <x v="2"/>
    <s v="Debit Card"/>
  </r>
  <r>
    <n v="440"/>
    <n v="2608"/>
    <x v="156"/>
    <n v="282.13"/>
    <s v="Completed"/>
    <x v="1"/>
    <s v="Apple Pay"/>
  </r>
  <r>
    <n v="441"/>
    <n v="2147"/>
    <x v="73"/>
    <n v="936.76"/>
    <s v="Completed"/>
    <x v="0"/>
    <s v="PayPal"/>
  </r>
  <r>
    <n v="442"/>
    <n v="4242"/>
    <x v="213"/>
    <n v="1471.58"/>
    <s v="Completed"/>
    <x v="4"/>
    <s v="Apple Pay"/>
  </r>
  <r>
    <n v="443"/>
    <n v="7151"/>
    <x v="132"/>
    <n v="875.32"/>
    <s v="Completed"/>
    <x v="3"/>
    <s v="Apple Pay"/>
  </r>
  <r>
    <n v="444"/>
    <n v="4164"/>
    <x v="241"/>
    <n v="1952.31"/>
    <s v="Completed"/>
    <x v="1"/>
    <s v="Credit Card"/>
  </r>
  <r>
    <n v="445"/>
    <n v="8616"/>
    <x v="242"/>
    <n v="2960.39"/>
    <s v="Completed"/>
    <x v="0"/>
    <s v="Apple Pay"/>
  </r>
  <r>
    <n v="446"/>
    <n v="2998"/>
    <x v="111"/>
    <n v="919.49"/>
    <s v="Completed"/>
    <x v="4"/>
    <s v="Debit Card"/>
  </r>
  <r>
    <n v="447"/>
    <n v="1674"/>
    <x v="243"/>
    <n v="1556.63"/>
    <s v="Completed"/>
    <x v="4"/>
    <s v="PayPal"/>
  </r>
  <r>
    <n v="448"/>
    <n v="1224"/>
    <x v="244"/>
    <n v="917.62"/>
    <s v="Completed"/>
    <x v="2"/>
    <s v="Debit Card"/>
  </r>
  <r>
    <n v="449"/>
    <n v="7080"/>
    <x v="103"/>
    <n v="493.21"/>
    <s v="Completed"/>
    <x v="0"/>
    <s v="Debit Card"/>
  </r>
  <r>
    <n v="450"/>
    <n v="3086"/>
    <x v="199"/>
    <n v="2455.06"/>
    <s v="Completed"/>
    <x v="1"/>
    <s v="Debit Card"/>
  </r>
  <r>
    <n v="451"/>
    <n v="2510"/>
    <x v="245"/>
    <n v="525.67999999999995"/>
    <s v="Completed"/>
    <x v="2"/>
    <s v="Debit Card"/>
  </r>
  <r>
    <n v="452"/>
    <n v="1372"/>
    <x v="199"/>
    <n v="1534.8"/>
    <s v="Completed"/>
    <x v="1"/>
    <s v="Debit Card"/>
  </r>
  <r>
    <n v="453"/>
    <n v="5651"/>
    <x v="38"/>
    <n v="2370.5700000000002"/>
    <s v="Completed"/>
    <x v="4"/>
    <s v="PayPal"/>
  </r>
  <r>
    <n v="454"/>
    <n v="7597"/>
    <x v="18"/>
    <n v="1278.28"/>
    <s v="Completed"/>
    <x v="3"/>
    <s v="PayPal"/>
  </r>
  <r>
    <n v="455"/>
    <n v="2982"/>
    <x v="96"/>
    <n v="1159.58"/>
    <s v="Completed"/>
    <x v="3"/>
    <s v="PayPal"/>
  </r>
  <r>
    <n v="456"/>
    <n v="6526"/>
    <x v="202"/>
    <n v="3366.93"/>
    <s v="Cancelled"/>
    <x v="0"/>
    <s v="Debit Card"/>
  </r>
  <r>
    <n v="457"/>
    <n v="7493"/>
    <x v="167"/>
    <n v="2704.9"/>
    <s v="Returned"/>
    <x v="0"/>
    <s v="Debit Card"/>
  </r>
  <r>
    <n v="458"/>
    <n v="5552"/>
    <x v="246"/>
    <n v="1651.23"/>
    <s v="Completed"/>
    <x v="5"/>
    <s v="PayPal"/>
  </r>
  <r>
    <n v="459"/>
    <n v="8128"/>
    <x v="73"/>
    <n v="621.26"/>
    <s v="Cancelled"/>
    <x v="2"/>
    <s v="Apple Pay"/>
  </r>
  <r>
    <n v="460"/>
    <n v="1777"/>
    <x v="247"/>
    <n v="580"/>
    <s v="Completed"/>
    <x v="1"/>
    <s v="Credit Card"/>
  </r>
  <r>
    <n v="461"/>
    <n v="5119"/>
    <x v="125"/>
    <n v="798.94"/>
    <s v="Completed"/>
    <x v="2"/>
    <s v="PayPal"/>
  </r>
  <r>
    <n v="462"/>
    <n v="9369"/>
    <x v="231"/>
    <n v="1064.6500000000001"/>
    <s v="Completed"/>
    <x v="3"/>
    <s v="Apple Pay"/>
  </r>
  <r>
    <n v="463"/>
    <n v="7074"/>
    <x v="211"/>
    <n v="201.88"/>
    <s v="Completed"/>
    <x v="4"/>
    <s v="Debit Card"/>
  </r>
  <r>
    <n v="464"/>
    <n v="6743"/>
    <x v="167"/>
    <n v="3034.04"/>
    <s v="Completed"/>
    <x v="1"/>
    <s v="Credit Card"/>
  </r>
  <r>
    <n v="465"/>
    <n v="488"/>
    <x v="153"/>
    <n v="2062.23"/>
    <s v="Cancelled"/>
    <x v="3"/>
    <s v="Apple Pay"/>
  </r>
  <r>
    <n v="466"/>
    <n v="8722"/>
    <x v="238"/>
    <n v="1946.8"/>
    <s v="Completed"/>
    <x v="3"/>
    <s v="Apple Pay"/>
  </r>
  <r>
    <n v="467"/>
    <n v="1069"/>
    <x v="142"/>
    <n v="1796.44"/>
    <s v="Completed"/>
    <x v="2"/>
    <s v="Apple Pay"/>
  </r>
  <r>
    <n v="468"/>
    <n v="1463"/>
    <x v="83"/>
    <n v="918.44"/>
    <s v="Completed"/>
    <x v="3"/>
    <s v="Debit Card"/>
  </r>
  <r>
    <n v="469"/>
    <n v="6989"/>
    <x v="173"/>
    <n v="766.48"/>
    <s v="Completed"/>
    <x v="3"/>
    <s v="PayPal"/>
  </r>
  <r>
    <n v="470"/>
    <n v="5464"/>
    <x v="139"/>
    <n v="526.08000000000004"/>
    <s v="Returned"/>
    <x v="3"/>
    <s v="Apple Pay"/>
  </r>
  <r>
    <n v="471"/>
    <n v="2797"/>
    <x v="167"/>
    <n v="3600.01"/>
    <s v="Completed"/>
    <x v="3"/>
    <s v="Debit Card"/>
  </r>
  <r>
    <n v="472"/>
    <n v="1224"/>
    <x v="232"/>
    <n v="4794.7"/>
    <s v="Completed"/>
    <x v="2"/>
    <s v="Credit Card"/>
  </r>
  <r>
    <n v="473"/>
    <n v="5778"/>
    <x v="172"/>
    <n v="1812.57"/>
    <s v="Completed"/>
    <x v="3"/>
    <s v="Apple Pay"/>
  </r>
  <r>
    <n v="474"/>
    <n v="4685"/>
    <x v="248"/>
    <n v="1626.59"/>
    <s v="Completed"/>
    <x v="2"/>
    <s v="Debit Card"/>
  </r>
  <r>
    <n v="475"/>
    <n v="3609"/>
    <x v="249"/>
    <n v="2187.4299999999998"/>
    <s v="Completed"/>
    <x v="2"/>
    <s v="Debit Card"/>
  </r>
  <r>
    <n v="476"/>
    <n v="9210"/>
    <x v="81"/>
    <n v="1126.52"/>
    <s v="Completed"/>
    <x v="3"/>
    <s v="PayPal"/>
  </r>
  <r>
    <n v="477"/>
    <n v="7686"/>
    <x v="82"/>
    <n v="822.19"/>
    <s v="Completed"/>
    <x v="4"/>
    <s v="Debit Card"/>
  </r>
  <r>
    <n v="478"/>
    <n v="4856"/>
    <x v="202"/>
    <n v="401.69"/>
    <s v="Completed"/>
    <x v="4"/>
    <s v="Apple Pay"/>
  </r>
  <r>
    <n v="479"/>
    <n v="973"/>
    <x v="250"/>
    <n v="2206.02"/>
    <s v="Cancelled"/>
    <x v="3"/>
    <s v="Credit Card"/>
  </r>
  <r>
    <n v="480"/>
    <n v="7909"/>
    <x v="85"/>
    <n v="897.32"/>
    <s v="Completed"/>
    <x v="2"/>
    <s v="Debit Card"/>
  </r>
  <r>
    <n v="481"/>
    <n v="5443"/>
    <x v="245"/>
    <n v="843.98"/>
    <s v="Completed"/>
    <x v="0"/>
    <s v="Apple Pay"/>
  </r>
  <r>
    <n v="482"/>
    <n v="8164"/>
    <x v="184"/>
    <n v="682.56"/>
    <s v="Completed"/>
    <x v="0"/>
    <s v="Credit Card"/>
  </r>
  <r>
    <n v="483"/>
    <n v="4685"/>
    <x v="93"/>
    <n v="1593.72"/>
    <s v="Completed"/>
    <x v="2"/>
    <s v="Debit Card"/>
  </r>
  <r>
    <n v="484"/>
    <n v="8722"/>
    <x v="79"/>
    <n v="440.02"/>
    <s v="Completed"/>
    <x v="3"/>
    <s v="PayPal"/>
  </r>
  <r>
    <n v="485"/>
    <n v="2913"/>
    <x v="18"/>
    <n v="2672.61"/>
    <s v="Completed"/>
    <x v="4"/>
    <s v="Credit Card"/>
  </r>
  <r>
    <n v="486"/>
    <n v="5596"/>
    <x v="104"/>
    <n v="4549.46"/>
    <s v="Completed"/>
    <x v="2"/>
    <s v="Credit Card"/>
  </r>
  <r>
    <n v="487"/>
    <n v="6115"/>
    <x v="251"/>
    <n v="1089.76"/>
    <s v="Completed"/>
    <x v="4"/>
    <s v="Debit Card"/>
  </r>
  <r>
    <n v="488"/>
    <n v="5073"/>
    <x v="252"/>
    <n v="588.33000000000004"/>
    <s v="Completed"/>
    <x v="4"/>
    <s v="Credit Card"/>
  </r>
  <r>
    <n v="489"/>
    <n v="7243"/>
    <x v="218"/>
    <n v="539.1"/>
    <s v="Completed"/>
    <x v="2"/>
    <s v="Apple Pay"/>
  </r>
  <r>
    <n v="490"/>
    <n v="824"/>
    <x v="4"/>
    <n v="142.43"/>
    <s v="Completed"/>
    <x v="2"/>
    <s v="PayPal"/>
  </r>
  <r>
    <n v="491"/>
    <n v="7155"/>
    <x v="253"/>
    <n v="4581.07"/>
    <s v="Completed"/>
    <x v="3"/>
    <s v="Debit Card"/>
  </r>
  <r>
    <n v="492"/>
    <n v="9583"/>
    <x v="90"/>
    <n v="835.33"/>
    <s v="Completed"/>
    <x v="0"/>
    <s v="Apple Pay"/>
  </r>
  <r>
    <n v="493"/>
    <n v="9273"/>
    <x v="254"/>
    <n v="1030.6199999999999"/>
    <s v="Completed"/>
    <x v="1"/>
    <s v="Apple Pay"/>
  </r>
  <r>
    <n v="494"/>
    <n v="4368"/>
    <x v="46"/>
    <n v="693.91"/>
    <s v="Completed"/>
    <x v="0"/>
    <s v="PayPal"/>
  </r>
  <r>
    <n v="495"/>
    <n v="4367"/>
    <x v="40"/>
    <n v="1840.54"/>
    <s v="Completed"/>
    <x v="3"/>
    <s v="Debit Card"/>
  </r>
  <r>
    <n v="496"/>
    <n v="9199"/>
    <x v="121"/>
    <n v="1248.75"/>
    <s v="Completed"/>
    <x v="3"/>
    <s v="Apple Pay"/>
  </r>
  <r>
    <n v="497"/>
    <n v="6006"/>
    <x v="63"/>
    <n v="3032.72"/>
    <s v="Completed"/>
    <x v="1"/>
    <s v="PayPal"/>
  </r>
  <r>
    <n v="498"/>
    <n v="8173"/>
    <x v="255"/>
    <n v="1724.3"/>
    <s v="Completed"/>
    <x v="1"/>
    <s v="PayPal"/>
  </r>
  <r>
    <n v="499"/>
    <n v="8298"/>
    <x v="162"/>
    <n v="619.65"/>
    <s v="Completed"/>
    <x v="0"/>
    <s v="PayPal"/>
  </r>
  <r>
    <n v="500"/>
    <n v="115"/>
    <x v="124"/>
    <n v="562.73"/>
    <s v="Completed"/>
    <x v="0"/>
    <s v="Credit Card"/>
  </r>
  <r>
    <n v="501"/>
    <n v="7638"/>
    <x v="256"/>
    <n v="428.44"/>
    <s v="Completed"/>
    <x v="0"/>
    <s v="Credit Card"/>
  </r>
  <r>
    <n v="502"/>
    <n v="9787"/>
    <x v="167"/>
    <n v="2247.0700000000002"/>
    <s v="Completed"/>
    <x v="2"/>
    <s v="Apple Pay"/>
  </r>
  <r>
    <n v="503"/>
    <n v="4480"/>
    <x v="179"/>
    <n v="2763.03"/>
    <s v="Completed"/>
    <x v="1"/>
    <s v="Credit Card"/>
  </r>
  <r>
    <n v="504"/>
    <n v="1141"/>
    <x v="120"/>
    <n v="1874.18"/>
    <s v="Completed"/>
    <x v="2"/>
    <s v="Credit Card"/>
  </r>
  <r>
    <n v="505"/>
    <n v="2727"/>
    <x v="257"/>
    <n v="159.37"/>
    <s v="Completed"/>
    <x v="3"/>
    <s v="Apple Pay"/>
  </r>
  <r>
    <n v="506"/>
    <n v="5897"/>
    <x v="29"/>
    <n v="1354.76"/>
    <s v="Completed"/>
    <x v="3"/>
    <s v="Apple Pay"/>
  </r>
  <r>
    <n v="507"/>
    <n v="395"/>
    <x v="258"/>
    <n v="548.39"/>
    <s v="Completed"/>
    <x v="4"/>
    <s v="Debit Card"/>
  </r>
  <r>
    <n v="508"/>
    <n v="9443"/>
    <x v="74"/>
    <n v="2576.94"/>
    <s v="Completed"/>
    <x v="4"/>
    <s v="Credit Card"/>
  </r>
  <r>
    <n v="509"/>
    <n v="3622"/>
    <x v="87"/>
    <n v="325.76"/>
    <s v="Completed"/>
    <x v="5"/>
    <s v="Apple Pay"/>
  </r>
  <r>
    <n v="510"/>
    <n v="7908"/>
    <x v="154"/>
    <n v="2402.81"/>
    <s v="Completed"/>
    <x v="3"/>
    <s v="Credit Card"/>
  </r>
  <r>
    <n v="511"/>
    <n v="1287"/>
    <x v="158"/>
    <n v="151.46"/>
    <s v="Completed"/>
    <x v="2"/>
    <s v="PayPal"/>
  </r>
  <r>
    <n v="512"/>
    <n v="1945"/>
    <x v="259"/>
    <n v="1153.5"/>
    <s v="Completed"/>
    <x v="3"/>
    <s v="Credit Card"/>
  </r>
  <r>
    <n v="513"/>
    <n v="2118"/>
    <x v="99"/>
    <n v="1860.2"/>
    <s v="Completed"/>
    <x v="0"/>
    <s v="Debit Card"/>
  </r>
  <r>
    <n v="514"/>
    <n v="5692"/>
    <x v="71"/>
    <n v="776.21"/>
    <s v="Completed"/>
    <x v="1"/>
    <s v="PayPal"/>
  </r>
  <r>
    <n v="515"/>
    <n v="9655"/>
    <x v="37"/>
    <n v="406.76"/>
    <s v="Cancelled"/>
    <x v="0"/>
    <s v="Credit Card"/>
  </r>
  <r>
    <n v="516"/>
    <n v="6044"/>
    <x v="260"/>
    <n v="1174.22"/>
    <s v="Completed"/>
    <x v="4"/>
    <s v="PayPal"/>
  </r>
  <r>
    <n v="517"/>
    <n v="3480"/>
    <x v="261"/>
    <n v="1639.66"/>
    <s v="Completed"/>
    <x v="0"/>
    <s v="PayPal"/>
  </r>
  <r>
    <n v="518"/>
    <n v="3991"/>
    <x v="21"/>
    <n v="1470.12"/>
    <s v="Completed"/>
    <x v="4"/>
    <s v="Credit Card"/>
  </r>
  <r>
    <n v="519"/>
    <n v="6992"/>
    <x v="262"/>
    <n v="2459.1799999999998"/>
    <s v="Completed"/>
    <x v="3"/>
    <s v="Apple Pay"/>
  </r>
  <r>
    <n v="520"/>
    <n v="3159"/>
    <x v="5"/>
    <n v="1355.77"/>
    <s v="Cancelled"/>
    <x v="1"/>
    <s v="Debit Card"/>
  </r>
  <r>
    <n v="521"/>
    <n v="1006"/>
    <x v="263"/>
    <n v="329.52"/>
    <s v="Completed"/>
    <x v="0"/>
    <s v="Apple Pay"/>
  </r>
  <r>
    <n v="522"/>
    <n v="4486"/>
    <x v="264"/>
    <n v="3633.29"/>
    <s v="Completed"/>
    <x v="1"/>
    <s v="Debit Card"/>
  </r>
  <r>
    <n v="523"/>
    <n v="1917"/>
    <x v="254"/>
    <n v="1740"/>
    <s v="Completed"/>
    <x v="0"/>
    <s v="Apple Pay"/>
  </r>
  <r>
    <n v="524"/>
    <n v="9856"/>
    <x v="215"/>
    <n v="439.45"/>
    <s v="Completed"/>
    <x v="1"/>
    <s v="PayPal"/>
  </r>
  <r>
    <n v="525"/>
    <n v="1196"/>
    <x v="265"/>
    <n v="250.59"/>
    <s v="Completed"/>
    <x v="2"/>
    <s v="Apple Pay"/>
  </r>
  <r>
    <n v="526"/>
    <n v="1982"/>
    <x v="16"/>
    <n v="3141.35"/>
    <s v="Completed"/>
    <x v="0"/>
    <s v="Credit Card"/>
  </r>
  <r>
    <n v="527"/>
    <n v="1807"/>
    <x v="109"/>
    <n v="1832.38"/>
    <s v="Completed"/>
    <x v="4"/>
    <s v="Credit Card"/>
  </r>
  <r>
    <n v="528"/>
    <n v="1210"/>
    <x v="266"/>
    <n v="1501.1"/>
    <s v="Completed"/>
    <x v="0"/>
    <s v="Debit Card"/>
  </r>
  <r>
    <n v="529"/>
    <n v="4218"/>
    <x v="227"/>
    <n v="90.04"/>
    <s v="Completed"/>
    <x v="2"/>
    <s v="Apple Pay"/>
  </r>
  <r>
    <n v="530"/>
    <n v="7712"/>
    <x v="35"/>
    <n v="282.13"/>
    <s v="Completed"/>
    <x v="3"/>
    <s v="PayPal"/>
  </r>
  <r>
    <n v="531"/>
    <n v="277"/>
    <x v="255"/>
    <n v="897.32"/>
    <s v="Completed"/>
    <x v="1"/>
    <s v="PayPal"/>
  </r>
  <r>
    <n v="532"/>
    <n v="6516"/>
    <x v="82"/>
    <n v="157.91999999999999"/>
    <s v="Completed"/>
    <x v="1"/>
    <s v="PayPal"/>
  </r>
  <r>
    <n v="533"/>
    <n v="6328"/>
    <x v="168"/>
    <n v="729.69"/>
    <s v="Completed"/>
    <x v="4"/>
    <s v="Credit Card"/>
  </r>
  <r>
    <n v="534"/>
    <n v="2107"/>
    <x v="267"/>
    <n v="1012.48"/>
    <s v="Completed"/>
    <x v="0"/>
    <s v="Apple Pay"/>
  </r>
  <r>
    <n v="535"/>
    <n v="9444"/>
    <x v="205"/>
    <n v="541.08000000000004"/>
    <s v="Completed"/>
    <x v="0"/>
    <s v="Credit Card"/>
  </r>
  <r>
    <n v="536"/>
    <n v="6143"/>
    <x v="187"/>
    <n v="977.28"/>
    <s v="Completed"/>
    <x v="3"/>
    <s v="PayPal"/>
  </r>
  <r>
    <n v="537"/>
    <n v="1674"/>
    <x v="246"/>
    <n v="436.2"/>
    <s v="Completed"/>
    <x v="4"/>
    <s v="Credit Card"/>
  </r>
  <r>
    <n v="538"/>
    <n v="5662"/>
    <x v="60"/>
    <n v="140.76"/>
    <s v="Completed"/>
    <x v="3"/>
    <s v="PayPal"/>
  </r>
  <r>
    <n v="539"/>
    <n v="557"/>
    <x v="211"/>
    <n v="714.65"/>
    <s v="Completed"/>
    <x v="4"/>
    <s v="PayPal"/>
  </r>
  <r>
    <n v="540"/>
    <n v="4328"/>
    <x v="245"/>
    <n v="744.5"/>
    <s v="Completed"/>
    <x v="5"/>
    <s v="Credit Card"/>
  </r>
  <r>
    <n v="541"/>
    <n v="6463"/>
    <x v="13"/>
    <n v="228.45"/>
    <s v="Completed"/>
    <x v="4"/>
    <s v="Credit Card"/>
  </r>
  <r>
    <n v="542"/>
    <n v="5332"/>
    <x v="268"/>
    <n v="2743.04"/>
    <s v="Completed"/>
    <x v="3"/>
    <s v="Credit Card"/>
  </r>
  <r>
    <n v="543"/>
    <n v="7926"/>
    <x v="4"/>
    <n v="250.16"/>
    <s v="Completed"/>
    <x v="3"/>
    <s v="PayPal"/>
  </r>
  <r>
    <n v="544"/>
    <n v="5772"/>
    <x v="81"/>
    <n v="651.52"/>
    <s v="Completed"/>
    <x v="0"/>
    <s v="PayPal"/>
  </r>
  <r>
    <n v="545"/>
    <n v="2094"/>
    <x v="97"/>
    <n v="1836.52"/>
    <s v="Completed"/>
    <x v="4"/>
    <s v="PayPal"/>
  </r>
  <r>
    <n v="546"/>
    <n v="4918"/>
    <x v="36"/>
    <n v="201.88"/>
    <s v="Completed"/>
    <x v="1"/>
    <s v="Apple Pay"/>
  </r>
  <r>
    <n v="547"/>
    <n v="7021"/>
    <x v="40"/>
    <n v="501.18"/>
    <s v="Completed"/>
    <x v="3"/>
    <s v="Apple Pay"/>
  </r>
  <r>
    <n v="548"/>
    <n v="3327"/>
    <x v="269"/>
    <n v="521.22"/>
    <s v="Completed"/>
    <x v="3"/>
    <s v="Apple Pay"/>
  </r>
  <r>
    <n v="549"/>
    <n v="4398"/>
    <x v="8"/>
    <n v="732.71"/>
    <s v="Completed"/>
    <x v="3"/>
    <s v="PayPal"/>
  </r>
  <r>
    <n v="550"/>
    <n v="5662"/>
    <x v="270"/>
    <n v="1320.06"/>
    <s v="Completed"/>
    <x v="3"/>
    <s v="PayPal"/>
  </r>
  <r>
    <n v="551"/>
    <n v="3720"/>
    <x v="71"/>
    <n v="399.61"/>
    <s v="Completed"/>
    <x v="0"/>
    <s v="Debit Card"/>
  </r>
  <r>
    <n v="552"/>
    <n v="4432"/>
    <x v="271"/>
    <n v="132.22999999999999"/>
    <s v="Completed"/>
    <x v="2"/>
    <s v="Credit Card"/>
  </r>
  <r>
    <n v="553"/>
    <n v="6895"/>
    <x v="107"/>
    <n v="2293.9"/>
    <s v="Completed"/>
    <x v="2"/>
    <s v="Debit Card"/>
  </r>
  <r>
    <n v="554"/>
    <n v="5218"/>
    <x v="177"/>
    <n v="3040.79"/>
    <s v="Completed"/>
    <x v="1"/>
    <s v="Apple Pay"/>
  </r>
  <r>
    <n v="555"/>
    <n v="7467"/>
    <x v="6"/>
    <n v="1953.51"/>
    <s v="Completed"/>
    <x v="2"/>
    <s v="Apple Pay"/>
  </r>
  <r>
    <n v="556"/>
    <n v="8300"/>
    <x v="272"/>
    <n v="647.36"/>
    <s v="Completed"/>
    <x v="3"/>
    <s v="PayPal"/>
  </r>
  <r>
    <n v="557"/>
    <n v="5216"/>
    <x v="233"/>
    <n v="278.93"/>
    <s v="Completed"/>
    <x v="3"/>
    <s v="Apple Pay"/>
  </r>
  <r>
    <n v="558"/>
    <n v="5182"/>
    <x v="248"/>
    <n v="2325.9"/>
    <s v="Completed"/>
    <x v="0"/>
    <s v="PayPal"/>
  </r>
  <r>
    <n v="559"/>
    <n v="2724"/>
    <x v="194"/>
    <n v="1676.48"/>
    <s v="Completed"/>
    <x v="0"/>
    <s v="Apple Pay"/>
  </r>
  <r>
    <n v="560"/>
    <n v="3177"/>
    <x v="273"/>
    <n v="823.54"/>
    <s v="Completed"/>
    <x v="1"/>
    <s v="Debit Card"/>
  </r>
  <r>
    <n v="561"/>
    <n v="600"/>
    <x v="177"/>
    <n v="257.17"/>
    <s v="Completed"/>
    <x v="0"/>
    <s v="Debit Card"/>
  </r>
  <r>
    <n v="562"/>
    <n v="1494"/>
    <x v="274"/>
    <n v="1129.0999999999999"/>
    <s v="Completed"/>
    <x v="5"/>
    <s v="Debit Card"/>
  </r>
  <r>
    <n v="563"/>
    <n v="3451"/>
    <x v="103"/>
    <n v="1212.02"/>
    <s v="Completed"/>
    <x v="4"/>
    <s v="Debit Card"/>
  </r>
  <r>
    <n v="564"/>
    <n v="5240"/>
    <x v="275"/>
    <n v="969.87"/>
    <s v="Completed"/>
    <x v="0"/>
    <s v="PayPal"/>
  </r>
  <r>
    <n v="565"/>
    <n v="6057"/>
    <x v="127"/>
    <n v="4913.13"/>
    <s v="Completed"/>
    <x v="3"/>
    <s v="PayPal"/>
  </r>
  <r>
    <n v="566"/>
    <n v="6489"/>
    <x v="216"/>
    <n v="890.61"/>
    <s v="Returned"/>
    <x v="4"/>
    <s v="Credit Card"/>
  </r>
  <r>
    <n v="567"/>
    <n v="1408"/>
    <x v="148"/>
    <n v="773.95"/>
    <s v="Completed"/>
    <x v="4"/>
    <s v="PayPal"/>
  </r>
  <r>
    <n v="568"/>
    <n v="8762"/>
    <x v="211"/>
    <n v="1757.6"/>
    <s v="Completed"/>
    <x v="4"/>
    <s v="Credit Card"/>
  </r>
  <r>
    <n v="569"/>
    <n v="7948"/>
    <x v="161"/>
    <n v="691.55"/>
    <s v="Completed"/>
    <x v="3"/>
    <s v="Credit Card"/>
  </r>
  <r>
    <n v="570"/>
    <n v="6825"/>
    <x v="231"/>
    <n v="3367.09"/>
    <s v="Completed"/>
    <x v="1"/>
    <s v="Credit Card"/>
  </r>
  <r>
    <n v="571"/>
    <n v="7758"/>
    <x v="254"/>
    <n v="367.61"/>
    <s v="Completed"/>
    <x v="0"/>
    <s v="Debit Card"/>
  </r>
  <r>
    <n v="572"/>
    <n v="2292"/>
    <x v="172"/>
    <n v="866.04"/>
    <s v="Completed"/>
    <x v="3"/>
    <s v="PayPal"/>
  </r>
  <r>
    <n v="573"/>
    <n v="576"/>
    <x v="261"/>
    <n v="3604.38"/>
    <s v="Completed"/>
    <x v="3"/>
    <s v="Debit Card"/>
  </r>
  <r>
    <n v="574"/>
    <n v="600"/>
    <x v="48"/>
    <n v="661.14"/>
    <s v="Completed"/>
    <x v="0"/>
    <s v="Debit Card"/>
  </r>
  <r>
    <n v="575"/>
    <n v="4382"/>
    <x v="4"/>
    <n v="401.39"/>
    <s v="Completed"/>
    <x v="2"/>
    <s v="Apple Pay"/>
  </r>
  <r>
    <n v="576"/>
    <n v="6448"/>
    <x v="4"/>
    <n v="2006.65"/>
    <s v="Completed"/>
    <x v="3"/>
    <s v="Debit Card"/>
  </r>
  <r>
    <n v="577"/>
    <n v="8327"/>
    <x v="128"/>
    <n v="703.26"/>
    <s v="Completed"/>
    <x v="2"/>
    <s v="PayPal"/>
  </r>
  <r>
    <n v="578"/>
    <n v="2187"/>
    <x v="131"/>
    <n v="549.91"/>
    <s v="Completed"/>
    <x v="0"/>
    <s v="Apple Pay"/>
  </r>
  <r>
    <n v="579"/>
    <n v="9052"/>
    <x v="206"/>
    <n v="1202.3800000000001"/>
    <s v="Cancelled"/>
    <x v="4"/>
    <s v="Apple Pay"/>
  </r>
  <r>
    <n v="580"/>
    <n v="7262"/>
    <x v="276"/>
    <n v="996.68"/>
    <s v="Completed"/>
    <x v="2"/>
    <s v="Debit Card"/>
  </r>
  <r>
    <n v="581"/>
    <n v="1898"/>
    <x v="277"/>
    <n v="545.46"/>
    <s v="Completed"/>
    <x v="0"/>
    <s v="PayPal"/>
  </r>
  <r>
    <n v="582"/>
    <n v="3336"/>
    <x v="135"/>
    <n v="1428.03"/>
    <s v="Completed"/>
    <x v="4"/>
    <s v="PayPal"/>
  </r>
  <r>
    <n v="583"/>
    <n v="7757"/>
    <x v="278"/>
    <n v="1154.53"/>
    <s v="Completed"/>
    <x v="2"/>
    <s v="Debit Card"/>
  </r>
  <r>
    <n v="584"/>
    <n v="7084"/>
    <x v="140"/>
    <n v="885.1"/>
    <s v="Completed"/>
    <x v="4"/>
    <s v="PayPal"/>
  </r>
  <r>
    <n v="585"/>
    <n v="7159"/>
    <x v="202"/>
    <n v="196.53"/>
    <s v="Completed"/>
    <x v="1"/>
    <s v="PayPal"/>
  </r>
  <r>
    <n v="586"/>
    <n v="5933"/>
    <x v="234"/>
    <n v="2731.85"/>
    <s v="Completed"/>
    <x v="0"/>
    <s v="PayPal"/>
  </r>
  <r>
    <n v="587"/>
    <n v="6174"/>
    <x v="113"/>
    <n v="3253.22"/>
    <s v="Completed"/>
    <x v="4"/>
    <s v="Debit Card"/>
  </r>
  <r>
    <n v="588"/>
    <n v="9623"/>
    <x v="89"/>
    <n v="1178.92"/>
    <s v="Completed"/>
    <x v="0"/>
    <s v="Credit Card"/>
  </r>
  <r>
    <n v="589"/>
    <n v="8653"/>
    <x v="175"/>
    <n v="1318.41"/>
    <s v="Completed"/>
    <x v="4"/>
    <s v="Apple Pay"/>
  </r>
  <r>
    <n v="590"/>
    <n v="8999"/>
    <x v="44"/>
    <n v="413.98"/>
    <s v="Completed"/>
    <x v="4"/>
    <s v="Apple Pay"/>
  </r>
  <r>
    <n v="591"/>
    <n v="5216"/>
    <x v="167"/>
    <n v="2662.2"/>
    <s v="Completed"/>
    <x v="3"/>
    <s v="Apple Pay"/>
  </r>
  <r>
    <n v="592"/>
    <n v="2060"/>
    <x v="0"/>
    <n v="1483.77"/>
    <s v="Completed"/>
    <x v="3"/>
    <s v="Apple Pay"/>
  </r>
  <r>
    <n v="593"/>
    <n v="5668"/>
    <x v="63"/>
    <n v="497.22"/>
    <s v="Completed"/>
    <x v="1"/>
    <s v="Debit Card"/>
  </r>
  <r>
    <n v="594"/>
    <n v="4004"/>
    <x v="250"/>
    <n v="5450.16"/>
    <s v="Completed"/>
    <x v="2"/>
    <s v="Credit Card"/>
  </r>
  <r>
    <n v="595"/>
    <n v="3273"/>
    <x v="37"/>
    <n v="718.56"/>
    <s v="Returned"/>
    <x v="3"/>
    <s v="PayPal"/>
  </r>
  <r>
    <n v="596"/>
    <n v="5133"/>
    <x v="279"/>
    <n v="1833.76"/>
    <s v="Completed"/>
    <x v="1"/>
    <s v="PayPal"/>
  </r>
  <r>
    <n v="597"/>
    <n v="4266"/>
    <x v="216"/>
    <n v="1982.55"/>
    <s v="Completed"/>
    <x v="4"/>
    <s v="Debit Card"/>
  </r>
  <r>
    <n v="598"/>
    <n v="7615"/>
    <x v="24"/>
    <n v="2010.45"/>
    <s v="Completed"/>
    <x v="1"/>
    <s v="Credit Card"/>
  </r>
  <r>
    <n v="599"/>
    <n v="4098"/>
    <x v="17"/>
    <n v="1548.24"/>
    <s v="Completed"/>
    <x v="0"/>
    <s v="PayPal"/>
  </r>
  <r>
    <n v="600"/>
    <n v="2122"/>
    <x v="185"/>
    <n v="1545.68"/>
    <s v="Completed"/>
    <x v="3"/>
    <s v="PayPal"/>
  </r>
  <r>
    <n v="601"/>
    <n v="5812"/>
    <x v="84"/>
    <n v="766.48"/>
    <s v="Completed"/>
    <x v="0"/>
    <s v="Credit Card"/>
  </r>
  <r>
    <n v="602"/>
    <n v="5092"/>
    <x v="157"/>
    <n v="1517.12"/>
    <s v="Completed"/>
    <x v="4"/>
    <s v="Apple Pay"/>
  </r>
  <r>
    <n v="603"/>
    <n v="8387"/>
    <x v="203"/>
    <n v="612.20000000000005"/>
    <s v="Completed"/>
    <x v="2"/>
    <s v="PayPal"/>
  </r>
  <r>
    <n v="604"/>
    <n v="6924"/>
    <x v="36"/>
    <n v="829.22"/>
    <s v="Completed"/>
    <x v="1"/>
    <s v="Credit Card"/>
  </r>
  <r>
    <n v="605"/>
    <n v="3303"/>
    <x v="96"/>
    <n v="3179.97"/>
    <s v="Completed"/>
    <x v="2"/>
    <s v="Credit Card"/>
  </r>
  <r>
    <n v="606"/>
    <n v="4341"/>
    <x v="58"/>
    <n v="538.64"/>
    <s v="Completed"/>
    <x v="0"/>
    <s v="Credit Card"/>
  </r>
  <r>
    <n v="607"/>
    <n v="9935"/>
    <x v="194"/>
    <n v="2178"/>
    <s v="Completed"/>
    <x v="4"/>
    <s v="Apple Pay"/>
  </r>
  <r>
    <n v="608"/>
    <n v="8271"/>
    <x v="249"/>
    <n v="1660.81"/>
    <s v="Completed"/>
    <x v="2"/>
    <s v="Debit Card"/>
  </r>
  <r>
    <n v="609"/>
    <n v="2191"/>
    <x v="137"/>
    <n v="449.81"/>
    <s v="Completed"/>
    <x v="0"/>
    <s v="Credit Card"/>
  </r>
  <r>
    <n v="610"/>
    <n v="5417"/>
    <x v="83"/>
    <n v="4910.7299999999996"/>
    <s v="Completed"/>
    <x v="2"/>
    <s v="Credit Card"/>
  </r>
  <r>
    <n v="611"/>
    <n v="5684"/>
    <x v="236"/>
    <n v="1421.95"/>
    <s v="Completed"/>
    <x v="2"/>
    <s v="Credit Card"/>
  </r>
  <r>
    <n v="612"/>
    <n v="339"/>
    <x v="171"/>
    <n v="2299.44"/>
    <s v="Completed"/>
    <x v="2"/>
    <s v="PayPal"/>
  </r>
  <r>
    <n v="613"/>
    <n v="1899"/>
    <x v="3"/>
    <n v="1989.51"/>
    <s v="Completed"/>
    <x v="1"/>
    <s v="Debit Card"/>
  </r>
  <r>
    <n v="614"/>
    <n v="4288"/>
    <x v="280"/>
    <n v="1442.31"/>
    <s v="Completed"/>
    <x v="1"/>
    <s v="Debit Card"/>
  </r>
  <r>
    <n v="615"/>
    <n v="7474"/>
    <x v="44"/>
    <n v="1615.41"/>
    <s v="Completed"/>
    <x v="1"/>
    <s v="PayPal"/>
  </r>
  <r>
    <n v="616"/>
    <n v="8431"/>
    <x v="231"/>
    <n v="833.86"/>
    <s v="Completed"/>
    <x v="4"/>
    <s v="Apple Pay"/>
  </r>
  <r>
    <n v="617"/>
    <n v="7166"/>
    <x v="281"/>
    <n v="1340.98"/>
    <s v="Completed"/>
    <x v="1"/>
    <s v="Credit Card"/>
  </r>
  <r>
    <n v="618"/>
    <n v="7758"/>
    <x v="155"/>
    <n v="266.31"/>
    <s v="Completed"/>
    <x v="0"/>
    <s v="Credit Card"/>
  </r>
  <r>
    <n v="619"/>
    <n v="436"/>
    <x v="256"/>
    <n v="711.25"/>
    <s v="Completed"/>
    <x v="4"/>
    <s v="Credit Card"/>
  </r>
  <r>
    <n v="620"/>
    <n v="9780"/>
    <x v="282"/>
    <n v="1517.02"/>
    <s v="Cancelled"/>
    <x v="0"/>
    <s v="Debit Card"/>
  </r>
  <r>
    <n v="621"/>
    <n v="1526"/>
    <x v="126"/>
    <n v="2946.25"/>
    <s v="Completed"/>
    <x v="1"/>
    <s v="Apple Pay"/>
  </r>
  <r>
    <n v="622"/>
    <n v="3883"/>
    <x v="188"/>
    <n v="3572.74"/>
    <s v="Completed"/>
    <x v="1"/>
    <s v="PayPal"/>
  </r>
  <r>
    <n v="623"/>
    <n v="6989"/>
    <x v="169"/>
    <n v="824.61"/>
    <s v="Cancelled"/>
    <x v="3"/>
    <s v="Debit Card"/>
  </r>
  <r>
    <n v="624"/>
    <n v="6014"/>
    <x v="223"/>
    <n v="3122.83"/>
    <s v="Completed"/>
    <x v="1"/>
    <s v="PayPal"/>
  </r>
  <r>
    <n v="625"/>
    <n v="4362"/>
    <x v="283"/>
    <n v="5106.71"/>
    <s v="Completed"/>
    <x v="1"/>
    <s v="PayPal"/>
  </r>
  <r>
    <n v="626"/>
    <n v="5797"/>
    <x v="165"/>
    <n v="2699.85"/>
    <s v="Completed"/>
    <x v="1"/>
    <s v="Credit Card"/>
  </r>
  <r>
    <n v="627"/>
    <n v="3917"/>
    <x v="128"/>
    <n v="1930.07"/>
    <s v="Completed"/>
    <x v="3"/>
    <s v="PayPal"/>
  </r>
  <r>
    <n v="628"/>
    <n v="1909"/>
    <x v="284"/>
    <n v="1554.17"/>
    <s v="Cancelled"/>
    <x v="1"/>
    <s v="PayPal"/>
  </r>
  <r>
    <n v="629"/>
    <n v="8152"/>
    <x v="16"/>
    <n v="1072.43"/>
    <s v="Completed"/>
    <x v="2"/>
    <s v="Credit Card"/>
  </r>
  <r>
    <n v="630"/>
    <n v="1857"/>
    <x v="258"/>
    <n v="209.84"/>
    <s v="Completed"/>
    <x v="1"/>
    <s v="PayPal"/>
  </r>
  <r>
    <n v="631"/>
    <n v="9868"/>
    <x v="236"/>
    <n v="209.84"/>
    <s v="Returned"/>
    <x v="2"/>
    <s v="Debit Card"/>
  </r>
  <r>
    <n v="632"/>
    <n v="7053"/>
    <x v="87"/>
    <n v="142.43"/>
    <s v="Completed"/>
    <x v="0"/>
    <s v="Debit Card"/>
  </r>
  <r>
    <n v="633"/>
    <n v="5923"/>
    <x v="148"/>
    <n v="2078.5300000000002"/>
    <s v="Completed"/>
    <x v="0"/>
    <s v="Apple Pay"/>
  </r>
  <r>
    <n v="634"/>
    <n v="5118"/>
    <x v="21"/>
    <n v="425.63"/>
    <s v="Completed"/>
    <x v="4"/>
    <s v="Apple Pay"/>
  </r>
  <r>
    <n v="635"/>
    <n v="1829"/>
    <x v="62"/>
    <n v="950.65"/>
    <s v="Completed"/>
    <x v="0"/>
    <s v="Apple Pay"/>
  </r>
  <r>
    <n v="636"/>
    <n v="8417"/>
    <x v="55"/>
    <n v="3241.23"/>
    <s v="Completed"/>
    <x v="3"/>
    <s v="Apple Pay"/>
  </r>
  <r>
    <n v="637"/>
    <n v="2278"/>
    <x v="285"/>
    <n v="1403.77"/>
    <s v="Completed"/>
    <x v="3"/>
    <s v="Debit Card"/>
  </r>
  <r>
    <n v="638"/>
    <n v="2107"/>
    <x v="286"/>
    <n v="1755.05"/>
    <s v="Completed"/>
    <x v="0"/>
    <s v="Apple Pay"/>
  </r>
  <r>
    <n v="639"/>
    <n v="2577"/>
    <x v="287"/>
    <n v="250.59"/>
    <s v="Completed"/>
    <x v="2"/>
    <s v="Credit Card"/>
  </r>
  <r>
    <n v="640"/>
    <n v="4637"/>
    <x v="26"/>
    <n v="3692.2"/>
    <s v="Completed"/>
    <x v="2"/>
    <s v="Apple Pay"/>
  </r>
  <r>
    <n v="641"/>
    <n v="1316"/>
    <x v="65"/>
    <n v="2983.44"/>
    <s v="Completed"/>
    <x v="2"/>
    <s v="PayPal"/>
  </r>
  <r>
    <n v="642"/>
    <n v="3367"/>
    <x v="128"/>
    <n v="1248.06"/>
    <s v="Completed"/>
    <x v="0"/>
    <s v="PayPal"/>
  </r>
  <r>
    <n v="643"/>
    <n v="4136"/>
    <x v="288"/>
    <n v="1252.24"/>
    <s v="Completed"/>
    <x v="1"/>
    <s v="Apple Pay"/>
  </r>
  <r>
    <n v="644"/>
    <n v="9804"/>
    <x v="100"/>
    <n v="265.95"/>
    <s v="Completed"/>
    <x v="1"/>
    <s v="Credit Card"/>
  </r>
  <r>
    <n v="645"/>
    <n v="3926"/>
    <x v="52"/>
    <n v="3387.3"/>
    <s v="Completed"/>
    <x v="0"/>
    <s v="PayPal"/>
  </r>
  <r>
    <n v="646"/>
    <n v="2311"/>
    <x v="183"/>
    <n v="2677.59"/>
    <s v="Cancelled"/>
    <x v="4"/>
    <s v="PayPal"/>
  </r>
  <r>
    <n v="647"/>
    <n v="3681"/>
    <x v="93"/>
    <n v="1399.74"/>
    <s v="Completed"/>
    <x v="4"/>
    <s v="PayPal"/>
  </r>
  <r>
    <n v="648"/>
    <n v="7211"/>
    <x v="164"/>
    <n v="225.07"/>
    <s v="Completed"/>
    <x v="1"/>
    <s v="Credit Card"/>
  </r>
  <r>
    <n v="649"/>
    <n v="8554"/>
    <x v="60"/>
    <n v="663.9"/>
    <s v="Completed"/>
    <x v="3"/>
    <s v="PayPal"/>
  </r>
  <r>
    <n v="650"/>
    <n v="5325"/>
    <x v="77"/>
    <n v="3085.4"/>
    <s v="Completed"/>
    <x v="2"/>
    <s v="PayPal"/>
  </r>
  <r>
    <n v="651"/>
    <n v="5914"/>
    <x v="166"/>
    <n v="734.16"/>
    <s v="Completed"/>
    <x v="3"/>
    <s v="Debit Card"/>
  </r>
  <r>
    <n v="652"/>
    <n v="1664"/>
    <x v="25"/>
    <n v="1175.96"/>
    <s v="Completed"/>
    <x v="0"/>
    <s v="Credit Card"/>
  </r>
  <r>
    <n v="653"/>
    <n v="2094"/>
    <x v="200"/>
    <n v="718.56"/>
    <s v="Completed"/>
    <x v="4"/>
    <s v="Credit Card"/>
  </r>
  <r>
    <n v="654"/>
    <n v="2600"/>
    <x v="185"/>
    <n v="310.18"/>
    <s v="Completed"/>
    <x v="1"/>
    <s v="Credit Card"/>
  </r>
  <r>
    <n v="655"/>
    <n v="7513"/>
    <x v="272"/>
    <n v="1604.28"/>
    <s v="Completed"/>
    <x v="0"/>
    <s v="Credit Card"/>
  </r>
  <r>
    <n v="656"/>
    <n v="7462"/>
    <x v="65"/>
    <n v="338.71"/>
    <s v="Completed"/>
    <x v="4"/>
    <s v="Apple Pay"/>
  </r>
  <r>
    <n v="657"/>
    <n v="2612"/>
    <x v="216"/>
    <n v="2381.13"/>
    <s v="Completed"/>
    <x v="3"/>
    <s v="Apple Pay"/>
  </r>
  <r>
    <n v="658"/>
    <n v="471"/>
    <x v="162"/>
    <n v="3761.5"/>
    <s v="Completed"/>
    <x v="2"/>
    <s v="Credit Card"/>
  </r>
  <r>
    <n v="659"/>
    <n v="7099"/>
    <x v="85"/>
    <n v="1022.22"/>
    <s v="Completed"/>
    <x v="3"/>
    <s v="Debit Card"/>
  </r>
  <r>
    <n v="660"/>
    <n v="8045"/>
    <x v="36"/>
    <n v="1934.26"/>
    <s v="Completed"/>
    <x v="0"/>
    <s v="Debit Card"/>
  </r>
  <r>
    <n v="661"/>
    <n v="3176"/>
    <x v="289"/>
    <n v="534.69000000000005"/>
    <s v="Completed"/>
    <x v="2"/>
    <s v="Debit Card"/>
  </r>
  <r>
    <n v="662"/>
    <n v="6268"/>
    <x v="115"/>
    <n v="1977.6"/>
    <s v="Completed"/>
    <x v="3"/>
    <s v="Credit Card"/>
  </r>
  <r>
    <n v="663"/>
    <n v="7200"/>
    <x v="290"/>
    <n v="1869.03"/>
    <s v="Completed"/>
    <x v="4"/>
    <s v="Credit Card"/>
  </r>
  <r>
    <n v="664"/>
    <n v="9004"/>
    <x v="141"/>
    <n v="271.37"/>
    <s v="Completed"/>
    <x v="5"/>
    <s v="Credit Card"/>
  </r>
  <r>
    <n v="665"/>
    <n v="2697"/>
    <x v="83"/>
    <n v="471.55"/>
    <s v="Completed"/>
    <x v="1"/>
    <s v="PayPal"/>
  </r>
  <r>
    <n v="666"/>
    <n v="8956"/>
    <x v="103"/>
    <n v="1490.74"/>
    <s v="Completed"/>
    <x v="4"/>
    <s v="Debit Card"/>
  </r>
  <r>
    <n v="667"/>
    <n v="7286"/>
    <x v="35"/>
    <n v="899.2"/>
    <s v="Completed"/>
    <x v="4"/>
    <s v="Credit Card"/>
  </r>
  <r>
    <n v="668"/>
    <n v="6466"/>
    <x v="61"/>
    <n v="2094.9499999999998"/>
    <s v="Completed"/>
    <x v="4"/>
    <s v="Credit Card"/>
  </r>
  <r>
    <n v="669"/>
    <n v="3277"/>
    <x v="15"/>
    <n v="947.59"/>
    <s v="Completed"/>
    <x v="1"/>
    <s v="Apple Pay"/>
  </r>
  <r>
    <n v="670"/>
    <n v="3797"/>
    <x v="91"/>
    <n v="44.16"/>
    <s v="Completed"/>
    <x v="4"/>
    <s v="Debit Card"/>
  </r>
  <r>
    <n v="671"/>
    <n v="7206"/>
    <x v="48"/>
    <n v="414.73"/>
    <s v="Completed"/>
    <x v="4"/>
    <s v="Debit Card"/>
  </r>
  <r>
    <n v="672"/>
    <n v="6412"/>
    <x v="291"/>
    <n v="525.75"/>
    <s v="Completed"/>
    <x v="2"/>
    <s v="PayPal"/>
  </r>
  <r>
    <n v="673"/>
    <n v="7548"/>
    <x v="292"/>
    <n v="525.04"/>
    <s v="Completed"/>
    <x v="0"/>
    <s v="Credit Card"/>
  </r>
  <r>
    <n v="674"/>
    <n v="7903"/>
    <x v="107"/>
    <n v="901.51"/>
    <s v="Completed"/>
    <x v="3"/>
    <s v="PayPal"/>
  </r>
  <r>
    <n v="675"/>
    <n v="7811"/>
    <x v="271"/>
    <n v="1621.29"/>
    <s v="Completed"/>
    <x v="2"/>
    <s v="Credit Card"/>
  </r>
  <r>
    <n v="676"/>
    <n v="5338"/>
    <x v="110"/>
    <n v="276.75"/>
    <s v="Completed"/>
    <x v="0"/>
    <s v="Apple Pay"/>
  </r>
  <r>
    <n v="677"/>
    <n v="6744"/>
    <x v="132"/>
    <n v="193.6"/>
    <s v="Completed"/>
    <x v="1"/>
    <s v="Apple Pay"/>
  </r>
  <r>
    <n v="678"/>
    <n v="3815"/>
    <x v="79"/>
    <n v="621.66999999999996"/>
    <s v="Completed"/>
    <x v="4"/>
    <s v="Apple Pay"/>
  </r>
  <r>
    <n v="679"/>
    <n v="6597"/>
    <x v="102"/>
    <n v="1254.7"/>
    <s v="Completed"/>
    <x v="3"/>
    <s v="Apple Pay"/>
  </r>
  <r>
    <n v="680"/>
    <n v="620"/>
    <x v="293"/>
    <n v="3575.19"/>
    <s v="Completed"/>
    <x v="1"/>
    <s v="Credit Card"/>
  </r>
  <r>
    <n v="681"/>
    <n v="523"/>
    <x v="35"/>
    <n v="1634.4"/>
    <s v="Completed"/>
    <x v="3"/>
    <s v="Credit Card"/>
  </r>
  <r>
    <n v="682"/>
    <n v="5540"/>
    <x v="25"/>
    <n v="485.49"/>
    <s v="Completed"/>
    <x v="4"/>
    <s v="Apple Pay"/>
  </r>
  <r>
    <n v="683"/>
    <n v="7741"/>
    <x v="294"/>
    <n v="339.07"/>
    <s v="Completed"/>
    <x v="4"/>
    <s v="Debit Card"/>
  </r>
  <r>
    <n v="684"/>
    <n v="3569"/>
    <x v="295"/>
    <n v="3081.07"/>
    <s v="Completed"/>
    <x v="1"/>
    <s v="Credit Card"/>
  </r>
  <r>
    <n v="685"/>
    <n v="4682"/>
    <x v="243"/>
    <n v="2044.21"/>
    <s v="Completed"/>
    <x v="4"/>
    <s v="Credit Card"/>
  </r>
  <r>
    <n v="686"/>
    <n v="5697"/>
    <x v="119"/>
    <n v="844.85"/>
    <s v="Completed"/>
    <x v="0"/>
    <s v="Credit Card"/>
  </r>
  <r>
    <n v="687"/>
    <n v="4470"/>
    <x v="157"/>
    <n v="1994.61"/>
    <s v="Completed"/>
    <x v="3"/>
    <s v="Credit Card"/>
  </r>
  <r>
    <n v="688"/>
    <n v="8719"/>
    <x v="122"/>
    <n v="2256.7600000000002"/>
    <s v="Completed"/>
    <x v="5"/>
    <s v="Credit Card"/>
  </r>
  <r>
    <n v="689"/>
    <n v="9402"/>
    <x v="137"/>
    <n v="2506.1"/>
    <s v="Completed"/>
    <x v="1"/>
    <s v="PayPal"/>
  </r>
  <r>
    <n v="690"/>
    <n v="2145"/>
    <x v="75"/>
    <n v="623.01"/>
    <s v="Completed"/>
    <x v="3"/>
    <s v="Debit Card"/>
  </r>
  <r>
    <n v="691"/>
    <n v="2530"/>
    <x v="43"/>
    <n v="594.9"/>
    <s v="Cancelled"/>
    <x v="4"/>
    <s v="PayPal"/>
  </r>
  <r>
    <n v="692"/>
    <n v="3681"/>
    <x v="231"/>
    <n v="1577.02"/>
    <s v="Completed"/>
    <x v="4"/>
    <s v="Credit Card"/>
  </r>
  <r>
    <n v="693"/>
    <n v="7377"/>
    <x v="63"/>
    <n v="142.43"/>
    <s v="Completed"/>
    <x v="1"/>
    <s v="Apple Pay"/>
  </r>
  <r>
    <n v="694"/>
    <n v="6452"/>
    <x v="77"/>
    <n v="5981.37"/>
    <s v="Returned"/>
    <x v="1"/>
    <s v="Apple Pay"/>
  </r>
  <r>
    <n v="695"/>
    <n v="682"/>
    <x v="216"/>
    <n v="1850.73"/>
    <s v="Completed"/>
    <x v="0"/>
    <s v="Apple Pay"/>
  </r>
  <r>
    <n v="696"/>
    <n v="1219"/>
    <x v="296"/>
    <n v="896.91"/>
    <s v="Completed"/>
    <x v="1"/>
    <s v="Apple Pay"/>
  </r>
  <r>
    <n v="697"/>
    <n v="8111"/>
    <x v="110"/>
    <n v="1373.19"/>
    <s v="Completed"/>
    <x v="4"/>
    <s v="Apple Pay"/>
  </r>
  <r>
    <n v="698"/>
    <n v="289"/>
    <x v="297"/>
    <n v="5702.36"/>
    <s v="Completed"/>
    <x v="0"/>
    <s v="PayPal"/>
  </r>
  <r>
    <n v="699"/>
    <n v="7260"/>
    <x v="44"/>
    <n v="1666.77"/>
    <s v="Completed"/>
    <x v="3"/>
    <s v="Apple Pay"/>
  </r>
  <r>
    <n v="700"/>
    <n v="8518"/>
    <x v="61"/>
    <n v="628.59"/>
    <s v="Completed"/>
    <x v="3"/>
    <s v="Apple Pay"/>
  </r>
  <r>
    <n v="701"/>
    <n v="86"/>
    <x v="262"/>
    <n v="395.52"/>
    <s v="Completed"/>
    <x v="4"/>
    <s v="Debit Card"/>
  </r>
  <r>
    <n v="702"/>
    <n v="7846"/>
    <x v="69"/>
    <n v="7461.37"/>
    <s v="Completed"/>
    <x v="3"/>
    <s v="Debit Card"/>
  </r>
  <r>
    <n v="703"/>
    <n v="3729"/>
    <x v="298"/>
    <n v="1560.59"/>
    <s v="Completed"/>
    <x v="0"/>
    <s v="Debit Card"/>
  </r>
  <r>
    <n v="704"/>
    <n v="6901"/>
    <x v="90"/>
    <n v="422.21"/>
    <s v="Completed"/>
    <x v="4"/>
    <s v="Credit Card"/>
  </r>
  <r>
    <n v="705"/>
    <n v="6922"/>
    <x v="86"/>
    <n v="3387.3"/>
    <s v="Completed"/>
    <x v="3"/>
    <s v="Credit Card"/>
  </r>
  <r>
    <n v="706"/>
    <n v="1795"/>
    <x v="242"/>
    <n v="193.8"/>
    <s v="Completed"/>
    <x v="3"/>
    <s v="Debit Card"/>
  </r>
  <r>
    <n v="707"/>
    <n v="9372"/>
    <x v="102"/>
    <n v="1289.0999999999999"/>
    <s v="Completed"/>
    <x v="2"/>
    <s v="PayPal"/>
  </r>
  <r>
    <n v="708"/>
    <n v="4364"/>
    <x v="129"/>
    <n v="751.38"/>
    <s v="Completed"/>
    <x v="0"/>
    <s v="PayPal"/>
  </r>
  <r>
    <n v="709"/>
    <n v="3275"/>
    <x v="102"/>
    <n v="4307.43"/>
    <s v="Completed"/>
    <x v="3"/>
    <s v="Debit Card"/>
  </r>
  <r>
    <n v="710"/>
    <n v="6408"/>
    <x v="299"/>
    <n v="6018.69"/>
    <s v="Completed"/>
    <x v="4"/>
    <s v="Apple Pay"/>
  </r>
  <r>
    <n v="711"/>
    <n v="3200"/>
    <x v="288"/>
    <n v="318.02"/>
    <s v="Completed"/>
    <x v="1"/>
    <s v="PayPal"/>
  </r>
  <r>
    <n v="712"/>
    <n v="7825"/>
    <x v="256"/>
    <n v="4831.7700000000004"/>
    <s v="Completed"/>
    <x v="4"/>
    <s v="Credit Card"/>
  </r>
  <r>
    <n v="713"/>
    <n v="3304"/>
    <x v="250"/>
    <n v="691.55"/>
    <s v="Completed"/>
    <x v="2"/>
    <s v="Debit Card"/>
  </r>
  <r>
    <n v="714"/>
    <n v="389"/>
    <x v="96"/>
    <n v="899.2"/>
    <s v="Completed"/>
    <x v="2"/>
    <s v="Apple Pay"/>
  </r>
  <r>
    <n v="715"/>
    <n v="5053"/>
    <x v="300"/>
    <n v="315.29000000000002"/>
    <s v="Completed"/>
    <x v="4"/>
    <s v="PayPal"/>
  </r>
  <r>
    <n v="716"/>
    <n v="5590"/>
    <x v="52"/>
    <n v="3911.84"/>
    <s v="Completed"/>
    <x v="4"/>
    <s v="Apple Pay"/>
  </r>
  <r>
    <n v="717"/>
    <n v="1279"/>
    <x v="301"/>
    <n v="367.55"/>
    <s v="Completed"/>
    <x v="5"/>
    <s v="Credit Card"/>
  </r>
  <r>
    <n v="718"/>
    <n v="6520"/>
    <x v="210"/>
    <n v="1017.21"/>
    <s v="Completed"/>
    <x v="0"/>
    <s v="PayPal"/>
  </r>
  <r>
    <n v="719"/>
    <n v="4109"/>
    <x v="204"/>
    <n v="1492.71"/>
    <s v="Completed"/>
    <x v="0"/>
    <s v="Debit Card"/>
  </r>
  <r>
    <n v="720"/>
    <n v="3125"/>
    <x v="34"/>
    <n v="1159.04"/>
    <s v="Completed"/>
    <x v="4"/>
    <s v="PayPal"/>
  </r>
  <r>
    <n v="721"/>
    <n v="9119"/>
    <x v="302"/>
    <n v="44.16"/>
    <s v="Completed"/>
    <x v="3"/>
    <s v="Debit Card"/>
  </r>
  <r>
    <n v="722"/>
    <n v="5172"/>
    <x v="64"/>
    <n v="1239.3"/>
    <s v="Completed"/>
    <x v="0"/>
    <s v="PayPal"/>
  </r>
  <r>
    <n v="723"/>
    <n v="8740"/>
    <x v="303"/>
    <n v="4290.53"/>
    <s v="Completed"/>
    <x v="3"/>
    <s v="Apple Pay"/>
  </r>
  <r>
    <n v="724"/>
    <n v="5077"/>
    <x v="27"/>
    <n v="891.2"/>
    <s v="Completed"/>
    <x v="0"/>
    <s v="Credit Card"/>
  </r>
  <r>
    <n v="725"/>
    <n v="1853"/>
    <x v="12"/>
    <n v="720.56"/>
    <s v="Completed"/>
    <x v="4"/>
    <s v="Debit Card"/>
  </r>
  <r>
    <n v="726"/>
    <n v="1211"/>
    <x v="11"/>
    <n v="795.54"/>
    <s v="Completed"/>
    <x v="3"/>
    <s v="Debit Card"/>
  </r>
  <r>
    <n v="727"/>
    <n v="6597"/>
    <x v="284"/>
    <n v="358.36"/>
    <s v="Completed"/>
    <x v="3"/>
    <s v="PayPal"/>
  </r>
  <r>
    <n v="728"/>
    <n v="5816"/>
    <x v="294"/>
    <n v="169.04"/>
    <s v="Completed"/>
    <x v="4"/>
    <s v="Apple Pay"/>
  </r>
  <r>
    <n v="729"/>
    <n v="3477"/>
    <x v="304"/>
    <n v="1365.96"/>
    <s v="Returned"/>
    <x v="1"/>
    <s v="Apple Pay"/>
  </r>
  <r>
    <n v="730"/>
    <n v="5094"/>
    <x v="305"/>
    <n v="546.87"/>
    <s v="Completed"/>
    <x v="0"/>
    <s v="Debit Card"/>
  </r>
  <r>
    <n v="731"/>
    <n v="6821"/>
    <x v="177"/>
    <n v="367.55"/>
    <s v="Completed"/>
    <x v="0"/>
    <s v="PayPal"/>
  </r>
  <r>
    <n v="732"/>
    <n v="96"/>
    <x v="202"/>
    <n v="654.86"/>
    <s v="Completed"/>
    <x v="4"/>
    <s v="Debit Card"/>
  </r>
  <r>
    <n v="733"/>
    <n v="641"/>
    <x v="306"/>
    <n v="1082.51"/>
    <s v="Completed"/>
    <x v="2"/>
    <s v="PayPal"/>
  </r>
  <r>
    <n v="734"/>
    <n v="1811"/>
    <x v="54"/>
    <n v="336.84"/>
    <s v="Completed"/>
    <x v="3"/>
    <s v="PayPal"/>
  </r>
  <r>
    <n v="735"/>
    <n v="1643"/>
    <x v="251"/>
    <n v="1651.24"/>
    <s v="Completed"/>
    <x v="4"/>
    <s v="Apple Pay"/>
  </r>
  <r>
    <n v="736"/>
    <n v="5783"/>
    <x v="72"/>
    <n v="759.97"/>
    <s v="Completed"/>
    <x v="2"/>
    <s v="PayPal"/>
  </r>
  <r>
    <n v="737"/>
    <n v="2220"/>
    <x v="116"/>
    <n v="1459.26"/>
    <s v="Completed"/>
    <x v="2"/>
    <s v="Credit Card"/>
  </r>
  <r>
    <n v="738"/>
    <n v="7447"/>
    <x v="293"/>
    <n v="423.85"/>
    <s v="Completed"/>
    <x v="4"/>
    <s v="Credit Card"/>
  </r>
  <r>
    <n v="739"/>
    <n v="2533"/>
    <x v="90"/>
    <n v="260.57"/>
    <s v="Completed"/>
    <x v="0"/>
    <s v="Debit Card"/>
  </r>
  <r>
    <n v="740"/>
    <n v="4516"/>
    <x v="97"/>
    <n v="1729.16"/>
    <s v="Completed"/>
    <x v="4"/>
    <s v="Debit Card"/>
  </r>
  <r>
    <n v="741"/>
    <n v="1647"/>
    <x v="180"/>
    <n v="428.94"/>
    <s v="Completed"/>
    <x v="4"/>
    <s v="Debit Card"/>
  </r>
  <r>
    <n v="742"/>
    <n v="9658"/>
    <x v="59"/>
    <n v="1095.6199999999999"/>
    <s v="Completed"/>
    <x v="4"/>
    <s v="Apple Pay"/>
  </r>
  <r>
    <n v="743"/>
    <n v="3163"/>
    <x v="88"/>
    <n v="858.98"/>
    <s v="Completed"/>
    <x v="3"/>
    <s v="Debit Card"/>
  </r>
  <r>
    <n v="744"/>
    <n v="101"/>
    <x v="244"/>
    <n v="865.43"/>
    <s v="Completed"/>
    <x v="1"/>
    <s v="Credit Card"/>
  </r>
  <r>
    <n v="745"/>
    <n v="8898"/>
    <x v="263"/>
    <n v="154.28"/>
    <s v="Completed"/>
    <x v="1"/>
    <s v="Debit Card"/>
  </r>
  <r>
    <n v="746"/>
    <n v="2016"/>
    <x v="211"/>
    <n v="798.94"/>
    <s v="Completed"/>
    <x v="2"/>
    <s v="PayPal"/>
  </r>
  <r>
    <n v="747"/>
    <n v="1504"/>
    <x v="156"/>
    <n v="336.84"/>
    <s v="Completed"/>
    <x v="2"/>
    <s v="Credit Card"/>
  </r>
  <r>
    <n v="748"/>
    <n v="7426"/>
    <x v="146"/>
    <n v="1688.57"/>
    <s v="Completed"/>
    <x v="0"/>
    <s v="PayPal"/>
  </r>
  <r>
    <n v="749"/>
    <n v="390"/>
    <x v="307"/>
    <n v="948.3"/>
    <s v="Completed"/>
    <x v="1"/>
    <s v="PayPal"/>
  </r>
  <r>
    <n v="750"/>
    <n v="7699"/>
    <x v="308"/>
    <n v="240.35"/>
    <s v="Completed"/>
    <x v="0"/>
    <s v="Apple Pay"/>
  </r>
  <r>
    <n v="751"/>
    <n v="5405"/>
    <x v="309"/>
    <n v="972.84"/>
    <s v="Completed"/>
    <x v="0"/>
    <s v="PayPal"/>
  </r>
  <r>
    <n v="752"/>
    <n v="2114"/>
    <x v="193"/>
    <n v="2101.83"/>
    <s v="Completed"/>
    <x v="1"/>
    <s v="Debit Card"/>
  </r>
  <r>
    <n v="753"/>
    <n v="7699"/>
    <x v="310"/>
    <n v="2589.1999999999998"/>
    <s v="Completed"/>
    <x v="0"/>
    <s v="Debit Card"/>
  </r>
  <r>
    <n v="754"/>
    <n v="8541"/>
    <x v="180"/>
    <n v="2254.14"/>
    <s v="Completed"/>
    <x v="2"/>
    <s v="Debit Card"/>
  </r>
  <r>
    <n v="755"/>
    <n v="8554"/>
    <x v="311"/>
    <n v="2911.75"/>
    <s v="Cancelled"/>
    <x v="3"/>
    <s v="Apple Pay"/>
  </r>
  <r>
    <n v="756"/>
    <n v="1131"/>
    <x v="223"/>
    <n v="2548.75"/>
    <s v="Completed"/>
    <x v="3"/>
    <s v="PayPal"/>
  </r>
  <r>
    <n v="757"/>
    <n v="2570"/>
    <x v="312"/>
    <n v="2610.6"/>
    <s v="Completed"/>
    <x v="2"/>
    <s v="Credit Card"/>
  </r>
  <r>
    <n v="758"/>
    <n v="207"/>
    <x v="45"/>
    <n v="504.69"/>
    <s v="Completed"/>
    <x v="4"/>
    <s v="Credit Card"/>
  </r>
  <r>
    <n v="759"/>
    <n v="632"/>
    <x v="55"/>
    <n v="968.43"/>
    <s v="Completed"/>
    <x v="0"/>
    <s v="PayPal"/>
  </r>
  <r>
    <n v="760"/>
    <n v="9038"/>
    <x v="146"/>
    <n v="245.09"/>
    <s v="Completed"/>
    <x v="2"/>
    <s v="Apple Pay"/>
  </r>
  <r>
    <n v="761"/>
    <n v="1153"/>
    <x v="253"/>
    <n v="1928.96"/>
    <s v="Completed"/>
    <x v="4"/>
    <s v="Debit Card"/>
  </r>
  <r>
    <n v="762"/>
    <n v="9973"/>
    <x v="227"/>
    <n v="1969.96"/>
    <s v="Completed"/>
    <x v="0"/>
    <s v="Credit Card"/>
  </r>
  <r>
    <n v="763"/>
    <n v="5225"/>
    <x v="223"/>
    <n v="1095.6199999999999"/>
    <s v="Completed"/>
    <x v="3"/>
    <s v="Credit Card"/>
  </r>
  <r>
    <n v="764"/>
    <n v="6372"/>
    <x v="179"/>
    <n v="787.55"/>
    <s v="Completed"/>
    <x v="3"/>
    <s v="Credit Card"/>
  </r>
  <r>
    <n v="765"/>
    <n v="4044"/>
    <x v="21"/>
    <n v="1808.33"/>
    <s v="Completed"/>
    <x v="1"/>
    <s v="Apple Pay"/>
  </r>
  <r>
    <n v="766"/>
    <n v="3237"/>
    <x v="174"/>
    <n v="596.66999999999996"/>
    <s v="Completed"/>
    <x v="3"/>
    <s v="PayPal"/>
  </r>
  <r>
    <n v="767"/>
    <n v="6646"/>
    <x v="313"/>
    <n v="2273.48"/>
    <s v="Completed"/>
    <x v="2"/>
    <s v="Debit Card"/>
  </r>
  <r>
    <n v="768"/>
    <n v="2607"/>
    <x v="309"/>
    <n v="2113.9699999999998"/>
    <s v="Cancelled"/>
    <x v="1"/>
    <s v="Apple Pay"/>
  </r>
  <r>
    <n v="769"/>
    <n v="4047"/>
    <x v="48"/>
    <n v="2666.73"/>
    <s v="Completed"/>
    <x v="3"/>
    <s v="Debit Card"/>
  </r>
  <r>
    <n v="770"/>
    <n v="9328"/>
    <x v="179"/>
    <n v="748.01"/>
    <s v="Completed"/>
    <x v="3"/>
    <s v="Apple Pay"/>
  </r>
  <r>
    <n v="771"/>
    <n v="946"/>
    <x v="241"/>
    <n v="1394.28"/>
    <s v="Completed"/>
    <x v="2"/>
    <s v="PayPal"/>
  </r>
  <r>
    <n v="772"/>
    <n v="5102"/>
    <x v="169"/>
    <n v="2197.64"/>
    <s v="Completed"/>
    <x v="5"/>
    <s v="PayPal"/>
  </r>
  <r>
    <n v="773"/>
    <n v="3365"/>
    <x v="288"/>
    <n v="2653.74"/>
    <s v="Completed"/>
    <x v="1"/>
    <s v="PayPal"/>
  </r>
  <r>
    <n v="774"/>
    <n v="356"/>
    <x v="152"/>
    <n v="1562.12"/>
    <s v="Completed"/>
    <x v="5"/>
    <s v="Apple Pay"/>
  </r>
  <r>
    <n v="775"/>
    <n v="8801"/>
    <x v="238"/>
    <n v="628.59"/>
    <s v="Completed"/>
    <x v="3"/>
    <s v="Apple Pay"/>
  </r>
  <r>
    <n v="776"/>
    <n v="2060"/>
    <x v="287"/>
    <n v="727.83"/>
    <s v="Cancelled"/>
    <x v="3"/>
    <s v="Credit Card"/>
  </r>
  <r>
    <n v="777"/>
    <n v="2917"/>
    <x v="314"/>
    <n v="3358.82"/>
    <s v="Completed"/>
    <x v="0"/>
    <s v="PayPal"/>
  </r>
  <r>
    <n v="778"/>
    <n v="8487"/>
    <x v="256"/>
    <n v="526.08000000000004"/>
    <s v="Completed"/>
    <x v="0"/>
    <s v="Debit Card"/>
  </r>
  <r>
    <n v="779"/>
    <n v="8463"/>
    <x v="255"/>
    <n v="471.55"/>
    <s v="Completed"/>
    <x v="2"/>
    <s v="PayPal"/>
  </r>
  <r>
    <n v="780"/>
    <n v="9275"/>
    <x v="193"/>
    <n v="3862.01"/>
    <s v="Completed"/>
    <x v="1"/>
    <s v="Apple Pay"/>
  </r>
  <r>
    <n v="781"/>
    <n v="2004"/>
    <x v="265"/>
    <n v="5274.58"/>
    <s v="Completed"/>
    <x v="3"/>
    <s v="Debit Card"/>
  </r>
  <r>
    <n v="782"/>
    <n v="7230"/>
    <x v="104"/>
    <n v="3012.94"/>
    <s v="Completed"/>
    <x v="2"/>
    <s v="Apple Pay"/>
  </r>
  <r>
    <n v="783"/>
    <n v="8909"/>
    <x v="135"/>
    <n v="2193.9299999999998"/>
    <s v="Completed"/>
    <x v="2"/>
    <s v="PayPal"/>
  </r>
  <r>
    <n v="784"/>
    <n v="3292"/>
    <x v="43"/>
    <n v="678.83"/>
    <s v="Completed"/>
    <x v="3"/>
    <s v="Debit Card"/>
  </r>
  <r>
    <n v="785"/>
    <n v="9001"/>
    <x v="12"/>
    <n v="225.71"/>
    <s v="Completed"/>
    <x v="0"/>
    <s v="Debit Card"/>
  </r>
  <r>
    <n v="786"/>
    <n v="1801"/>
    <x v="234"/>
    <n v="121.05"/>
    <s v="Completed"/>
    <x v="2"/>
    <s v="Apple Pay"/>
  </r>
  <r>
    <n v="787"/>
    <n v="6777"/>
    <x v="315"/>
    <n v="3228.2"/>
    <s v="Completed"/>
    <x v="3"/>
    <s v="PayPal"/>
  </r>
  <r>
    <n v="788"/>
    <n v="8552"/>
    <x v="137"/>
    <n v="321.39"/>
    <s v="Completed"/>
    <x v="1"/>
    <s v="Apple Pay"/>
  </r>
  <r>
    <n v="789"/>
    <n v="3321"/>
    <x v="260"/>
    <n v="941.41"/>
    <s v="Completed"/>
    <x v="1"/>
    <s v="Credit Card"/>
  </r>
  <r>
    <n v="790"/>
    <n v="5716"/>
    <x v="265"/>
    <n v="516.51"/>
    <s v="Cancelled"/>
    <x v="0"/>
    <s v="Credit Card"/>
  </r>
  <r>
    <n v="791"/>
    <n v="4179"/>
    <x v="74"/>
    <n v="231.09"/>
    <s v="Completed"/>
    <x v="4"/>
    <s v="Debit Card"/>
  </r>
  <r>
    <n v="792"/>
    <n v="5341"/>
    <x v="316"/>
    <n v="371.68"/>
    <s v="Completed"/>
    <x v="3"/>
    <s v="PayPal"/>
  </r>
  <r>
    <n v="793"/>
    <n v="4470"/>
    <x v="267"/>
    <n v="1802.19"/>
    <s v="Completed"/>
    <x v="3"/>
    <s v="Credit Card"/>
  </r>
  <r>
    <n v="794"/>
    <n v="1201"/>
    <x v="116"/>
    <n v="446.38"/>
    <s v="Completed"/>
    <x v="0"/>
    <s v="Credit Card"/>
  </r>
  <r>
    <n v="795"/>
    <n v="2276"/>
    <x v="65"/>
    <n v="619.65"/>
    <s v="Completed"/>
    <x v="4"/>
    <s v="Debit Card"/>
  </r>
  <r>
    <n v="796"/>
    <n v="2063"/>
    <x v="292"/>
    <n v="162.49"/>
    <s v="Completed"/>
    <x v="4"/>
    <s v="Apple Pay"/>
  </r>
  <r>
    <n v="797"/>
    <n v="7380"/>
    <x v="274"/>
    <n v="1494.25"/>
    <s v="Returned"/>
    <x v="5"/>
    <s v="Apple Pay"/>
  </r>
  <r>
    <n v="798"/>
    <n v="2765"/>
    <x v="21"/>
    <n v="265.95"/>
    <s v="Completed"/>
    <x v="3"/>
    <s v="Credit Card"/>
  </r>
  <r>
    <n v="799"/>
    <n v="2278"/>
    <x v="22"/>
    <n v="2195.65"/>
    <s v="Completed"/>
    <x v="3"/>
    <s v="Debit Card"/>
  </r>
  <r>
    <n v="800"/>
    <n v="6165"/>
    <x v="123"/>
    <n v="3216.9"/>
    <s v="Completed"/>
    <x v="2"/>
    <s v="Apple Pay"/>
  </r>
  <r>
    <n v="801"/>
    <n v="7521"/>
    <x v="310"/>
    <n v="1363.95"/>
    <s v="Completed"/>
    <x v="1"/>
    <s v="PayPal"/>
  </r>
  <r>
    <n v="802"/>
    <n v="90"/>
    <x v="90"/>
    <n v="2318.19"/>
    <s v="Completed"/>
    <x v="0"/>
    <s v="Debit Card"/>
  </r>
  <r>
    <n v="803"/>
    <n v="7493"/>
    <x v="116"/>
    <n v="2967.39"/>
    <s v="Completed"/>
    <x v="0"/>
    <s v="PayPal"/>
  </r>
  <r>
    <n v="804"/>
    <n v="8108"/>
    <x v="317"/>
    <n v="1238.2"/>
    <s v="Completed"/>
    <x v="4"/>
    <s v="PayPal"/>
  </r>
  <r>
    <n v="805"/>
    <n v="6854"/>
    <x v="282"/>
    <n v="2363.5700000000002"/>
    <s v="Completed"/>
    <x v="3"/>
    <s v="Debit Card"/>
  </r>
  <r>
    <n v="806"/>
    <n v="5073"/>
    <x v="35"/>
    <n v="290.79000000000002"/>
    <s v="Completed"/>
    <x v="4"/>
    <s v="PayPal"/>
  </r>
  <r>
    <n v="807"/>
    <n v="9251"/>
    <x v="190"/>
    <n v="343.5"/>
    <s v="Completed"/>
    <x v="1"/>
    <s v="Apple Pay"/>
  </r>
  <r>
    <n v="808"/>
    <n v="5848"/>
    <x v="159"/>
    <n v="1066.02"/>
    <s v="Completed"/>
    <x v="4"/>
    <s v="PayPal"/>
  </r>
  <r>
    <n v="809"/>
    <n v="2839"/>
    <x v="71"/>
    <n v="2288.27"/>
    <s v="Completed"/>
    <x v="0"/>
    <s v="Debit Card"/>
  </r>
  <r>
    <n v="810"/>
    <n v="7751"/>
    <x v="172"/>
    <n v="1995.72"/>
    <s v="Completed"/>
    <x v="2"/>
    <s v="Apple Pay"/>
  </r>
  <r>
    <n v="811"/>
    <n v="2187"/>
    <x v="107"/>
    <n v="1449.96"/>
    <s v="Completed"/>
    <x v="0"/>
    <s v="Credit Card"/>
  </r>
  <r>
    <n v="812"/>
    <n v="4340"/>
    <x v="100"/>
    <n v="752.85"/>
    <s v="Completed"/>
    <x v="0"/>
    <s v="PayPal"/>
  </r>
  <r>
    <n v="813"/>
    <n v="2934"/>
    <x v="318"/>
    <n v="5019.54"/>
    <s v="Completed"/>
    <x v="3"/>
    <s v="Apple Pay"/>
  </r>
  <r>
    <n v="814"/>
    <n v="7099"/>
    <x v="200"/>
    <n v="1298.1400000000001"/>
    <s v="Completed"/>
    <x v="3"/>
    <s v="PayPal"/>
  </r>
  <r>
    <n v="815"/>
    <n v="9201"/>
    <x v="243"/>
    <n v="193.6"/>
    <s v="Completed"/>
    <x v="3"/>
    <s v="Credit Card"/>
  </r>
  <r>
    <n v="816"/>
    <n v="9519"/>
    <x v="112"/>
    <n v="2020.44"/>
    <s v="Completed"/>
    <x v="2"/>
    <s v="Apple Pay"/>
  </r>
  <r>
    <n v="817"/>
    <n v="3998"/>
    <x v="319"/>
    <n v="1995.72"/>
    <s v="Completed"/>
    <x v="4"/>
    <s v="Credit Card"/>
  </r>
  <r>
    <n v="818"/>
    <n v="9529"/>
    <x v="30"/>
    <n v="3836.77"/>
    <s v="Completed"/>
    <x v="4"/>
    <s v="Debit Card"/>
  </r>
  <r>
    <n v="819"/>
    <n v="4994"/>
    <x v="287"/>
    <n v="1490.33"/>
    <s v="Completed"/>
    <x v="1"/>
    <s v="Credit Card"/>
  </r>
  <r>
    <n v="820"/>
    <n v="5222"/>
    <x v="306"/>
    <n v="1804.07"/>
    <s v="Completed"/>
    <x v="2"/>
    <s v="PayPal"/>
  </r>
  <r>
    <n v="821"/>
    <n v="3358"/>
    <x v="132"/>
    <n v="330.94"/>
    <s v="Completed"/>
    <x v="1"/>
    <s v="Debit Card"/>
  </r>
  <r>
    <n v="822"/>
    <n v="2041"/>
    <x v="26"/>
    <n v="689.51"/>
    <s v="Completed"/>
    <x v="2"/>
    <s v="Apple Pay"/>
  </r>
  <r>
    <n v="823"/>
    <n v="2892"/>
    <x v="313"/>
    <n v="1065.18"/>
    <s v="Completed"/>
    <x v="2"/>
    <s v="PayPal"/>
  </r>
  <r>
    <n v="824"/>
    <n v="1507"/>
    <x v="97"/>
    <n v="1786.37"/>
    <s v="Completed"/>
    <x v="4"/>
    <s v="Apple Pay"/>
  </r>
  <r>
    <n v="825"/>
    <n v="3604"/>
    <x v="152"/>
    <n v="2328.35"/>
    <s v="Completed"/>
    <x v="0"/>
    <s v="PayPal"/>
  </r>
  <r>
    <n v="826"/>
    <n v="9075"/>
    <x v="315"/>
    <n v="2515.92"/>
    <s v="Completed"/>
    <x v="4"/>
    <s v="Apple Pay"/>
  </r>
  <r>
    <n v="827"/>
    <n v="4163"/>
    <x v="190"/>
    <n v="968.43"/>
    <s v="Completed"/>
    <x v="1"/>
    <s v="PayPal"/>
  </r>
  <r>
    <n v="828"/>
    <n v="6381"/>
    <x v="208"/>
    <n v="437.12"/>
    <s v="Completed"/>
    <x v="4"/>
    <s v="Apple Pay"/>
  </r>
  <r>
    <n v="829"/>
    <n v="3230"/>
    <x v="283"/>
    <n v="699.56"/>
    <s v="Completed"/>
    <x v="1"/>
    <s v="Debit Card"/>
  </r>
  <r>
    <n v="830"/>
    <n v="4211"/>
    <x v="270"/>
    <n v="260.57"/>
    <s v="Completed"/>
    <x v="2"/>
    <s v="PayPal"/>
  </r>
  <r>
    <n v="831"/>
    <n v="4639"/>
    <x v="320"/>
    <n v="2294.2399999999998"/>
    <s v="Cancelled"/>
    <x v="2"/>
    <s v="PayPal"/>
  </r>
  <r>
    <n v="832"/>
    <n v="3646"/>
    <x v="276"/>
    <n v="1923.29"/>
    <s v="Completed"/>
    <x v="2"/>
    <s v="Apple Pay"/>
  </r>
  <r>
    <n v="833"/>
    <n v="4037"/>
    <x v="84"/>
    <n v="1685.07"/>
    <s v="Completed"/>
    <x v="1"/>
    <s v="Apple Pay"/>
  </r>
  <r>
    <n v="834"/>
    <n v="5297"/>
    <x v="58"/>
    <n v="440.02"/>
    <s v="Completed"/>
    <x v="4"/>
    <s v="Apple Pay"/>
  </r>
  <r>
    <n v="835"/>
    <n v="8600"/>
    <x v="165"/>
    <n v="1711.93"/>
    <s v="Completed"/>
    <x v="3"/>
    <s v="Apple Pay"/>
  </r>
  <r>
    <n v="836"/>
    <n v="4125"/>
    <x v="133"/>
    <n v="2949.04"/>
    <s v="Completed"/>
    <x v="4"/>
    <s v="Apple Pay"/>
  </r>
  <r>
    <n v="837"/>
    <n v="7155"/>
    <x v="316"/>
    <n v="387.61"/>
    <s v="Cancelled"/>
    <x v="3"/>
    <s v="Apple Pay"/>
  </r>
  <r>
    <n v="838"/>
    <n v="9644"/>
    <x v="321"/>
    <n v="2669.6"/>
    <s v="Completed"/>
    <x v="1"/>
    <s v="Credit Card"/>
  </r>
  <r>
    <n v="839"/>
    <n v="8036"/>
    <x v="198"/>
    <n v="492.68"/>
    <s v="Completed"/>
    <x v="4"/>
    <s v="Credit Card"/>
  </r>
  <r>
    <n v="840"/>
    <n v="3837"/>
    <x v="322"/>
    <n v="1567.12"/>
    <s v="Completed"/>
    <x v="2"/>
    <s v="Debit Card"/>
  </r>
  <r>
    <n v="841"/>
    <n v="8044"/>
    <x v="316"/>
    <n v="957.41"/>
    <s v="Completed"/>
    <x v="2"/>
    <s v="Apple Pay"/>
  </r>
  <r>
    <n v="842"/>
    <n v="3134"/>
    <x v="194"/>
    <n v="812.58"/>
    <s v="Completed"/>
    <x v="4"/>
    <s v="Apple Pay"/>
  </r>
  <r>
    <n v="843"/>
    <n v="1562"/>
    <x v="16"/>
    <n v="1071.74"/>
    <s v="Completed"/>
    <x v="1"/>
    <s v="Apple Pay"/>
  </r>
  <r>
    <n v="844"/>
    <n v="9119"/>
    <x v="286"/>
    <n v="1058.52"/>
    <s v="Completed"/>
    <x v="3"/>
    <s v="Credit Card"/>
  </r>
  <r>
    <n v="845"/>
    <n v="6045"/>
    <x v="72"/>
    <n v="1495.83"/>
    <s v="Completed"/>
    <x v="0"/>
    <s v="Debit Card"/>
  </r>
  <r>
    <n v="846"/>
    <n v="8307"/>
    <x v="287"/>
    <n v="1951.65"/>
    <s v="Completed"/>
    <x v="0"/>
    <s v="Credit Card"/>
  </r>
  <r>
    <n v="847"/>
    <n v="7349"/>
    <x v="176"/>
    <n v="3322.05"/>
    <s v="Completed"/>
    <x v="3"/>
    <s v="Debit Card"/>
  </r>
  <r>
    <n v="848"/>
    <n v="5153"/>
    <x v="79"/>
    <n v="996.68"/>
    <s v="Cancelled"/>
    <x v="0"/>
    <s v="Credit Card"/>
  </r>
  <r>
    <n v="849"/>
    <n v="5835"/>
    <x v="91"/>
    <n v="1227.5"/>
    <s v="Completed"/>
    <x v="2"/>
    <s v="Debit Card"/>
  </r>
  <r>
    <n v="850"/>
    <n v="2550"/>
    <x v="253"/>
    <n v="1597.24"/>
    <s v="Completed"/>
    <x v="4"/>
    <s v="Debit Card"/>
  </r>
  <r>
    <n v="851"/>
    <n v="9053"/>
    <x v="224"/>
    <n v="1312.53"/>
    <s v="Completed"/>
    <x v="4"/>
    <s v="Apple Pay"/>
  </r>
  <r>
    <n v="852"/>
    <n v="1702"/>
    <x v="323"/>
    <n v="1035.79"/>
    <s v="Completed"/>
    <x v="0"/>
    <s v="Credit Card"/>
  </r>
  <r>
    <n v="853"/>
    <n v="9425"/>
    <x v="197"/>
    <n v="422.21"/>
    <s v="Completed"/>
    <x v="4"/>
    <s v="PayPal"/>
  </r>
  <r>
    <n v="854"/>
    <n v="6531"/>
    <x v="14"/>
    <n v="545.46"/>
    <s v="Completed"/>
    <x v="2"/>
    <s v="Credit Card"/>
  </r>
  <r>
    <n v="855"/>
    <n v="5687"/>
    <x v="150"/>
    <n v="2333.44"/>
    <s v="Completed"/>
    <x v="2"/>
    <s v="Credit Card"/>
  </r>
  <r>
    <n v="856"/>
    <n v="3967"/>
    <x v="180"/>
    <n v="1820.42"/>
    <s v="Completed"/>
    <x v="2"/>
    <s v="Credit Card"/>
  </r>
  <r>
    <n v="857"/>
    <n v="8961"/>
    <x v="97"/>
    <n v="879.71"/>
    <s v="Completed"/>
    <x v="1"/>
    <s v="Debit Card"/>
  </r>
  <r>
    <n v="858"/>
    <n v="2049"/>
    <x v="58"/>
    <n v="1118.8900000000001"/>
    <s v="Completed"/>
    <x v="4"/>
    <s v="Debit Card"/>
  </r>
  <r>
    <n v="859"/>
    <n v="20"/>
    <x v="34"/>
    <n v="485.89"/>
    <s v="Completed"/>
    <x v="2"/>
    <s v="PayPal"/>
  </r>
  <r>
    <n v="860"/>
    <n v="3568"/>
    <x v="324"/>
    <n v="2572.7600000000002"/>
    <s v="Completed"/>
    <x v="4"/>
    <s v="PayPal"/>
  </r>
  <r>
    <n v="861"/>
    <n v="4362"/>
    <x v="325"/>
    <n v="398.02"/>
    <s v="Cancelled"/>
    <x v="1"/>
    <s v="Debit Card"/>
  </r>
  <r>
    <n v="862"/>
    <n v="3901"/>
    <x v="205"/>
    <n v="1076.97"/>
    <s v="Completed"/>
    <x v="0"/>
    <s v="Debit Card"/>
  </r>
  <r>
    <n v="863"/>
    <n v="9983"/>
    <x v="244"/>
    <n v="820.56"/>
    <s v="Cancelled"/>
    <x v="3"/>
    <s v="Credit Card"/>
  </r>
  <r>
    <n v="864"/>
    <n v="7922"/>
    <x v="256"/>
    <n v="274.33"/>
    <s v="Completed"/>
    <x v="0"/>
    <s v="Apple Pay"/>
  </r>
  <r>
    <n v="865"/>
    <n v="6923"/>
    <x v="289"/>
    <n v="3962.55"/>
    <s v="Completed"/>
    <x v="2"/>
    <s v="PayPal"/>
  </r>
  <r>
    <n v="866"/>
    <n v="604"/>
    <x v="206"/>
    <n v="777.03"/>
    <s v="Completed"/>
    <x v="0"/>
    <s v="Apple Pay"/>
  </r>
  <r>
    <n v="867"/>
    <n v="6045"/>
    <x v="164"/>
    <n v="1606.41"/>
    <s v="Completed"/>
    <x v="0"/>
    <s v="Credit Card"/>
  </r>
  <r>
    <n v="868"/>
    <n v="155"/>
    <x v="303"/>
    <n v="619.41"/>
    <s v="Completed"/>
    <x v="1"/>
    <s v="Credit Card"/>
  </r>
  <r>
    <n v="869"/>
    <n v="7638"/>
    <x v="63"/>
    <n v="1811.89"/>
    <s v="Completed"/>
    <x v="0"/>
    <s v="Credit Card"/>
  </r>
  <r>
    <n v="870"/>
    <n v="6054"/>
    <x v="123"/>
    <n v="313.3"/>
    <s v="Completed"/>
    <x v="3"/>
    <s v="PayPal"/>
  </r>
  <r>
    <n v="871"/>
    <n v="7745"/>
    <x v="32"/>
    <n v="1497.7"/>
    <s v="Completed"/>
    <x v="0"/>
    <s v="Credit Card"/>
  </r>
  <r>
    <n v="872"/>
    <n v="9752"/>
    <x v="86"/>
    <n v="9237.23"/>
    <s v="Completed"/>
    <x v="0"/>
    <s v="Credit Card"/>
  </r>
  <r>
    <n v="873"/>
    <n v="7307"/>
    <x v="326"/>
    <n v="1186.6099999999999"/>
    <s v="Completed"/>
    <x v="2"/>
    <s v="Apple Pay"/>
  </r>
  <r>
    <n v="874"/>
    <n v="1249"/>
    <x v="314"/>
    <n v="142.43"/>
    <s v="Completed"/>
    <x v="2"/>
    <s v="Apple Pay"/>
  </r>
  <r>
    <n v="875"/>
    <n v="4051"/>
    <x v="107"/>
    <n v="140.76"/>
    <s v="Completed"/>
    <x v="4"/>
    <s v="PayPal"/>
  </r>
  <r>
    <n v="876"/>
    <n v="3808"/>
    <x v="52"/>
    <n v="2008.11"/>
    <s v="Completed"/>
    <x v="2"/>
    <s v="PayPal"/>
  </r>
  <r>
    <n v="877"/>
    <n v="3032"/>
    <x v="138"/>
    <n v="961.31"/>
    <s v="Completed"/>
    <x v="3"/>
    <s v="Debit Card"/>
  </r>
  <r>
    <n v="878"/>
    <n v="3793"/>
    <x v="57"/>
    <n v="2523.7399999999998"/>
    <s v="Completed"/>
    <x v="3"/>
    <s v="Debit Card"/>
  </r>
  <r>
    <n v="879"/>
    <n v="1757"/>
    <x v="168"/>
    <n v="1383.1"/>
    <s v="Completed"/>
    <x v="2"/>
    <s v="PayPal"/>
  </r>
  <r>
    <n v="880"/>
    <n v="9635"/>
    <x v="19"/>
    <n v="290.79000000000002"/>
    <s v="Completed"/>
    <x v="2"/>
    <s v="Credit Card"/>
  </r>
  <r>
    <n v="881"/>
    <n v="2522"/>
    <x v="311"/>
    <n v="884.92"/>
    <s v="Returned"/>
    <x v="0"/>
    <s v="Apple Pay"/>
  </r>
  <r>
    <n v="882"/>
    <n v="5435"/>
    <x v="126"/>
    <n v="1802.19"/>
    <s v="Completed"/>
    <x v="0"/>
    <s v="Debit Card"/>
  </r>
  <r>
    <n v="883"/>
    <n v="4207"/>
    <x v="139"/>
    <n v="765.21"/>
    <s v="Completed"/>
    <x v="0"/>
    <s v="Apple Pay"/>
  </r>
  <r>
    <n v="884"/>
    <n v="1498"/>
    <x v="220"/>
    <n v="2673.18"/>
    <s v="Completed"/>
    <x v="2"/>
    <s v="PayPal"/>
  </r>
  <r>
    <n v="885"/>
    <n v="4374"/>
    <x v="196"/>
    <n v="1038.1099999999999"/>
    <s v="Completed"/>
    <x v="1"/>
    <s v="Credit Card"/>
  </r>
  <r>
    <n v="886"/>
    <n v="7164"/>
    <x v="85"/>
    <n v="1467.64"/>
    <s v="Completed"/>
    <x v="3"/>
    <s v="Debit Card"/>
  </r>
  <r>
    <n v="887"/>
    <n v="7862"/>
    <x v="89"/>
    <n v="627.29999999999995"/>
    <s v="Completed"/>
    <x v="2"/>
    <s v="Debit Card"/>
  </r>
  <r>
    <n v="888"/>
    <n v="6460"/>
    <x v="29"/>
    <n v="4547.51"/>
    <s v="Cancelled"/>
    <x v="1"/>
    <s v="PayPal"/>
  </r>
  <r>
    <n v="889"/>
    <n v="9310"/>
    <x v="296"/>
    <n v="3053.33"/>
    <s v="Completed"/>
    <x v="2"/>
    <s v="Debit Card"/>
  </r>
  <r>
    <n v="890"/>
    <n v="5891"/>
    <x v="75"/>
    <n v="367.55"/>
    <s v="Completed"/>
    <x v="1"/>
    <s v="Credit Card"/>
  </r>
  <r>
    <n v="891"/>
    <n v="8510"/>
    <x v="101"/>
    <n v="1836.52"/>
    <s v="Completed"/>
    <x v="2"/>
    <s v="Credit Card"/>
  </r>
  <r>
    <n v="892"/>
    <n v="2109"/>
    <x v="163"/>
    <n v="2896"/>
    <s v="Completed"/>
    <x v="0"/>
    <s v="Apple Pay"/>
  </r>
  <r>
    <n v="893"/>
    <n v="2775"/>
    <x v="146"/>
    <n v="1041.8599999999999"/>
    <s v="Completed"/>
    <x v="1"/>
    <s v="Apple Pay"/>
  </r>
  <r>
    <n v="894"/>
    <n v="4639"/>
    <x v="307"/>
    <n v="315.29000000000002"/>
    <s v="Completed"/>
    <x v="2"/>
    <s v="PayPal"/>
  </r>
  <r>
    <n v="895"/>
    <n v="6137"/>
    <x v="11"/>
    <n v="2120.81"/>
    <s v="Completed"/>
    <x v="4"/>
    <s v="Credit Card"/>
  </r>
  <r>
    <n v="896"/>
    <n v="645"/>
    <x v="327"/>
    <n v="2472.89"/>
    <s v="Returned"/>
    <x v="3"/>
    <s v="PayPal"/>
  </r>
  <r>
    <n v="897"/>
    <n v="4637"/>
    <x v="77"/>
    <n v="392.24"/>
    <s v="Completed"/>
    <x v="2"/>
    <s v="Debit Card"/>
  </r>
  <r>
    <n v="898"/>
    <n v="5669"/>
    <x v="328"/>
    <n v="428.12"/>
    <s v="Completed"/>
    <x v="3"/>
    <s v="Debit Card"/>
  </r>
  <r>
    <n v="899"/>
    <n v="5502"/>
    <x v="65"/>
    <n v="1995.72"/>
    <s v="Completed"/>
    <x v="0"/>
    <s v="Apple Pay"/>
  </r>
  <r>
    <n v="900"/>
    <n v="4086"/>
    <x v="211"/>
    <n v="627.29999999999995"/>
    <s v="Completed"/>
    <x v="4"/>
    <s v="Debit Card"/>
  </r>
  <r>
    <n v="901"/>
    <n v="5558"/>
    <x v="112"/>
    <n v="4123.83"/>
    <s v="Completed"/>
    <x v="3"/>
    <s v="Apple Pay"/>
  </r>
  <r>
    <n v="902"/>
    <n v="8534"/>
    <x v="49"/>
    <n v="1308.5999999999999"/>
    <s v="Completed"/>
    <x v="0"/>
    <s v="Debit Card"/>
  </r>
  <r>
    <n v="903"/>
    <n v="6466"/>
    <x v="250"/>
    <n v="4795.01"/>
    <s v="Completed"/>
    <x v="4"/>
    <s v="PayPal"/>
  </r>
  <r>
    <n v="904"/>
    <n v="212"/>
    <x v="329"/>
    <n v="1517.16"/>
    <s v="Completed"/>
    <x v="3"/>
    <s v="PayPal"/>
  </r>
  <r>
    <n v="905"/>
    <n v="8287"/>
    <x v="102"/>
    <n v="1001.8"/>
    <s v="Completed"/>
    <x v="2"/>
    <s v="Credit Card"/>
  </r>
  <r>
    <n v="906"/>
    <n v="869"/>
    <x v="57"/>
    <n v="536.15"/>
    <s v="Completed"/>
    <x v="0"/>
    <s v="PayPal"/>
  </r>
  <r>
    <n v="907"/>
    <n v="2484"/>
    <x v="45"/>
    <n v="943.1"/>
    <s v="Completed"/>
    <x v="3"/>
    <s v="Debit Card"/>
  </r>
  <r>
    <n v="908"/>
    <n v="4797"/>
    <x v="107"/>
    <n v="413.05"/>
    <s v="Completed"/>
    <x v="3"/>
    <s v="Apple Pay"/>
  </r>
  <r>
    <n v="909"/>
    <n v="1018"/>
    <x v="294"/>
    <n v="2303.41"/>
    <s v="Completed"/>
    <x v="2"/>
    <s v="Debit Card"/>
  </r>
  <r>
    <n v="910"/>
    <n v="1642"/>
    <x v="160"/>
    <n v="394.17"/>
    <s v="Completed"/>
    <x v="2"/>
    <s v="Apple Pay"/>
  </r>
  <r>
    <n v="911"/>
    <n v="5585"/>
    <x v="60"/>
    <n v="3958.46"/>
    <s v="Completed"/>
    <x v="3"/>
    <s v="Credit Card"/>
  </r>
  <r>
    <n v="912"/>
    <n v="3316"/>
    <x v="146"/>
    <n v="4816.0200000000004"/>
    <s v="Completed"/>
    <x v="0"/>
    <s v="Apple Pay"/>
  </r>
  <r>
    <n v="913"/>
    <n v="6567"/>
    <x v="31"/>
    <n v="427.48"/>
    <s v="Completed"/>
    <x v="1"/>
    <s v="Debit Card"/>
  </r>
  <r>
    <n v="914"/>
    <n v="2663"/>
    <x v="0"/>
    <n v="361.97"/>
    <s v="Completed"/>
    <x v="0"/>
    <s v="Debit Card"/>
  </r>
  <r>
    <n v="915"/>
    <n v="9075"/>
    <x v="302"/>
    <n v="252.57"/>
    <s v="Completed"/>
    <x v="4"/>
    <s v="Credit Card"/>
  </r>
  <r>
    <n v="916"/>
    <n v="6895"/>
    <x v="318"/>
    <n v="254.46"/>
    <s v="Completed"/>
    <x v="2"/>
    <s v="Debit Card"/>
  </r>
  <r>
    <n v="917"/>
    <n v="4677"/>
    <x v="330"/>
    <n v="1525.28"/>
    <s v="Completed"/>
    <x v="0"/>
    <s v="PayPal"/>
  </r>
  <r>
    <n v="918"/>
    <n v="2815"/>
    <x v="24"/>
    <n v="3433.08"/>
    <s v="Completed"/>
    <x v="2"/>
    <s v="Apple Pay"/>
  </r>
  <r>
    <n v="919"/>
    <n v="8801"/>
    <x v="200"/>
    <n v="1574.12"/>
    <s v="Completed"/>
    <x v="3"/>
    <s v="PayPal"/>
  </r>
  <r>
    <n v="920"/>
    <n v="9683"/>
    <x v="272"/>
    <n v="515.58000000000004"/>
    <s v="Completed"/>
    <x v="0"/>
    <s v="Apple Pay"/>
  </r>
  <r>
    <n v="921"/>
    <n v="5559"/>
    <x v="85"/>
    <n v="1786.41"/>
    <s v="Completed"/>
    <x v="3"/>
    <s v="Apple Pay"/>
  </r>
  <r>
    <n v="922"/>
    <n v="8895"/>
    <x v="216"/>
    <n v="1813.55"/>
    <s v="Completed"/>
    <x v="0"/>
    <s v="Credit Card"/>
  </r>
  <r>
    <n v="923"/>
    <n v="2716"/>
    <x v="171"/>
    <n v="401.69"/>
    <s v="Completed"/>
    <x v="1"/>
    <s v="PayPal"/>
  </r>
  <r>
    <n v="924"/>
    <n v="1690"/>
    <x v="272"/>
    <n v="3267.09"/>
    <s v="Completed"/>
    <x v="1"/>
    <s v="Apple Pay"/>
  </r>
  <r>
    <n v="925"/>
    <n v="6182"/>
    <x v="17"/>
    <n v="1129.0999999999999"/>
    <s v="Completed"/>
    <x v="1"/>
    <s v="Debit Card"/>
  </r>
  <r>
    <n v="926"/>
    <n v="9755"/>
    <x v="162"/>
    <n v="807.22"/>
    <s v="Completed"/>
    <x v="0"/>
    <s v="PayPal"/>
  </r>
  <r>
    <n v="927"/>
    <n v="2971"/>
    <x v="128"/>
    <n v="209.84"/>
    <s v="Completed"/>
    <x v="2"/>
    <s v="Debit Card"/>
  </r>
  <r>
    <n v="928"/>
    <n v="8287"/>
    <x v="331"/>
    <n v="1851.93"/>
    <s v="Completed"/>
    <x v="2"/>
    <s v="Credit Card"/>
  </r>
  <r>
    <n v="929"/>
    <n v="685"/>
    <x v="176"/>
    <n v="459.12"/>
    <s v="Completed"/>
    <x v="4"/>
    <s v="Credit Card"/>
  </r>
  <r>
    <n v="930"/>
    <n v="1372"/>
    <x v="159"/>
    <n v="1339.03"/>
    <s v="Completed"/>
    <x v="1"/>
    <s v="Apple Pay"/>
  </r>
  <r>
    <n v="931"/>
    <n v="3915"/>
    <x v="259"/>
    <n v="1298.1199999999999"/>
    <s v="Completed"/>
    <x v="4"/>
    <s v="Debit Card"/>
  </r>
  <r>
    <n v="932"/>
    <n v="4085"/>
    <x v="29"/>
    <n v="703.95"/>
    <s v="Completed"/>
    <x v="4"/>
    <s v="PayPal"/>
  </r>
  <r>
    <n v="933"/>
    <n v="4626"/>
    <x v="18"/>
    <n v="459.12"/>
    <s v="Completed"/>
    <x v="1"/>
    <s v="Debit Card"/>
  </r>
  <r>
    <n v="934"/>
    <n v="1718"/>
    <x v="179"/>
    <n v="1636.91"/>
    <s v="Completed"/>
    <x v="4"/>
    <s v="PayPal"/>
  </r>
  <r>
    <n v="935"/>
    <n v="8907"/>
    <x v="287"/>
    <n v="844.11"/>
    <s v="Completed"/>
    <x v="0"/>
    <s v="Credit Card"/>
  </r>
  <r>
    <n v="936"/>
    <n v="3514"/>
    <x v="189"/>
    <n v="953.95"/>
    <s v="Completed"/>
    <x v="4"/>
    <s v="Debit Card"/>
  </r>
  <r>
    <n v="937"/>
    <n v="690"/>
    <x v="221"/>
    <n v="435.69"/>
    <s v="Completed"/>
    <x v="3"/>
    <s v="PayPal"/>
  </r>
  <r>
    <n v="938"/>
    <n v="6692"/>
    <x v="332"/>
    <n v="303.81"/>
    <s v="Completed"/>
    <x v="3"/>
    <s v="Debit Card"/>
  </r>
  <r>
    <n v="939"/>
    <n v="4511"/>
    <x v="198"/>
    <n v="2864.27"/>
    <s v="Completed"/>
    <x v="1"/>
    <s v="Credit Card"/>
  </r>
  <r>
    <n v="940"/>
    <n v="5332"/>
    <x v="132"/>
    <n v="89.6"/>
    <s v="Completed"/>
    <x v="3"/>
    <s v="Debit Card"/>
  </r>
  <r>
    <n v="941"/>
    <n v="6400"/>
    <x v="333"/>
    <n v="1095.6199999999999"/>
    <s v="Completed"/>
    <x v="4"/>
    <s v="Apple Pay"/>
  </r>
  <r>
    <n v="942"/>
    <n v="373"/>
    <x v="138"/>
    <n v="3507"/>
    <s v="Completed"/>
    <x v="2"/>
    <s v="Apple Pay"/>
  </r>
  <r>
    <n v="943"/>
    <n v="169"/>
    <x v="242"/>
    <n v="1146.23"/>
    <s v="Completed"/>
    <x v="3"/>
    <s v="Credit Card"/>
  </r>
  <r>
    <n v="944"/>
    <n v="5257"/>
    <x v="48"/>
    <n v="846.39"/>
    <s v="Completed"/>
    <x v="0"/>
    <s v="Credit Card"/>
  </r>
  <r>
    <n v="945"/>
    <n v="1374"/>
    <x v="35"/>
    <n v="906.62"/>
    <s v="Completed"/>
    <x v="3"/>
    <s v="Apple Pay"/>
  </r>
  <r>
    <n v="946"/>
    <n v="1176"/>
    <x v="36"/>
    <n v="1630.99"/>
    <s v="Completed"/>
    <x v="1"/>
    <s v="PayPal"/>
  </r>
  <r>
    <n v="947"/>
    <n v="9370"/>
    <x v="88"/>
    <n v="1936.47"/>
    <s v="Completed"/>
    <x v="1"/>
    <s v="PayPal"/>
  </r>
  <r>
    <n v="948"/>
    <n v="8053"/>
    <x v="6"/>
    <n v="273.77"/>
    <s v="Completed"/>
    <x v="5"/>
    <s v="Apple Pay"/>
  </r>
  <r>
    <n v="949"/>
    <n v="6634"/>
    <x v="145"/>
    <n v="300.05"/>
    <s v="Completed"/>
    <x v="3"/>
    <s v="Debit Card"/>
  </r>
  <r>
    <n v="950"/>
    <n v="6110"/>
    <x v="74"/>
    <n v="1520.8"/>
    <s v="Completed"/>
    <x v="3"/>
    <s v="Apple Pay"/>
  </r>
  <r>
    <n v="951"/>
    <n v="2276"/>
    <x v="312"/>
    <n v="2779.26"/>
    <s v="Completed"/>
    <x v="4"/>
    <s v="PayPal"/>
  </r>
  <r>
    <n v="952"/>
    <n v="71"/>
    <x v="334"/>
    <n v="152.53"/>
    <s v="Completed"/>
    <x v="2"/>
    <s v="Apple Pay"/>
  </r>
  <r>
    <n v="953"/>
    <n v="3072"/>
    <x v="309"/>
    <n v="909.31"/>
    <s v="Completed"/>
    <x v="5"/>
    <s v="Debit Card"/>
  </r>
  <r>
    <n v="954"/>
    <n v="6265"/>
    <x v="335"/>
    <n v="1041.67"/>
    <s v="Completed"/>
    <x v="4"/>
    <s v="PayPal"/>
  </r>
  <r>
    <n v="955"/>
    <n v="6512"/>
    <x v="163"/>
    <n v="1417.1"/>
    <s v="Completed"/>
    <x v="2"/>
    <s v="Debit Card"/>
  </r>
  <r>
    <n v="956"/>
    <n v="2504"/>
    <x v="206"/>
    <n v="1762.22"/>
    <s v="Completed"/>
    <x v="4"/>
    <s v="Apple Pay"/>
  </r>
  <r>
    <n v="957"/>
    <n v="4452"/>
    <x v="36"/>
    <n v="1095.03"/>
    <s v="Completed"/>
    <x v="3"/>
    <s v="PayPal"/>
  </r>
  <r>
    <n v="958"/>
    <n v="6099"/>
    <x v="262"/>
    <n v="1240.27"/>
    <s v="Completed"/>
    <x v="3"/>
    <s v="Apple Pay"/>
  </r>
  <r>
    <n v="959"/>
    <n v="5703"/>
    <x v="192"/>
    <n v="3125.58"/>
    <s v="Completed"/>
    <x v="2"/>
    <s v="Debit Card"/>
  </r>
  <r>
    <n v="960"/>
    <n v="7445"/>
    <x v="139"/>
    <n v="958.53"/>
    <s v="Completed"/>
    <x v="0"/>
    <s v="Debit Card"/>
  </r>
  <r>
    <n v="961"/>
    <n v="3444"/>
    <x v="194"/>
    <n v="2010.32"/>
    <s v="Completed"/>
    <x v="2"/>
    <s v="Debit Card"/>
  </r>
  <r>
    <n v="962"/>
    <n v="2724"/>
    <x v="255"/>
    <n v="2028.56"/>
    <s v="Completed"/>
    <x v="0"/>
    <s v="PayPal"/>
  </r>
  <r>
    <n v="963"/>
    <n v="9636"/>
    <x v="269"/>
    <n v="44.16"/>
    <s v="Completed"/>
    <x v="1"/>
    <s v="Debit Card"/>
  </r>
  <r>
    <n v="964"/>
    <n v="3132"/>
    <x v="224"/>
    <n v="6289.37"/>
    <s v="Completed"/>
    <x v="1"/>
    <s v="Apple Pay"/>
  </r>
  <r>
    <n v="965"/>
    <n v="2862"/>
    <x v="228"/>
    <n v="4482.04"/>
    <s v="Completed"/>
    <x v="2"/>
    <s v="Credit Card"/>
  </r>
  <r>
    <n v="966"/>
    <n v="1056"/>
    <x v="224"/>
    <n v="1871.48"/>
    <s v="Completed"/>
    <x v="3"/>
    <s v="Apple Pay"/>
  </r>
  <r>
    <n v="967"/>
    <n v="8808"/>
    <x v="315"/>
    <n v="1057.8599999999999"/>
    <s v="Completed"/>
    <x v="3"/>
    <s v="Apple Pay"/>
  </r>
  <r>
    <n v="968"/>
    <n v="9385"/>
    <x v="196"/>
    <n v="2014.72"/>
    <s v="Completed"/>
    <x v="1"/>
    <s v="Apple Pay"/>
  </r>
  <r>
    <n v="969"/>
    <n v="9644"/>
    <x v="232"/>
    <n v="1245.97"/>
    <s v="Completed"/>
    <x v="1"/>
    <s v="Apple Pay"/>
  </r>
  <r>
    <n v="970"/>
    <n v="4991"/>
    <x v="197"/>
    <n v="359.28"/>
    <s v="Completed"/>
    <x v="2"/>
    <s v="PayPal"/>
  </r>
  <r>
    <n v="971"/>
    <n v="187"/>
    <x v="135"/>
    <n v="615.77"/>
    <s v="Cancelled"/>
    <x v="4"/>
    <s v="Debit Card"/>
  </r>
  <r>
    <n v="972"/>
    <n v="9666"/>
    <x v="31"/>
    <n v="442.69"/>
    <s v="Completed"/>
    <x v="4"/>
    <s v="Debit Card"/>
  </r>
  <r>
    <n v="973"/>
    <n v="6576"/>
    <x v="336"/>
    <n v="3193.95"/>
    <s v="Completed"/>
    <x v="0"/>
    <s v="Credit Card"/>
  </r>
  <r>
    <n v="974"/>
    <n v="6027"/>
    <x v="337"/>
    <n v="1022.51"/>
    <s v="Completed"/>
    <x v="2"/>
    <s v="PayPal"/>
  </r>
  <r>
    <n v="975"/>
    <n v="6588"/>
    <x v="28"/>
    <n v="406.33"/>
    <s v="Completed"/>
    <x v="4"/>
    <s v="Credit Card"/>
  </r>
  <r>
    <n v="976"/>
    <n v="1985"/>
    <x v="279"/>
    <n v="1520.34"/>
    <s v="Completed"/>
    <x v="3"/>
    <s v="PayPal"/>
  </r>
  <r>
    <n v="977"/>
    <n v="9968"/>
    <x v="102"/>
    <n v="714.81"/>
    <s v="Completed"/>
    <x v="3"/>
    <s v="Apple Pay"/>
  </r>
  <r>
    <n v="978"/>
    <n v="4555"/>
    <x v="187"/>
    <n v="1277.56"/>
    <s v="Completed"/>
    <x v="3"/>
    <s v="Debit Card"/>
  </r>
  <r>
    <n v="979"/>
    <n v="1777"/>
    <x v="60"/>
    <n v="132.97999999999999"/>
    <s v="Completed"/>
    <x v="1"/>
    <s v="Apple Pay"/>
  </r>
  <r>
    <n v="980"/>
    <n v="9235"/>
    <x v="281"/>
    <n v="2608.86"/>
    <s v="Completed"/>
    <x v="0"/>
    <s v="Debit Card"/>
  </r>
  <r>
    <n v="981"/>
    <n v="4427"/>
    <x v="277"/>
    <n v="1645.17"/>
    <s v="Cancelled"/>
    <x v="0"/>
    <s v="PayPal"/>
  </r>
  <r>
    <n v="982"/>
    <n v="1242"/>
    <x v="270"/>
    <n v="264.45999999999998"/>
    <s v="Completed"/>
    <x v="3"/>
    <s v="Credit Card"/>
  </r>
  <r>
    <n v="983"/>
    <n v="5506"/>
    <x v="67"/>
    <n v="376.54"/>
    <s v="Completed"/>
    <x v="0"/>
    <s v="Apple Pay"/>
  </r>
  <r>
    <n v="984"/>
    <n v="5635"/>
    <x v="272"/>
    <n v="395.8"/>
    <s v="Completed"/>
    <x v="3"/>
    <s v="Credit Card"/>
  </r>
  <r>
    <n v="985"/>
    <n v="7468"/>
    <x v="98"/>
    <n v="776.21"/>
    <s v="Completed"/>
    <x v="3"/>
    <s v="Apple Pay"/>
  </r>
  <r>
    <n v="986"/>
    <n v="1352"/>
    <x v="89"/>
    <n v="1971.43"/>
    <s v="Completed"/>
    <x v="4"/>
    <s v="Credit Card"/>
  </r>
  <r>
    <n v="987"/>
    <n v="8932"/>
    <x v="134"/>
    <n v="931.48"/>
    <s v="Returned"/>
    <x v="4"/>
    <s v="Credit Card"/>
  </r>
  <r>
    <n v="988"/>
    <n v="9519"/>
    <x v="248"/>
    <n v="1021.75"/>
    <s v="Completed"/>
    <x v="2"/>
    <s v="PayPal"/>
  </r>
  <r>
    <n v="989"/>
    <n v="5174"/>
    <x v="156"/>
    <n v="549.91"/>
    <s v="Cancelled"/>
    <x v="0"/>
    <s v="Apple Pay"/>
  </r>
  <r>
    <n v="990"/>
    <n v="9620"/>
    <x v="18"/>
    <n v="623.26"/>
    <s v="Completed"/>
    <x v="0"/>
    <s v="Debit Card"/>
  </r>
  <r>
    <n v="991"/>
    <n v="6404"/>
    <x v="338"/>
    <n v="578.97"/>
    <s v="Completed"/>
    <x v="0"/>
    <s v="PayPal"/>
  </r>
  <r>
    <n v="992"/>
    <n v="800"/>
    <x v="136"/>
    <n v="2343.54"/>
    <s v="Completed"/>
    <x v="1"/>
    <s v="PayPal"/>
  </r>
  <r>
    <n v="993"/>
    <n v="8075"/>
    <x v="339"/>
    <n v="374.8"/>
    <s v="Completed"/>
    <x v="0"/>
    <s v="Credit Card"/>
  </r>
  <r>
    <n v="994"/>
    <n v="4021"/>
    <x v="340"/>
    <n v="154.02000000000001"/>
    <s v="Completed"/>
    <x v="3"/>
    <s v="PayPal"/>
  </r>
  <r>
    <n v="995"/>
    <n v="3406"/>
    <x v="341"/>
    <n v="381.54"/>
    <s v="Completed"/>
    <x v="1"/>
    <s v="Debit Card"/>
  </r>
  <r>
    <n v="996"/>
    <n v="1435"/>
    <x v="277"/>
    <n v="204.4"/>
    <s v="Completed"/>
    <x v="0"/>
    <s v="PayPal"/>
  </r>
  <r>
    <n v="997"/>
    <n v="4940"/>
    <x v="26"/>
    <n v="1437.34"/>
    <s v="Completed"/>
    <x v="1"/>
    <s v="Credit Card"/>
  </r>
  <r>
    <n v="998"/>
    <n v="9147"/>
    <x v="79"/>
    <n v="154.02000000000001"/>
    <s v="Completed"/>
    <x v="2"/>
    <s v="Apple Pay"/>
  </r>
  <r>
    <n v="999"/>
    <n v="8251"/>
    <x v="9"/>
    <n v="1891.67"/>
    <s v="Completed"/>
    <x v="0"/>
    <s v="PayPal"/>
  </r>
  <r>
    <n v="1000"/>
    <n v="2565"/>
    <x v="185"/>
    <n v="3623.32"/>
    <s v="Completed"/>
    <x v="3"/>
    <s v="PayPal"/>
  </r>
  <r>
    <n v="1001"/>
    <n v="1195"/>
    <x v="122"/>
    <n v="1974.42"/>
    <s v="Completed"/>
    <x v="2"/>
    <s v="Debit Card"/>
  </r>
  <r>
    <n v="1002"/>
    <n v="6910"/>
    <x v="161"/>
    <n v="260.43"/>
    <s v="Completed"/>
    <x v="4"/>
    <s v="Debit Card"/>
  </r>
  <r>
    <n v="1003"/>
    <n v="8116"/>
    <x v="17"/>
    <n v="927.63"/>
    <s v="Completed"/>
    <x v="3"/>
    <s v="Debit Card"/>
  </r>
  <r>
    <n v="1004"/>
    <n v="8395"/>
    <x v="40"/>
    <n v="951.46"/>
    <s v="Completed"/>
    <x v="1"/>
    <s v="Apple Pay"/>
  </r>
  <r>
    <n v="1005"/>
    <n v="7086"/>
    <x v="167"/>
    <n v="181.14"/>
    <s v="Completed"/>
    <x v="2"/>
    <s v="PayPal"/>
  </r>
  <r>
    <n v="1006"/>
    <n v="7493"/>
    <x v="161"/>
    <n v="800.5"/>
    <s v="Completed"/>
    <x v="0"/>
    <s v="Debit Card"/>
  </r>
  <r>
    <n v="1007"/>
    <n v="6313"/>
    <x v="237"/>
    <n v="602.73"/>
    <s v="Completed"/>
    <x v="1"/>
    <s v="Credit Card"/>
  </r>
  <r>
    <n v="1008"/>
    <n v="213"/>
    <x v="174"/>
    <n v="406.76"/>
    <s v="Completed"/>
    <x v="4"/>
    <s v="Credit Card"/>
  </r>
  <r>
    <n v="1009"/>
    <n v="8884"/>
    <x v="315"/>
    <n v="3894.01"/>
    <s v="Completed"/>
    <x v="3"/>
    <s v="Apple Pay"/>
  </r>
  <r>
    <n v="1010"/>
    <n v="4028"/>
    <x v="290"/>
    <n v="4126.5200000000004"/>
    <s v="Completed"/>
    <x v="2"/>
    <s v="Credit Card"/>
  </r>
  <r>
    <n v="1011"/>
    <n v="6682"/>
    <x v="213"/>
    <n v="1801.53"/>
    <s v="Completed"/>
    <x v="1"/>
    <s v="Apple Pay"/>
  </r>
  <r>
    <n v="1012"/>
    <n v="9077"/>
    <x v="268"/>
    <n v="2273.81"/>
    <s v="Completed"/>
    <x v="3"/>
    <s v="Credit Card"/>
  </r>
  <r>
    <n v="1013"/>
    <n v="90"/>
    <x v="152"/>
    <n v="1287.1099999999999"/>
    <s v="Completed"/>
    <x v="0"/>
    <s v="Credit Card"/>
  </r>
  <r>
    <n v="1014"/>
    <n v="690"/>
    <x v="276"/>
    <n v="1071.23"/>
    <s v="Completed"/>
    <x v="3"/>
    <s v="PayPal"/>
  </r>
  <r>
    <n v="1015"/>
    <n v="1945"/>
    <x v="218"/>
    <n v="1695.09"/>
    <s v="Completed"/>
    <x v="3"/>
    <s v="Credit Card"/>
  </r>
  <r>
    <n v="1016"/>
    <n v="9300"/>
    <x v="302"/>
    <n v="2362.5100000000002"/>
    <s v="Completed"/>
    <x v="0"/>
    <s v="Credit Card"/>
  </r>
  <r>
    <n v="1017"/>
    <n v="3917"/>
    <x v="26"/>
    <n v="282.13"/>
    <s v="Completed"/>
    <x v="3"/>
    <s v="Debit Card"/>
  </r>
  <r>
    <n v="1018"/>
    <n v="8766"/>
    <x v="37"/>
    <n v="1044.8"/>
    <s v="Completed"/>
    <x v="1"/>
    <s v="Debit Card"/>
  </r>
  <r>
    <n v="1019"/>
    <n v="6228"/>
    <x v="240"/>
    <n v="884.92"/>
    <s v="Completed"/>
    <x v="1"/>
    <s v="Apple Pay"/>
  </r>
  <r>
    <n v="1020"/>
    <n v="2518"/>
    <x v="73"/>
    <n v="992.54"/>
    <s v="Completed"/>
    <x v="4"/>
    <s v="Apple Pay"/>
  </r>
  <r>
    <n v="1021"/>
    <n v="9372"/>
    <x v="342"/>
    <n v="2552.38"/>
    <s v="Completed"/>
    <x v="2"/>
    <s v="PayPal"/>
  </r>
  <r>
    <n v="1022"/>
    <n v="4764"/>
    <x v="236"/>
    <n v="884.91"/>
    <s v="Completed"/>
    <x v="1"/>
    <s v="Apple Pay"/>
  </r>
  <r>
    <n v="1023"/>
    <n v="1328"/>
    <x v="343"/>
    <n v="623.01"/>
    <s v="Completed"/>
    <x v="0"/>
    <s v="Apple Pay"/>
  </r>
  <r>
    <n v="1024"/>
    <n v="7472"/>
    <x v="127"/>
    <n v="1089.75"/>
    <s v="Completed"/>
    <x v="3"/>
    <s v="Apple Pay"/>
  </r>
  <r>
    <n v="1025"/>
    <n v="690"/>
    <x v="34"/>
    <n v="260.61"/>
    <s v="Completed"/>
    <x v="3"/>
    <s v="Debit Card"/>
  </r>
  <r>
    <n v="1026"/>
    <n v="3183"/>
    <x v="90"/>
    <n v="1411.03"/>
    <s v="Completed"/>
    <x v="4"/>
    <s v="Debit Card"/>
  </r>
  <r>
    <n v="1027"/>
    <n v="5521"/>
    <x v="155"/>
    <n v="313.20999999999998"/>
    <s v="Completed"/>
    <x v="4"/>
    <s v="Debit Card"/>
  </r>
  <r>
    <n v="1028"/>
    <n v="2150"/>
    <x v="300"/>
    <n v="5129.03"/>
    <s v="Completed"/>
    <x v="4"/>
    <s v="Credit Card"/>
  </r>
  <r>
    <n v="1029"/>
    <n v="8239"/>
    <x v="85"/>
    <n v="1832.33"/>
    <s v="Completed"/>
    <x v="4"/>
    <s v="Apple Pay"/>
  </r>
  <r>
    <n v="1030"/>
    <n v="443"/>
    <x v="85"/>
    <n v="1129.0999999999999"/>
    <s v="Completed"/>
    <x v="2"/>
    <s v="Apple Pay"/>
  </r>
  <r>
    <n v="1031"/>
    <n v="9281"/>
    <x v="301"/>
    <n v="697.18"/>
    <s v="Completed"/>
    <x v="5"/>
    <s v="Credit Card"/>
  </r>
  <r>
    <n v="1032"/>
    <n v="8745"/>
    <x v="226"/>
    <n v="151.46"/>
    <s v="Completed"/>
    <x v="1"/>
    <s v="Credit Card"/>
  </r>
  <r>
    <n v="1033"/>
    <n v="7970"/>
    <x v="324"/>
    <n v="164.76"/>
    <s v="Completed"/>
    <x v="4"/>
    <s v="PayPal"/>
  </r>
  <r>
    <n v="1034"/>
    <n v="5273"/>
    <x v="101"/>
    <n v="376.78"/>
    <s v="Completed"/>
    <x v="2"/>
    <s v="Credit Card"/>
  </r>
  <r>
    <n v="1035"/>
    <n v="2928"/>
    <x v="29"/>
    <n v="986.13"/>
    <s v="Completed"/>
    <x v="4"/>
    <s v="Apple Pay"/>
  </r>
  <r>
    <n v="1036"/>
    <n v="347"/>
    <x v="322"/>
    <n v="399.61"/>
    <s v="Completed"/>
    <x v="3"/>
    <s v="Credit Card"/>
  </r>
  <r>
    <n v="1037"/>
    <n v="5958"/>
    <x v="161"/>
    <n v="235.44"/>
    <s v="Completed"/>
    <x v="4"/>
    <s v="Debit Card"/>
  </r>
  <r>
    <n v="1038"/>
    <n v="5825"/>
    <x v="292"/>
    <n v="1680.91"/>
    <s v="Completed"/>
    <x v="2"/>
    <s v="Apple Pay"/>
  </r>
  <r>
    <n v="1039"/>
    <n v="3078"/>
    <x v="296"/>
    <n v="3460.7"/>
    <s v="Completed"/>
    <x v="4"/>
    <s v="Apple Pay"/>
  </r>
  <r>
    <n v="1040"/>
    <n v="5961"/>
    <x v="290"/>
    <n v="441.28"/>
    <s v="Completed"/>
    <x v="0"/>
    <s v="PayPal"/>
  </r>
  <r>
    <n v="1041"/>
    <n v="8521"/>
    <x v="3"/>
    <n v="1212.08"/>
    <s v="Completed"/>
    <x v="3"/>
    <s v="Debit Card"/>
  </r>
  <r>
    <n v="1042"/>
    <n v="2679"/>
    <x v="198"/>
    <n v="618.92999999999995"/>
    <s v="Completed"/>
    <x v="1"/>
    <s v="Apple Pay"/>
  </r>
  <r>
    <n v="1043"/>
    <n v="157"/>
    <x v="153"/>
    <n v="589.04999999999995"/>
    <s v="Completed"/>
    <x v="4"/>
    <s v="PayPal"/>
  </r>
  <r>
    <n v="1044"/>
    <n v="7102"/>
    <x v="138"/>
    <n v="445.88"/>
    <s v="Completed"/>
    <x v="3"/>
    <s v="Credit Card"/>
  </r>
  <r>
    <n v="1045"/>
    <n v="9819"/>
    <x v="82"/>
    <n v="1968.52"/>
    <s v="Completed"/>
    <x v="1"/>
    <s v="Credit Card"/>
  </r>
  <r>
    <n v="1046"/>
    <n v="8709"/>
    <x v="329"/>
    <n v="585.38"/>
    <s v="Completed"/>
    <x v="2"/>
    <s v="Debit Card"/>
  </r>
  <r>
    <n v="1047"/>
    <n v="5825"/>
    <x v="344"/>
    <n v="182.67"/>
    <s v="Cancelled"/>
    <x v="2"/>
    <s v="Credit Card"/>
  </r>
  <r>
    <n v="1048"/>
    <n v="5846"/>
    <x v="53"/>
    <n v="1033.01"/>
    <s v="Completed"/>
    <x v="0"/>
    <s v="PayPal"/>
  </r>
  <r>
    <n v="1049"/>
    <n v="1313"/>
    <x v="236"/>
    <n v="776.21"/>
    <s v="Completed"/>
    <x v="0"/>
    <s v="Debit Card"/>
  </r>
  <r>
    <n v="1050"/>
    <n v="9132"/>
    <x v="167"/>
    <n v="1094.24"/>
    <s v="Completed"/>
    <x v="4"/>
    <s v="Debit Card"/>
  </r>
  <r>
    <n v="1051"/>
    <n v="1489"/>
    <x v="147"/>
    <n v="719.08"/>
    <s v="Completed"/>
    <x v="1"/>
    <s v="Apple Pay"/>
  </r>
  <r>
    <n v="1052"/>
    <n v="1078"/>
    <x v="8"/>
    <n v="200.91"/>
    <s v="Completed"/>
    <x v="0"/>
    <s v="Debit Card"/>
  </r>
  <r>
    <n v="1053"/>
    <n v="3"/>
    <x v="58"/>
    <n v="6298.1"/>
    <s v="Completed"/>
    <x v="0"/>
    <s v="Apple Pay"/>
  </r>
  <r>
    <n v="1054"/>
    <n v="5684"/>
    <x v="138"/>
    <n v="1705.09"/>
    <s v="Completed"/>
    <x v="2"/>
    <s v="Apple Pay"/>
  </r>
  <r>
    <n v="1055"/>
    <n v="8331"/>
    <x v="199"/>
    <n v="2520.79"/>
    <s v="Completed"/>
    <x v="4"/>
    <s v="Debit Card"/>
  </r>
  <r>
    <n v="1056"/>
    <n v="398"/>
    <x v="36"/>
    <n v="2065.25"/>
    <s v="Completed"/>
    <x v="1"/>
    <s v="PayPal"/>
  </r>
  <r>
    <n v="1057"/>
    <n v="8483"/>
    <x v="321"/>
    <n v="5316.1"/>
    <s v="Completed"/>
    <x v="4"/>
    <s v="Credit Card"/>
  </r>
  <r>
    <n v="1058"/>
    <n v="5633"/>
    <x v="162"/>
    <n v="2148.4899999999998"/>
    <s v="Completed"/>
    <x v="3"/>
    <s v="Credit Card"/>
  </r>
  <r>
    <n v="1059"/>
    <n v="127"/>
    <x v="207"/>
    <n v="491.81"/>
    <s v="Completed"/>
    <x v="2"/>
    <s v="Credit Card"/>
  </r>
  <r>
    <n v="1060"/>
    <n v="9729"/>
    <x v="322"/>
    <n v="2393.4499999999998"/>
    <s v="Completed"/>
    <x v="4"/>
    <s v="Debit Card"/>
  </r>
  <r>
    <n v="1061"/>
    <n v="1974"/>
    <x v="290"/>
    <n v="771.46"/>
    <s v="Completed"/>
    <x v="1"/>
    <s v="Apple Pay"/>
  </r>
  <r>
    <n v="1062"/>
    <n v="5724"/>
    <x v="315"/>
    <n v="1826.95"/>
    <s v="Completed"/>
    <x v="1"/>
    <s v="Debit Card"/>
  </r>
  <r>
    <n v="1063"/>
    <n v="8036"/>
    <x v="322"/>
    <n v="1128.9100000000001"/>
    <s v="Completed"/>
    <x v="4"/>
    <s v="Debit Card"/>
  </r>
  <r>
    <n v="1064"/>
    <n v="6002"/>
    <x v="142"/>
    <n v="187.47"/>
    <s v="Completed"/>
    <x v="2"/>
    <s v="Debit Card"/>
  </r>
  <r>
    <n v="1065"/>
    <n v="8897"/>
    <x v="234"/>
    <n v="455.19"/>
    <s v="Completed"/>
    <x v="1"/>
    <s v="Debit Card"/>
  </r>
  <r>
    <n v="1066"/>
    <n v="4979"/>
    <x v="276"/>
    <n v="1433.78"/>
    <s v="Completed"/>
    <x v="1"/>
    <s v="Credit Card"/>
  </r>
  <r>
    <n v="1067"/>
    <n v="2934"/>
    <x v="165"/>
    <n v="2712.45"/>
    <s v="Completed"/>
    <x v="3"/>
    <s v="Credit Card"/>
  </r>
  <r>
    <n v="1068"/>
    <n v="5163"/>
    <x v="60"/>
    <n v="664.52"/>
    <s v="Completed"/>
    <x v="0"/>
    <s v="Apple Pay"/>
  </r>
  <r>
    <n v="1069"/>
    <n v="7933"/>
    <x v="218"/>
    <n v="1539.81"/>
    <s v="Completed"/>
    <x v="2"/>
    <s v="Apple Pay"/>
  </r>
  <r>
    <n v="1070"/>
    <n v="5133"/>
    <x v="98"/>
    <n v="619.65"/>
    <s v="Completed"/>
    <x v="1"/>
    <s v="Apple Pay"/>
  </r>
  <r>
    <n v="1071"/>
    <n v="98"/>
    <x v="190"/>
    <n v="469.76"/>
    <s v="Completed"/>
    <x v="0"/>
    <s v="Debit Card"/>
  </r>
  <r>
    <n v="1072"/>
    <n v="6910"/>
    <x v="232"/>
    <n v="744.14"/>
    <s v="Completed"/>
    <x v="4"/>
    <s v="Debit Card"/>
  </r>
  <r>
    <n v="1073"/>
    <n v="4345"/>
    <x v="288"/>
    <n v="486.75"/>
    <s v="Completed"/>
    <x v="0"/>
    <s v="Apple Pay"/>
  </r>
  <r>
    <n v="1074"/>
    <n v="3034"/>
    <x v="160"/>
    <n v="442.69"/>
    <s v="Completed"/>
    <x v="3"/>
    <s v="PayPal"/>
  </r>
  <r>
    <n v="1075"/>
    <n v="283"/>
    <x v="226"/>
    <n v="2487.64"/>
    <s v="Completed"/>
    <x v="1"/>
    <s v="Credit Card"/>
  </r>
  <r>
    <n v="1076"/>
    <n v="108"/>
    <x v="74"/>
    <n v="30.63"/>
    <s v="Completed"/>
    <x v="3"/>
    <s v="Debit Card"/>
  </r>
  <r>
    <n v="1077"/>
    <n v="4716"/>
    <x v="216"/>
    <n v="1417.1"/>
    <s v="Completed"/>
    <x v="3"/>
    <s v="PayPal"/>
  </r>
  <r>
    <n v="1078"/>
    <n v="7781"/>
    <x v="256"/>
    <n v="105.06"/>
    <s v="Cancelled"/>
    <x v="3"/>
    <s v="Credit Card"/>
  </r>
  <r>
    <n v="1079"/>
    <n v="1714"/>
    <x v="61"/>
    <n v="968.43"/>
    <s v="Returned"/>
    <x v="4"/>
    <s v="Debit Card"/>
  </r>
  <r>
    <n v="1080"/>
    <n v="5873"/>
    <x v="85"/>
    <n v="2993.91"/>
    <s v="Completed"/>
    <x v="1"/>
    <s v="Credit Card"/>
  </r>
  <r>
    <n v="1081"/>
    <n v="3960"/>
    <x v="93"/>
    <n v="1227.5"/>
    <s v="Completed"/>
    <x v="0"/>
    <s v="Apple Pay"/>
  </r>
  <r>
    <n v="1082"/>
    <n v="7767"/>
    <x v="345"/>
    <n v="686.4"/>
    <s v="Completed"/>
    <x v="3"/>
    <s v="Apple Pay"/>
  </r>
  <r>
    <n v="1083"/>
    <n v="2576"/>
    <x v="268"/>
    <n v="5332.51"/>
    <s v="Completed"/>
    <x v="0"/>
    <s v="Debit Card"/>
  </r>
  <r>
    <n v="1084"/>
    <n v="8243"/>
    <x v="289"/>
    <n v="2889.79"/>
    <s v="Completed"/>
    <x v="1"/>
    <s v="Debit Card"/>
  </r>
  <r>
    <n v="1085"/>
    <n v="1304"/>
    <x v="275"/>
    <n v="1127.69"/>
    <s v="Completed"/>
    <x v="0"/>
    <s v="Debit Card"/>
  </r>
  <r>
    <n v="1086"/>
    <n v="7748"/>
    <x v="316"/>
    <n v="1936.62"/>
    <s v="Completed"/>
    <x v="3"/>
    <s v="PayPal"/>
  </r>
  <r>
    <n v="1087"/>
    <n v="87"/>
    <x v="287"/>
    <n v="1416.9"/>
    <s v="Completed"/>
    <x v="1"/>
    <s v="PayPal"/>
  </r>
  <r>
    <n v="1088"/>
    <n v="9328"/>
    <x v="243"/>
    <n v="157.91999999999999"/>
    <s v="Completed"/>
    <x v="3"/>
    <s v="Apple Pay"/>
  </r>
  <r>
    <n v="1089"/>
    <n v="8654"/>
    <x v="282"/>
    <n v="667.02"/>
    <s v="Completed"/>
    <x v="1"/>
    <s v="Debit Card"/>
  </r>
  <r>
    <n v="1090"/>
    <n v="9110"/>
    <x v="29"/>
    <n v="1995.72"/>
    <s v="Completed"/>
    <x v="2"/>
    <s v="Apple Pay"/>
  </r>
  <r>
    <n v="1091"/>
    <n v="6549"/>
    <x v="57"/>
    <n v="921.67"/>
    <s v="Completed"/>
    <x v="4"/>
    <s v="PayPal"/>
  </r>
  <r>
    <n v="1092"/>
    <n v="1225"/>
    <x v="172"/>
    <n v="3527.25"/>
    <s v="Completed"/>
    <x v="3"/>
    <s v="Apple Pay"/>
  </r>
  <r>
    <n v="1093"/>
    <n v="3236"/>
    <x v="278"/>
    <n v="444.39"/>
    <s v="Completed"/>
    <x v="4"/>
    <s v="Debit Card"/>
  </r>
  <r>
    <n v="1094"/>
    <n v="982"/>
    <x v="68"/>
    <n v="872.25"/>
    <s v="Completed"/>
    <x v="2"/>
    <s v="Credit Card"/>
  </r>
  <r>
    <n v="1095"/>
    <n v="1630"/>
    <x v="78"/>
    <n v="422.6"/>
    <s v="Completed"/>
    <x v="3"/>
    <s v="Apple Pay"/>
  </r>
  <r>
    <n v="1096"/>
    <n v="2115"/>
    <x v="96"/>
    <n v="4488.46"/>
    <s v="Completed"/>
    <x v="2"/>
    <s v="Apple Pay"/>
  </r>
  <r>
    <n v="1097"/>
    <n v="1308"/>
    <x v="211"/>
    <n v="290.79000000000002"/>
    <s v="Completed"/>
    <x v="3"/>
    <s v="Apple Pay"/>
  </r>
  <r>
    <n v="1098"/>
    <n v="9623"/>
    <x v="197"/>
    <n v="1944.13"/>
    <s v="Completed"/>
    <x v="0"/>
    <s v="Credit Card"/>
  </r>
  <r>
    <n v="1099"/>
    <n v="8953"/>
    <x v="172"/>
    <n v="670.34"/>
    <s v="Completed"/>
    <x v="3"/>
    <s v="Apple Pay"/>
  </r>
  <r>
    <n v="1100"/>
    <n v="1601"/>
    <x v="66"/>
    <n v="418.97"/>
    <s v="Completed"/>
    <x v="4"/>
    <s v="Debit Card"/>
  </r>
  <r>
    <n v="1101"/>
    <n v="5703"/>
    <x v="231"/>
    <n v="831.92"/>
    <s v="Completed"/>
    <x v="5"/>
    <s v="PayPal"/>
  </r>
  <r>
    <n v="1102"/>
    <n v="9090"/>
    <x v="267"/>
    <n v="1093.42"/>
    <s v="Completed"/>
    <x v="0"/>
    <s v="Debit Card"/>
  </r>
  <r>
    <n v="1103"/>
    <n v="2373"/>
    <x v="136"/>
    <n v="572.72"/>
    <s v="Completed"/>
    <x v="3"/>
    <s v="Credit Card"/>
  </r>
  <r>
    <n v="1104"/>
    <n v="1695"/>
    <x v="196"/>
    <n v="2127.02"/>
    <s v="Completed"/>
    <x v="2"/>
    <s v="Debit Card"/>
  </r>
  <r>
    <n v="1105"/>
    <n v="3339"/>
    <x v="283"/>
    <n v="744.5"/>
    <s v="Completed"/>
    <x v="0"/>
    <s v="Debit Card"/>
  </r>
  <r>
    <n v="1106"/>
    <n v="1814"/>
    <x v="65"/>
    <n v="313.64999999999998"/>
    <s v="Completed"/>
    <x v="0"/>
    <s v="Apple Pay"/>
  </r>
  <r>
    <n v="1107"/>
    <n v="8200"/>
    <x v="9"/>
    <n v="1334.04"/>
    <s v="Completed"/>
    <x v="4"/>
    <s v="Debit Card"/>
  </r>
  <r>
    <n v="1108"/>
    <n v="7487"/>
    <x v="171"/>
    <n v="548.66"/>
    <s v="Completed"/>
    <x v="2"/>
    <s v="Debit Card"/>
  </r>
  <r>
    <n v="1109"/>
    <n v="9005"/>
    <x v="136"/>
    <n v="2668.72"/>
    <s v="Cancelled"/>
    <x v="1"/>
    <s v="Apple Pay"/>
  </r>
  <r>
    <n v="1110"/>
    <n v="4902"/>
    <x v="43"/>
    <n v="972.84"/>
    <s v="Completed"/>
    <x v="3"/>
    <s v="Credit Card"/>
  </r>
  <r>
    <n v="1111"/>
    <n v="422"/>
    <x v="182"/>
    <n v="1083.19"/>
    <s v="Returned"/>
    <x v="4"/>
    <s v="Debit Card"/>
  </r>
  <r>
    <n v="1112"/>
    <n v="4540"/>
    <x v="91"/>
    <n v="235.13"/>
    <s v="Completed"/>
    <x v="4"/>
    <s v="Credit Card"/>
  </r>
  <r>
    <n v="1113"/>
    <n v="4851"/>
    <x v="68"/>
    <n v="2587.9"/>
    <s v="Completed"/>
    <x v="0"/>
    <s v="Credit Card"/>
  </r>
  <r>
    <n v="1114"/>
    <n v="7931"/>
    <x v="125"/>
    <n v="978.85"/>
    <s v="Completed"/>
    <x v="3"/>
    <s v="Credit Card"/>
  </r>
  <r>
    <n v="1115"/>
    <n v="682"/>
    <x v="98"/>
    <n v="13199.04"/>
    <s v="Completed"/>
    <x v="0"/>
    <s v="PayPal"/>
  </r>
  <r>
    <n v="1116"/>
    <n v="5114"/>
    <x v="341"/>
    <n v="3018.72"/>
    <s v="Completed"/>
    <x v="4"/>
    <s v="Apple Pay"/>
  </r>
  <r>
    <n v="1117"/>
    <n v="488"/>
    <x v="178"/>
    <n v="2137.7800000000002"/>
    <s v="Completed"/>
    <x v="3"/>
    <s v="Credit Card"/>
  </r>
  <r>
    <n v="1118"/>
    <n v="1737"/>
    <x v="220"/>
    <n v="1056.4000000000001"/>
    <s v="Completed"/>
    <x v="3"/>
    <s v="Debit Card"/>
  </r>
  <r>
    <n v="1119"/>
    <n v="2306"/>
    <x v="6"/>
    <n v="549.91"/>
    <s v="Completed"/>
    <x v="2"/>
    <s v="PayPal"/>
  </r>
  <r>
    <n v="1120"/>
    <n v="7223"/>
    <x v="299"/>
    <n v="150.41"/>
    <s v="Completed"/>
    <x v="4"/>
    <s v="Apple Pay"/>
  </r>
  <r>
    <n v="1121"/>
    <n v="5888"/>
    <x v="108"/>
    <n v="1276.5899999999999"/>
    <s v="Completed"/>
    <x v="2"/>
    <s v="Credit Card"/>
  </r>
  <r>
    <n v="1122"/>
    <n v="8814"/>
    <x v="67"/>
    <n v="2544.08"/>
    <s v="Completed"/>
    <x v="0"/>
    <s v="Credit Card"/>
  </r>
  <r>
    <n v="1123"/>
    <n v="1912"/>
    <x v="36"/>
    <n v="228.45"/>
    <s v="Completed"/>
    <x v="1"/>
    <s v="PayPal"/>
  </r>
  <r>
    <n v="1124"/>
    <n v="9307"/>
    <x v="6"/>
    <n v="4446.45"/>
    <s v="Completed"/>
    <x v="0"/>
    <s v="Apple Pay"/>
  </r>
  <r>
    <n v="1125"/>
    <n v="4366"/>
    <x v="164"/>
    <n v="2397.41"/>
    <s v="Completed"/>
    <x v="4"/>
    <s v="Apple Pay"/>
  </r>
  <r>
    <n v="1126"/>
    <n v="3872"/>
    <x v="141"/>
    <n v="323.68"/>
    <s v="Completed"/>
    <x v="1"/>
    <s v="PayPal"/>
  </r>
  <r>
    <n v="1127"/>
    <n v="6655"/>
    <x v="249"/>
    <n v="290.79000000000002"/>
    <s v="Completed"/>
    <x v="2"/>
    <s v="Debit Card"/>
  </r>
  <r>
    <n v="1128"/>
    <n v="9236"/>
    <x v="21"/>
    <n v="479.1"/>
    <s v="Completed"/>
    <x v="4"/>
    <s v="Credit Card"/>
  </r>
  <r>
    <n v="1129"/>
    <n v="9315"/>
    <x v="34"/>
    <n v="1837.89"/>
    <s v="Completed"/>
    <x v="4"/>
    <s v="Apple Pay"/>
  </r>
  <r>
    <n v="1130"/>
    <n v="6061"/>
    <x v="85"/>
    <n v="1289.02"/>
    <s v="Completed"/>
    <x v="3"/>
    <s v="Apple Pay"/>
  </r>
  <r>
    <n v="1131"/>
    <n v="5482"/>
    <x v="125"/>
    <n v="406.33"/>
    <s v="Completed"/>
    <x v="0"/>
    <s v="Credit Card"/>
  </r>
  <r>
    <n v="1132"/>
    <n v="6070"/>
    <x v="270"/>
    <n v="3602.11"/>
    <s v="Completed"/>
    <x v="4"/>
    <s v="Apple Pay"/>
  </r>
  <r>
    <n v="1133"/>
    <n v="90"/>
    <x v="346"/>
    <n v="1416.81"/>
    <s v="Completed"/>
    <x v="0"/>
    <s v="Credit Card"/>
  </r>
  <r>
    <n v="1134"/>
    <n v="4677"/>
    <x v="347"/>
    <n v="1302.24"/>
    <s v="Completed"/>
    <x v="0"/>
    <s v="Apple Pay"/>
  </r>
  <r>
    <n v="1135"/>
    <n v="8952"/>
    <x v="165"/>
    <n v="889.76"/>
    <s v="Completed"/>
    <x v="4"/>
    <s v="Debit Card"/>
  </r>
  <r>
    <n v="1136"/>
    <n v="6872"/>
    <x v="105"/>
    <n v="1709.14"/>
    <s v="Completed"/>
    <x v="2"/>
    <s v="Apple Pay"/>
  </r>
  <r>
    <n v="1137"/>
    <n v="7508"/>
    <x v="301"/>
    <n v="628.59"/>
    <s v="Completed"/>
    <x v="1"/>
    <s v="PayPal"/>
  </r>
  <r>
    <n v="1138"/>
    <n v="2636"/>
    <x v="42"/>
    <n v="2252.41"/>
    <s v="Completed"/>
    <x v="0"/>
    <s v="Apple Pay"/>
  </r>
  <r>
    <n v="1139"/>
    <n v="9197"/>
    <x v="68"/>
    <n v="22948.01"/>
    <s v="Completed"/>
    <x v="0"/>
    <s v="Credit Card"/>
  </r>
  <r>
    <n v="1140"/>
    <n v="3888"/>
    <x v="76"/>
    <n v="3251.05"/>
    <s v="Completed"/>
    <x v="4"/>
    <s v="PayPal"/>
  </r>
  <r>
    <n v="1141"/>
    <n v="4602"/>
    <x v="246"/>
    <n v="907.95"/>
    <s v="Completed"/>
    <x v="2"/>
    <s v="Debit Card"/>
  </r>
  <r>
    <n v="1142"/>
    <n v="4189"/>
    <x v="253"/>
    <n v="858.98"/>
    <s v="Completed"/>
    <x v="4"/>
    <s v="Debit Card"/>
  </r>
  <r>
    <n v="1143"/>
    <n v="6832"/>
    <x v="320"/>
    <n v="803.38"/>
    <s v="Completed"/>
    <x v="4"/>
    <s v="Credit Card"/>
  </r>
  <r>
    <n v="1144"/>
    <n v="8993"/>
    <x v="52"/>
    <n v="2329.0300000000002"/>
    <s v="Completed"/>
    <x v="1"/>
    <s v="Credit Card"/>
  </r>
  <r>
    <n v="1145"/>
    <n v="7270"/>
    <x v="336"/>
    <n v="4981.47"/>
    <s v="Completed"/>
    <x v="0"/>
    <s v="Credit Card"/>
  </r>
  <r>
    <n v="1146"/>
    <n v="2193"/>
    <x v="16"/>
    <n v="428.94"/>
    <s v="Completed"/>
    <x v="3"/>
    <s v="Debit Card"/>
  </r>
  <r>
    <n v="1147"/>
    <n v="7621"/>
    <x v="208"/>
    <n v="5503.25"/>
    <s v="Completed"/>
    <x v="2"/>
    <s v="Debit Card"/>
  </r>
  <r>
    <n v="1148"/>
    <n v="445"/>
    <x v="178"/>
    <n v="1777.25"/>
    <s v="Completed"/>
    <x v="3"/>
    <s v="PayPal"/>
  </r>
  <r>
    <n v="1149"/>
    <n v="5914"/>
    <x v="159"/>
    <n v="820.77"/>
    <s v="Completed"/>
    <x v="3"/>
    <s v="Credit Card"/>
  </r>
  <r>
    <n v="1150"/>
    <n v="5588"/>
    <x v="22"/>
    <n v="2502.75"/>
    <s v="Completed"/>
    <x v="1"/>
    <s v="Apple Pay"/>
  </r>
  <r>
    <n v="1151"/>
    <n v="7279"/>
    <x v="143"/>
    <n v="968.43"/>
    <s v="Completed"/>
    <x v="4"/>
    <s v="Apple Pay"/>
  </r>
  <r>
    <n v="1152"/>
    <n v="8763"/>
    <x v="335"/>
    <n v="5382.78"/>
    <s v="Completed"/>
    <x v="4"/>
    <s v="Apple Pay"/>
  </r>
  <r>
    <n v="1153"/>
    <n v="7037"/>
    <x v="60"/>
    <n v="2076.31"/>
    <s v="Completed"/>
    <x v="1"/>
    <s v="Apple Pay"/>
  </r>
  <r>
    <n v="1154"/>
    <n v="4084"/>
    <x v="179"/>
    <n v="2877.76"/>
    <s v="Completed"/>
    <x v="0"/>
    <s v="Credit Card"/>
  </r>
  <r>
    <n v="1155"/>
    <n v="4084"/>
    <x v="4"/>
    <n v="1732.07"/>
    <s v="Completed"/>
    <x v="0"/>
    <s v="PayPal"/>
  </r>
  <r>
    <n v="1156"/>
    <n v="6756"/>
    <x v="208"/>
    <n v="631.66"/>
    <s v="Completed"/>
    <x v="3"/>
    <s v="Debit Card"/>
  </r>
  <r>
    <n v="1157"/>
    <n v="3984"/>
    <x v="110"/>
    <n v="1126.52"/>
    <s v="Completed"/>
    <x v="3"/>
    <s v="Debit Card"/>
  </r>
  <r>
    <n v="1158"/>
    <n v="6099"/>
    <x v="180"/>
    <n v="1623.03"/>
    <s v="Completed"/>
    <x v="3"/>
    <s v="Debit Card"/>
  </r>
  <r>
    <n v="1159"/>
    <n v="8703"/>
    <x v="166"/>
    <n v="325.76"/>
    <s v="Completed"/>
    <x v="3"/>
    <s v="Apple Pay"/>
  </r>
  <r>
    <n v="1160"/>
    <n v="5188"/>
    <x v="233"/>
    <n v="4011.24"/>
    <s v="Completed"/>
    <x v="2"/>
    <s v="Apple Pay"/>
  </r>
  <r>
    <n v="1161"/>
    <n v="4145"/>
    <x v="49"/>
    <n v="1038.06"/>
    <s v="Completed"/>
    <x v="2"/>
    <s v="Apple Pay"/>
  </r>
  <r>
    <n v="1162"/>
    <n v="4254"/>
    <x v="41"/>
    <n v="716.32"/>
    <s v="Completed"/>
    <x v="5"/>
    <s v="PayPal"/>
  </r>
  <r>
    <n v="1163"/>
    <n v="8362"/>
    <x v="168"/>
    <n v="2475.56"/>
    <s v="Completed"/>
    <x v="3"/>
    <s v="PayPal"/>
  </r>
  <r>
    <n v="1164"/>
    <n v="1881"/>
    <x v="60"/>
    <n v="1768.6"/>
    <s v="Completed"/>
    <x v="1"/>
    <s v="PayPal"/>
  </r>
  <r>
    <n v="1165"/>
    <n v="3527"/>
    <x v="164"/>
    <n v="97.28"/>
    <s v="Completed"/>
    <x v="2"/>
    <s v="Credit Card"/>
  </r>
  <r>
    <n v="1166"/>
    <n v="9683"/>
    <x v="240"/>
    <n v="211.3"/>
    <s v="Completed"/>
    <x v="0"/>
    <s v="PayPal"/>
  </r>
  <r>
    <n v="1167"/>
    <n v="3943"/>
    <x v="97"/>
    <n v="2165.17"/>
    <s v="Completed"/>
    <x v="2"/>
    <s v="PayPal"/>
  </r>
  <r>
    <n v="1168"/>
    <n v="2219"/>
    <x v="256"/>
    <n v="2814.99"/>
    <s v="Completed"/>
    <x v="4"/>
    <s v="Apple Pay"/>
  </r>
  <r>
    <n v="1169"/>
    <n v="1951"/>
    <x v="244"/>
    <n v="2429.17"/>
    <s v="Completed"/>
    <x v="1"/>
    <s v="Credit Card"/>
  </r>
  <r>
    <n v="1170"/>
    <n v="6062"/>
    <x v="80"/>
    <n v="1630.06"/>
    <s v="Cancelled"/>
    <x v="3"/>
    <s v="PayPal"/>
  </r>
  <r>
    <n v="1171"/>
    <n v="7552"/>
    <x v="348"/>
    <n v="1527.31"/>
    <s v="Completed"/>
    <x v="4"/>
    <s v="Credit Card"/>
  </r>
  <r>
    <n v="1172"/>
    <n v="1067"/>
    <x v="290"/>
    <n v="1786.37"/>
    <s v="Completed"/>
    <x v="2"/>
    <s v="Credit Card"/>
  </r>
  <r>
    <n v="1173"/>
    <n v="3211"/>
    <x v="114"/>
    <n v="1695.09"/>
    <s v="Completed"/>
    <x v="3"/>
    <s v="Debit Card"/>
  </r>
  <r>
    <n v="1174"/>
    <n v="8573"/>
    <x v="91"/>
    <n v="799.39"/>
    <s v="Completed"/>
    <x v="3"/>
    <s v="PayPal"/>
  </r>
  <r>
    <n v="1175"/>
    <n v="3947"/>
    <x v="303"/>
    <n v="359.28"/>
    <s v="Completed"/>
    <x v="0"/>
    <s v="Debit Card"/>
  </r>
  <r>
    <n v="1176"/>
    <n v="3512"/>
    <x v="286"/>
    <n v="3232.03"/>
    <s v="Completed"/>
    <x v="1"/>
    <s v="Debit Card"/>
  </r>
  <r>
    <n v="1177"/>
    <n v="4220"/>
    <x v="256"/>
    <n v="1103.78"/>
    <s v="Completed"/>
    <x v="1"/>
    <s v="Apple Pay"/>
  </r>
  <r>
    <n v="1178"/>
    <n v="869"/>
    <x v="170"/>
    <n v="1074.49"/>
    <s v="Completed"/>
    <x v="0"/>
    <s v="Apple Pay"/>
  </r>
  <r>
    <n v="1179"/>
    <n v="7739"/>
    <x v="113"/>
    <n v="1942.27"/>
    <s v="Completed"/>
    <x v="0"/>
    <s v="Credit Card"/>
  </r>
  <r>
    <n v="1180"/>
    <n v="1920"/>
    <x v="223"/>
    <n v="526.08000000000004"/>
    <s v="Completed"/>
    <x v="0"/>
    <s v="Debit Card"/>
  </r>
  <r>
    <n v="1181"/>
    <n v="8144"/>
    <x v="179"/>
    <n v="629.52"/>
    <s v="Completed"/>
    <x v="2"/>
    <s v="Debit Card"/>
  </r>
  <r>
    <n v="1182"/>
    <n v="8198"/>
    <x v="73"/>
    <n v="719.27"/>
    <s v="Completed"/>
    <x v="2"/>
    <s v="Credit Card"/>
  </r>
  <r>
    <n v="1183"/>
    <n v="7387"/>
    <x v="68"/>
    <n v="538.64"/>
    <s v="Completed"/>
    <x v="2"/>
    <s v="PayPal"/>
  </r>
  <r>
    <n v="1184"/>
    <n v="9029"/>
    <x v="149"/>
    <n v="4396.37"/>
    <s v="Completed"/>
    <x v="0"/>
    <s v="PayPal"/>
  </r>
  <r>
    <n v="1185"/>
    <n v="8197"/>
    <x v="182"/>
    <n v="2904.14"/>
    <s v="Completed"/>
    <x v="3"/>
    <s v="Apple Pay"/>
  </r>
  <r>
    <n v="1186"/>
    <n v="8897"/>
    <x v="10"/>
    <n v="88.32"/>
    <s v="Completed"/>
    <x v="1"/>
    <s v="PayPal"/>
  </r>
  <r>
    <n v="1187"/>
    <n v="9466"/>
    <x v="338"/>
    <n v="632.57000000000005"/>
    <s v="Completed"/>
    <x v="3"/>
    <s v="Credit Card"/>
  </r>
  <r>
    <n v="1188"/>
    <n v="4330"/>
    <x v="135"/>
    <n v="196.53"/>
    <s v="Completed"/>
    <x v="4"/>
    <s v="Credit Card"/>
  </r>
  <r>
    <n v="1189"/>
    <n v="5010"/>
    <x v="217"/>
    <n v="442.46"/>
    <s v="Completed"/>
    <x v="3"/>
    <s v="Debit Card"/>
  </r>
  <r>
    <n v="1190"/>
    <n v="1116"/>
    <x v="310"/>
    <n v="1078.67"/>
    <s v="Completed"/>
    <x v="4"/>
    <s v="PayPal"/>
  </r>
  <r>
    <n v="1191"/>
    <n v="5240"/>
    <x v="240"/>
    <n v="315.29000000000002"/>
    <s v="Completed"/>
    <x v="0"/>
    <s v="PayPal"/>
  </r>
  <r>
    <n v="1192"/>
    <n v="4164"/>
    <x v="349"/>
    <n v="1041.67"/>
    <s v="Completed"/>
    <x v="1"/>
    <s v="Apple Pay"/>
  </r>
  <r>
    <n v="1193"/>
    <n v="5133"/>
    <x v="332"/>
    <n v="478.11"/>
    <s v="Completed"/>
    <x v="1"/>
    <s v="Apple Pay"/>
  </r>
  <r>
    <n v="1194"/>
    <n v="3723"/>
    <x v="350"/>
    <n v="1484.56"/>
    <s v="Completed"/>
    <x v="1"/>
    <s v="Apple Pay"/>
  </r>
  <r>
    <n v="1195"/>
    <n v="7467"/>
    <x v="206"/>
    <n v="997.47"/>
    <s v="Completed"/>
    <x v="2"/>
    <s v="Credit Card"/>
  </r>
  <r>
    <n v="1196"/>
    <n v="447"/>
    <x v="196"/>
    <n v="2214.84"/>
    <s v="Completed"/>
    <x v="2"/>
    <s v="Apple Pay"/>
  </r>
  <r>
    <n v="1197"/>
    <n v="303"/>
    <x v="334"/>
    <n v="721.38"/>
    <s v="Completed"/>
    <x v="0"/>
    <s v="Debit Card"/>
  </r>
  <r>
    <n v="1198"/>
    <n v="6702"/>
    <x v="135"/>
    <n v="788.31"/>
    <s v="Completed"/>
    <x v="3"/>
    <s v="PayPal"/>
  </r>
  <r>
    <n v="1199"/>
    <n v="7410"/>
    <x v="328"/>
    <n v="2297.46"/>
    <s v="Completed"/>
    <x v="3"/>
    <s v="Credit Card"/>
  </r>
  <r>
    <n v="1200"/>
    <n v="5373"/>
    <x v="34"/>
    <n v="154.02000000000001"/>
    <s v="Completed"/>
    <x v="2"/>
    <s v="Credit Card"/>
  </r>
  <r>
    <n v="1201"/>
    <n v="8966"/>
    <x v="310"/>
    <n v="1367.72"/>
    <s v="Completed"/>
    <x v="2"/>
    <s v="Debit Card"/>
  </r>
  <r>
    <n v="1202"/>
    <n v="3161"/>
    <x v="120"/>
    <n v="2809.34"/>
    <s v="Completed"/>
    <x v="2"/>
    <s v="PayPal"/>
  </r>
  <r>
    <n v="1203"/>
    <n v="7261"/>
    <x v="306"/>
    <n v="315.29000000000002"/>
    <s v="Completed"/>
    <x v="4"/>
    <s v="Apple Pay"/>
  </r>
  <r>
    <n v="1204"/>
    <n v="6106"/>
    <x v="215"/>
    <n v="2921.07"/>
    <s v="Completed"/>
    <x v="4"/>
    <s v="Apple Pay"/>
  </r>
  <r>
    <n v="1205"/>
    <n v="9282"/>
    <x v="351"/>
    <n v="2318.9899999999998"/>
    <s v="Completed"/>
    <x v="1"/>
    <s v="Apple Pay"/>
  </r>
  <r>
    <n v="1206"/>
    <n v="3841"/>
    <x v="272"/>
    <n v="305.06"/>
    <s v="Completed"/>
    <x v="4"/>
    <s v="Apple Pay"/>
  </r>
  <r>
    <n v="1207"/>
    <n v="4107"/>
    <x v="288"/>
    <n v="1009.26"/>
    <s v="Completed"/>
    <x v="1"/>
    <s v="Apple Pay"/>
  </r>
  <r>
    <n v="1208"/>
    <n v="2232"/>
    <x v="210"/>
    <n v="315.18"/>
    <s v="Completed"/>
    <x v="0"/>
    <s v="Apple Pay"/>
  </r>
  <r>
    <n v="1209"/>
    <n v="8547"/>
    <x v="150"/>
    <n v="1916.38"/>
    <s v="Completed"/>
    <x v="3"/>
    <s v="PayPal"/>
  </r>
  <r>
    <n v="1210"/>
    <n v="1027"/>
    <x v="31"/>
    <n v="208.24"/>
    <s v="Completed"/>
    <x v="4"/>
    <s v="Apple Pay"/>
  </r>
  <r>
    <n v="1211"/>
    <n v="5313"/>
    <x v="38"/>
    <n v="3064.98"/>
    <s v="Completed"/>
    <x v="3"/>
    <s v="Apple Pay"/>
  </r>
  <r>
    <n v="1212"/>
    <n v="2926"/>
    <x v="45"/>
    <n v="2580.08"/>
    <s v="Completed"/>
    <x v="3"/>
    <s v="Debit Card"/>
  </r>
  <r>
    <n v="1213"/>
    <n v="2659"/>
    <x v="33"/>
    <n v="1264.8599999999999"/>
    <s v="Completed"/>
    <x v="1"/>
    <s v="Credit Card"/>
  </r>
  <r>
    <n v="1214"/>
    <n v="2079"/>
    <x v="174"/>
    <n v="1871.48"/>
    <s v="Completed"/>
    <x v="4"/>
    <s v="PayPal"/>
  </r>
  <r>
    <n v="1215"/>
    <n v="7832"/>
    <x v="212"/>
    <n v="1860.2"/>
    <s v="Completed"/>
    <x v="1"/>
    <s v="Debit Card"/>
  </r>
  <r>
    <n v="1216"/>
    <n v="775"/>
    <x v="217"/>
    <n v="177.79"/>
    <s v="Completed"/>
    <x v="3"/>
    <s v="PayPal"/>
  </r>
  <r>
    <n v="1217"/>
    <n v="5209"/>
    <x v="352"/>
    <n v="2863.77"/>
    <s v="Completed"/>
    <x v="4"/>
    <s v="PayPal"/>
  </r>
  <r>
    <n v="1218"/>
    <n v="3811"/>
    <x v="271"/>
    <n v="1280.27"/>
    <s v="Completed"/>
    <x v="3"/>
    <s v="PayPal"/>
  </r>
  <r>
    <n v="1219"/>
    <n v="6756"/>
    <x v="56"/>
    <n v="868.28"/>
    <s v="Completed"/>
    <x v="3"/>
    <s v="Debit Card"/>
  </r>
  <r>
    <n v="1220"/>
    <n v="7701"/>
    <x v="161"/>
    <n v="548.80999999999995"/>
    <s v="Completed"/>
    <x v="4"/>
    <s v="Apple Pay"/>
  </r>
  <r>
    <n v="1221"/>
    <n v="1146"/>
    <x v="36"/>
    <n v="526.08000000000004"/>
    <s v="Completed"/>
    <x v="2"/>
    <s v="Debit Card"/>
  </r>
  <r>
    <n v="1222"/>
    <n v="2652"/>
    <x v="238"/>
    <n v="235.13"/>
    <s v="Completed"/>
    <x v="0"/>
    <s v="PayPal"/>
  </r>
  <r>
    <n v="1223"/>
    <n v="4349"/>
    <x v="332"/>
    <n v="1350.16"/>
    <s v="Completed"/>
    <x v="3"/>
    <s v="PayPal"/>
  </r>
  <r>
    <n v="1224"/>
    <n v="7922"/>
    <x v="147"/>
    <n v="1819.08"/>
    <s v="Returned"/>
    <x v="0"/>
    <s v="PayPal"/>
  </r>
  <r>
    <n v="1225"/>
    <n v="6002"/>
    <x v="119"/>
    <n v="436.2"/>
    <s v="Completed"/>
    <x v="5"/>
    <s v="Apple Pay"/>
  </r>
  <r>
    <n v="1226"/>
    <n v="2198"/>
    <x v="97"/>
    <n v="695.33"/>
    <s v="Returned"/>
    <x v="2"/>
    <s v="Apple Pay"/>
  </r>
  <r>
    <n v="1227"/>
    <n v="4901"/>
    <x v="63"/>
    <n v="462.84"/>
    <s v="Completed"/>
    <x v="4"/>
    <s v="PayPal"/>
  </r>
  <r>
    <n v="1228"/>
    <n v="374"/>
    <x v="79"/>
    <n v="3707.81"/>
    <s v="Completed"/>
    <x v="4"/>
    <s v="PayPal"/>
  </r>
  <r>
    <n v="1229"/>
    <n v="8532"/>
    <x v="184"/>
    <n v="432.45"/>
    <s v="Completed"/>
    <x v="4"/>
    <s v="Apple Pay"/>
  </r>
  <r>
    <n v="1230"/>
    <n v="9430"/>
    <x v="179"/>
    <n v="1798.4"/>
    <s v="Completed"/>
    <x v="4"/>
    <s v="Credit Card"/>
  </r>
  <r>
    <n v="1231"/>
    <n v="5223"/>
    <x v="121"/>
    <n v="442.46"/>
    <s v="Completed"/>
    <x v="2"/>
    <s v="Credit Card"/>
  </r>
  <r>
    <n v="1232"/>
    <n v="757"/>
    <x v="11"/>
    <n v="208.24"/>
    <s v="Completed"/>
    <x v="3"/>
    <s v="Debit Card"/>
  </r>
  <r>
    <n v="1233"/>
    <n v="1158"/>
    <x v="84"/>
    <n v="5547.62"/>
    <s v="Completed"/>
    <x v="2"/>
    <s v="Debit Card"/>
  </r>
  <r>
    <n v="1234"/>
    <n v="3686"/>
    <x v="86"/>
    <n v="2045.04"/>
    <s v="Completed"/>
    <x v="0"/>
    <s v="Debit Card"/>
  </r>
  <r>
    <n v="1235"/>
    <n v="8760"/>
    <x v="274"/>
    <n v="406.33"/>
    <s v="Completed"/>
    <x v="1"/>
    <s v="Credit Card"/>
  </r>
  <r>
    <n v="1236"/>
    <n v="590"/>
    <x v="74"/>
    <n v="555.16"/>
    <s v="Completed"/>
    <x v="2"/>
    <s v="Apple Pay"/>
  </r>
  <r>
    <n v="1237"/>
    <n v="2886"/>
    <x v="26"/>
    <n v="1774.49"/>
    <s v="Completed"/>
    <x v="1"/>
    <s v="PayPal"/>
  </r>
  <r>
    <n v="1238"/>
    <n v="5508"/>
    <x v="312"/>
    <n v="3703.14"/>
    <s v="Completed"/>
    <x v="1"/>
    <s v="Credit Card"/>
  </r>
  <r>
    <n v="1239"/>
    <n v="15"/>
    <x v="79"/>
    <n v="764.02"/>
    <s v="Completed"/>
    <x v="4"/>
    <s v="Credit Card"/>
  </r>
  <r>
    <n v="1240"/>
    <n v="5489"/>
    <x v="146"/>
    <n v="990.62"/>
    <s v="Completed"/>
    <x v="1"/>
    <s v="Credit Card"/>
  </r>
  <r>
    <n v="1241"/>
    <n v="4064"/>
    <x v="59"/>
    <n v="1836.52"/>
    <s v="Completed"/>
    <x v="4"/>
    <s v="Apple Pay"/>
  </r>
  <r>
    <n v="1242"/>
    <n v="9106"/>
    <x v="194"/>
    <n v="278.93"/>
    <s v="Completed"/>
    <x v="0"/>
    <s v="Apple Pay"/>
  </r>
  <r>
    <n v="1243"/>
    <n v="7520"/>
    <x v="353"/>
    <n v="1394.16"/>
    <s v="Completed"/>
    <x v="0"/>
    <s v="Credit Card"/>
  </r>
  <r>
    <n v="1244"/>
    <n v="6989"/>
    <x v="308"/>
    <n v="1800.21"/>
    <s v="Completed"/>
    <x v="3"/>
    <s v="Credit Card"/>
  </r>
  <r>
    <n v="1245"/>
    <n v="4279"/>
    <x v="72"/>
    <n v="1982.68"/>
    <s v="Completed"/>
    <x v="1"/>
    <s v="PayPal"/>
  </r>
  <r>
    <n v="1246"/>
    <n v="5092"/>
    <x v="60"/>
    <n v="2150.67"/>
    <s v="Completed"/>
    <x v="4"/>
    <s v="Credit Card"/>
  </r>
  <r>
    <n v="1247"/>
    <n v="4966"/>
    <x v="146"/>
    <n v="339.07"/>
    <s v="Completed"/>
    <x v="3"/>
    <s v="Credit Card"/>
  </r>
  <r>
    <n v="1248"/>
    <n v="7540"/>
    <x v="341"/>
    <n v="3865.08"/>
    <s v="Completed"/>
    <x v="3"/>
    <s v="Credit Card"/>
  </r>
  <r>
    <n v="1249"/>
    <n v="5255"/>
    <x v="301"/>
    <n v="2599.64"/>
    <s v="Completed"/>
    <x v="3"/>
    <s v="PayPal"/>
  </r>
  <r>
    <n v="1250"/>
    <n v="9933"/>
    <x v="312"/>
    <n v="344.28"/>
    <s v="Completed"/>
    <x v="0"/>
    <s v="Credit Card"/>
  </r>
  <r>
    <n v="1251"/>
    <n v="6605"/>
    <x v="203"/>
    <n v="2293.6999999999998"/>
    <s v="Returned"/>
    <x v="4"/>
    <s v="Apple Pay"/>
  </r>
  <r>
    <n v="1252"/>
    <n v="7211"/>
    <x v="205"/>
    <n v="2516.86"/>
    <s v="Completed"/>
    <x v="1"/>
    <s v="Debit Card"/>
  </r>
  <r>
    <n v="1253"/>
    <n v="9223"/>
    <x v="166"/>
    <n v="1695.09"/>
    <s v="Completed"/>
    <x v="2"/>
    <s v="Debit Card"/>
  </r>
  <r>
    <n v="1254"/>
    <n v="1110"/>
    <x v="91"/>
    <n v="756.21"/>
    <s v="Completed"/>
    <x v="3"/>
    <s v="Credit Card"/>
  </r>
  <r>
    <n v="1255"/>
    <n v="2196"/>
    <x v="256"/>
    <n v="1041.67"/>
    <s v="Completed"/>
    <x v="3"/>
    <s v="Credit Card"/>
  </r>
  <r>
    <n v="1256"/>
    <n v="1088"/>
    <x v="92"/>
    <n v="1393.73"/>
    <s v="Completed"/>
    <x v="2"/>
    <s v="Apple Pay"/>
  </r>
  <r>
    <n v="1257"/>
    <n v="1501"/>
    <x v="242"/>
    <n v="200.91"/>
    <s v="Completed"/>
    <x v="4"/>
    <s v="PayPal"/>
  </r>
  <r>
    <n v="1258"/>
    <n v="9314"/>
    <x v="350"/>
    <n v="699.45"/>
    <s v="Completed"/>
    <x v="4"/>
    <s v="Credit Card"/>
  </r>
  <r>
    <n v="1259"/>
    <n v="5869"/>
    <x v="161"/>
    <n v="436.2"/>
    <s v="Completed"/>
    <x v="3"/>
    <s v="Debit Card"/>
  </r>
  <r>
    <n v="1260"/>
    <n v="1321"/>
    <x v="227"/>
    <n v="154.28"/>
    <s v="Completed"/>
    <x v="2"/>
    <s v="Debit Card"/>
  </r>
  <r>
    <n v="1261"/>
    <n v="3582"/>
    <x v="215"/>
    <n v="556.73"/>
    <s v="Completed"/>
    <x v="4"/>
    <s v="Debit Card"/>
  </r>
  <r>
    <n v="1262"/>
    <n v="7297"/>
    <x v="106"/>
    <n v="2100"/>
    <s v="Completed"/>
    <x v="3"/>
    <s v="Credit Card"/>
  </r>
  <r>
    <n v="1263"/>
    <n v="4327"/>
    <x v="241"/>
    <n v="649.61"/>
    <s v="Completed"/>
    <x v="1"/>
    <s v="Apple Pay"/>
  </r>
  <r>
    <n v="1264"/>
    <n v="1267"/>
    <x v="285"/>
    <n v="3035.72"/>
    <s v="Completed"/>
    <x v="2"/>
    <s v="Credit Card"/>
  </r>
  <r>
    <n v="1265"/>
    <n v="7117"/>
    <x v="100"/>
    <n v="995.47"/>
    <s v="Completed"/>
    <x v="3"/>
    <s v="Credit Card"/>
  </r>
  <r>
    <n v="1266"/>
    <n v="3260"/>
    <x v="276"/>
    <n v="228.45"/>
    <s v="Completed"/>
    <x v="1"/>
    <s v="Credit Card"/>
  </r>
  <r>
    <n v="1267"/>
    <n v="3102"/>
    <x v="287"/>
    <n v="2708.73"/>
    <s v="Completed"/>
    <x v="4"/>
    <s v="Apple Pay"/>
  </r>
  <r>
    <n v="1268"/>
    <n v="7861"/>
    <x v="40"/>
    <n v="401.39"/>
    <s v="Completed"/>
    <x v="1"/>
    <s v="Debit Card"/>
  </r>
  <r>
    <n v="1269"/>
    <n v="5490"/>
    <x v="27"/>
    <n v="377.58"/>
    <s v="Completed"/>
    <x v="4"/>
    <s v="Debit Card"/>
  </r>
  <r>
    <n v="1270"/>
    <n v="3575"/>
    <x v="25"/>
    <n v="861.87"/>
    <s v="Completed"/>
    <x v="0"/>
    <s v="Apple Pay"/>
  </r>
  <r>
    <n v="1271"/>
    <n v="1940"/>
    <x v="210"/>
    <n v="401.69"/>
    <s v="Completed"/>
    <x v="4"/>
    <s v="Debit Card"/>
  </r>
  <r>
    <n v="1272"/>
    <n v="5577"/>
    <x v="148"/>
    <n v="812.58"/>
    <s v="Completed"/>
    <x v="3"/>
    <s v="Credit Card"/>
  </r>
  <r>
    <n v="1273"/>
    <n v="1126"/>
    <x v="83"/>
    <n v="1203.74"/>
    <s v="Completed"/>
    <x v="0"/>
    <s v="PayPal"/>
  </r>
  <r>
    <n v="1274"/>
    <n v="5168"/>
    <x v="309"/>
    <n v="250.59"/>
    <s v="Completed"/>
    <x v="3"/>
    <s v="PayPal"/>
  </r>
  <r>
    <n v="1275"/>
    <n v="7810"/>
    <x v="271"/>
    <n v="2193.84"/>
    <s v="Returned"/>
    <x v="1"/>
    <s v="Debit Card"/>
  </r>
  <r>
    <n v="1276"/>
    <n v="7542"/>
    <x v="42"/>
    <n v="1238.2"/>
    <s v="Completed"/>
    <x v="4"/>
    <s v="Apple Pay"/>
  </r>
  <r>
    <n v="1277"/>
    <n v="2309"/>
    <x v="20"/>
    <n v="1479.63"/>
    <s v="Returned"/>
    <x v="4"/>
    <s v="Apple Pay"/>
  </r>
  <r>
    <n v="1278"/>
    <n v="9774"/>
    <x v="108"/>
    <n v="616.73"/>
    <s v="Completed"/>
    <x v="2"/>
    <s v="Apple Pay"/>
  </r>
  <r>
    <n v="1279"/>
    <n v="2630"/>
    <x v="44"/>
    <n v="638.1"/>
    <s v="Completed"/>
    <x v="2"/>
    <s v="Apple Pay"/>
  </r>
  <r>
    <n v="1280"/>
    <n v="8518"/>
    <x v="79"/>
    <n v="465.76"/>
    <s v="Completed"/>
    <x v="3"/>
    <s v="PayPal"/>
  </r>
  <r>
    <n v="1281"/>
    <n v="8630"/>
    <x v="352"/>
    <n v="1513.62"/>
    <s v="Completed"/>
    <x v="4"/>
    <s v="Credit Card"/>
  </r>
  <r>
    <n v="1282"/>
    <n v="6106"/>
    <x v="256"/>
    <n v="434.69"/>
    <s v="Completed"/>
    <x v="4"/>
    <s v="Credit Card"/>
  </r>
  <r>
    <n v="1283"/>
    <n v="585"/>
    <x v="52"/>
    <n v="4057.5"/>
    <s v="Completed"/>
    <x v="0"/>
    <s v="PayPal"/>
  </r>
  <r>
    <n v="1284"/>
    <n v="7930"/>
    <x v="108"/>
    <n v="1457.67"/>
    <s v="Completed"/>
    <x v="2"/>
    <s v="Apple Pay"/>
  </r>
  <r>
    <n v="1285"/>
    <n v="8121"/>
    <x v="201"/>
    <n v="731.83"/>
    <s v="Completed"/>
    <x v="4"/>
    <s v="PayPal"/>
  </r>
  <r>
    <n v="1286"/>
    <n v="5887"/>
    <x v="170"/>
    <n v="594.37"/>
    <s v="Completed"/>
    <x v="1"/>
    <s v="PayPal"/>
  </r>
  <r>
    <n v="1287"/>
    <n v="1694"/>
    <x v="177"/>
    <n v="1321.82"/>
    <s v="Completed"/>
    <x v="1"/>
    <s v="Apple Pay"/>
  </r>
  <r>
    <n v="1288"/>
    <n v="2113"/>
    <x v="198"/>
    <n v="2586.81"/>
    <s v="Completed"/>
    <x v="0"/>
    <s v="PayPal"/>
  </r>
  <r>
    <n v="1289"/>
    <n v="1840"/>
    <x v="198"/>
    <n v="5140.5"/>
    <s v="Completed"/>
    <x v="4"/>
    <s v="Credit Card"/>
  </r>
  <r>
    <n v="1290"/>
    <n v="8274"/>
    <x v="148"/>
    <n v="1425.82"/>
    <s v="Completed"/>
    <x v="1"/>
    <s v="PayPal"/>
  </r>
  <r>
    <n v="1291"/>
    <n v="9465"/>
    <x v="18"/>
    <n v="943.1"/>
    <s v="Completed"/>
    <x v="0"/>
    <s v="Debit Card"/>
  </r>
  <r>
    <n v="1292"/>
    <n v="1530"/>
    <x v="6"/>
    <n v="339.07"/>
    <s v="Completed"/>
    <x v="0"/>
    <s v="PayPal"/>
  </r>
  <r>
    <n v="1293"/>
    <n v="4538"/>
    <x v="308"/>
    <n v="193.8"/>
    <s v="Completed"/>
    <x v="2"/>
    <s v="Apple Pay"/>
  </r>
  <r>
    <n v="1294"/>
    <n v="6822"/>
    <x v="122"/>
    <n v="1309.5"/>
    <s v="Completed"/>
    <x v="2"/>
    <s v="Credit Card"/>
  </r>
  <r>
    <n v="1295"/>
    <n v="1919"/>
    <x v="310"/>
    <n v="1169"/>
    <s v="Completed"/>
    <x v="1"/>
    <s v="Debit Card"/>
  </r>
  <r>
    <n v="1296"/>
    <n v="1363"/>
    <x v="98"/>
    <n v="1035.4000000000001"/>
    <s v="Completed"/>
    <x v="2"/>
    <s v="Apple Pay"/>
  </r>
  <r>
    <n v="1297"/>
    <n v="5621"/>
    <x v="324"/>
    <n v="1258.97"/>
    <s v="Completed"/>
    <x v="1"/>
    <s v="Apple Pay"/>
  </r>
  <r>
    <n v="1298"/>
    <n v="6872"/>
    <x v="238"/>
    <n v="549.91"/>
    <s v="Completed"/>
    <x v="2"/>
    <s v="Credit Card"/>
  </r>
  <r>
    <n v="1299"/>
    <n v="9710"/>
    <x v="60"/>
    <n v="154.02000000000001"/>
    <s v="Completed"/>
    <x v="2"/>
    <s v="Debit Card"/>
  </r>
  <r>
    <n v="1300"/>
    <n v="6672"/>
    <x v="319"/>
    <n v="1463.58"/>
    <s v="Completed"/>
    <x v="3"/>
    <s v="Apple Pay"/>
  </r>
  <r>
    <n v="1301"/>
    <n v="9684"/>
    <x v="354"/>
    <n v="859.25"/>
    <s v="Completed"/>
    <x v="1"/>
    <s v="Debit Card"/>
  </r>
  <r>
    <n v="1302"/>
    <n v="1248"/>
    <x v="138"/>
    <n v="1114.32"/>
    <s v="Completed"/>
    <x v="2"/>
    <s v="Credit Card"/>
  </r>
  <r>
    <n v="1303"/>
    <n v="4345"/>
    <x v="190"/>
    <n v="132.22999999999999"/>
    <s v="Completed"/>
    <x v="0"/>
    <s v="Credit Card"/>
  </r>
  <r>
    <n v="1304"/>
    <n v="4813"/>
    <x v="78"/>
    <n v="696.7"/>
    <s v="Completed"/>
    <x v="0"/>
    <s v="Apple Pay"/>
  </r>
  <r>
    <n v="1305"/>
    <n v="5775"/>
    <x v="140"/>
    <n v="2627.53"/>
    <s v="Completed"/>
    <x v="3"/>
    <s v="Debit Card"/>
  </r>
  <r>
    <n v="1306"/>
    <n v="3606"/>
    <x v="0"/>
    <n v="1278.7"/>
    <s v="Completed"/>
    <x v="3"/>
    <s v="Credit Card"/>
  </r>
  <r>
    <n v="1307"/>
    <n v="958"/>
    <x v="288"/>
    <n v="900.38"/>
    <s v="Completed"/>
    <x v="3"/>
    <s v="Credit Card"/>
  </r>
  <r>
    <n v="1308"/>
    <n v="7887"/>
    <x v="39"/>
    <n v="1246.52"/>
    <s v="Completed"/>
    <x v="1"/>
    <s v="Credit Card"/>
  </r>
  <r>
    <n v="1309"/>
    <n v="663"/>
    <x v="165"/>
    <n v="1471.63"/>
    <s v="Completed"/>
    <x v="1"/>
    <s v="Credit Card"/>
  </r>
  <r>
    <n v="1310"/>
    <n v="7307"/>
    <x v="135"/>
    <n v="748.01"/>
    <s v="Completed"/>
    <x v="2"/>
    <s v="Debit Card"/>
  </r>
  <r>
    <n v="1311"/>
    <n v="5410"/>
    <x v="128"/>
    <n v="3385.24"/>
    <s v="Completed"/>
    <x v="3"/>
    <s v="PayPal"/>
  </r>
  <r>
    <n v="1312"/>
    <n v="6708"/>
    <x v="100"/>
    <n v="1646.98"/>
    <s v="Completed"/>
    <x v="4"/>
    <s v="Apple Pay"/>
  </r>
  <r>
    <n v="1313"/>
    <n v="509"/>
    <x v="89"/>
    <n v="2674.84"/>
    <s v="Completed"/>
    <x v="0"/>
    <s v="Apple Pay"/>
  </r>
  <r>
    <n v="1314"/>
    <n v="3889"/>
    <x v="152"/>
    <n v="317.93"/>
    <s v="Returned"/>
    <x v="0"/>
    <s v="Debit Card"/>
  </r>
  <r>
    <n v="1315"/>
    <n v="5878"/>
    <x v="228"/>
    <n v="422.73"/>
    <s v="Completed"/>
    <x v="1"/>
    <s v="PayPal"/>
  </r>
  <r>
    <n v="1316"/>
    <n v="3943"/>
    <x v="162"/>
    <n v="521.84"/>
    <s v="Completed"/>
    <x v="2"/>
    <s v="Debit Card"/>
  </r>
  <r>
    <n v="1317"/>
    <n v="5625"/>
    <x v="220"/>
    <n v="1021.66"/>
    <s v="Completed"/>
    <x v="3"/>
    <s v="Debit Card"/>
  </r>
  <r>
    <n v="1318"/>
    <n v="2655"/>
    <x v="102"/>
    <n v="475.16"/>
    <s v="Completed"/>
    <x v="0"/>
    <s v="Credit Card"/>
  </r>
  <r>
    <n v="1319"/>
    <n v="1326"/>
    <x v="151"/>
    <n v="5033.71"/>
    <s v="Completed"/>
    <x v="3"/>
    <s v="Credit Card"/>
  </r>
  <r>
    <n v="1320"/>
    <n v="2591"/>
    <x v="355"/>
    <n v="4279.3500000000004"/>
    <s v="Completed"/>
    <x v="0"/>
    <s v="PayPal"/>
  </r>
  <r>
    <n v="1321"/>
    <n v="263"/>
    <x v="293"/>
    <n v="460.4"/>
    <s v="Completed"/>
    <x v="2"/>
    <s v="Debit Card"/>
  </r>
  <r>
    <n v="1322"/>
    <n v="1634"/>
    <x v="356"/>
    <n v="1973.67"/>
    <s v="Completed"/>
    <x v="2"/>
    <s v="PayPal"/>
  </r>
  <r>
    <n v="1323"/>
    <n v="2236"/>
    <x v="190"/>
    <n v="435.69"/>
    <s v="Completed"/>
    <x v="2"/>
    <s v="Debit Card"/>
  </r>
  <r>
    <n v="1324"/>
    <n v="2339"/>
    <x v="315"/>
    <n v="1898.73"/>
    <s v="Cancelled"/>
    <x v="5"/>
    <s v="Credit Card"/>
  </r>
  <r>
    <n v="1325"/>
    <n v="6621"/>
    <x v="202"/>
    <n v="1448.73"/>
    <s v="Completed"/>
    <x v="3"/>
    <s v="Apple Pay"/>
  </r>
  <r>
    <n v="1326"/>
    <n v="7821"/>
    <x v="259"/>
    <n v="599.12"/>
    <s v="Completed"/>
    <x v="3"/>
    <s v="Debit Card"/>
  </r>
  <r>
    <n v="1327"/>
    <n v="7023"/>
    <x v="126"/>
    <n v="1552.57"/>
    <s v="Completed"/>
    <x v="5"/>
    <s v="Debit Card"/>
  </r>
  <r>
    <n v="1328"/>
    <n v="6710"/>
    <x v="85"/>
    <n v="459.12"/>
    <s v="Completed"/>
    <x v="4"/>
    <s v="PayPal"/>
  </r>
  <r>
    <n v="1329"/>
    <n v="9620"/>
    <x v="101"/>
    <n v="1524.27"/>
    <s v="Completed"/>
    <x v="0"/>
    <s v="Credit Card"/>
  </r>
  <r>
    <n v="1330"/>
    <n v="7930"/>
    <x v="97"/>
    <n v="392.24"/>
    <s v="Completed"/>
    <x v="2"/>
    <s v="Debit Card"/>
  </r>
  <r>
    <n v="1331"/>
    <n v="2140"/>
    <x v="318"/>
    <n v="1505.37"/>
    <s v="Completed"/>
    <x v="0"/>
    <s v="Apple Pay"/>
  </r>
  <r>
    <n v="1332"/>
    <n v="2311"/>
    <x v="272"/>
    <n v="284.14"/>
    <s v="Completed"/>
    <x v="4"/>
    <s v="PayPal"/>
  </r>
  <r>
    <n v="1333"/>
    <n v="1202"/>
    <x v="69"/>
    <n v="359.28"/>
    <s v="Completed"/>
    <x v="3"/>
    <s v="Credit Card"/>
  </r>
  <r>
    <n v="1334"/>
    <n v="6957"/>
    <x v="223"/>
    <n v="395.52"/>
    <s v="Completed"/>
    <x v="0"/>
    <s v="Credit Card"/>
  </r>
  <r>
    <n v="1335"/>
    <n v="9180"/>
    <x v="356"/>
    <n v="798.94"/>
    <s v="Completed"/>
    <x v="0"/>
    <s v="Debit Card"/>
  </r>
  <r>
    <n v="1336"/>
    <n v="1148"/>
    <x v="24"/>
    <n v="1407.36"/>
    <s v="Completed"/>
    <x v="3"/>
    <s v="PayPal"/>
  </r>
  <r>
    <n v="1337"/>
    <n v="9425"/>
    <x v="332"/>
    <n v="237.38"/>
    <s v="Completed"/>
    <x v="4"/>
    <s v="PayPal"/>
  </r>
  <r>
    <n v="1338"/>
    <n v="6767"/>
    <x v="133"/>
    <n v="422.45"/>
    <s v="Completed"/>
    <x v="0"/>
    <s v="Apple Pay"/>
  </r>
  <r>
    <n v="1339"/>
    <n v="5828"/>
    <x v="210"/>
    <n v="2217.2399999999998"/>
    <s v="Completed"/>
    <x v="3"/>
    <s v="PayPal"/>
  </r>
  <r>
    <n v="1340"/>
    <n v="1718"/>
    <x v="304"/>
    <n v="204.06"/>
    <s v="Completed"/>
    <x v="4"/>
    <s v="PayPal"/>
  </r>
  <r>
    <n v="1341"/>
    <n v="8288"/>
    <x v="331"/>
    <n v="5486.65"/>
    <s v="Completed"/>
    <x v="0"/>
    <s v="Credit Card"/>
  </r>
  <r>
    <n v="1342"/>
    <n v="1583"/>
    <x v="220"/>
    <n v="139.02000000000001"/>
    <s v="Completed"/>
    <x v="3"/>
    <s v="Debit Card"/>
  </r>
  <r>
    <n v="1343"/>
    <n v="5375"/>
    <x v="95"/>
    <n v="759.97"/>
    <s v="Completed"/>
    <x v="0"/>
    <s v="Debit Card"/>
  </r>
  <r>
    <n v="1344"/>
    <n v="5609"/>
    <x v="81"/>
    <n v="1630.13"/>
    <s v="Completed"/>
    <x v="0"/>
    <s v="Credit Card"/>
  </r>
  <r>
    <n v="1345"/>
    <n v="8078"/>
    <x v="87"/>
    <n v="209.84"/>
    <s v="Completed"/>
    <x v="3"/>
    <s v="PayPal"/>
  </r>
  <r>
    <n v="1346"/>
    <n v="258"/>
    <x v="260"/>
    <n v="1414.25"/>
    <s v="Completed"/>
    <x v="3"/>
    <s v="Credit Card"/>
  </r>
  <r>
    <n v="1347"/>
    <n v="6027"/>
    <x v="334"/>
    <n v="1636.91"/>
    <s v="Completed"/>
    <x v="2"/>
    <s v="PayPal"/>
  </r>
  <r>
    <n v="1348"/>
    <n v="1883"/>
    <x v="243"/>
    <n v="856.57"/>
    <s v="Completed"/>
    <x v="1"/>
    <s v="Debit Card"/>
  </r>
  <r>
    <n v="1349"/>
    <n v="2185"/>
    <x v="268"/>
    <n v="1443.8"/>
    <s v="Completed"/>
    <x v="0"/>
    <s v="Credit Card"/>
  </r>
  <r>
    <n v="1350"/>
    <n v="1180"/>
    <x v="123"/>
    <n v="401.39"/>
    <s v="Completed"/>
    <x v="1"/>
    <s v="Apple Pay"/>
  </r>
  <r>
    <n v="1351"/>
    <n v="3722"/>
    <x v="270"/>
    <n v="2815.97"/>
    <s v="Completed"/>
    <x v="1"/>
    <s v="PayPal"/>
  </r>
  <r>
    <n v="1352"/>
    <n v="1348"/>
    <x v="202"/>
    <n v="332.65"/>
    <s v="Cancelled"/>
    <x v="1"/>
    <s v="Apple Pay"/>
  </r>
  <r>
    <n v="1353"/>
    <n v="8645"/>
    <x v="33"/>
    <n v="376.78"/>
    <s v="Completed"/>
    <x v="2"/>
    <s v="Credit Card"/>
  </r>
  <r>
    <n v="1354"/>
    <n v="8666"/>
    <x v="340"/>
    <n v="3273.82"/>
    <s v="Completed"/>
    <x v="2"/>
    <s v="PayPal"/>
  </r>
  <r>
    <n v="1355"/>
    <n v="8389"/>
    <x v="126"/>
    <n v="730.49"/>
    <s v="Completed"/>
    <x v="0"/>
    <s v="Debit Card"/>
  </r>
  <r>
    <n v="1356"/>
    <n v="2165"/>
    <x v="174"/>
    <n v="331.12"/>
    <s v="Completed"/>
    <x v="4"/>
    <s v="Credit Card"/>
  </r>
  <r>
    <n v="1357"/>
    <n v="1262"/>
    <x v="250"/>
    <n v="2148.7600000000002"/>
    <s v="Completed"/>
    <x v="1"/>
    <s v="Apple Pay"/>
  </r>
  <r>
    <n v="1358"/>
    <n v="2680"/>
    <x v="243"/>
    <n v="2465.21"/>
    <s v="Completed"/>
    <x v="0"/>
    <s v="Debit Card"/>
  </r>
  <r>
    <n v="1359"/>
    <n v="3159"/>
    <x v="108"/>
    <n v="1205.7"/>
    <s v="Completed"/>
    <x v="1"/>
    <s v="Debit Card"/>
  </r>
  <r>
    <n v="1360"/>
    <n v="866"/>
    <x v="259"/>
    <n v="468.51"/>
    <s v="Completed"/>
    <x v="2"/>
    <s v="Credit Card"/>
  </r>
  <r>
    <n v="1361"/>
    <n v="8218"/>
    <x v="245"/>
    <n v="2126.3200000000002"/>
    <s v="Completed"/>
    <x v="3"/>
    <s v="Debit Card"/>
  </r>
  <r>
    <n v="1362"/>
    <n v="6319"/>
    <x v="103"/>
    <n v="274.33"/>
    <s v="Cancelled"/>
    <x v="2"/>
    <s v="Credit Card"/>
  </r>
  <r>
    <n v="1363"/>
    <n v="2977"/>
    <x v="255"/>
    <n v="967.34"/>
    <s v="Completed"/>
    <x v="3"/>
    <s v="Apple Pay"/>
  </r>
  <r>
    <n v="1364"/>
    <n v="4394"/>
    <x v="290"/>
    <n v="898.73"/>
    <s v="Completed"/>
    <x v="3"/>
    <s v="Credit Card"/>
  </r>
  <r>
    <n v="1365"/>
    <n v="4133"/>
    <x v="282"/>
    <n v="792.5"/>
    <s v="Completed"/>
    <x v="1"/>
    <s v="Debit Card"/>
  </r>
  <r>
    <n v="1366"/>
    <n v="218"/>
    <x v="215"/>
    <n v="3189.33"/>
    <s v="Completed"/>
    <x v="2"/>
    <s v="Apple Pay"/>
  </r>
  <r>
    <n v="1367"/>
    <n v="4307"/>
    <x v="277"/>
    <n v="3614.78"/>
    <s v="Completed"/>
    <x v="2"/>
    <s v="Debit Card"/>
  </r>
  <r>
    <n v="1368"/>
    <n v="8781"/>
    <x v="287"/>
    <n v="787.25"/>
    <s v="Completed"/>
    <x v="1"/>
    <s v="Apple Pay"/>
  </r>
  <r>
    <n v="1369"/>
    <n v="1240"/>
    <x v="124"/>
    <n v="690.47"/>
    <s v="Completed"/>
    <x v="0"/>
    <s v="Debit Card"/>
  </r>
  <r>
    <n v="1370"/>
    <n v="5396"/>
    <x v="291"/>
    <n v="4466.3599999999997"/>
    <s v="Completed"/>
    <x v="0"/>
    <s v="Apple Pay"/>
  </r>
  <r>
    <n v="1371"/>
    <n v="1644"/>
    <x v="101"/>
    <n v="448.66"/>
    <s v="Completed"/>
    <x v="3"/>
    <s v="Debit Card"/>
  </r>
  <r>
    <n v="1372"/>
    <n v="1319"/>
    <x v="180"/>
    <n v="2406.4699999999998"/>
    <s v="Completed"/>
    <x v="1"/>
    <s v="PayPal"/>
  </r>
  <r>
    <n v="1373"/>
    <n v="2514"/>
    <x v="321"/>
    <n v="948.83"/>
    <s v="Completed"/>
    <x v="3"/>
    <s v="Apple Pay"/>
  </r>
  <r>
    <n v="1374"/>
    <n v="9314"/>
    <x v="149"/>
    <n v="851.47"/>
    <s v="Completed"/>
    <x v="4"/>
    <s v="PayPal"/>
  </r>
  <r>
    <n v="1375"/>
    <n v="2913"/>
    <x v="255"/>
    <n v="1802.19"/>
    <s v="Completed"/>
    <x v="4"/>
    <s v="Debit Card"/>
  </r>
  <r>
    <n v="1376"/>
    <n v="994"/>
    <x v="295"/>
    <n v="1530.11"/>
    <s v="Completed"/>
    <x v="4"/>
    <s v="Debit Card"/>
  </r>
  <r>
    <n v="1377"/>
    <n v="8078"/>
    <x v="28"/>
    <n v="644.54999999999995"/>
    <s v="Completed"/>
    <x v="3"/>
    <s v="Credit Card"/>
  </r>
  <r>
    <n v="1378"/>
    <n v="7461"/>
    <x v="68"/>
    <n v="1116.56"/>
    <s v="Completed"/>
    <x v="4"/>
    <s v="Credit Card"/>
  </r>
  <r>
    <n v="1379"/>
    <n v="5138"/>
    <x v="142"/>
    <n v="1277.1199999999999"/>
    <s v="Completed"/>
    <x v="0"/>
    <s v="Debit Card"/>
  </r>
  <r>
    <n v="1380"/>
    <n v="3500"/>
    <x v="271"/>
    <n v="2071.5300000000002"/>
    <s v="Completed"/>
    <x v="3"/>
    <s v="Credit Card"/>
  </r>
  <r>
    <n v="1381"/>
    <n v="1092"/>
    <x v="224"/>
    <n v="2284.44"/>
    <s v="Completed"/>
    <x v="2"/>
    <s v="PayPal"/>
  </r>
  <r>
    <n v="1382"/>
    <n v="8625"/>
    <x v="168"/>
    <n v="436.2"/>
    <s v="Completed"/>
    <x v="1"/>
    <s v="Credit Card"/>
  </r>
  <r>
    <n v="1383"/>
    <n v="2523"/>
    <x v="231"/>
    <n v="3925.69"/>
    <s v="Completed"/>
    <x v="0"/>
    <s v="Debit Card"/>
  </r>
  <r>
    <n v="1384"/>
    <n v="6722"/>
    <x v="129"/>
    <n v="193.8"/>
    <s v="Completed"/>
    <x v="4"/>
    <s v="PayPal"/>
  </r>
  <r>
    <n v="1385"/>
    <n v="3770"/>
    <x v="172"/>
    <n v="1825.9"/>
    <s v="Completed"/>
    <x v="1"/>
    <s v="PayPal"/>
  </r>
  <r>
    <n v="1386"/>
    <n v="5875"/>
    <x v="205"/>
    <n v="486.42"/>
    <s v="Completed"/>
    <x v="4"/>
    <s v="Debit Card"/>
  </r>
  <r>
    <n v="1387"/>
    <n v="7712"/>
    <x v="357"/>
    <n v="142.43"/>
    <s v="Completed"/>
    <x v="3"/>
    <s v="Credit Card"/>
  </r>
  <r>
    <n v="1388"/>
    <n v="4979"/>
    <x v="248"/>
    <n v="200.91"/>
    <s v="Completed"/>
    <x v="1"/>
    <s v="Credit Card"/>
  </r>
  <r>
    <n v="1389"/>
    <n v="7402"/>
    <x v="135"/>
    <n v="151.46"/>
    <s v="Completed"/>
    <x v="2"/>
    <s v="Debit Card"/>
  </r>
  <r>
    <n v="1390"/>
    <n v="720"/>
    <x v="84"/>
    <n v="676.07"/>
    <s v="Completed"/>
    <x v="4"/>
    <s v="Credit Card"/>
  </r>
  <r>
    <n v="1391"/>
    <n v="2473"/>
    <x v="339"/>
    <n v="470.46"/>
    <s v="Completed"/>
    <x v="1"/>
    <s v="Apple Pay"/>
  </r>
  <r>
    <n v="1392"/>
    <n v="6054"/>
    <x v="114"/>
    <n v="217.72"/>
    <s v="Completed"/>
    <x v="3"/>
    <s v="Debit Card"/>
  </r>
  <r>
    <n v="1393"/>
    <n v="1636"/>
    <x v="45"/>
    <n v="594.28"/>
    <s v="Completed"/>
    <x v="2"/>
    <s v="Debit Card"/>
  </r>
  <r>
    <n v="1394"/>
    <n v="646"/>
    <x v="166"/>
    <n v="132.49"/>
    <s v="Completed"/>
    <x v="0"/>
    <s v="Debit Card"/>
  </r>
  <r>
    <n v="1395"/>
    <n v="8773"/>
    <x v="152"/>
    <n v="5642.81"/>
    <s v="Completed"/>
    <x v="1"/>
    <s v="Apple Pay"/>
  </r>
  <r>
    <n v="1396"/>
    <n v="3464"/>
    <x v="83"/>
    <n v="1064.57"/>
    <s v="Cancelled"/>
    <x v="3"/>
    <s v="Apple Pay"/>
  </r>
  <r>
    <n v="1397"/>
    <n v="9202"/>
    <x v="129"/>
    <n v="260.57"/>
    <s v="Completed"/>
    <x v="1"/>
    <s v="Apple Pay"/>
  </r>
  <r>
    <n v="1398"/>
    <n v="7504"/>
    <x v="103"/>
    <n v="4367.92"/>
    <s v="Completed"/>
    <x v="3"/>
    <s v="PayPal"/>
  </r>
  <r>
    <n v="1399"/>
    <n v="6443"/>
    <x v="160"/>
    <n v="2347.46"/>
    <s v="Completed"/>
    <x v="1"/>
    <s v="PayPal"/>
  </r>
  <r>
    <n v="1400"/>
    <n v="2994"/>
    <x v="169"/>
    <n v="1038.6500000000001"/>
    <s v="Completed"/>
    <x v="3"/>
    <s v="PayPal"/>
  </r>
  <r>
    <n v="1401"/>
    <n v="3549"/>
    <x v="203"/>
    <n v="2350.91"/>
    <s v="Completed"/>
    <x v="5"/>
    <s v="Debit Card"/>
  </r>
  <r>
    <n v="1402"/>
    <n v="3808"/>
    <x v="48"/>
    <n v="1943.24"/>
    <s v="Completed"/>
    <x v="2"/>
    <s v="Debit Card"/>
  </r>
  <r>
    <n v="1403"/>
    <n v="8612"/>
    <x v="38"/>
    <n v="459.12"/>
    <s v="Completed"/>
    <x v="4"/>
    <s v="PayPal"/>
  </r>
  <r>
    <n v="1404"/>
    <n v="1000"/>
    <x v="352"/>
    <n v="1715.2"/>
    <s v="Completed"/>
    <x v="2"/>
    <s v="Apple Pay"/>
  </r>
  <r>
    <n v="1405"/>
    <n v="1207"/>
    <x v="140"/>
    <n v="2274.38"/>
    <s v="Completed"/>
    <x v="4"/>
    <s v="Apple Pay"/>
  </r>
  <r>
    <n v="1406"/>
    <n v="5301"/>
    <x v="146"/>
    <n v="931.48"/>
    <s v="Completed"/>
    <x v="3"/>
    <s v="Debit Card"/>
  </r>
  <r>
    <n v="1407"/>
    <n v="2393"/>
    <x v="227"/>
    <n v="1663.75"/>
    <s v="Completed"/>
    <x v="4"/>
    <s v="Debit Card"/>
  </r>
  <r>
    <n v="1408"/>
    <n v="6950"/>
    <x v="303"/>
    <n v="941.19"/>
    <s v="Completed"/>
    <x v="4"/>
    <s v="Debit Card"/>
  </r>
  <r>
    <n v="1409"/>
    <n v="2572"/>
    <x v="180"/>
    <n v="512.57000000000005"/>
    <s v="Completed"/>
    <x v="3"/>
    <s v="PayPal"/>
  </r>
  <r>
    <n v="1410"/>
    <n v="7569"/>
    <x v="28"/>
    <n v="1490.74"/>
    <s v="Completed"/>
    <x v="0"/>
    <s v="Debit Card"/>
  </r>
  <r>
    <n v="1411"/>
    <n v="606"/>
    <x v="6"/>
    <n v="2510.92"/>
    <s v="Completed"/>
    <x v="3"/>
    <s v="Apple Pay"/>
  </r>
  <r>
    <n v="1412"/>
    <n v="9239"/>
    <x v="141"/>
    <n v="4581.93"/>
    <s v="Completed"/>
    <x v="4"/>
    <s v="PayPal"/>
  </r>
  <r>
    <n v="1413"/>
    <n v="1455"/>
    <x v="322"/>
    <n v="392.24"/>
    <s v="Completed"/>
    <x v="4"/>
    <s v="Apple Pay"/>
  </r>
  <r>
    <n v="1414"/>
    <n v="188"/>
    <x v="80"/>
    <n v="1071.23"/>
    <s v="Completed"/>
    <x v="0"/>
    <s v="Debit Card"/>
  </r>
  <r>
    <n v="1415"/>
    <n v="9123"/>
    <x v="73"/>
    <n v="540.78"/>
    <s v="Completed"/>
    <x v="2"/>
    <s v="Credit Card"/>
  </r>
  <r>
    <n v="1416"/>
    <n v="9679"/>
    <x v="13"/>
    <n v="1093.83"/>
    <s v="Completed"/>
    <x v="3"/>
    <s v="Debit Card"/>
  </r>
  <r>
    <n v="1417"/>
    <n v="6668"/>
    <x v="208"/>
    <n v="2859.26"/>
    <s v="Completed"/>
    <x v="2"/>
    <s v="Debit Card"/>
  </r>
  <r>
    <n v="1418"/>
    <n v="1661"/>
    <x v="326"/>
    <n v="1039.97"/>
    <s v="Completed"/>
    <x v="4"/>
    <s v="Credit Card"/>
  </r>
  <r>
    <n v="1419"/>
    <n v="8836"/>
    <x v="98"/>
    <n v="1489"/>
    <s v="Completed"/>
    <x v="3"/>
    <s v="Apple Pay"/>
  </r>
  <r>
    <n v="1420"/>
    <n v="965"/>
    <x v="226"/>
    <n v="448.66"/>
    <s v="Cancelled"/>
    <x v="2"/>
    <s v="Apple Pay"/>
  </r>
  <r>
    <n v="1421"/>
    <n v="8219"/>
    <x v="318"/>
    <n v="861.87"/>
    <s v="Completed"/>
    <x v="4"/>
    <s v="PayPal"/>
  </r>
  <r>
    <n v="1422"/>
    <n v="2040"/>
    <x v="86"/>
    <n v="154.02000000000001"/>
    <s v="Completed"/>
    <x v="4"/>
    <s v="Debit Card"/>
  </r>
  <r>
    <n v="1423"/>
    <n v="6872"/>
    <x v="349"/>
    <n v="384.32"/>
    <s v="Completed"/>
    <x v="2"/>
    <s v="PayPal"/>
  </r>
  <r>
    <n v="1424"/>
    <n v="4451"/>
    <x v="305"/>
    <n v="5007.21"/>
    <s v="Completed"/>
    <x v="2"/>
    <s v="Credit Card"/>
  </r>
  <r>
    <n v="1425"/>
    <n v="7468"/>
    <x v="0"/>
    <n v="3516.45"/>
    <s v="Completed"/>
    <x v="5"/>
    <s v="Debit Card"/>
  </r>
  <r>
    <n v="1426"/>
    <n v="8566"/>
    <x v="124"/>
    <n v="132.22999999999999"/>
    <s v="Completed"/>
    <x v="1"/>
    <s v="PayPal"/>
  </r>
  <r>
    <n v="1427"/>
    <n v="4731"/>
    <x v="358"/>
    <n v="3133.57"/>
    <s v="Completed"/>
    <x v="1"/>
    <s v="PayPal"/>
  </r>
  <r>
    <n v="1428"/>
    <n v="8560"/>
    <x v="211"/>
    <n v="240.57"/>
    <s v="Completed"/>
    <x v="4"/>
    <s v="Debit Card"/>
  </r>
  <r>
    <n v="1429"/>
    <n v="5582"/>
    <x v="95"/>
    <n v="1272.7"/>
    <s v="Completed"/>
    <x v="2"/>
    <s v="Credit Card"/>
  </r>
  <r>
    <n v="1430"/>
    <n v="2279"/>
    <x v="346"/>
    <n v="138.34"/>
    <s v="Completed"/>
    <x v="4"/>
    <s v="Debit Card"/>
  </r>
  <r>
    <n v="1431"/>
    <n v="2339"/>
    <x v="149"/>
    <n v="847.53"/>
    <s v="Completed"/>
    <x v="1"/>
    <s v="PayPal"/>
  </r>
  <r>
    <n v="1432"/>
    <n v="1148"/>
    <x v="302"/>
    <n v="674.76"/>
    <s v="Completed"/>
    <x v="3"/>
    <s v="Credit Card"/>
  </r>
  <r>
    <n v="1433"/>
    <n v="8543"/>
    <x v="66"/>
    <n v="914.87"/>
    <s v="Completed"/>
    <x v="3"/>
    <s v="Debit Card"/>
  </r>
  <r>
    <n v="1434"/>
    <n v="8354"/>
    <x v="104"/>
    <n v="1230.67"/>
    <s v="Completed"/>
    <x v="4"/>
    <s v="PayPal"/>
  </r>
  <r>
    <n v="1435"/>
    <n v="8642"/>
    <x v="55"/>
    <n v="3516.68"/>
    <s v="Completed"/>
    <x v="2"/>
    <s v="Credit Card"/>
  </r>
  <r>
    <n v="1436"/>
    <n v="8897"/>
    <x v="217"/>
    <n v="5705.06"/>
    <s v="Completed"/>
    <x v="1"/>
    <s v="Apple Pay"/>
  </r>
  <r>
    <n v="1437"/>
    <n v="8098"/>
    <x v="79"/>
    <n v="2844.64"/>
    <s v="Completed"/>
    <x v="0"/>
    <s v="PayPal"/>
  </r>
  <r>
    <n v="1438"/>
    <n v="1062"/>
    <x v="42"/>
    <n v="1069.0999999999999"/>
    <s v="Completed"/>
    <x v="3"/>
    <s v="Credit Card"/>
  </r>
  <r>
    <n v="1439"/>
    <n v="6955"/>
    <x v="246"/>
    <n v="1008.02"/>
    <s v="Completed"/>
    <x v="1"/>
    <s v="Debit Card"/>
  </r>
  <r>
    <n v="1440"/>
    <n v="6761"/>
    <x v="352"/>
    <n v="3770.05"/>
    <s v="Completed"/>
    <x v="3"/>
    <s v="PayPal"/>
  </r>
  <r>
    <n v="1441"/>
    <n v="7385"/>
    <x v="175"/>
    <n v="1527.31"/>
    <s v="Completed"/>
    <x v="1"/>
    <s v="Apple Pay"/>
  </r>
  <r>
    <n v="1442"/>
    <n v="7044"/>
    <x v="170"/>
    <n v="406.76"/>
    <s v="Completed"/>
    <x v="5"/>
    <s v="PayPal"/>
  </r>
  <r>
    <n v="1443"/>
    <n v="3970"/>
    <x v="201"/>
    <n v="395.52"/>
    <s v="Completed"/>
    <x v="0"/>
    <s v="Credit Card"/>
  </r>
  <r>
    <n v="1444"/>
    <n v="6432"/>
    <x v="132"/>
    <n v="325.76"/>
    <s v="Completed"/>
    <x v="1"/>
    <s v="Credit Card"/>
  </r>
  <r>
    <n v="1445"/>
    <n v="9681"/>
    <x v="282"/>
    <n v="1104.07"/>
    <s v="Completed"/>
    <x v="1"/>
    <s v="Apple Pay"/>
  </r>
  <r>
    <n v="1446"/>
    <n v="546"/>
    <x v="92"/>
    <n v="496.71"/>
    <s v="Completed"/>
    <x v="0"/>
    <s v="Credit Card"/>
  </r>
  <r>
    <n v="1447"/>
    <n v="4142"/>
    <x v="309"/>
    <n v="2782.96"/>
    <s v="Completed"/>
    <x v="1"/>
    <s v="Apple Pay"/>
  </r>
  <r>
    <n v="1448"/>
    <n v="8100"/>
    <x v="6"/>
    <n v="1629.76"/>
    <s v="Completed"/>
    <x v="2"/>
    <s v="Credit Card"/>
  </r>
  <r>
    <n v="1449"/>
    <n v="3958"/>
    <x v="50"/>
    <n v="154.02000000000001"/>
    <s v="Completed"/>
    <x v="4"/>
    <s v="Credit Card"/>
  </r>
  <r>
    <n v="1450"/>
    <n v="4031"/>
    <x v="58"/>
    <n v="209.84"/>
    <s v="Completed"/>
    <x v="4"/>
    <s v="Apple Pay"/>
  </r>
  <r>
    <n v="1451"/>
    <n v="731"/>
    <x v="341"/>
    <n v="1460.76"/>
    <s v="Completed"/>
    <x v="0"/>
    <s v="Credit Card"/>
  </r>
  <r>
    <n v="1452"/>
    <n v="253"/>
    <x v="136"/>
    <n v="393.48"/>
    <s v="Completed"/>
    <x v="0"/>
    <s v="Credit Card"/>
  </r>
  <r>
    <n v="1453"/>
    <n v="4486"/>
    <x v="112"/>
    <n v="3687.45"/>
    <s v="Completed"/>
    <x v="1"/>
    <s v="Apple Pay"/>
  </r>
  <r>
    <n v="1454"/>
    <n v="2736"/>
    <x v="210"/>
    <n v="313.64999999999998"/>
    <s v="Cancelled"/>
    <x v="1"/>
    <s v="Apple Pay"/>
  </r>
  <r>
    <n v="1455"/>
    <n v="3084"/>
    <x v="18"/>
    <n v="1156.78"/>
    <s v="Completed"/>
    <x v="3"/>
    <s v="Debit Card"/>
  </r>
  <r>
    <n v="1456"/>
    <n v="6588"/>
    <x v="153"/>
    <n v="691.55"/>
    <s v="Completed"/>
    <x v="4"/>
    <s v="Debit Card"/>
  </r>
  <r>
    <n v="1457"/>
    <n v="2810"/>
    <x v="210"/>
    <n v="779.08"/>
    <s v="Completed"/>
    <x v="1"/>
    <s v="PayPal"/>
  </r>
  <r>
    <n v="1458"/>
    <n v="306"/>
    <x v="95"/>
    <n v="772.14"/>
    <s v="Completed"/>
    <x v="1"/>
    <s v="PayPal"/>
  </r>
  <r>
    <n v="1459"/>
    <n v="7827"/>
    <x v="278"/>
    <n v="745.33"/>
    <s v="Completed"/>
    <x v="0"/>
    <s v="PayPal"/>
  </r>
  <r>
    <n v="1460"/>
    <n v="2665"/>
    <x v="48"/>
    <n v="580"/>
    <s v="Completed"/>
    <x v="3"/>
    <s v="Credit Card"/>
  </r>
  <r>
    <n v="1461"/>
    <n v="8063"/>
    <x v="131"/>
    <n v="5339.5"/>
    <s v="Completed"/>
    <x v="3"/>
    <s v="Apple Pay"/>
  </r>
  <r>
    <n v="1462"/>
    <n v="2018"/>
    <x v="335"/>
    <n v="273.77"/>
    <s v="Completed"/>
    <x v="1"/>
    <s v="Debit Card"/>
  </r>
  <r>
    <n v="1463"/>
    <n v="653"/>
    <x v="93"/>
    <n v="339.07"/>
    <s v="Completed"/>
    <x v="4"/>
    <s v="Apple Pay"/>
  </r>
  <r>
    <n v="1464"/>
    <n v="590"/>
    <x v="246"/>
    <n v="1504.74"/>
    <s v="Completed"/>
    <x v="2"/>
    <s v="Debit Card"/>
  </r>
  <r>
    <n v="1465"/>
    <n v="1797"/>
    <x v="206"/>
    <n v="5428.11"/>
    <s v="Completed"/>
    <x v="2"/>
    <s v="Apple Pay"/>
  </r>
  <r>
    <n v="1466"/>
    <n v="1056"/>
    <x v="294"/>
    <n v="683.69"/>
    <s v="Completed"/>
    <x v="3"/>
    <s v="Apple Pay"/>
  </r>
  <r>
    <n v="1467"/>
    <n v="2716"/>
    <x v="334"/>
    <n v="759.97"/>
    <s v="Completed"/>
    <x v="1"/>
    <s v="Debit Card"/>
  </r>
  <r>
    <n v="1468"/>
    <n v="431"/>
    <x v="251"/>
    <n v="412.43"/>
    <s v="Completed"/>
    <x v="3"/>
    <s v="Debit Card"/>
  </r>
  <r>
    <n v="1469"/>
    <n v="3857"/>
    <x v="250"/>
    <n v="1707"/>
    <s v="Completed"/>
    <x v="0"/>
    <s v="Apple Pay"/>
  </r>
  <r>
    <n v="1470"/>
    <n v="577"/>
    <x v="139"/>
    <n v="1470.86"/>
    <s v="Completed"/>
    <x v="2"/>
    <s v="Credit Card"/>
  </r>
  <r>
    <n v="1471"/>
    <n v="9997"/>
    <x v="221"/>
    <n v="3737.94"/>
    <s v="Completed"/>
    <x v="4"/>
    <s v="Debit Card"/>
  </r>
  <r>
    <n v="1472"/>
    <n v="9483"/>
    <x v="358"/>
    <n v="1025.99"/>
    <s v="Completed"/>
    <x v="3"/>
    <s v="Debit Card"/>
  </r>
  <r>
    <n v="1473"/>
    <n v="1136"/>
    <x v="172"/>
    <n v="270.86"/>
    <s v="Completed"/>
    <x v="2"/>
    <s v="Apple Pay"/>
  </r>
  <r>
    <n v="1474"/>
    <n v="5216"/>
    <x v="248"/>
    <n v="2686.48"/>
    <s v="Completed"/>
    <x v="3"/>
    <s v="Credit Card"/>
  </r>
  <r>
    <n v="1475"/>
    <n v="6766"/>
    <x v="262"/>
    <n v="132.22999999999999"/>
    <s v="Completed"/>
    <x v="0"/>
    <s v="PayPal"/>
  </r>
  <r>
    <n v="1476"/>
    <n v="3963"/>
    <x v="303"/>
    <n v="921.38"/>
    <s v="Completed"/>
    <x v="1"/>
    <s v="Apple Pay"/>
  </r>
  <r>
    <n v="1477"/>
    <n v="8982"/>
    <x v="63"/>
    <n v="1476.06"/>
    <s v="Completed"/>
    <x v="5"/>
    <s v="Credit Card"/>
  </r>
  <r>
    <n v="1478"/>
    <n v="7099"/>
    <x v="312"/>
    <n v="1311.79"/>
    <s v="Completed"/>
    <x v="3"/>
    <s v="Debit Card"/>
  </r>
  <r>
    <n v="1479"/>
    <n v="6822"/>
    <x v="274"/>
    <n v="412.02"/>
    <s v="Completed"/>
    <x v="2"/>
    <s v="PayPal"/>
  </r>
  <r>
    <n v="1480"/>
    <n v="297"/>
    <x v="43"/>
    <n v="510.44"/>
    <s v="Completed"/>
    <x v="0"/>
    <s v="PayPal"/>
  </r>
  <r>
    <n v="1481"/>
    <n v="624"/>
    <x v="86"/>
    <n v="549.91"/>
    <s v="Cancelled"/>
    <x v="1"/>
    <s v="Debit Card"/>
  </r>
  <r>
    <n v="1482"/>
    <n v="1643"/>
    <x v="236"/>
    <n v="1505.97"/>
    <s v="Completed"/>
    <x v="4"/>
    <s v="Debit Card"/>
  </r>
  <r>
    <n v="1483"/>
    <n v="8027"/>
    <x v="92"/>
    <n v="360.81"/>
    <s v="Completed"/>
    <x v="4"/>
    <s v="Apple Pay"/>
  </r>
  <r>
    <n v="1484"/>
    <n v="2993"/>
    <x v="104"/>
    <n v="418.48"/>
    <s v="Completed"/>
    <x v="3"/>
    <s v="Debit Card"/>
  </r>
  <r>
    <n v="1485"/>
    <n v="1962"/>
    <x v="86"/>
    <n v="744.5"/>
    <s v="Completed"/>
    <x v="0"/>
    <s v="Apple Pay"/>
  </r>
  <r>
    <n v="1486"/>
    <n v="2471"/>
    <x v="93"/>
    <n v="2776.33"/>
    <s v="Completed"/>
    <x v="3"/>
    <s v="Apple Pay"/>
  </r>
  <r>
    <n v="1487"/>
    <n v="8951"/>
    <x v="135"/>
    <n v="1589.99"/>
    <s v="Completed"/>
    <x v="1"/>
    <s v="Debit Card"/>
  </r>
  <r>
    <n v="1488"/>
    <n v="9199"/>
    <x v="337"/>
    <n v="922.81"/>
    <s v="Completed"/>
    <x v="3"/>
    <s v="Credit Card"/>
  </r>
  <r>
    <n v="1489"/>
    <n v="8466"/>
    <x v="252"/>
    <n v="656.13"/>
    <s v="Completed"/>
    <x v="3"/>
    <s v="Apple Pay"/>
  </r>
  <r>
    <n v="1490"/>
    <n v="4526"/>
    <x v="70"/>
    <n v="4123.83"/>
    <s v="Completed"/>
    <x v="4"/>
    <s v="Credit Card"/>
  </r>
  <r>
    <n v="1491"/>
    <n v="2243"/>
    <x v="196"/>
    <n v="719.27"/>
    <s v="Completed"/>
    <x v="3"/>
    <s v="Apple Pay"/>
  </r>
  <r>
    <n v="1492"/>
    <n v="7822"/>
    <x v="3"/>
    <n v="641.4"/>
    <s v="Completed"/>
    <x v="1"/>
    <s v="Credit Card"/>
  </r>
  <r>
    <n v="1493"/>
    <n v="6912"/>
    <x v="116"/>
    <n v="1195.83"/>
    <s v="Completed"/>
    <x v="0"/>
    <s v="Apple Pay"/>
  </r>
  <r>
    <n v="1494"/>
    <n v="3468"/>
    <x v="165"/>
    <n v="1503.47"/>
    <s v="Completed"/>
    <x v="4"/>
    <s v="PayPal"/>
  </r>
  <r>
    <n v="1495"/>
    <n v="811"/>
    <x v="300"/>
    <n v="899.2"/>
    <s v="Completed"/>
    <x v="1"/>
    <s v="Debit Card"/>
  </r>
  <r>
    <n v="1496"/>
    <n v="1360"/>
    <x v="152"/>
    <n v="3456.3"/>
    <s v="Completed"/>
    <x v="1"/>
    <s v="PayPal"/>
  </r>
  <r>
    <n v="1497"/>
    <n v="7631"/>
    <x v="21"/>
    <n v="2420.6999999999998"/>
    <s v="Completed"/>
    <x v="1"/>
    <s v="Apple Pay"/>
  </r>
  <r>
    <n v="1498"/>
    <n v="4812"/>
    <x v="213"/>
    <n v="727.31"/>
    <s v="Completed"/>
    <x v="0"/>
    <s v="Debit Card"/>
  </r>
  <r>
    <n v="1499"/>
    <n v="7074"/>
    <x v="93"/>
    <n v="2834.2"/>
    <s v="Completed"/>
    <x v="4"/>
    <s v="Debit Card"/>
  </r>
  <r>
    <n v="1500"/>
    <n v="6605"/>
    <x v="313"/>
    <n v="1186.67"/>
    <s v="Completed"/>
    <x v="4"/>
    <s v="Debit Card"/>
  </r>
  <r>
    <n v="1501"/>
    <n v="5056"/>
    <x v="359"/>
    <n v="1039.6500000000001"/>
    <s v="Completed"/>
    <x v="2"/>
    <s v="Credit Card"/>
  </r>
  <r>
    <n v="1502"/>
    <n v="5920"/>
    <x v="193"/>
    <n v="761.35"/>
    <s v="Completed"/>
    <x v="2"/>
    <s v="Apple Pay"/>
  </r>
  <r>
    <n v="1503"/>
    <n v="2667"/>
    <x v="59"/>
    <n v="1033.01"/>
    <s v="Completed"/>
    <x v="0"/>
    <s v="PayPal"/>
  </r>
  <r>
    <n v="1504"/>
    <n v="5119"/>
    <x v="122"/>
    <n v="230.74"/>
    <s v="Completed"/>
    <x v="2"/>
    <s v="Apple Pay"/>
  </r>
  <r>
    <n v="1505"/>
    <n v="5184"/>
    <x v="67"/>
    <n v="524.16999999999996"/>
    <s v="Completed"/>
    <x v="5"/>
    <s v="Credit Card"/>
  </r>
  <r>
    <n v="1506"/>
    <n v="2455"/>
    <x v="231"/>
    <n v="1375.31"/>
    <s v="Completed"/>
    <x v="3"/>
    <s v="PayPal"/>
  </r>
  <r>
    <n v="1507"/>
    <n v="2950"/>
    <x v="209"/>
    <n v="394.17"/>
    <s v="Completed"/>
    <x v="2"/>
    <s v="Debit Card"/>
  </r>
  <r>
    <n v="1508"/>
    <n v="8926"/>
    <x v="222"/>
    <n v="638.38"/>
    <s v="Completed"/>
    <x v="4"/>
    <s v="Debit Card"/>
  </r>
  <r>
    <n v="1509"/>
    <n v="5314"/>
    <x v="190"/>
    <n v="1800.15"/>
    <s v="Completed"/>
    <x v="4"/>
    <s v="Credit Card"/>
  </r>
  <r>
    <n v="1510"/>
    <n v="934"/>
    <x v="48"/>
    <n v="756.96"/>
    <s v="Completed"/>
    <x v="1"/>
    <s v="PayPal"/>
  </r>
  <r>
    <n v="1511"/>
    <n v="508"/>
    <x v="320"/>
    <n v="449.81"/>
    <s v="Completed"/>
    <x v="1"/>
    <s v="PayPal"/>
  </r>
  <r>
    <n v="1512"/>
    <n v="53"/>
    <x v="72"/>
    <n v="1391.58"/>
    <s v="Completed"/>
    <x v="4"/>
    <s v="Credit Card"/>
  </r>
  <r>
    <n v="1513"/>
    <n v="1291"/>
    <x v="197"/>
    <n v="192.17"/>
    <s v="Completed"/>
    <x v="2"/>
    <s v="Debit Card"/>
  </r>
  <r>
    <n v="1514"/>
    <n v="3128"/>
    <x v="161"/>
    <n v="1323.51"/>
    <s v="Completed"/>
    <x v="2"/>
    <s v="Credit Card"/>
  </r>
  <r>
    <n v="1515"/>
    <n v="6801"/>
    <x v="131"/>
    <n v="1385.63"/>
    <s v="Completed"/>
    <x v="0"/>
    <s v="PayPal"/>
  </r>
  <r>
    <n v="1516"/>
    <n v="7472"/>
    <x v="6"/>
    <n v="2213.4299999999998"/>
    <s v="Completed"/>
    <x v="3"/>
    <s v="Debit Card"/>
  </r>
  <r>
    <n v="1517"/>
    <n v="8097"/>
    <x v="188"/>
    <n v="2285.2600000000002"/>
    <s v="Completed"/>
    <x v="3"/>
    <s v="Credit Card"/>
  </r>
  <r>
    <n v="1518"/>
    <n v="8081"/>
    <x v="44"/>
    <n v="448.66"/>
    <s v="Completed"/>
    <x v="0"/>
    <s v="Credit Card"/>
  </r>
  <r>
    <n v="1519"/>
    <n v="6165"/>
    <x v="246"/>
    <n v="208.24"/>
    <s v="Completed"/>
    <x v="2"/>
    <s v="Debit Card"/>
  </r>
  <r>
    <n v="1520"/>
    <n v="6345"/>
    <x v="123"/>
    <n v="611.70000000000005"/>
    <s v="Completed"/>
    <x v="4"/>
    <s v="Debit Card"/>
  </r>
  <r>
    <n v="1521"/>
    <n v="9939"/>
    <x v="15"/>
    <n v="692.08"/>
    <s v="Completed"/>
    <x v="4"/>
    <s v="Apple Pay"/>
  </r>
  <r>
    <n v="1522"/>
    <n v="53"/>
    <x v="346"/>
    <n v="159.91999999999999"/>
    <s v="Completed"/>
    <x v="4"/>
    <s v="Credit Card"/>
  </r>
  <r>
    <n v="1523"/>
    <n v="1710"/>
    <x v="109"/>
    <n v="594.37"/>
    <s v="Completed"/>
    <x v="4"/>
    <s v="PayPal"/>
  </r>
  <r>
    <n v="1524"/>
    <n v="3657"/>
    <x v="115"/>
    <n v="286.74"/>
    <s v="Completed"/>
    <x v="1"/>
    <s v="Debit Card"/>
  </r>
  <r>
    <n v="1525"/>
    <n v="9945"/>
    <x v="265"/>
    <n v="1891.13"/>
    <s v="Completed"/>
    <x v="1"/>
    <s v="Apple Pay"/>
  </r>
  <r>
    <n v="1526"/>
    <n v="305"/>
    <x v="66"/>
    <n v="319.83999999999997"/>
    <s v="Completed"/>
    <x v="1"/>
    <s v="Apple Pay"/>
  </r>
  <r>
    <n v="1527"/>
    <n v="1526"/>
    <x v="52"/>
    <n v="1008.02"/>
    <s v="Completed"/>
    <x v="1"/>
    <s v="Credit Card"/>
  </r>
  <r>
    <n v="1528"/>
    <n v="5547"/>
    <x v="324"/>
    <n v="2066.61"/>
    <s v="Completed"/>
    <x v="1"/>
    <s v="PayPal"/>
  </r>
  <r>
    <n v="1529"/>
    <n v="2285"/>
    <x v="198"/>
    <n v="3658.24"/>
    <s v="Completed"/>
    <x v="0"/>
    <s v="Apple Pay"/>
  </r>
  <r>
    <n v="1530"/>
    <n v="8264"/>
    <x v="94"/>
    <n v="413.05"/>
    <s v="Completed"/>
    <x v="2"/>
    <s v="PayPal"/>
  </r>
  <r>
    <n v="1531"/>
    <n v="8737"/>
    <x v="185"/>
    <n v="257.56"/>
    <s v="Completed"/>
    <x v="3"/>
    <s v="Apple Pay"/>
  </r>
  <r>
    <n v="1532"/>
    <n v="6825"/>
    <x v="234"/>
    <n v="325.76"/>
    <s v="Returned"/>
    <x v="1"/>
    <s v="PayPal"/>
  </r>
  <r>
    <n v="1533"/>
    <n v="4394"/>
    <x v="87"/>
    <n v="2215.59"/>
    <s v="Completed"/>
    <x v="3"/>
    <s v="Debit Card"/>
  </r>
  <r>
    <n v="1534"/>
    <n v="9637"/>
    <x v="122"/>
    <n v="780.87"/>
    <s v="Completed"/>
    <x v="3"/>
    <s v="Credit Card"/>
  </r>
  <r>
    <n v="1535"/>
    <n v="685"/>
    <x v="15"/>
    <n v="170.78"/>
    <s v="Completed"/>
    <x v="4"/>
    <s v="Credit Card"/>
  </r>
  <r>
    <n v="1536"/>
    <n v="9611"/>
    <x v="4"/>
    <n v="535.5"/>
    <s v="Completed"/>
    <x v="4"/>
    <s v="Debit Card"/>
  </r>
  <r>
    <n v="1537"/>
    <n v="134"/>
    <x v="14"/>
    <n v="971.78"/>
    <s v="Completed"/>
    <x v="4"/>
    <s v="Apple Pay"/>
  </r>
  <r>
    <n v="1538"/>
    <n v="9681"/>
    <x v="358"/>
    <n v="3999.6"/>
    <s v="Completed"/>
    <x v="1"/>
    <s v="Apple Pay"/>
  </r>
  <r>
    <n v="1539"/>
    <n v="6450"/>
    <x v="5"/>
    <n v="989.04"/>
    <s v="Completed"/>
    <x v="4"/>
    <s v="Debit Card"/>
  </r>
  <r>
    <n v="1540"/>
    <n v="5804"/>
    <x v="247"/>
    <n v="1685.38"/>
    <s v="Completed"/>
    <x v="0"/>
    <s v="Debit Card"/>
  </r>
  <r>
    <n v="1541"/>
    <n v="3797"/>
    <x v="40"/>
    <n v="2710.36"/>
    <s v="Completed"/>
    <x v="4"/>
    <s v="Credit Card"/>
  </r>
  <r>
    <n v="1542"/>
    <n v="1005"/>
    <x v="341"/>
    <n v="2236.5700000000002"/>
    <s v="Completed"/>
    <x v="3"/>
    <s v="PayPal"/>
  </r>
  <r>
    <n v="1543"/>
    <n v="3035"/>
    <x v="28"/>
    <n v="3145.95"/>
    <s v="Completed"/>
    <x v="4"/>
    <s v="Debit Card"/>
  </r>
  <r>
    <n v="1544"/>
    <n v="4749"/>
    <x v="54"/>
    <n v="688.95"/>
    <s v="Completed"/>
    <x v="0"/>
    <s v="Credit Card"/>
  </r>
  <r>
    <n v="1545"/>
    <n v="3876"/>
    <x v="74"/>
    <n v="1417.1"/>
    <s v="Completed"/>
    <x v="4"/>
    <s v="Debit Card"/>
  </r>
  <r>
    <n v="1546"/>
    <n v="6517"/>
    <x v="178"/>
    <n v="1020.08"/>
    <s v="Returned"/>
    <x v="4"/>
    <s v="Credit Card"/>
  </r>
  <r>
    <n v="1547"/>
    <n v="1192"/>
    <x v="151"/>
    <n v="643.29"/>
    <s v="Completed"/>
    <x v="1"/>
    <s v="Apple Pay"/>
  </r>
  <r>
    <n v="1548"/>
    <n v="8476"/>
    <x v="81"/>
    <n v="719.93"/>
    <s v="Completed"/>
    <x v="4"/>
    <s v="Apple Pay"/>
  </r>
  <r>
    <n v="1549"/>
    <n v="1207"/>
    <x v="88"/>
    <n v="589.59"/>
    <s v="Completed"/>
    <x v="4"/>
    <s v="Apple Pay"/>
  </r>
  <r>
    <n v="1550"/>
    <n v="7355"/>
    <x v="8"/>
    <n v="160.33000000000001"/>
    <s v="Completed"/>
    <x v="1"/>
    <s v="Credit Card"/>
  </r>
  <r>
    <n v="1551"/>
    <n v="1304"/>
    <x v="308"/>
    <n v="1283.1600000000001"/>
    <s v="Completed"/>
    <x v="0"/>
    <s v="Credit Card"/>
  </r>
  <r>
    <n v="1552"/>
    <n v="455"/>
    <x v="226"/>
    <n v="887.37"/>
    <s v="Completed"/>
    <x v="4"/>
    <s v="PayPal"/>
  </r>
  <r>
    <n v="1553"/>
    <n v="8675"/>
    <x v="129"/>
    <n v="1697.04"/>
    <s v="Completed"/>
    <x v="4"/>
    <s v="PayPal"/>
  </r>
  <r>
    <n v="1554"/>
    <n v="2147"/>
    <x v="155"/>
    <n v="7424.12"/>
    <s v="Completed"/>
    <x v="0"/>
    <s v="Debit Card"/>
  </r>
  <r>
    <n v="1555"/>
    <n v="9038"/>
    <x v="238"/>
    <n v="156.65"/>
    <s v="Completed"/>
    <x v="2"/>
    <s v="Credit Card"/>
  </r>
  <r>
    <n v="1556"/>
    <n v="6944"/>
    <x v="95"/>
    <n v="3238.72"/>
    <s v="Completed"/>
    <x v="4"/>
    <s v="PayPal"/>
  </r>
  <r>
    <n v="1557"/>
    <n v="242"/>
    <x v="149"/>
    <n v="2796.08"/>
    <s v="Completed"/>
    <x v="1"/>
    <s v="Debit Card"/>
  </r>
  <r>
    <n v="1558"/>
    <n v="2628"/>
    <x v="82"/>
    <n v="305.06"/>
    <s v="Completed"/>
    <x v="3"/>
    <s v="Debit Card"/>
  </r>
  <r>
    <n v="1559"/>
    <n v="1988"/>
    <x v="205"/>
    <n v="912.95"/>
    <s v="Completed"/>
    <x v="2"/>
    <s v="Credit Card"/>
  </r>
  <r>
    <n v="1560"/>
    <n v="7243"/>
    <x v="59"/>
    <n v="496.71"/>
    <s v="Completed"/>
    <x v="2"/>
    <s v="Debit Card"/>
  </r>
  <r>
    <n v="1561"/>
    <n v="6284"/>
    <x v="50"/>
    <n v="1159.22"/>
    <s v="Completed"/>
    <x v="3"/>
    <s v="PayPal"/>
  </r>
  <r>
    <n v="1562"/>
    <n v="23"/>
    <x v="360"/>
    <n v="3126.04"/>
    <s v="Completed"/>
    <x v="1"/>
    <s v="Apple Pay"/>
  </r>
  <r>
    <n v="1563"/>
    <n v="1842"/>
    <x v="48"/>
    <n v="1195.9100000000001"/>
    <s v="Completed"/>
    <x v="3"/>
    <s v="PayPal"/>
  </r>
  <r>
    <n v="1564"/>
    <n v="4880"/>
    <x v="351"/>
    <n v="1077.8399999999999"/>
    <s v="Completed"/>
    <x v="3"/>
    <s v="PayPal"/>
  </r>
  <r>
    <n v="1565"/>
    <n v="6463"/>
    <x v="145"/>
    <n v="1294.72"/>
    <s v="Completed"/>
    <x v="4"/>
    <s v="Debit Card"/>
  </r>
  <r>
    <n v="1566"/>
    <n v="4829"/>
    <x v="188"/>
    <n v="1777.25"/>
    <s v="Completed"/>
    <x v="1"/>
    <s v="PayPal"/>
  </r>
  <r>
    <n v="1567"/>
    <n v="1608"/>
    <x v="31"/>
    <n v="1735.12"/>
    <s v="Completed"/>
    <x v="2"/>
    <s v="PayPal"/>
  </r>
  <r>
    <n v="1568"/>
    <n v="4797"/>
    <x v="252"/>
    <n v="949.5"/>
    <s v="Completed"/>
    <x v="3"/>
    <s v="Credit Card"/>
  </r>
  <r>
    <n v="1569"/>
    <n v="1047"/>
    <x v="90"/>
    <n v="325.76"/>
    <s v="Completed"/>
    <x v="2"/>
    <s v="PayPal"/>
  </r>
  <r>
    <n v="1570"/>
    <n v="3500"/>
    <x v="123"/>
    <n v="2722.06"/>
    <s v="Completed"/>
    <x v="3"/>
    <s v="Apple Pay"/>
  </r>
  <r>
    <n v="1571"/>
    <n v="9332"/>
    <x v="34"/>
    <n v="965.83"/>
    <s v="Completed"/>
    <x v="4"/>
    <s v="Debit Card"/>
  </r>
  <r>
    <n v="1572"/>
    <n v="203"/>
    <x v="56"/>
    <n v="6034.29"/>
    <s v="Completed"/>
    <x v="5"/>
    <s v="Apple Pay"/>
  </r>
  <r>
    <n v="1573"/>
    <n v="7040"/>
    <x v="25"/>
    <n v="349.51"/>
    <s v="Completed"/>
    <x v="3"/>
    <s v="Apple Pay"/>
  </r>
  <r>
    <n v="1574"/>
    <n v="9555"/>
    <x v="211"/>
    <n v="1173.06"/>
    <s v="Completed"/>
    <x v="0"/>
    <s v="PayPal"/>
  </r>
  <r>
    <n v="1575"/>
    <n v="3659"/>
    <x v="202"/>
    <n v="2651.18"/>
    <s v="Completed"/>
    <x v="2"/>
    <s v="PayPal"/>
  </r>
  <r>
    <n v="1576"/>
    <n v="2681"/>
    <x v="58"/>
    <n v="5865.06"/>
    <s v="Completed"/>
    <x v="1"/>
    <s v="Apple Pay"/>
  </r>
  <r>
    <n v="1577"/>
    <n v="741"/>
    <x v="277"/>
    <n v="2917.76"/>
    <s v="Completed"/>
    <x v="1"/>
    <s v="Credit Card"/>
  </r>
  <r>
    <n v="1578"/>
    <n v="5549"/>
    <x v="224"/>
    <n v="2583.96"/>
    <s v="Completed"/>
    <x v="4"/>
    <s v="PayPal"/>
  </r>
  <r>
    <n v="1579"/>
    <n v="5108"/>
    <x v="120"/>
    <n v="2042.05"/>
    <s v="Completed"/>
    <x v="1"/>
    <s v="Credit Card"/>
  </r>
  <r>
    <n v="1580"/>
    <n v="3583"/>
    <x v="159"/>
    <n v="400.23"/>
    <s v="Cancelled"/>
    <x v="4"/>
    <s v="PayPal"/>
  </r>
  <r>
    <n v="1581"/>
    <n v="1304"/>
    <x v="32"/>
    <n v="1541.29"/>
    <s v="Completed"/>
    <x v="0"/>
    <s v="PayPal"/>
  </r>
  <r>
    <n v="1582"/>
    <n v="8691"/>
    <x v="79"/>
    <n v="4085.13"/>
    <s v="Completed"/>
    <x v="1"/>
    <s v="Debit Card"/>
  </r>
  <r>
    <n v="1583"/>
    <n v="7330"/>
    <x v="189"/>
    <n v="2262.17"/>
    <s v="Completed"/>
    <x v="0"/>
    <s v="Debit Card"/>
  </r>
  <r>
    <n v="1584"/>
    <n v="546"/>
    <x v="141"/>
    <n v="1145.71"/>
    <s v="Completed"/>
    <x v="0"/>
    <s v="PayPal"/>
  </r>
  <r>
    <n v="1585"/>
    <n v="9930"/>
    <x v="128"/>
    <n v="246.04"/>
    <s v="Cancelled"/>
    <x v="0"/>
    <s v="Apple Pay"/>
  </r>
  <r>
    <n v="1586"/>
    <n v="5341"/>
    <x v="335"/>
    <n v="1164.58"/>
    <s v="Completed"/>
    <x v="3"/>
    <s v="Credit Card"/>
  </r>
  <r>
    <n v="1587"/>
    <n v="8161"/>
    <x v="12"/>
    <n v="961.3"/>
    <s v="Completed"/>
    <x v="0"/>
    <s v="PayPal"/>
  </r>
  <r>
    <n v="1588"/>
    <n v="9893"/>
    <x v="296"/>
    <n v="1993.79"/>
    <s v="Completed"/>
    <x v="0"/>
    <s v="PayPal"/>
  </r>
  <r>
    <n v="1589"/>
    <n v="5548"/>
    <x v="228"/>
    <n v="3418.47"/>
    <s v="Completed"/>
    <x v="2"/>
    <s v="Apple Pay"/>
  </r>
  <r>
    <n v="1590"/>
    <n v="8137"/>
    <x v="23"/>
    <n v="1756.88"/>
    <s v="Completed"/>
    <x v="1"/>
    <s v="Apple Pay"/>
  </r>
  <r>
    <n v="1591"/>
    <n v="6898"/>
    <x v="114"/>
    <n v="284.86"/>
    <s v="Completed"/>
    <x v="1"/>
    <s v="PayPal"/>
  </r>
  <r>
    <n v="1592"/>
    <n v="3287"/>
    <x v="60"/>
    <n v="193.8"/>
    <s v="Completed"/>
    <x v="5"/>
    <s v="Credit Card"/>
  </r>
  <r>
    <n v="1593"/>
    <n v="4869"/>
    <x v="247"/>
    <n v="966.66"/>
    <s v="Completed"/>
    <x v="3"/>
    <s v="Apple Pay"/>
  </r>
  <r>
    <n v="1594"/>
    <n v="9091"/>
    <x v="131"/>
    <n v="14307.03"/>
    <s v="Completed"/>
    <x v="1"/>
    <s v="Apple Pay"/>
  </r>
  <r>
    <n v="1595"/>
    <n v="6969"/>
    <x v="41"/>
    <n v="315.29000000000002"/>
    <s v="Completed"/>
    <x v="4"/>
    <s v="PayPal"/>
  </r>
  <r>
    <n v="1596"/>
    <n v="438"/>
    <x v="222"/>
    <n v="798.73"/>
    <s v="Completed"/>
    <x v="4"/>
    <s v="Apple Pay"/>
  </r>
  <r>
    <n v="1597"/>
    <n v="3172"/>
    <x v="55"/>
    <n v="1762.69"/>
    <s v="Completed"/>
    <x v="2"/>
    <s v="PayPal"/>
  </r>
  <r>
    <n v="1598"/>
    <n v="3742"/>
    <x v="146"/>
    <n v="1907.46"/>
    <s v="Completed"/>
    <x v="1"/>
    <s v="PayPal"/>
  </r>
  <r>
    <n v="1599"/>
    <n v="646"/>
    <x v="319"/>
    <n v="318.02"/>
    <s v="Completed"/>
    <x v="0"/>
    <s v="Debit Card"/>
  </r>
  <r>
    <n v="1600"/>
    <n v="8683"/>
    <x v="300"/>
    <n v="2138.0300000000002"/>
    <s v="Completed"/>
    <x v="2"/>
    <s v="Credit Card"/>
  </r>
  <r>
    <n v="1601"/>
    <n v="8098"/>
    <x v="217"/>
    <n v="1255.51"/>
    <s v="Completed"/>
    <x v="0"/>
    <s v="PayPal"/>
  </r>
  <r>
    <n v="1602"/>
    <n v="8657"/>
    <x v="177"/>
    <n v="594.87"/>
    <s v="Completed"/>
    <x v="1"/>
    <s v="PayPal"/>
  </r>
  <r>
    <n v="1603"/>
    <n v="1528"/>
    <x v="1"/>
    <n v="156.65"/>
    <s v="Completed"/>
    <x v="4"/>
    <s v="Credit Card"/>
  </r>
  <r>
    <n v="1604"/>
    <n v="5751"/>
    <x v="312"/>
    <n v="1596.15"/>
    <s v="Completed"/>
    <x v="1"/>
    <s v="Apple Pay"/>
  </r>
  <r>
    <n v="1605"/>
    <n v="1739"/>
    <x v="85"/>
    <n v="414.24"/>
    <s v="Completed"/>
    <x v="1"/>
    <s v="Credit Card"/>
  </r>
  <r>
    <n v="1606"/>
    <n v="1036"/>
    <x v="28"/>
    <n v="539.1"/>
    <s v="Completed"/>
    <x v="3"/>
    <s v="PayPal"/>
  </r>
  <r>
    <n v="1607"/>
    <n v="8982"/>
    <x v="353"/>
    <n v="870.02"/>
    <s v="Completed"/>
    <x v="2"/>
    <s v="Apple Pay"/>
  </r>
  <r>
    <n v="1608"/>
    <n v="2505"/>
    <x v="21"/>
    <n v="818.14"/>
    <s v="Completed"/>
    <x v="1"/>
    <s v="PayPal"/>
  </r>
  <r>
    <n v="1609"/>
    <n v="6529"/>
    <x v="293"/>
    <n v="154.16"/>
    <s v="Completed"/>
    <x v="1"/>
    <s v="Debit Card"/>
  </r>
  <r>
    <n v="1610"/>
    <n v="3899"/>
    <x v="216"/>
    <n v="2050.21"/>
    <s v="Completed"/>
    <x v="3"/>
    <s v="Credit Card"/>
  </r>
  <r>
    <n v="1611"/>
    <n v="3946"/>
    <x v="329"/>
    <n v="2607.7600000000002"/>
    <s v="Completed"/>
    <x v="3"/>
    <s v="Credit Card"/>
  </r>
  <r>
    <n v="1612"/>
    <n v="5840"/>
    <x v="296"/>
    <n v="1724.21"/>
    <s v="Completed"/>
    <x v="3"/>
    <s v="Credit Card"/>
  </r>
  <r>
    <n v="1613"/>
    <n v="8012"/>
    <x v="358"/>
    <n v="1917.41"/>
    <s v="Completed"/>
    <x v="3"/>
    <s v="Credit Card"/>
  </r>
  <r>
    <n v="1614"/>
    <n v="4214"/>
    <x v="316"/>
    <n v="154.02000000000001"/>
    <s v="Completed"/>
    <x v="0"/>
    <s v="Apple Pay"/>
  </r>
  <r>
    <n v="1615"/>
    <n v="4075"/>
    <x v="242"/>
    <n v="1022.29"/>
    <s v="Completed"/>
    <x v="3"/>
    <s v="Apple Pay"/>
  </r>
  <r>
    <n v="1616"/>
    <n v="7653"/>
    <x v="161"/>
    <n v="835.27"/>
    <s v="Completed"/>
    <x v="4"/>
    <s v="Apple Pay"/>
  </r>
  <r>
    <n v="1617"/>
    <n v="192"/>
    <x v="70"/>
    <n v="3064.42"/>
    <s v="Completed"/>
    <x v="0"/>
    <s v="Credit Card"/>
  </r>
  <r>
    <n v="1618"/>
    <n v="8108"/>
    <x v="53"/>
    <n v="390.6"/>
    <s v="Completed"/>
    <x v="4"/>
    <s v="Credit Card"/>
  </r>
  <r>
    <n v="1619"/>
    <n v="9004"/>
    <x v="304"/>
    <n v="377.64"/>
    <s v="Completed"/>
    <x v="0"/>
    <s v="Debit Card"/>
  </r>
  <r>
    <n v="1620"/>
    <n v="6650"/>
    <x v="93"/>
    <n v="1581.51"/>
    <s v="Completed"/>
    <x v="5"/>
    <s v="PayPal"/>
  </r>
  <r>
    <n v="1621"/>
    <n v="8890"/>
    <x v="281"/>
    <n v="96.07"/>
    <s v="Completed"/>
    <x v="0"/>
    <s v="Credit Card"/>
  </r>
  <r>
    <n v="1622"/>
    <n v="6924"/>
    <x v="157"/>
    <n v="1862.53"/>
    <s v="Completed"/>
    <x v="1"/>
    <s v="Credit Card"/>
  </r>
  <r>
    <n v="1623"/>
    <n v="3548"/>
    <x v="168"/>
    <n v="3787.08"/>
    <s v="Completed"/>
    <x v="3"/>
    <s v="Apple Pay"/>
  </r>
  <r>
    <n v="1624"/>
    <n v="5376"/>
    <x v="16"/>
    <n v="1251.3900000000001"/>
    <s v="Completed"/>
    <x v="3"/>
    <s v="Credit Card"/>
  </r>
  <r>
    <n v="1625"/>
    <n v="3332"/>
    <x v="350"/>
    <n v="3554.5"/>
    <s v="Completed"/>
    <x v="4"/>
    <s v="Credit Card"/>
  </r>
  <r>
    <n v="1626"/>
    <n v="7884"/>
    <x v="166"/>
    <n v="653.59"/>
    <s v="Completed"/>
    <x v="3"/>
    <s v="PayPal"/>
  </r>
  <r>
    <n v="1627"/>
    <n v="5872"/>
    <x v="181"/>
    <n v="428.41"/>
    <s v="Completed"/>
    <x v="3"/>
    <s v="PayPal"/>
  </r>
  <r>
    <n v="1628"/>
    <n v="1866"/>
    <x v="25"/>
    <n v="188.02"/>
    <s v="Completed"/>
    <x v="4"/>
    <s v="Debit Card"/>
  </r>
  <r>
    <n v="1629"/>
    <n v="6336"/>
    <x v="41"/>
    <n v="579.6"/>
    <s v="Completed"/>
    <x v="2"/>
    <s v="Debit Card"/>
  </r>
  <r>
    <n v="1630"/>
    <n v="9502"/>
    <x v="339"/>
    <n v="4256.5"/>
    <s v="Completed"/>
    <x v="2"/>
    <s v="PayPal"/>
  </r>
  <r>
    <n v="1631"/>
    <n v="461"/>
    <x v="246"/>
    <n v="2142.94"/>
    <s v="Completed"/>
    <x v="1"/>
    <s v="Apple Pay"/>
  </r>
  <r>
    <n v="1632"/>
    <n v="1337"/>
    <x v="221"/>
    <n v="687.46"/>
    <s v="Completed"/>
    <x v="0"/>
    <s v="Debit Card"/>
  </r>
  <r>
    <n v="1633"/>
    <n v="3678"/>
    <x v="36"/>
    <n v="773.47"/>
    <s v="Completed"/>
    <x v="0"/>
    <s v="Apple Pay"/>
  </r>
  <r>
    <n v="1634"/>
    <n v="8430"/>
    <x v="60"/>
    <n v="1369.14"/>
    <s v="Completed"/>
    <x v="3"/>
    <s v="Debit Card"/>
  </r>
  <r>
    <n v="1635"/>
    <n v="5454"/>
    <x v="307"/>
    <n v="548.39"/>
    <s v="Completed"/>
    <x v="2"/>
    <s v="PayPal"/>
  </r>
  <r>
    <n v="1636"/>
    <n v="5840"/>
    <x v="252"/>
    <n v="3633.44"/>
    <s v="Cancelled"/>
    <x v="3"/>
    <s v="Apple Pay"/>
  </r>
  <r>
    <n v="1637"/>
    <n v="1094"/>
    <x v="361"/>
    <n v="661.44"/>
    <s v="Completed"/>
    <x v="4"/>
    <s v="PayPal"/>
  </r>
  <r>
    <n v="1638"/>
    <n v="8542"/>
    <x v="67"/>
    <n v="1344.49"/>
    <s v="Returned"/>
    <x v="4"/>
    <s v="Apple Pay"/>
  </r>
  <r>
    <n v="1639"/>
    <n v="1655"/>
    <x v="52"/>
    <n v="1426.01"/>
    <s v="Completed"/>
    <x v="0"/>
    <s v="Credit Card"/>
  </r>
  <r>
    <n v="1640"/>
    <n v="7374"/>
    <x v="162"/>
    <n v="395.52"/>
    <s v="Completed"/>
    <x v="3"/>
    <s v="Debit Card"/>
  </r>
  <r>
    <n v="1641"/>
    <n v="7047"/>
    <x v="4"/>
    <n v="1657.67"/>
    <s v="Completed"/>
    <x v="3"/>
    <s v="Debit Card"/>
  </r>
  <r>
    <n v="1642"/>
    <n v="3886"/>
    <x v="198"/>
    <n v="3753.92"/>
    <s v="Completed"/>
    <x v="5"/>
    <s v="Apple Pay"/>
  </r>
  <r>
    <n v="1643"/>
    <n v="4158"/>
    <x v="48"/>
    <n v="1600.17"/>
    <s v="Completed"/>
    <x v="3"/>
    <s v="Credit Card"/>
  </r>
  <r>
    <n v="1644"/>
    <n v="3974"/>
    <x v="162"/>
    <n v="1367.51"/>
    <s v="Completed"/>
    <x v="3"/>
    <s v="Debit Card"/>
  </r>
  <r>
    <n v="1645"/>
    <n v="8590"/>
    <x v="116"/>
    <n v="3541"/>
    <s v="Completed"/>
    <x v="4"/>
    <s v="Apple Pay"/>
  </r>
  <r>
    <n v="1646"/>
    <n v="3987"/>
    <x v="62"/>
    <n v="439.45"/>
    <s v="Completed"/>
    <x v="4"/>
    <s v="Apple Pay"/>
  </r>
  <r>
    <n v="1647"/>
    <n v="1592"/>
    <x v="337"/>
    <n v="818.87"/>
    <s v="Completed"/>
    <x v="1"/>
    <s v="Debit Card"/>
  </r>
  <r>
    <n v="1648"/>
    <n v="7736"/>
    <x v="143"/>
    <n v="739.73"/>
    <s v="Completed"/>
    <x v="4"/>
    <s v="Apple Pay"/>
  </r>
  <r>
    <n v="1649"/>
    <n v="5887"/>
    <x v="225"/>
    <n v="8178.52"/>
    <s v="Completed"/>
    <x v="1"/>
    <s v="Apple Pay"/>
  </r>
  <r>
    <n v="1650"/>
    <n v="8027"/>
    <x v="83"/>
    <n v="2460.39"/>
    <s v="Completed"/>
    <x v="4"/>
    <s v="Apple Pay"/>
  </r>
  <r>
    <n v="1651"/>
    <n v="6756"/>
    <x v="174"/>
    <n v="299.56"/>
    <s v="Completed"/>
    <x v="3"/>
    <s v="PayPal"/>
  </r>
  <r>
    <n v="1652"/>
    <n v="4788"/>
    <x v="64"/>
    <n v="384.99"/>
    <s v="Completed"/>
    <x v="4"/>
    <s v="Apple Pay"/>
  </r>
  <r>
    <n v="1653"/>
    <n v="1787"/>
    <x v="13"/>
    <n v="362.23"/>
    <s v="Completed"/>
    <x v="1"/>
    <s v="PayPal"/>
  </r>
  <r>
    <n v="1654"/>
    <n v="2189"/>
    <x v="27"/>
    <n v="1860.2"/>
    <s v="Completed"/>
    <x v="5"/>
    <s v="PayPal"/>
  </r>
  <r>
    <n v="1655"/>
    <n v="1413"/>
    <x v="322"/>
    <n v="4143.6499999999996"/>
    <s v="Completed"/>
    <x v="0"/>
    <s v="PayPal"/>
  </r>
  <r>
    <n v="1656"/>
    <n v="6066"/>
    <x v="190"/>
    <n v="1769.82"/>
    <s v="Completed"/>
    <x v="0"/>
    <s v="Apple Pay"/>
  </r>
  <r>
    <n v="1657"/>
    <n v="5630"/>
    <x v="175"/>
    <n v="1377.24"/>
    <s v="Completed"/>
    <x v="0"/>
    <s v="Credit Card"/>
  </r>
  <r>
    <n v="1658"/>
    <n v="1832"/>
    <x v="22"/>
    <n v="406.33"/>
    <s v="Completed"/>
    <x v="2"/>
    <s v="Credit Card"/>
  </r>
  <r>
    <n v="1659"/>
    <n v="1784"/>
    <x v="176"/>
    <n v="4214"/>
    <s v="Completed"/>
    <x v="3"/>
    <s v="PayPal"/>
  </r>
  <r>
    <n v="1660"/>
    <n v="5924"/>
    <x v="18"/>
    <n v="1442.08"/>
    <s v="Completed"/>
    <x v="0"/>
    <s v="Credit Card"/>
  </r>
  <r>
    <n v="1661"/>
    <n v="1477"/>
    <x v="217"/>
    <n v="441.28"/>
    <s v="Completed"/>
    <x v="4"/>
    <s v="Credit Card"/>
  </r>
  <r>
    <n v="1662"/>
    <n v="3640"/>
    <x v="125"/>
    <n v="198.89"/>
    <s v="Completed"/>
    <x v="1"/>
    <s v="Credit Card"/>
  </r>
  <r>
    <n v="1663"/>
    <n v="6736"/>
    <x v="33"/>
    <n v="1836.52"/>
    <s v="Completed"/>
    <x v="3"/>
    <s v="Apple Pay"/>
  </r>
  <r>
    <n v="1664"/>
    <n v="9882"/>
    <x v="27"/>
    <n v="1130.24"/>
    <s v="Completed"/>
    <x v="1"/>
    <s v="PayPal"/>
  </r>
  <r>
    <n v="1665"/>
    <n v="1750"/>
    <x v="98"/>
    <n v="1378.94"/>
    <s v="Completed"/>
    <x v="1"/>
    <s v="Credit Card"/>
  </r>
  <r>
    <n v="1666"/>
    <n v="88"/>
    <x v="172"/>
    <n v="164.76"/>
    <s v="Completed"/>
    <x v="2"/>
    <s v="Debit Card"/>
  </r>
  <r>
    <n v="1667"/>
    <n v="2720"/>
    <x v="208"/>
    <n v="228.45"/>
    <s v="Completed"/>
    <x v="3"/>
    <s v="Debit Card"/>
  </r>
  <r>
    <n v="1668"/>
    <n v="427"/>
    <x v="212"/>
    <n v="815.03"/>
    <s v="Completed"/>
    <x v="0"/>
    <s v="PayPal"/>
  </r>
  <r>
    <n v="1669"/>
    <n v="2265"/>
    <x v="266"/>
    <n v="401.69"/>
    <s v="Completed"/>
    <x v="2"/>
    <s v="Apple Pay"/>
  </r>
  <r>
    <n v="1670"/>
    <n v="8144"/>
    <x v="152"/>
    <n v="100.33"/>
    <s v="Completed"/>
    <x v="2"/>
    <s v="Apple Pay"/>
  </r>
  <r>
    <n v="1671"/>
    <n v="2406"/>
    <x v="221"/>
    <n v="6476.11"/>
    <s v="Completed"/>
    <x v="0"/>
    <s v="Apple Pay"/>
  </r>
  <r>
    <n v="1672"/>
    <n v="404"/>
    <x v="357"/>
    <n v="159.91999999999999"/>
    <s v="Completed"/>
    <x v="0"/>
    <s v="PayPal"/>
  </r>
  <r>
    <n v="1673"/>
    <n v="3740"/>
    <x v="161"/>
    <n v="661.44"/>
    <s v="Completed"/>
    <x v="4"/>
    <s v="Apple Pay"/>
  </r>
  <r>
    <n v="1674"/>
    <n v="5209"/>
    <x v="224"/>
    <n v="1395.14"/>
    <s v="Completed"/>
    <x v="4"/>
    <s v="Apple Pay"/>
  </r>
  <r>
    <n v="1675"/>
    <n v="5221"/>
    <x v="303"/>
    <n v="618.92999999999995"/>
    <s v="Completed"/>
    <x v="1"/>
    <s v="Debit Card"/>
  </r>
  <r>
    <n v="1676"/>
    <n v="7820"/>
    <x v="39"/>
    <n v="3163.04"/>
    <s v="Completed"/>
    <x v="1"/>
    <s v="Apple Pay"/>
  </r>
  <r>
    <n v="1677"/>
    <n v="1941"/>
    <x v="271"/>
    <n v="226.51"/>
    <s v="Completed"/>
    <x v="2"/>
    <s v="Apple Pay"/>
  </r>
  <r>
    <n v="1678"/>
    <n v="1545"/>
    <x v="114"/>
    <n v="1448.08"/>
    <s v="Completed"/>
    <x v="0"/>
    <s v="PayPal"/>
  </r>
  <r>
    <n v="1679"/>
    <n v="3266"/>
    <x v="128"/>
    <n v="1816.14"/>
    <s v="Completed"/>
    <x v="1"/>
    <s v="PayPal"/>
  </r>
  <r>
    <n v="1680"/>
    <n v="1146"/>
    <x v="180"/>
    <n v="884.91"/>
    <s v="Completed"/>
    <x v="2"/>
    <s v="Debit Card"/>
  </r>
  <r>
    <n v="1681"/>
    <n v="946"/>
    <x v="122"/>
    <n v="482.64"/>
    <s v="Completed"/>
    <x v="5"/>
    <s v="Debit Card"/>
  </r>
  <r>
    <n v="1682"/>
    <n v="4630"/>
    <x v="153"/>
    <n v="400.95"/>
    <s v="Completed"/>
    <x v="4"/>
    <s v="Apple Pay"/>
  </r>
  <r>
    <n v="1683"/>
    <n v="4825"/>
    <x v="200"/>
    <n v="2287.3000000000002"/>
    <s v="Completed"/>
    <x v="2"/>
    <s v="Debit Card"/>
  </r>
  <r>
    <n v="1684"/>
    <n v="431"/>
    <x v="34"/>
    <n v="2780.47"/>
    <s v="Completed"/>
    <x v="3"/>
    <s v="Credit Card"/>
  </r>
  <r>
    <n v="1685"/>
    <n v="2450"/>
    <x v="176"/>
    <n v="290.79000000000002"/>
    <s v="Completed"/>
    <x v="4"/>
    <s v="PayPal"/>
  </r>
  <r>
    <n v="1686"/>
    <n v="6607"/>
    <x v="301"/>
    <n v="152.53"/>
    <s v="Completed"/>
    <x v="3"/>
    <s v="PayPal"/>
  </r>
  <r>
    <n v="1687"/>
    <n v="7592"/>
    <x v="224"/>
    <n v="3888.27"/>
    <s v="Completed"/>
    <x v="1"/>
    <s v="Apple Pay"/>
  </r>
  <r>
    <n v="1688"/>
    <n v="2245"/>
    <x v="50"/>
    <n v="539.1"/>
    <s v="Completed"/>
    <x v="0"/>
    <s v="Credit Card"/>
  </r>
  <r>
    <n v="1689"/>
    <n v="3136"/>
    <x v="96"/>
    <n v="427.48"/>
    <s v="Completed"/>
    <x v="0"/>
    <s v="Credit Card"/>
  </r>
  <r>
    <n v="1690"/>
    <n v="8781"/>
    <x v="136"/>
    <n v="1033.01"/>
    <s v="Completed"/>
    <x v="1"/>
    <s v="Credit Card"/>
  </r>
  <r>
    <n v="1691"/>
    <n v="2144"/>
    <x v="291"/>
    <n v="1393.08"/>
    <s v="Completed"/>
    <x v="3"/>
    <s v="Debit Card"/>
  </r>
  <r>
    <n v="1692"/>
    <n v="9695"/>
    <x v="139"/>
    <n v="1354.25"/>
    <s v="Completed"/>
    <x v="3"/>
    <s v="Credit Card"/>
  </r>
  <r>
    <n v="1693"/>
    <n v="4076"/>
    <x v="259"/>
    <n v="273.77"/>
    <s v="Completed"/>
    <x v="3"/>
    <s v="Credit Card"/>
  </r>
  <r>
    <n v="1694"/>
    <n v="1234"/>
    <x v="146"/>
    <n v="1604.06"/>
    <s v="Completed"/>
    <x v="2"/>
    <s v="Apple Pay"/>
  </r>
  <r>
    <n v="1695"/>
    <n v="287"/>
    <x v="50"/>
    <n v="1346.21"/>
    <s v="Completed"/>
    <x v="1"/>
    <s v="PayPal"/>
  </r>
  <r>
    <n v="1696"/>
    <n v="3589"/>
    <x v="336"/>
    <n v="96.07"/>
    <s v="Completed"/>
    <x v="2"/>
    <s v="Debit Card"/>
  </r>
  <r>
    <n v="1697"/>
    <n v="7825"/>
    <x v="51"/>
    <n v="6090.99"/>
    <s v="Completed"/>
    <x v="4"/>
    <s v="Debit Card"/>
  </r>
  <r>
    <n v="1698"/>
    <n v="9685"/>
    <x v="146"/>
    <n v="580.79999999999995"/>
    <s v="Completed"/>
    <x v="0"/>
    <s v="PayPal"/>
  </r>
  <r>
    <n v="1699"/>
    <n v="625"/>
    <x v="18"/>
    <n v="1374.61"/>
    <s v="Completed"/>
    <x v="4"/>
    <s v="Apple Pay"/>
  </r>
  <r>
    <n v="1700"/>
    <n v="8276"/>
    <x v="142"/>
    <n v="140.76"/>
    <s v="Completed"/>
    <x v="3"/>
    <s v="PayPal"/>
  </r>
  <r>
    <n v="1701"/>
    <n v="2632"/>
    <x v="326"/>
    <n v="1500.18"/>
    <s v="Completed"/>
    <x v="2"/>
    <s v="PayPal"/>
  </r>
  <r>
    <n v="1702"/>
    <n v="1137"/>
    <x v="158"/>
    <n v="1678.51"/>
    <s v="Completed"/>
    <x v="0"/>
    <s v="Credit Card"/>
  </r>
  <r>
    <n v="1703"/>
    <n v="2600"/>
    <x v="219"/>
    <n v="339.07"/>
    <s v="Completed"/>
    <x v="1"/>
    <s v="Credit Card"/>
  </r>
  <r>
    <n v="1704"/>
    <n v="6536"/>
    <x v="127"/>
    <n v="1328.07"/>
    <s v="Completed"/>
    <x v="3"/>
    <s v="Credit Card"/>
  </r>
  <r>
    <n v="1705"/>
    <n v="5759"/>
    <x v="224"/>
    <n v="539.1"/>
    <s v="Completed"/>
    <x v="3"/>
    <s v="Debit Card"/>
  </r>
  <r>
    <n v="1706"/>
    <n v="7011"/>
    <x v="143"/>
    <n v="359.28"/>
    <s v="Completed"/>
    <x v="1"/>
    <s v="Credit Card"/>
  </r>
  <r>
    <n v="1707"/>
    <n v="5422"/>
    <x v="282"/>
    <n v="416.48"/>
    <s v="Completed"/>
    <x v="4"/>
    <s v="PayPal"/>
  </r>
  <r>
    <n v="1708"/>
    <n v="2839"/>
    <x v="20"/>
    <n v="2293.6999999999998"/>
    <s v="Completed"/>
    <x v="0"/>
    <s v="Debit Card"/>
  </r>
  <r>
    <n v="1709"/>
    <n v="3991"/>
    <x v="295"/>
    <n v="1579.2"/>
    <s v="Completed"/>
    <x v="4"/>
    <s v="PayPal"/>
  </r>
  <r>
    <n v="1710"/>
    <n v="3421"/>
    <x v="0"/>
    <n v="640.44000000000005"/>
    <s v="Completed"/>
    <x v="4"/>
    <s v="Credit Card"/>
  </r>
  <r>
    <n v="1711"/>
    <n v="923"/>
    <x v="338"/>
    <n v="899.2"/>
    <s v="Completed"/>
    <x v="1"/>
    <s v="PayPal"/>
  </r>
  <r>
    <n v="1712"/>
    <n v="6063"/>
    <x v="332"/>
    <n v="2964.89"/>
    <s v="Completed"/>
    <x v="0"/>
    <s v="PayPal"/>
  </r>
  <r>
    <n v="1713"/>
    <n v="9691"/>
    <x v="40"/>
    <n v="3820.04"/>
    <s v="Completed"/>
    <x v="3"/>
    <s v="PayPal"/>
  </r>
  <r>
    <n v="1714"/>
    <n v="6688"/>
    <x v="9"/>
    <n v="142.43"/>
    <s v="Completed"/>
    <x v="2"/>
    <s v="Credit Card"/>
  </r>
  <r>
    <n v="1715"/>
    <n v="950"/>
    <x v="300"/>
    <n v="1241.21"/>
    <s v="Completed"/>
    <x v="3"/>
    <s v="Credit Card"/>
  </r>
  <r>
    <n v="1716"/>
    <n v="6263"/>
    <x v="55"/>
    <n v="395.52"/>
    <s v="Completed"/>
    <x v="2"/>
    <s v="Credit Card"/>
  </r>
  <r>
    <n v="1717"/>
    <n v="4622"/>
    <x v="314"/>
    <n v="140.76"/>
    <s v="Completed"/>
    <x v="1"/>
    <s v="Debit Card"/>
  </r>
  <r>
    <n v="1718"/>
    <n v="2375"/>
    <x v="248"/>
    <n v="486.42"/>
    <s v="Completed"/>
    <x v="2"/>
    <s v="Debit Card"/>
  </r>
  <r>
    <n v="1719"/>
    <n v="5023"/>
    <x v="347"/>
    <n v="1435.99"/>
    <s v="Completed"/>
    <x v="4"/>
    <s v="Debit Card"/>
  </r>
  <r>
    <n v="1720"/>
    <n v="4834"/>
    <x v="106"/>
    <n v="407.73"/>
    <s v="Completed"/>
    <x v="3"/>
    <s v="Debit Card"/>
  </r>
  <r>
    <n v="1721"/>
    <n v="4018"/>
    <x v="220"/>
    <n v="4293.04"/>
    <s v="Completed"/>
    <x v="4"/>
    <s v="Debit Card"/>
  </r>
  <r>
    <n v="1722"/>
    <n v="7587"/>
    <x v="126"/>
    <n v="1933.32"/>
    <s v="Completed"/>
    <x v="4"/>
    <s v="Debit Card"/>
  </r>
  <r>
    <n v="1723"/>
    <n v="2276"/>
    <x v="260"/>
    <n v="901.51"/>
    <s v="Completed"/>
    <x v="4"/>
    <s v="Apple Pay"/>
  </r>
  <r>
    <n v="1724"/>
    <n v="6942"/>
    <x v="223"/>
    <n v="1791.45"/>
    <s v="Completed"/>
    <x v="0"/>
    <s v="PayPal"/>
  </r>
  <r>
    <n v="1725"/>
    <n v="5673"/>
    <x v="15"/>
    <n v="1627.17"/>
    <s v="Completed"/>
    <x v="3"/>
    <s v="Credit Card"/>
  </r>
  <r>
    <n v="1726"/>
    <n v="2628"/>
    <x v="157"/>
    <n v="637.98"/>
    <s v="Completed"/>
    <x v="3"/>
    <s v="Debit Card"/>
  </r>
  <r>
    <n v="1727"/>
    <n v="1682"/>
    <x v="113"/>
    <n v="352.84"/>
    <s v="Completed"/>
    <x v="3"/>
    <s v="Debit Card"/>
  </r>
  <r>
    <n v="1728"/>
    <n v="6281"/>
    <x v="287"/>
    <n v="1517.02"/>
    <s v="Completed"/>
    <x v="5"/>
    <s v="PayPal"/>
  </r>
  <r>
    <n v="1729"/>
    <n v="9106"/>
    <x v="149"/>
    <n v="2613.9"/>
    <s v="Completed"/>
    <x v="0"/>
    <s v="Apple Pay"/>
  </r>
  <r>
    <n v="1730"/>
    <n v="9555"/>
    <x v="10"/>
    <n v="1521.05"/>
    <s v="Completed"/>
    <x v="0"/>
    <s v="Apple Pay"/>
  </r>
  <r>
    <n v="1731"/>
    <n v="6378"/>
    <x v="88"/>
    <n v="868.7"/>
    <s v="Completed"/>
    <x v="1"/>
    <s v="Apple Pay"/>
  </r>
  <r>
    <n v="1732"/>
    <n v="4345"/>
    <x v="104"/>
    <n v="716.89"/>
    <s v="Completed"/>
    <x v="0"/>
    <s v="PayPal"/>
  </r>
  <r>
    <n v="1733"/>
    <n v="2300"/>
    <x v="6"/>
    <n v="1409.82"/>
    <s v="Completed"/>
    <x v="4"/>
    <s v="Debit Card"/>
  </r>
  <r>
    <n v="1734"/>
    <n v="9376"/>
    <x v="194"/>
    <n v="1412.89"/>
    <s v="Completed"/>
    <x v="4"/>
    <s v="Debit Card"/>
  </r>
  <r>
    <n v="1735"/>
    <n v="7430"/>
    <x v="92"/>
    <n v="2369.13"/>
    <s v="Completed"/>
    <x v="4"/>
    <s v="Apple Pay"/>
  </r>
  <r>
    <n v="1736"/>
    <n v="3534"/>
    <x v="216"/>
    <n v="313.64999999999998"/>
    <s v="Completed"/>
    <x v="1"/>
    <s v="PayPal"/>
  </r>
  <r>
    <n v="1737"/>
    <n v="7095"/>
    <x v="292"/>
    <n v="1151.2"/>
    <s v="Completed"/>
    <x v="0"/>
    <s v="PayPal"/>
  </r>
  <r>
    <n v="1738"/>
    <n v="6174"/>
    <x v="90"/>
    <n v="1876.13"/>
    <s v="Completed"/>
    <x v="4"/>
    <s v="PayPal"/>
  </r>
  <r>
    <n v="1739"/>
    <n v="9328"/>
    <x v="144"/>
    <n v="435.69"/>
    <s v="Completed"/>
    <x v="3"/>
    <s v="Credit Card"/>
  </r>
  <r>
    <n v="1740"/>
    <n v="3947"/>
    <x v="7"/>
    <n v="262.26"/>
    <s v="Completed"/>
    <x v="5"/>
    <s v="Debit Card"/>
  </r>
  <r>
    <n v="1741"/>
    <n v="3125"/>
    <x v="276"/>
    <n v="999.53"/>
    <s v="Completed"/>
    <x v="4"/>
    <s v="Apple Pay"/>
  </r>
  <r>
    <n v="1742"/>
    <n v="2133"/>
    <x v="103"/>
    <n v="96.07"/>
    <s v="Completed"/>
    <x v="4"/>
    <s v="Debit Card"/>
  </r>
  <r>
    <n v="1743"/>
    <n v="897"/>
    <x v="274"/>
    <n v="2981.48"/>
    <s v="Completed"/>
    <x v="0"/>
    <s v="Apple Pay"/>
  </r>
  <r>
    <n v="1744"/>
    <n v="7832"/>
    <x v="89"/>
    <n v="744.76"/>
    <s v="Completed"/>
    <x v="1"/>
    <s v="PayPal"/>
  </r>
  <r>
    <n v="1745"/>
    <n v="3400"/>
    <x v="129"/>
    <n v="200.91"/>
    <s v="Completed"/>
    <x v="2"/>
    <s v="Credit Card"/>
  </r>
  <r>
    <n v="1746"/>
    <n v="1027"/>
    <x v="92"/>
    <n v="196.53"/>
    <s v="Completed"/>
    <x v="4"/>
    <s v="Apple Pay"/>
  </r>
  <r>
    <n v="1747"/>
    <n v="4102"/>
    <x v="16"/>
    <n v="1001.18"/>
    <s v="Completed"/>
    <x v="4"/>
    <s v="Debit Card"/>
  </r>
  <r>
    <n v="1748"/>
    <n v="6744"/>
    <x v="159"/>
    <n v="1876.51"/>
    <s v="Completed"/>
    <x v="1"/>
    <s v="Apple Pay"/>
  </r>
  <r>
    <n v="1749"/>
    <n v="8361"/>
    <x v="252"/>
    <n v="1792.68"/>
    <s v="Completed"/>
    <x v="1"/>
    <s v="Apple Pay"/>
  </r>
  <r>
    <n v="1750"/>
    <n v="3593"/>
    <x v="97"/>
    <n v="3875.8"/>
    <s v="Completed"/>
    <x v="4"/>
    <s v="Apple Pay"/>
  </r>
  <r>
    <n v="1751"/>
    <n v="4193"/>
    <x v="2"/>
    <n v="2383.12"/>
    <s v="Completed"/>
    <x v="1"/>
    <s v="Apple Pay"/>
  </r>
  <r>
    <n v="1752"/>
    <n v="3292"/>
    <x v="165"/>
    <n v="367.72"/>
    <s v="Completed"/>
    <x v="3"/>
    <s v="Credit Card"/>
  </r>
  <r>
    <n v="1753"/>
    <n v="5255"/>
    <x v="56"/>
    <n v="3910.72"/>
    <s v="Cancelled"/>
    <x v="3"/>
    <s v="PayPal"/>
  </r>
  <r>
    <n v="1754"/>
    <n v="4446"/>
    <x v="175"/>
    <n v="100.33"/>
    <s v="Completed"/>
    <x v="4"/>
    <s v="Credit Card"/>
  </r>
  <r>
    <n v="1755"/>
    <n v="122"/>
    <x v="284"/>
    <n v="325.76"/>
    <s v="Completed"/>
    <x v="1"/>
    <s v="Debit Card"/>
  </r>
  <r>
    <n v="1756"/>
    <n v="4684"/>
    <x v="359"/>
    <n v="240.57"/>
    <s v="Completed"/>
    <x v="1"/>
    <s v="Apple Pay"/>
  </r>
  <r>
    <n v="1757"/>
    <n v="4368"/>
    <x v="326"/>
    <n v="132.22999999999999"/>
    <s v="Completed"/>
    <x v="0"/>
    <s v="Debit Card"/>
  </r>
  <r>
    <n v="1758"/>
    <n v="4019"/>
    <x v="81"/>
    <n v="30.63"/>
    <s v="Completed"/>
    <x v="4"/>
    <s v="PayPal"/>
  </r>
  <r>
    <n v="1759"/>
    <n v="4366"/>
    <x v="186"/>
    <n v="449.81"/>
    <s v="Completed"/>
    <x v="4"/>
    <s v="Debit Card"/>
  </r>
  <r>
    <n v="1760"/>
    <n v="61"/>
    <x v="196"/>
    <n v="493.21"/>
    <s v="Completed"/>
    <x v="2"/>
    <s v="Credit Card"/>
  </r>
  <r>
    <n v="1761"/>
    <n v="2505"/>
    <x v="309"/>
    <n v="1011.02"/>
    <s v="Returned"/>
    <x v="1"/>
    <s v="Apple Pay"/>
  </r>
  <r>
    <n v="1762"/>
    <n v="6906"/>
    <x v="174"/>
    <n v="2082.59"/>
    <s v="Completed"/>
    <x v="3"/>
    <s v="PayPal"/>
  </r>
  <r>
    <n v="1763"/>
    <n v="179"/>
    <x v="295"/>
    <n v="3531.61"/>
    <s v="Completed"/>
    <x v="1"/>
    <s v="Apple Pay"/>
  </r>
  <r>
    <n v="1764"/>
    <n v="7520"/>
    <x v="68"/>
    <n v="192.14"/>
    <s v="Completed"/>
    <x v="5"/>
    <s v="Credit Card"/>
  </r>
  <r>
    <n v="1765"/>
    <n v="4676"/>
    <x v="183"/>
    <n v="1930.21"/>
    <s v="Cancelled"/>
    <x v="4"/>
    <s v="Credit Card"/>
  </r>
  <r>
    <n v="1766"/>
    <n v="6002"/>
    <x v="268"/>
    <n v="1637.45"/>
    <s v="Completed"/>
    <x v="2"/>
    <s v="Debit Card"/>
  </r>
  <r>
    <n v="1767"/>
    <n v="5257"/>
    <x v="4"/>
    <n v="3842.93"/>
    <s v="Completed"/>
    <x v="0"/>
    <s v="Credit Card"/>
  </r>
  <r>
    <n v="1768"/>
    <n v="1128"/>
    <x v="101"/>
    <n v="2456.4499999999998"/>
    <s v="Completed"/>
    <x v="2"/>
    <s v="PayPal"/>
  </r>
  <r>
    <n v="1769"/>
    <n v="4938"/>
    <x v="52"/>
    <n v="1995.72"/>
    <s v="Completed"/>
    <x v="4"/>
    <s v="PayPal"/>
  </r>
  <r>
    <n v="1770"/>
    <n v="3272"/>
    <x v="122"/>
    <n v="376.78"/>
    <s v="Completed"/>
    <x v="4"/>
    <s v="Apple Pay"/>
  </r>
  <r>
    <n v="1771"/>
    <n v="3449"/>
    <x v="131"/>
    <n v="748.01"/>
    <s v="Completed"/>
    <x v="0"/>
    <s v="Debit Card"/>
  </r>
  <r>
    <n v="1772"/>
    <n v="587"/>
    <x v="335"/>
    <n v="1008.02"/>
    <s v="Cancelled"/>
    <x v="2"/>
    <s v="Credit Card"/>
  </r>
  <r>
    <n v="1773"/>
    <n v="4021"/>
    <x v="268"/>
    <n v="290.79000000000002"/>
    <s v="Completed"/>
    <x v="3"/>
    <s v="PayPal"/>
  </r>
  <r>
    <n v="1774"/>
    <n v="551"/>
    <x v="362"/>
    <n v="173.7"/>
    <s v="Completed"/>
    <x v="0"/>
    <s v="Apple Pay"/>
  </r>
  <r>
    <n v="1775"/>
    <n v="7492"/>
    <x v="177"/>
    <n v="345.63"/>
    <s v="Completed"/>
    <x v="1"/>
    <s v="Credit Card"/>
  </r>
  <r>
    <n v="1776"/>
    <n v="4111"/>
    <x v="60"/>
    <n v="816.58"/>
    <s v="Completed"/>
    <x v="3"/>
    <s v="PayPal"/>
  </r>
  <r>
    <n v="1777"/>
    <n v="4461"/>
    <x v="154"/>
    <n v="2876.22"/>
    <s v="Completed"/>
    <x v="3"/>
    <s v="Credit Card"/>
  </r>
  <r>
    <n v="1778"/>
    <n v="3621"/>
    <x v="259"/>
    <n v="1897.69"/>
    <s v="Completed"/>
    <x v="4"/>
    <s v="Credit Card"/>
  </r>
  <r>
    <n v="1779"/>
    <n v="6502"/>
    <x v="326"/>
    <n v="1242.57"/>
    <s v="Completed"/>
    <x v="4"/>
    <s v="Credit Card"/>
  </r>
  <r>
    <n v="1780"/>
    <n v="3705"/>
    <x v="8"/>
    <n v="1767.37"/>
    <s v="Completed"/>
    <x v="1"/>
    <s v="Debit Card"/>
  </r>
  <r>
    <n v="1781"/>
    <n v="2682"/>
    <x v="194"/>
    <n v="782.4"/>
    <s v="Completed"/>
    <x v="3"/>
    <s v="Credit Card"/>
  </r>
  <r>
    <n v="1782"/>
    <n v="7360"/>
    <x v="94"/>
    <n v="1173.78"/>
    <s v="Completed"/>
    <x v="1"/>
    <s v="Debit Card"/>
  </r>
  <r>
    <n v="1783"/>
    <n v="1475"/>
    <x v="264"/>
    <n v="8254.52"/>
    <s v="Completed"/>
    <x v="3"/>
    <s v="Credit Card"/>
  </r>
  <r>
    <n v="1784"/>
    <n v="9069"/>
    <x v="120"/>
    <n v="436.2"/>
    <s v="Completed"/>
    <x v="3"/>
    <s v="PayPal"/>
  </r>
  <r>
    <n v="1785"/>
    <n v="3921"/>
    <x v="84"/>
    <n v="1268.68"/>
    <s v="Completed"/>
    <x v="3"/>
    <s v="Debit Card"/>
  </r>
  <r>
    <n v="1786"/>
    <n v="9107"/>
    <x v="103"/>
    <n v="1008.02"/>
    <s v="Completed"/>
    <x v="4"/>
    <s v="PayPal"/>
  </r>
  <r>
    <n v="1787"/>
    <n v="3420"/>
    <x v="316"/>
    <n v="2704.53"/>
    <s v="Completed"/>
    <x v="2"/>
    <s v="Debit Card"/>
  </r>
  <r>
    <n v="1788"/>
    <n v="7424"/>
    <x v="363"/>
    <n v="276.68"/>
    <s v="Completed"/>
    <x v="0"/>
    <s v="Credit Card"/>
  </r>
  <r>
    <n v="1789"/>
    <n v="182"/>
    <x v="272"/>
    <n v="745.67"/>
    <s v="Completed"/>
    <x v="0"/>
    <s v="Apple Pay"/>
  </r>
  <r>
    <n v="1790"/>
    <n v="4966"/>
    <x v="49"/>
    <n v="152.53"/>
    <s v="Completed"/>
    <x v="3"/>
    <s v="PayPal"/>
  </r>
  <r>
    <n v="1791"/>
    <n v="4608"/>
    <x v="211"/>
    <n v="1570.63"/>
    <s v="Completed"/>
    <x v="0"/>
    <s v="Credit Card"/>
  </r>
  <r>
    <n v="1792"/>
    <n v="7440"/>
    <x v="88"/>
    <n v="237.29"/>
    <s v="Completed"/>
    <x v="2"/>
    <s v="PayPal"/>
  </r>
  <r>
    <n v="1793"/>
    <n v="9337"/>
    <x v="146"/>
    <n v="1427.9"/>
    <s v="Completed"/>
    <x v="2"/>
    <s v="Apple Pay"/>
  </r>
  <r>
    <n v="1794"/>
    <n v="8684"/>
    <x v="197"/>
    <n v="219.69"/>
    <s v="Completed"/>
    <x v="3"/>
    <s v="Apple Pay"/>
  </r>
  <r>
    <n v="1795"/>
    <n v="8810"/>
    <x v="88"/>
    <n v="459.12"/>
    <s v="Completed"/>
    <x v="1"/>
    <s v="PayPal"/>
  </r>
  <r>
    <n v="1796"/>
    <n v="6881"/>
    <x v="267"/>
    <n v="406.33"/>
    <s v="Completed"/>
    <x v="2"/>
    <s v="PayPal"/>
  </r>
  <r>
    <n v="1797"/>
    <n v="1850"/>
    <x v="17"/>
    <n v="406.33"/>
    <s v="Completed"/>
    <x v="0"/>
    <s v="Apple Pay"/>
  </r>
  <r>
    <n v="1798"/>
    <n v="9437"/>
    <x v="113"/>
    <n v="232.17"/>
    <s v="Completed"/>
    <x v="4"/>
    <s v="Apple Pay"/>
  </r>
  <r>
    <n v="1799"/>
    <n v="2191"/>
    <x v="131"/>
    <n v="1123.6500000000001"/>
    <s v="Completed"/>
    <x v="0"/>
    <s v="Apple Pay"/>
  </r>
  <r>
    <n v="1800"/>
    <n v="9768"/>
    <x v="180"/>
    <n v="1400.3"/>
    <s v="Completed"/>
    <x v="4"/>
    <s v="Apple Pay"/>
  </r>
  <r>
    <n v="1801"/>
    <n v="1786"/>
    <x v="146"/>
    <n v="749.34"/>
    <s v="Completed"/>
    <x v="2"/>
    <s v="Debit Card"/>
  </r>
  <r>
    <n v="1802"/>
    <n v="7693"/>
    <x v="309"/>
    <n v="361.97"/>
    <s v="Completed"/>
    <x v="3"/>
    <s v="Debit Card"/>
  </r>
  <r>
    <n v="1803"/>
    <n v="6506"/>
    <x v="211"/>
    <n v="545.46"/>
    <s v="Completed"/>
    <x v="2"/>
    <s v="Apple Pay"/>
  </r>
  <r>
    <n v="1804"/>
    <n v="9710"/>
    <x v="47"/>
    <n v="327.51"/>
    <s v="Completed"/>
    <x v="2"/>
    <s v="PayPal"/>
  </r>
  <r>
    <n v="1805"/>
    <n v="4874"/>
    <x v="354"/>
    <n v="1271.1199999999999"/>
    <s v="Completed"/>
    <x v="2"/>
    <s v="PayPal"/>
  </r>
  <r>
    <n v="1806"/>
    <n v="6483"/>
    <x v="105"/>
    <n v="96.07"/>
    <s v="Completed"/>
    <x v="3"/>
    <s v="PayPal"/>
  </r>
  <r>
    <n v="1807"/>
    <n v="2758"/>
    <x v="158"/>
    <n v="1824.03"/>
    <s v="Completed"/>
    <x v="4"/>
    <s v="Credit Card"/>
  </r>
  <r>
    <n v="1808"/>
    <n v="5946"/>
    <x v="343"/>
    <n v="260.61"/>
    <s v="Completed"/>
    <x v="3"/>
    <s v="Apple Pay"/>
  </r>
  <r>
    <n v="1809"/>
    <n v="2422"/>
    <x v="289"/>
    <n v="1479.17"/>
    <s v="Completed"/>
    <x v="0"/>
    <s v="Credit Card"/>
  </r>
  <r>
    <n v="1810"/>
    <n v="8742"/>
    <x v="357"/>
    <n v="1294.99"/>
    <s v="Completed"/>
    <x v="3"/>
    <s v="Credit Card"/>
  </r>
  <r>
    <n v="1811"/>
    <n v="1528"/>
    <x v="344"/>
    <n v="569.07000000000005"/>
    <s v="Completed"/>
    <x v="4"/>
    <s v="Apple Pay"/>
  </r>
  <r>
    <n v="1812"/>
    <n v="6568"/>
    <x v="170"/>
    <n v="821.67"/>
    <s v="Completed"/>
    <x v="4"/>
    <s v="Credit Card"/>
  </r>
  <r>
    <n v="1813"/>
    <n v="2444"/>
    <x v="316"/>
    <n v="1407.42"/>
    <s v="Completed"/>
    <x v="4"/>
    <s v="Debit Card"/>
  </r>
  <r>
    <n v="1814"/>
    <n v="3480"/>
    <x v="234"/>
    <n v="489.66"/>
    <s v="Completed"/>
    <x v="0"/>
    <s v="Apple Pay"/>
  </r>
  <r>
    <n v="1815"/>
    <n v="8345"/>
    <x v="44"/>
    <n v="301.8"/>
    <s v="Completed"/>
    <x v="1"/>
    <s v="Apple Pay"/>
  </r>
  <r>
    <n v="1816"/>
    <n v="2880"/>
    <x v="338"/>
    <n v="2365.2399999999998"/>
    <s v="Completed"/>
    <x v="1"/>
    <s v="PayPal"/>
  </r>
  <r>
    <n v="1817"/>
    <n v="4111"/>
    <x v="58"/>
    <n v="1204.48"/>
    <s v="Completed"/>
    <x v="3"/>
    <s v="PayPal"/>
  </r>
  <r>
    <n v="1818"/>
    <n v="1177"/>
    <x v="303"/>
    <n v="1520.26"/>
    <s v="Completed"/>
    <x v="5"/>
    <s v="Apple Pay"/>
  </r>
  <r>
    <n v="1819"/>
    <n v="5369"/>
    <x v="158"/>
    <n v="3508.63"/>
    <s v="Completed"/>
    <x v="4"/>
    <s v="Credit Card"/>
  </r>
  <r>
    <n v="1820"/>
    <n v="9397"/>
    <x v="287"/>
    <n v="1008.02"/>
    <s v="Completed"/>
    <x v="3"/>
    <s v="PayPal"/>
  </r>
  <r>
    <n v="1821"/>
    <n v="1433"/>
    <x v="278"/>
    <n v="768.53"/>
    <s v="Completed"/>
    <x v="0"/>
    <s v="Credit Card"/>
  </r>
  <r>
    <n v="1822"/>
    <n v="8657"/>
    <x v="107"/>
    <n v="816.93"/>
    <s v="Completed"/>
    <x v="1"/>
    <s v="PayPal"/>
  </r>
  <r>
    <n v="1823"/>
    <n v="7897"/>
    <x v="155"/>
    <n v="1153.5"/>
    <s v="Completed"/>
    <x v="4"/>
    <s v="Apple Pay"/>
  </r>
  <r>
    <n v="1824"/>
    <n v="5034"/>
    <x v="284"/>
    <n v="1971.34"/>
    <s v="Completed"/>
    <x v="2"/>
    <s v="Apple Pay"/>
  </r>
  <r>
    <n v="1825"/>
    <n v="8505"/>
    <x v="290"/>
    <n v="1948.98"/>
    <s v="Completed"/>
    <x v="4"/>
    <s v="Apple Pay"/>
  </r>
  <r>
    <n v="1826"/>
    <n v="7798"/>
    <x v="340"/>
    <n v="960.68"/>
    <s v="Completed"/>
    <x v="1"/>
    <s v="Apple Pay"/>
  </r>
  <r>
    <n v="1827"/>
    <n v="5511"/>
    <x v="284"/>
    <n v="1226.48"/>
    <s v="Completed"/>
    <x v="2"/>
    <s v="PayPal"/>
  </r>
  <r>
    <n v="1828"/>
    <n v="9982"/>
    <x v="33"/>
    <n v="2363.52"/>
    <s v="Completed"/>
    <x v="2"/>
    <s v="Credit Card"/>
  </r>
  <r>
    <n v="1829"/>
    <n v="6284"/>
    <x v="352"/>
    <n v="1490.74"/>
    <s v="Completed"/>
    <x v="3"/>
    <s v="PayPal"/>
  </r>
  <r>
    <n v="1830"/>
    <n v="6283"/>
    <x v="27"/>
    <n v="862.98"/>
    <s v="Completed"/>
    <x v="3"/>
    <s v="Apple Pay"/>
  </r>
  <r>
    <n v="1831"/>
    <n v="7220"/>
    <x v="28"/>
    <n v="219.69"/>
    <s v="Completed"/>
    <x v="3"/>
    <s v="Apple Pay"/>
  </r>
  <r>
    <n v="1832"/>
    <n v="7343"/>
    <x v="127"/>
    <n v="2250.09"/>
    <s v="Completed"/>
    <x v="2"/>
    <s v="PayPal"/>
  </r>
  <r>
    <n v="1833"/>
    <n v="3385"/>
    <x v="219"/>
    <n v="1590.84"/>
    <s v="Completed"/>
    <x v="2"/>
    <s v="Debit Card"/>
  </r>
  <r>
    <n v="1834"/>
    <n v="7102"/>
    <x v="73"/>
    <n v="1095.6199999999999"/>
    <s v="Cancelled"/>
    <x v="3"/>
    <s v="Credit Card"/>
  </r>
  <r>
    <n v="1835"/>
    <n v="5743"/>
    <x v="23"/>
    <n v="1745.7"/>
    <s v="Completed"/>
    <x v="2"/>
    <s v="Apple Pay"/>
  </r>
  <r>
    <n v="1836"/>
    <n v="9268"/>
    <x v="285"/>
    <n v="1129.0999999999999"/>
    <s v="Completed"/>
    <x v="1"/>
    <s v="Credit Card"/>
  </r>
  <r>
    <n v="1837"/>
    <n v="1983"/>
    <x v="97"/>
    <n v="1019.24"/>
    <s v="Completed"/>
    <x v="4"/>
    <s v="Debit Card"/>
  </r>
  <r>
    <n v="1838"/>
    <n v="6831"/>
    <x v="242"/>
    <n v="912.95"/>
    <s v="Cancelled"/>
    <x v="3"/>
    <s v="Credit Card"/>
  </r>
  <r>
    <n v="1839"/>
    <n v="8713"/>
    <x v="10"/>
    <n v="529.04"/>
    <s v="Completed"/>
    <x v="0"/>
    <s v="Credit Card"/>
  </r>
  <r>
    <n v="1840"/>
    <n v="7849"/>
    <x v="297"/>
    <n v="140.76"/>
    <s v="Completed"/>
    <x v="4"/>
    <s v="Debit Card"/>
  </r>
  <r>
    <n v="1841"/>
    <n v="7074"/>
    <x v="345"/>
    <n v="1323.28"/>
    <s v="Completed"/>
    <x v="4"/>
    <s v="Apple Pay"/>
  </r>
  <r>
    <n v="1842"/>
    <n v="8227"/>
    <x v="363"/>
    <n v="2837.73"/>
    <s v="Cancelled"/>
    <x v="4"/>
    <s v="Debit Card"/>
  </r>
  <r>
    <n v="1843"/>
    <n v="6063"/>
    <x v="283"/>
    <n v="1599.55"/>
    <s v="Completed"/>
    <x v="0"/>
    <s v="Apple Pay"/>
  </r>
  <r>
    <n v="1844"/>
    <n v="8571"/>
    <x v="111"/>
    <n v="2082.4"/>
    <s v="Completed"/>
    <x v="2"/>
    <s v="Credit Card"/>
  </r>
  <r>
    <n v="1845"/>
    <n v="8678"/>
    <x v="72"/>
    <n v="872.4"/>
    <s v="Completed"/>
    <x v="3"/>
    <s v="Credit Card"/>
  </r>
  <r>
    <n v="1846"/>
    <n v="6261"/>
    <x v="273"/>
    <n v="1778.43"/>
    <s v="Completed"/>
    <x v="1"/>
    <s v="Credit Card"/>
  </r>
  <r>
    <n v="1847"/>
    <n v="9432"/>
    <x v="55"/>
    <n v="4168.84"/>
    <s v="Completed"/>
    <x v="0"/>
    <s v="Apple Pay"/>
  </r>
  <r>
    <n v="1848"/>
    <n v="626"/>
    <x v="269"/>
    <n v="475.02"/>
    <s v="Cancelled"/>
    <x v="4"/>
    <s v="Debit Card"/>
  </r>
  <r>
    <n v="1849"/>
    <n v="6397"/>
    <x v="230"/>
    <n v="44.16"/>
    <s v="Completed"/>
    <x v="0"/>
    <s v="PayPal"/>
  </r>
  <r>
    <n v="1850"/>
    <n v="8116"/>
    <x v="224"/>
    <n v="599.34"/>
    <s v="Completed"/>
    <x v="3"/>
    <s v="Credit Card"/>
  </r>
  <r>
    <n v="1851"/>
    <n v="3005"/>
    <x v="150"/>
    <n v="1475.9"/>
    <s v="Completed"/>
    <x v="1"/>
    <s v="Apple Pay"/>
  </r>
  <r>
    <n v="1852"/>
    <n v="6078"/>
    <x v="188"/>
    <n v="912.95"/>
    <s v="Completed"/>
    <x v="1"/>
    <s v="Debit Card"/>
  </r>
  <r>
    <n v="1853"/>
    <n v="2375"/>
    <x v="63"/>
    <n v="1384.18"/>
    <s v="Completed"/>
    <x v="2"/>
    <s v="Debit Card"/>
  </r>
  <r>
    <n v="1854"/>
    <n v="7039"/>
    <x v="345"/>
    <n v="759.97"/>
    <s v="Completed"/>
    <x v="4"/>
    <s v="PayPal"/>
  </r>
  <r>
    <n v="1855"/>
    <n v="4102"/>
    <x v="145"/>
    <n v="1421.38"/>
    <s v="Completed"/>
    <x v="4"/>
    <s v="Credit Card"/>
  </r>
  <r>
    <n v="1856"/>
    <n v="6646"/>
    <x v="9"/>
    <n v="1225.75"/>
    <s v="Completed"/>
    <x v="2"/>
    <s v="Apple Pay"/>
  </r>
  <r>
    <n v="1857"/>
    <n v="5366"/>
    <x v="87"/>
    <n v="3360.71"/>
    <s v="Completed"/>
    <x v="3"/>
    <s v="PayPal"/>
  </r>
  <r>
    <n v="1858"/>
    <n v="5546"/>
    <x v="179"/>
    <n v="2635.46"/>
    <s v="Completed"/>
    <x v="1"/>
    <s v="PayPal"/>
  </r>
  <r>
    <n v="1859"/>
    <n v="9139"/>
    <x v="90"/>
    <n v="485.89"/>
    <s v="Completed"/>
    <x v="3"/>
    <s v="Apple Pay"/>
  </r>
  <r>
    <n v="1860"/>
    <n v="6215"/>
    <x v="5"/>
    <n v="3119.03"/>
    <s v="Completed"/>
    <x v="4"/>
    <s v="Credit Card"/>
  </r>
  <r>
    <n v="1861"/>
    <n v="1044"/>
    <x v="230"/>
    <n v="2126.5500000000002"/>
    <s v="Completed"/>
    <x v="4"/>
    <s v="Credit Card"/>
  </r>
  <r>
    <n v="1862"/>
    <n v="5914"/>
    <x v="153"/>
    <n v="413.12"/>
    <s v="Completed"/>
    <x v="3"/>
    <s v="Apple Pay"/>
  </r>
  <r>
    <n v="1863"/>
    <n v="3468"/>
    <x v="358"/>
    <n v="4817.5600000000004"/>
    <s v="Completed"/>
    <x v="4"/>
    <s v="Debit Card"/>
  </r>
  <r>
    <n v="1864"/>
    <n v="7722"/>
    <x v="263"/>
    <n v="1695.09"/>
    <s v="Completed"/>
    <x v="0"/>
    <s v="PayPal"/>
  </r>
  <r>
    <n v="1865"/>
    <n v="4313"/>
    <x v="333"/>
    <n v="2407.8200000000002"/>
    <s v="Completed"/>
    <x v="4"/>
    <s v="Apple Pay"/>
  </r>
  <r>
    <n v="1866"/>
    <n v="3678"/>
    <x v="181"/>
    <n v="380.2"/>
    <s v="Completed"/>
    <x v="0"/>
    <s v="Apple Pay"/>
  </r>
  <r>
    <n v="1867"/>
    <n v="4794"/>
    <x v="180"/>
    <n v="1582.85"/>
    <s v="Completed"/>
    <x v="4"/>
    <s v="Apple Pay"/>
  </r>
  <r>
    <n v="1868"/>
    <n v="3916"/>
    <x v="40"/>
    <n v="3139.22"/>
    <s v="Completed"/>
    <x v="1"/>
    <s v="PayPal"/>
  </r>
  <r>
    <n v="1869"/>
    <n v="6425"/>
    <x v="203"/>
    <n v="1261.18"/>
    <s v="Completed"/>
    <x v="2"/>
    <s v="Apple Pay"/>
  </r>
  <r>
    <n v="1870"/>
    <n v="2857"/>
    <x v="26"/>
    <n v="1986.82"/>
    <s v="Completed"/>
    <x v="2"/>
    <s v="Debit Card"/>
  </r>
  <r>
    <n v="1871"/>
    <n v="5591"/>
    <x v="223"/>
    <n v="140.76"/>
    <s v="Completed"/>
    <x v="3"/>
    <s v="Credit Card"/>
  </r>
  <r>
    <n v="1872"/>
    <n v="4626"/>
    <x v="87"/>
    <n v="1356.79"/>
    <s v="Completed"/>
    <x v="1"/>
    <s v="PayPal"/>
  </r>
  <r>
    <n v="1873"/>
    <n v="3367"/>
    <x v="124"/>
    <n v="1763.16"/>
    <s v="Completed"/>
    <x v="0"/>
    <s v="Debit Card"/>
  </r>
  <r>
    <n v="1874"/>
    <n v="5771"/>
    <x v="6"/>
    <n v="100.33"/>
    <s v="Completed"/>
    <x v="2"/>
    <s v="Credit Card"/>
  </r>
  <r>
    <n v="1875"/>
    <n v="7099"/>
    <x v="272"/>
    <n v="1105.31"/>
    <s v="Completed"/>
    <x v="3"/>
    <s v="Apple Pay"/>
  </r>
  <r>
    <n v="1876"/>
    <n v="3407"/>
    <x v="182"/>
    <n v="300.98"/>
    <s v="Completed"/>
    <x v="0"/>
    <s v="PayPal"/>
  </r>
  <r>
    <n v="1877"/>
    <n v="7490"/>
    <x v="252"/>
    <n v="381.76"/>
    <s v="Completed"/>
    <x v="2"/>
    <s v="Credit Card"/>
  </r>
  <r>
    <n v="1878"/>
    <n v="8092"/>
    <x v="97"/>
    <n v="485.49"/>
    <s v="Completed"/>
    <x v="2"/>
    <s v="Credit Card"/>
  </r>
  <r>
    <n v="1879"/>
    <n v="6609"/>
    <x v="15"/>
    <n v="1755.87"/>
    <s v="Completed"/>
    <x v="3"/>
    <s v="Credit Card"/>
  </r>
  <r>
    <n v="1880"/>
    <n v="4668"/>
    <x v="96"/>
    <n v="265.95"/>
    <s v="Completed"/>
    <x v="2"/>
    <s v="Debit Card"/>
  </r>
  <r>
    <n v="1881"/>
    <n v="2634"/>
    <x v="124"/>
    <n v="610.39"/>
    <s v="Completed"/>
    <x v="3"/>
    <s v="Debit Card"/>
  </r>
  <r>
    <n v="1882"/>
    <n v="5617"/>
    <x v="82"/>
    <n v="965.83"/>
    <s v="Completed"/>
    <x v="1"/>
    <s v="PayPal"/>
  </r>
  <r>
    <n v="1883"/>
    <n v="5036"/>
    <x v="75"/>
    <n v="2122.9"/>
    <s v="Completed"/>
    <x v="1"/>
    <s v="Credit Card"/>
  </r>
  <r>
    <n v="1884"/>
    <n v="3130"/>
    <x v="340"/>
    <n v="120.27"/>
    <s v="Completed"/>
    <x v="1"/>
    <s v="Apple Pay"/>
  </r>
  <r>
    <n v="1885"/>
    <n v="4445"/>
    <x v="153"/>
    <n v="2420.5300000000002"/>
    <s v="Completed"/>
    <x v="2"/>
    <s v="PayPal"/>
  </r>
  <r>
    <n v="1886"/>
    <n v="8428"/>
    <x v="103"/>
    <n v="2011.96"/>
    <s v="Completed"/>
    <x v="4"/>
    <s v="PayPal"/>
  </r>
  <r>
    <n v="1887"/>
    <n v="8759"/>
    <x v="170"/>
    <n v="30.63"/>
    <s v="Completed"/>
    <x v="3"/>
    <s v="Credit Card"/>
  </r>
  <r>
    <n v="1888"/>
    <n v="8520"/>
    <x v="146"/>
    <n v="2722.8"/>
    <s v="Completed"/>
    <x v="4"/>
    <s v="PayPal"/>
  </r>
  <r>
    <n v="1889"/>
    <n v="8532"/>
    <x v="181"/>
    <n v="1052.58"/>
    <s v="Completed"/>
    <x v="4"/>
    <s v="Apple Pay"/>
  </r>
  <r>
    <n v="1890"/>
    <n v="6112"/>
    <x v="317"/>
    <n v="1072.43"/>
    <s v="Completed"/>
    <x v="3"/>
    <s v="Apple Pay"/>
  </r>
  <r>
    <n v="1891"/>
    <n v="1376"/>
    <x v="81"/>
    <n v="914.09"/>
    <s v="Completed"/>
    <x v="0"/>
    <s v="PayPal"/>
  </r>
  <r>
    <n v="1892"/>
    <n v="2636"/>
    <x v="361"/>
    <n v="242.48"/>
    <s v="Completed"/>
    <x v="0"/>
    <s v="Apple Pay"/>
  </r>
  <r>
    <n v="1893"/>
    <n v="1448"/>
    <x v="275"/>
    <n v="4580.38"/>
    <s v="Completed"/>
    <x v="0"/>
    <s v="Debit Card"/>
  </r>
  <r>
    <n v="1894"/>
    <n v="7528"/>
    <x v="321"/>
    <n v="5941.23"/>
    <s v="Completed"/>
    <x v="1"/>
    <s v="Apple Pay"/>
  </r>
  <r>
    <n v="1895"/>
    <n v="7145"/>
    <x v="309"/>
    <n v="2625.68"/>
    <s v="Completed"/>
    <x v="0"/>
    <s v="PayPal"/>
  </r>
  <r>
    <n v="1896"/>
    <n v="9162"/>
    <x v="333"/>
    <n v="339.07"/>
    <s v="Completed"/>
    <x v="3"/>
    <s v="PayPal"/>
  </r>
  <r>
    <n v="1897"/>
    <n v="4017"/>
    <x v="286"/>
    <n v="329.06"/>
    <s v="Cancelled"/>
    <x v="1"/>
    <s v="Debit Card"/>
  </r>
  <r>
    <n v="1898"/>
    <n v="9688"/>
    <x v="275"/>
    <n v="1865.09"/>
    <s v="Completed"/>
    <x v="1"/>
    <s v="Credit Card"/>
  </r>
  <r>
    <n v="1899"/>
    <n v="7492"/>
    <x v="251"/>
    <n v="1786.37"/>
    <s v="Completed"/>
    <x v="1"/>
    <s v="Credit Card"/>
  </r>
  <r>
    <n v="1900"/>
    <n v="6228"/>
    <x v="46"/>
    <n v="1434.4"/>
    <s v="Completed"/>
    <x v="1"/>
    <s v="PayPal"/>
  </r>
  <r>
    <n v="1901"/>
    <n v="1028"/>
    <x v="30"/>
    <n v="401.69"/>
    <s v="Completed"/>
    <x v="1"/>
    <s v="Credit Card"/>
  </r>
  <r>
    <n v="1902"/>
    <n v="514"/>
    <x v="271"/>
    <n v="500.88"/>
    <s v="Completed"/>
    <x v="3"/>
    <s v="PayPal"/>
  </r>
  <r>
    <n v="1903"/>
    <n v="8474"/>
    <x v="83"/>
    <n v="207.19"/>
    <s v="Completed"/>
    <x v="2"/>
    <s v="Credit Card"/>
  </r>
  <r>
    <n v="1904"/>
    <n v="2878"/>
    <x v="99"/>
    <n v="439.45"/>
    <s v="Completed"/>
    <x v="1"/>
    <s v="Credit Card"/>
  </r>
  <r>
    <n v="1905"/>
    <n v="8692"/>
    <x v="93"/>
    <n v="363.07"/>
    <s v="Completed"/>
    <x v="3"/>
    <s v="Apple Pay"/>
  </r>
  <r>
    <n v="1906"/>
    <n v="5513"/>
    <x v="122"/>
    <n v="986.42"/>
    <s v="Completed"/>
    <x v="0"/>
    <s v="Debit Card"/>
  </r>
  <r>
    <n v="1907"/>
    <n v="4694"/>
    <x v="276"/>
    <n v="296.31"/>
    <s v="Completed"/>
    <x v="1"/>
    <s v="Credit Card"/>
  </r>
  <r>
    <n v="1908"/>
    <n v="8116"/>
    <x v="248"/>
    <n v="1752.5"/>
    <s v="Completed"/>
    <x v="3"/>
    <s v="Apple Pay"/>
  </r>
  <r>
    <n v="1909"/>
    <n v="155"/>
    <x v="300"/>
    <n v="508.62"/>
    <s v="Completed"/>
    <x v="1"/>
    <s v="Credit Card"/>
  </r>
  <r>
    <n v="1910"/>
    <n v="4362"/>
    <x v="85"/>
    <n v="1599.62"/>
    <s v="Completed"/>
    <x v="1"/>
    <s v="Apple Pay"/>
  </r>
  <r>
    <n v="1911"/>
    <n v="1897"/>
    <x v="72"/>
    <n v="1342.99"/>
    <s v="Completed"/>
    <x v="2"/>
    <s v="Debit Card"/>
  </r>
  <r>
    <n v="1912"/>
    <n v="6483"/>
    <x v="315"/>
    <n v="319.22000000000003"/>
    <s v="Completed"/>
    <x v="3"/>
    <s v="PayPal"/>
  </r>
  <r>
    <n v="1913"/>
    <n v="2184"/>
    <x v="33"/>
    <n v="3059.86"/>
    <s v="Completed"/>
    <x v="0"/>
    <s v="Apple Pay"/>
  </r>
  <r>
    <n v="1914"/>
    <n v="3087"/>
    <x v="193"/>
    <n v="2198.2199999999998"/>
    <s v="Completed"/>
    <x v="4"/>
    <s v="PayPal"/>
  </r>
  <r>
    <n v="1915"/>
    <n v="4961"/>
    <x v="296"/>
    <n v="3310.91"/>
    <s v="Completed"/>
    <x v="3"/>
    <s v="PayPal"/>
  </r>
  <r>
    <n v="1916"/>
    <n v="9010"/>
    <x v="90"/>
    <n v="2912.38"/>
    <s v="Completed"/>
    <x v="1"/>
    <s v="PayPal"/>
  </r>
  <r>
    <n v="1917"/>
    <n v="3602"/>
    <x v="346"/>
    <n v="1527.99"/>
    <s v="Completed"/>
    <x v="2"/>
    <s v="Debit Card"/>
  </r>
  <r>
    <n v="1918"/>
    <n v="5426"/>
    <x v="149"/>
    <n v="936.09"/>
    <s v="Completed"/>
    <x v="0"/>
    <s v="Credit Card"/>
  </r>
  <r>
    <n v="1919"/>
    <n v="4954"/>
    <x v="27"/>
    <n v="665.4"/>
    <s v="Completed"/>
    <x v="0"/>
    <s v="PayPal"/>
  </r>
  <r>
    <n v="1920"/>
    <n v="641"/>
    <x v="301"/>
    <n v="339.07"/>
    <s v="Completed"/>
    <x v="2"/>
    <s v="Apple Pay"/>
  </r>
  <r>
    <n v="1921"/>
    <n v="5199"/>
    <x v="179"/>
    <n v="2469.3000000000002"/>
    <s v="Completed"/>
    <x v="0"/>
    <s v="Apple Pay"/>
  </r>
  <r>
    <n v="1922"/>
    <n v="2816"/>
    <x v="346"/>
    <n v="2772.37"/>
    <s v="Completed"/>
    <x v="2"/>
    <s v="Credit Card"/>
  </r>
  <r>
    <n v="1923"/>
    <n v="1211"/>
    <x v="274"/>
    <n v="607.29999999999995"/>
    <s v="Completed"/>
    <x v="3"/>
    <s v="PayPal"/>
  </r>
  <r>
    <n v="1924"/>
    <n v="9528"/>
    <x v="296"/>
    <n v="1062.48"/>
    <s v="Completed"/>
    <x v="0"/>
    <s v="Debit Card"/>
  </r>
  <r>
    <n v="1925"/>
    <n v="456"/>
    <x v="341"/>
    <n v="266.31"/>
    <s v="Completed"/>
    <x v="3"/>
    <s v="Apple Pay"/>
  </r>
  <r>
    <n v="1926"/>
    <n v="9604"/>
    <x v="218"/>
    <n v="1576.62"/>
    <s v="Completed"/>
    <x v="4"/>
    <s v="Apple Pay"/>
  </r>
  <r>
    <n v="1927"/>
    <n v="9833"/>
    <x v="22"/>
    <n v="1332.57"/>
    <s v="Completed"/>
    <x v="1"/>
    <s v="Apple Pay"/>
  </r>
  <r>
    <n v="1928"/>
    <n v="5389"/>
    <x v="39"/>
    <n v="1016.46"/>
    <s v="Completed"/>
    <x v="3"/>
    <s v="Credit Card"/>
  </r>
  <r>
    <n v="1929"/>
    <n v="1974"/>
    <x v="34"/>
    <n v="575.58000000000004"/>
    <s v="Completed"/>
    <x v="1"/>
    <s v="Credit Card"/>
  </r>
  <r>
    <n v="1930"/>
    <n v="6876"/>
    <x v="27"/>
    <n v="395.52"/>
    <s v="Completed"/>
    <x v="4"/>
    <s v="PayPal"/>
  </r>
  <r>
    <n v="1931"/>
    <n v="956"/>
    <x v="239"/>
    <n v="623.27"/>
    <s v="Completed"/>
    <x v="0"/>
    <s v="Credit Card"/>
  </r>
  <r>
    <n v="1932"/>
    <n v="3263"/>
    <x v="223"/>
    <n v="612.92999999999995"/>
    <s v="Completed"/>
    <x v="0"/>
    <s v="Credit Card"/>
  </r>
  <r>
    <n v="1933"/>
    <n v="3351"/>
    <x v="320"/>
    <n v="579.6"/>
    <s v="Completed"/>
    <x v="1"/>
    <s v="PayPal"/>
  </r>
  <r>
    <n v="1934"/>
    <n v="5344"/>
    <x v="43"/>
    <n v="1638.88"/>
    <s v="Completed"/>
    <x v="4"/>
    <s v="Apple Pay"/>
  </r>
  <r>
    <n v="1935"/>
    <n v="6242"/>
    <x v="36"/>
    <n v="2708.37"/>
    <s v="Completed"/>
    <x v="3"/>
    <s v="PayPal"/>
  </r>
  <r>
    <n v="1936"/>
    <n v="5108"/>
    <x v="163"/>
    <n v="1797.61"/>
    <s v="Completed"/>
    <x v="1"/>
    <s v="Apple Pay"/>
  </r>
  <r>
    <n v="1937"/>
    <n v="1842"/>
    <x v="270"/>
    <n v="456.9"/>
    <s v="Completed"/>
    <x v="3"/>
    <s v="PayPal"/>
  </r>
  <r>
    <n v="1938"/>
    <n v="9928"/>
    <x v="318"/>
    <n v="1745.47"/>
    <s v="Completed"/>
    <x v="4"/>
    <s v="PayPal"/>
  </r>
  <r>
    <n v="1939"/>
    <n v="8345"/>
    <x v="175"/>
    <n v="315.29000000000002"/>
    <s v="Completed"/>
    <x v="1"/>
    <s v="Apple Pay"/>
  </r>
  <r>
    <n v="1940"/>
    <n v="4084"/>
    <x v="97"/>
    <n v="79.14"/>
    <s v="Completed"/>
    <x v="0"/>
    <s v="PayPal"/>
  </r>
  <r>
    <n v="1941"/>
    <n v="4484"/>
    <x v="354"/>
    <n v="2689.21"/>
    <s v="Completed"/>
    <x v="2"/>
    <s v="Apple Pay"/>
  </r>
  <r>
    <n v="1942"/>
    <n v="6854"/>
    <x v="144"/>
    <n v="968.43"/>
    <s v="Completed"/>
    <x v="3"/>
    <s v="Apple Pay"/>
  </r>
  <r>
    <n v="1943"/>
    <n v="3547"/>
    <x v="113"/>
    <n v="280.61"/>
    <s v="Completed"/>
    <x v="3"/>
    <s v="Debit Card"/>
  </r>
  <r>
    <n v="1944"/>
    <n v="5644"/>
    <x v="337"/>
    <n v="1257.96"/>
    <s v="Completed"/>
    <x v="4"/>
    <s v="Debit Card"/>
  </r>
  <r>
    <n v="1945"/>
    <n v="5817"/>
    <x v="120"/>
    <n v="601.22"/>
    <s v="Completed"/>
    <x v="0"/>
    <s v="Credit Card"/>
  </r>
  <r>
    <n v="1946"/>
    <n v="2684"/>
    <x v="14"/>
    <n v="361.97"/>
    <s v="Completed"/>
    <x v="1"/>
    <s v="PayPal"/>
  </r>
  <r>
    <n v="1947"/>
    <n v="3510"/>
    <x v="352"/>
    <n v="442.69"/>
    <s v="Completed"/>
    <x v="3"/>
    <s v="Apple Pay"/>
  </r>
  <r>
    <n v="1948"/>
    <n v="8838"/>
    <x v="174"/>
    <n v="388.33"/>
    <s v="Completed"/>
    <x v="0"/>
    <s v="Credit Card"/>
  </r>
  <r>
    <n v="1949"/>
    <n v="6921"/>
    <x v="149"/>
    <n v="797.76"/>
    <s v="Completed"/>
    <x v="3"/>
    <s v="Apple Pay"/>
  </r>
  <r>
    <n v="1950"/>
    <n v="3050"/>
    <x v="161"/>
    <n v="208.24"/>
    <s v="Completed"/>
    <x v="0"/>
    <s v="Debit Card"/>
  </r>
  <r>
    <n v="1951"/>
    <n v="6193"/>
    <x v="343"/>
    <n v="200.91"/>
    <s v="Completed"/>
    <x v="3"/>
    <s v="Credit Card"/>
  </r>
  <r>
    <n v="1952"/>
    <n v="1434"/>
    <x v="7"/>
    <n v="442.69"/>
    <s v="Completed"/>
    <x v="3"/>
    <s v="Apple Pay"/>
  </r>
  <r>
    <n v="1953"/>
    <n v="1988"/>
    <x v="327"/>
    <n v="2892.52"/>
    <s v="Completed"/>
    <x v="2"/>
    <s v="PayPal"/>
  </r>
  <r>
    <n v="1954"/>
    <n v="9176"/>
    <x v="216"/>
    <n v="509.83"/>
    <s v="Completed"/>
    <x v="0"/>
    <s v="PayPal"/>
  </r>
  <r>
    <n v="1955"/>
    <n v="8989"/>
    <x v="161"/>
    <n v="578.97"/>
    <s v="Completed"/>
    <x v="3"/>
    <s v="PayPal"/>
  </r>
  <r>
    <n v="1956"/>
    <n v="3736"/>
    <x v="88"/>
    <n v="284.14"/>
    <s v="Completed"/>
    <x v="0"/>
    <s v="Apple Pay"/>
  </r>
  <r>
    <n v="1957"/>
    <n v="2796"/>
    <x v="116"/>
    <n v="318.02"/>
    <s v="Completed"/>
    <x v="1"/>
    <s v="PayPal"/>
  </r>
  <r>
    <n v="1958"/>
    <n v="5467"/>
    <x v="331"/>
    <n v="4232.68"/>
    <s v="Completed"/>
    <x v="2"/>
    <s v="Credit Card"/>
  </r>
  <r>
    <n v="1959"/>
    <n v="3515"/>
    <x v="188"/>
    <n v="1329.67"/>
    <s v="Completed"/>
    <x v="1"/>
    <s v="Credit Card"/>
  </r>
  <r>
    <n v="1960"/>
    <n v="7391"/>
    <x v="229"/>
    <n v="1354.13"/>
    <s v="Completed"/>
    <x v="2"/>
    <s v="Debit Card"/>
  </r>
  <r>
    <n v="1961"/>
    <n v="7488"/>
    <x v="273"/>
    <n v="2478.7199999999998"/>
    <s v="Completed"/>
    <x v="4"/>
    <s v="Credit Card"/>
  </r>
  <r>
    <n v="1962"/>
    <n v="2574"/>
    <x v="312"/>
    <n v="2572.6999999999998"/>
    <s v="Completed"/>
    <x v="0"/>
    <s v="Apple Pay"/>
  </r>
  <r>
    <n v="1963"/>
    <n v="7337"/>
    <x v="126"/>
    <n v="151.46"/>
    <s v="Completed"/>
    <x v="0"/>
    <s v="PayPal"/>
  </r>
  <r>
    <n v="1964"/>
    <n v="9569"/>
    <x v="241"/>
    <n v="966.66"/>
    <s v="Completed"/>
    <x v="3"/>
    <s v="Debit Card"/>
  </r>
  <r>
    <n v="1965"/>
    <n v="7540"/>
    <x v="52"/>
    <n v="1819.94"/>
    <s v="Completed"/>
    <x v="3"/>
    <s v="PayPal"/>
  </r>
  <r>
    <n v="1966"/>
    <n v="9899"/>
    <x v="138"/>
    <n v="2343.25"/>
    <s v="Completed"/>
    <x v="4"/>
    <s v="Credit Card"/>
  </r>
  <r>
    <n v="1967"/>
    <n v="378"/>
    <x v="185"/>
    <n v="1146.8499999999999"/>
    <s v="Completed"/>
    <x v="4"/>
    <s v="PayPal"/>
  </r>
  <r>
    <n v="1968"/>
    <n v="9956"/>
    <x v="235"/>
    <n v="1388.8"/>
    <s v="Completed"/>
    <x v="3"/>
    <s v="Apple Pay"/>
  </r>
  <r>
    <n v="1969"/>
    <n v="3602"/>
    <x v="252"/>
    <n v="2734.14"/>
    <s v="Completed"/>
    <x v="2"/>
    <s v="Debit Card"/>
  </r>
  <r>
    <n v="1970"/>
    <n v="3567"/>
    <x v="252"/>
    <n v="1064.6500000000001"/>
    <s v="Completed"/>
    <x v="2"/>
    <s v="Apple Pay"/>
  </r>
  <r>
    <n v="1971"/>
    <n v="5485"/>
    <x v="172"/>
    <n v="290.79000000000002"/>
    <s v="Completed"/>
    <x v="3"/>
    <s v="Apple Pay"/>
  </r>
  <r>
    <n v="1972"/>
    <n v="2265"/>
    <x v="63"/>
    <n v="447.91"/>
    <s v="Cancelled"/>
    <x v="2"/>
    <s v="Apple Pay"/>
  </r>
  <r>
    <n v="1973"/>
    <n v="8622"/>
    <x v="180"/>
    <n v="242.22"/>
    <s v="Completed"/>
    <x v="1"/>
    <s v="Debit Card"/>
  </r>
  <r>
    <n v="1974"/>
    <n v="5825"/>
    <x v="174"/>
    <n v="2241.12"/>
    <s v="Completed"/>
    <x v="2"/>
    <s v="Credit Card"/>
  </r>
  <r>
    <n v="1975"/>
    <n v="9158"/>
    <x v="115"/>
    <n v="157.91999999999999"/>
    <s v="Completed"/>
    <x v="3"/>
    <s v="PayPal"/>
  </r>
  <r>
    <n v="1976"/>
    <n v="2754"/>
    <x v="92"/>
    <n v="198.89"/>
    <s v="Completed"/>
    <x v="4"/>
    <s v="PayPal"/>
  </r>
  <r>
    <n v="1977"/>
    <n v="1116"/>
    <x v="65"/>
    <n v="1758.17"/>
    <s v="Completed"/>
    <x v="4"/>
    <s v="Debit Card"/>
  </r>
  <r>
    <n v="1978"/>
    <n v="4808"/>
    <x v="241"/>
    <n v="496.71"/>
    <s v="Completed"/>
    <x v="4"/>
    <s v="Credit Card"/>
  </r>
  <r>
    <n v="1979"/>
    <n v="3458"/>
    <x v="133"/>
    <n v="1548.28"/>
    <s v="Completed"/>
    <x v="4"/>
    <s v="Credit Card"/>
  </r>
  <r>
    <n v="1980"/>
    <n v="9246"/>
    <x v="187"/>
    <n v="366.31"/>
    <s v="Completed"/>
    <x v="0"/>
    <s v="Debit Card"/>
  </r>
  <r>
    <n v="1981"/>
    <n v="3010"/>
    <x v="8"/>
    <n v="1816.58"/>
    <s v="Completed"/>
    <x v="2"/>
    <s v="Debit Card"/>
  </r>
  <r>
    <n v="1982"/>
    <n v="2087"/>
    <x v="340"/>
    <n v="834.44"/>
    <s v="Completed"/>
    <x v="1"/>
    <s v="Debit Card"/>
  </r>
  <r>
    <n v="1983"/>
    <n v="6263"/>
    <x v="215"/>
    <n v="141.97999999999999"/>
    <s v="Completed"/>
    <x v="2"/>
    <s v="Apple Pay"/>
  </r>
  <r>
    <n v="1984"/>
    <n v="6825"/>
    <x v="301"/>
    <n v="2359.11"/>
    <s v="Completed"/>
    <x v="1"/>
    <s v="Apple Pay"/>
  </r>
  <r>
    <n v="1985"/>
    <n v="7193"/>
    <x v="18"/>
    <n v="2438.69"/>
    <s v="Completed"/>
    <x v="1"/>
    <s v="Debit Card"/>
  </r>
  <r>
    <n v="1986"/>
    <n v="8137"/>
    <x v="263"/>
    <n v="1645.17"/>
    <s v="Completed"/>
    <x v="1"/>
    <s v="Debit Card"/>
  </r>
  <r>
    <n v="1987"/>
    <n v="7633"/>
    <x v="283"/>
    <n v="1008.02"/>
    <s v="Completed"/>
    <x v="3"/>
    <s v="PayPal"/>
  </r>
  <r>
    <n v="1988"/>
    <n v="6066"/>
    <x v="208"/>
    <n v="1686.95"/>
    <s v="Completed"/>
    <x v="0"/>
    <s v="Debit Card"/>
  </r>
  <r>
    <n v="1989"/>
    <n v="3264"/>
    <x v="288"/>
    <n v="2014.92"/>
    <s v="Completed"/>
    <x v="4"/>
    <s v="PayPal"/>
  </r>
  <r>
    <n v="1990"/>
    <n v="9180"/>
    <x v="104"/>
    <n v="720.56"/>
    <s v="Completed"/>
    <x v="0"/>
    <s v="Apple Pay"/>
  </r>
  <r>
    <n v="1991"/>
    <n v="6141"/>
    <x v="221"/>
    <n v="208.24"/>
    <s v="Completed"/>
    <x v="3"/>
    <s v="Apple Pay"/>
  </r>
  <r>
    <n v="1992"/>
    <n v="5027"/>
    <x v="7"/>
    <n v="999.98"/>
    <s v="Completed"/>
    <x v="4"/>
    <s v="PayPal"/>
  </r>
  <r>
    <n v="1993"/>
    <n v="6201"/>
    <x v="220"/>
    <n v="1633.37"/>
    <s v="Completed"/>
    <x v="2"/>
    <s v="PayPal"/>
  </r>
  <r>
    <n v="1994"/>
    <n v="1206"/>
    <x v="321"/>
    <n v="2644.06"/>
    <s v="Completed"/>
    <x v="1"/>
    <s v="PayPal"/>
  </r>
  <r>
    <n v="1995"/>
    <n v="4461"/>
    <x v="199"/>
    <n v="623.26"/>
    <s v="Completed"/>
    <x v="3"/>
    <s v="PayPal"/>
  </r>
  <r>
    <n v="1996"/>
    <n v="532"/>
    <x v="31"/>
    <n v="3054.62"/>
    <s v="Completed"/>
    <x v="2"/>
    <s v="Credit Card"/>
  </r>
  <r>
    <n v="1997"/>
    <n v="2184"/>
    <x v="166"/>
    <n v="442.69"/>
    <s v="Completed"/>
    <x v="0"/>
    <s v="PayPal"/>
  </r>
  <r>
    <n v="1998"/>
    <n v="9673"/>
    <x v="28"/>
    <n v="587.71"/>
    <s v="Completed"/>
    <x v="2"/>
    <s v="Apple Pay"/>
  </r>
  <r>
    <n v="1999"/>
    <n v="3848"/>
    <x v="134"/>
    <n v="837.94"/>
    <s v="Completed"/>
    <x v="4"/>
    <s v="Credit Card"/>
  </r>
  <r>
    <n v="2000"/>
    <n v="4869"/>
    <x v="26"/>
    <n v="821.31"/>
    <s v="Completed"/>
    <x v="3"/>
    <s v="Apple Pay"/>
  </r>
  <r>
    <n v="2001"/>
    <n v="2445"/>
    <x v="8"/>
    <n v="442.69"/>
    <s v="Completed"/>
    <x v="3"/>
    <s v="Apple Pay"/>
  </r>
  <r>
    <n v="2002"/>
    <n v="3919"/>
    <x v="2"/>
    <n v="100.33"/>
    <s v="Completed"/>
    <x v="0"/>
    <s v="Debit Card"/>
  </r>
  <r>
    <n v="2003"/>
    <n v="3995"/>
    <x v="152"/>
    <n v="1354.25"/>
    <s v="Completed"/>
    <x v="4"/>
    <s v="Apple Pay"/>
  </r>
  <r>
    <n v="2004"/>
    <n v="344"/>
    <x v="164"/>
    <n v="587.83000000000004"/>
    <s v="Completed"/>
    <x v="2"/>
    <s v="PayPal"/>
  </r>
  <r>
    <n v="2005"/>
    <n v="1435"/>
    <x v="19"/>
    <n v="1523.8"/>
    <s v="Completed"/>
    <x v="0"/>
    <s v="PayPal"/>
  </r>
  <r>
    <n v="2006"/>
    <n v="1312"/>
    <x v="351"/>
    <n v="126.67"/>
    <s v="Completed"/>
    <x v="1"/>
    <s v="Apple Pay"/>
  </r>
  <r>
    <n v="2007"/>
    <n v="9551"/>
    <x v="157"/>
    <n v="868.94"/>
    <s v="Completed"/>
    <x v="1"/>
    <s v="Apple Pay"/>
  </r>
  <r>
    <n v="2008"/>
    <n v="599"/>
    <x v="32"/>
    <n v="1255.3"/>
    <s v="Completed"/>
    <x v="1"/>
    <s v="Credit Card"/>
  </r>
  <r>
    <n v="2009"/>
    <n v="447"/>
    <x v="284"/>
    <n v="2905.29"/>
    <s v="Completed"/>
    <x v="2"/>
    <s v="Debit Card"/>
  </r>
  <r>
    <n v="2010"/>
    <n v="59"/>
    <x v="85"/>
    <n v="2087.9"/>
    <s v="Completed"/>
    <x v="3"/>
    <s v="PayPal"/>
  </r>
  <r>
    <n v="2011"/>
    <n v="8551"/>
    <x v="224"/>
    <n v="1259.3599999999999"/>
    <s v="Completed"/>
    <x v="4"/>
    <s v="PayPal"/>
  </r>
  <r>
    <n v="2012"/>
    <n v="2243"/>
    <x v="240"/>
    <n v="1061.55"/>
    <s v="Completed"/>
    <x v="3"/>
    <s v="Apple Pay"/>
  </r>
  <r>
    <n v="2013"/>
    <n v="2679"/>
    <x v="64"/>
    <n v="256.17"/>
    <s v="Completed"/>
    <x v="1"/>
    <s v="Credit Card"/>
  </r>
  <r>
    <n v="2014"/>
    <n v="9138"/>
    <x v="300"/>
    <n v="771.02"/>
    <s v="Completed"/>
    <x v="3"/>
    <s v="Credit Card"/>
  </r>
  <r>
    <n v="2015"/>
    <n v="9959"/>
    <x v="253"/>
    <n v="240.54"/>
    <s v="Completed"/>
    <x v="1"/>
    <s v="Apple Pay"/>
  </r>
  <r>
    <n v="2016"/>
    <n v="2628"/>
    <x v="305"/>
    <n v="1705.71"/>
    <s v="Completed"/>
    <x v="3"/>
    <s v="Debit Card"/>
  </r>
  <r>
    <n v="2017"/>
    <n v="8789"/>
    <x v="19"/>
    <n v="141.33000000000001"/>
    <s v="Completed"/>
    <x v="0"/>
    <s v="Debit Card"/>
  </r>
  <r>
    <n v="2018"/>
    <n v="1508"/>
    <x v="256"/>
    <n v="1359.06"/>
    <s v="Completed"/>
    <x v="0"/>
    <s v="Credit Card"/>
  </r>
  <r>
    <n v="2019"/>
    <n v="6006"/>
    <x v="28"/>
    <n v="154.28"/>
    <s v="Completed"/>
    <x v="1"/>
    <s v="Debit Card"/>
  </r>
  <r>
    <n v="2020"/>
    <n v="3304"/>
    <x v="109"/>
    <n v="304.87"/>
    <s v="Completed"/>
    <x v="2"/>
    <s v="Debit Card"/>
  </r>
  <r>
    <n v="2021"/>
    <n v="7197"/>
    <x v="240"/>
    <n v="644.54999999999995"/>
    <s v="Completed"/>
    <x v="3"/>
    <s v="Apple Pay"/>
  </r>
  <r>
    <n v="2022"/>
    <n v="3030"/>
    <x v="195"/>
    <n v="899.54"/>
    <s v="Completed"/>
    <x v="4"/>
    <s v="PayPal"/>
  </r>
  <r>
    <n v="2023"/>
    <n v="3517"/>
    <x v="139"/>
    <n v="193.8"/>
    <s v="Completed"/>
    <x v="2"/>
    <s v="Credit Card"/>
  </r>
  <r>
    <n v="2024"/>
    <n v="8385"/>
    <x v="349"/>
    <n v="187.47"/>
    <s v="Completed"/>
    <x v="2"/>
    <s v="Credit Card"/>
  </r>
  <r>
    <n v="2025"/>
    <n v="9482"/>
    <x v="167"/>
    <n v="176.74"/>
    <s v="Completed"/>
    <x v="0"/>
    <s v="Credit Card"/>
  </r>
  <r>
    <n v="2026"/>
    <n v="3357"/>
    <x v="176"/>
    <n v="2639.3"/>
    <s v="Completed"/>
    <x v="2"/>
    <s v="Debit Card"/>
  </r>
  <r>
    <n v="2027"/>
    <n v="9146"/>
    <x v="223"/>
    <n v="3633.44"/>
    <s v="Completed"/>
    <x v="2"/>
    <s v="Apple Pay"/>
  </r>
  <r>
    <n v="2028"/>
    <n v="129"/>
    <x v="73"/>
    <n v="1885.77"/>
    <s v="Completed"/>
    <x v="4"/>
    <s v="Apple Pay"/>
  </r>
  <r>
    <n v="2029"/>
    <n v="5936"/>
    <x v="95"/>
    <n v="395.17"/>
    <s v="Completed"/>
    <x v="4"/>
    <s v="Debit Card"/>
  </r>
  <r>
    <n v="2030"/>
    <n v="7403"/>
    <x v="107"/>
    <n v="401.69"/>
    <s v="Completed"/>
    <x v="4"/>
    <s v="Credit Card"/>
  </r>
  <r>
    <n v="2031"/>
    <n v="2041"/>
    <x v="114"/>
    <n v="719.27"/>
    <s v="Completed"/>
    <x v="2"/>
    <s v="Credit Card"/>
  </r>
  <r>
    <n v="2032"/>
    <n v="9349"/>
    <x v="307"/>
    <n v="270.86"/>
    <s v="Completed"/>
    <x v="3"/>
    <s v="Apple Pay"/>
  </r>
  <r>
    <n v="2033"/>
    <n v="2641"/>
    <x v="272"/>
    <n v="1112.54"/>
    <s v="Completed"/>
    <x v="4"/>
    <s v="Apple Pay"/>
  </r>
  <r>
    <n v="2034"/>
    <n v="4917"/>
    <x v="203"/>
    <n v="630.91999999999996"/>
    <s v="Completed"/>
    <x v="0"/>
    <s v="PayPal"/>
  </r>
  <r>
    <n v="2035"/>
    <n v="9304"/>
    <x v="84"/>
    <n v="476.28"/>
    <s v="Completed"/>
    <x v="3"/>
    <s v="Credit Card"/>
  </r>
  <r>
    <n v="2036"/>
    <n v="7656"/>
    <x v="272"/>
    <n v="2089.6"/>
    <s v="Completed"/>
    <x v="4"/>
    <s v="Apple Pay"/>
  </r>
  <r>
    <n v="2037"/>
    <n v="4368"/>
    <x v="265"/>
    <n v="439.45"/>
    <s v="Completed"/>
    <x v="0"/>
    <s v="Debit Card"/>
  </r>
  <r>
    <n v="2038"/>
    <n v="8286"/>
    <x v="106"/>
    <n v="2258.35"/>
    <s v="Returned"/>
    <x v="3"/>
    <s v="Debit Card"/>
  </r>
  <r>
    <n v="2039"/>
    <n v="4363"/>
    <x v="41"/>
    <n v="659.93"/>
    <s v="Completed"/>
    <x v="0"/>
    <s v="PayPal"/>
  </r>
  <r>
    <n v="2040"/>
    <n v="7030"/>
    <x v="235"/>
    <n v="2462.65"/>
    <s v="Completed"/>
    <x v="0"/>
    <s v="Debit Card"/>
  </r>
  <r>
    <n v="2041"/>
    <n v="8989"/>
    <x v="92"/>
    <n v="798.93"/>
    <s v="Completed"/>
    <x v="3"/>
    <s v="Credit Card"/>
  </r>
  <r>
    <n v="2042"/>
    <n v="6766"/>
    <x v="35"/>
    <n v="154.28"/>
    <s v="Completed"/>
    <x v="0"/>
    <s v="PayPal"/>
  </r>
  <r>
    <n v="2043"/>
    <n v="3617"/>
    <x v="305"/>
    <n v="1636.91"/>
    <s v="Completed"/>
    <x v="2"/>
    <s v="PayPal"/>
  </r>
  <r>
    <n v="2044"/>
    <n v="843"/>
    <x v="364"/>
    <n v="1553.15"/>
    <s v="Completed"/>
    <x v="3"/>
    <s v="Credit Card"/>
  </r>
  <r>
    <n v="2045"/>
    <n v="7091"/>
    <x v="275"/>
    <n v="735.27"/>
    <s v="Completed"/>
    <x v="3"/>
    <s v="PayPal"/>
  </r>
  <r>
    <n v="2046"/>
    <n v="6648"/>
    <x v="139"/>
    <n v="1153.5"/>
    <s v="Completed"/>
    <x v="4"/>
    <s v="Apple Pay"/>
  </r>
  <r>
    <n v="2047"/>
    <n v="4493"/>
    <x v="126"/>
    <n v="1922.11"/>
    <s v="Completed"/>
    <x v="5"/>
    <s v="Credit Card"/>
  </r>
  <r>
    <n v="2048"/>
    <n v="8030"/>
    <x v="352"/>
    <n v="4910.67"/>
    <s v="Completed"/>
    <x v="0"/>
    <s v="Debit Card"/>
  </r>
  <r>
    <n v="2049"/>
    <n v="4291"/>
    <x v="194"/>
    <n v="157.91999999999999"/>
    <s v="Completed"/>
    <x v="0"/>
    <s v="Debit Card"/>
  </r>
  <r>
    <n v="2050"/>
    <n v="6670"/>
    <x v="241"/>
    <n v="266.31"/>
    <s v="Completed"/>
    <x v="3"/>
    <s v="PayPal"/>
  </r>
  <r>
    <n v="2051"/>
    <n v="7903"/>
    <x v="281"/>
    <n v="985.59"/>
    <s v="Completed"/>
    <x v="3"/>
    <s v="Apple Pay"/>
  </r>
  <r>
    <n v="2052"/>
    <n v="6744"/>
    <x v="253"/>
    <n v="3486.72"/>
    <s v="Completed"/>
    <x v="1"/>
    <s v="Debit Card"/>
  </r>
  <r>
    <n v="2053"/>
    <n v="9268"/>
    <x v="274"/>
    <n v="1520.3"/>
    <s v="Completed"/>
    <x v="1"/>
    <s v="Credit Card"/>
  </r>
  <r>
    <n v="2054"/>
    <n v="3517"/>
    <x v="299"/>
    <n v="159.91999999999999"/>
    <s v="Completed"/>
    <x v="2"/>
    <s v="Apple Pay"/>
  </r>
  <r>
    <n v="2055"/>
    <n v="1119"/>
    <x v="224"/>
    <n v="200.91"/>
    <s v="Completed"/>
    <x v="1"/>
    <s v="Debit Card"/>
  </r>
  <r>
    <n v="2056"/>
    <n v="958"/>
    <x v="83"/>
    <n v="2022.37"/>
    <s v="Completed"/>
    <x v="3"/>
    <s v="Debit Card"/>
  </r>
  <r>
    <n v="2057"/>
    <n v="8759"/>
    <x v="162"/>
    <n v="1995.72"/>
    <s v="Completed"/>
    <x v="3"/>
    <s v="Debit Card"/>
  </r>
  <r>
    <n v="2058"/>
    <n v="4638"/>
    <x v="226"/>
    <n v="2386.2800000000002"/>
    <s v="Completed"/>
    <x v="0"/>
    <s v="PayPal"/>
  </r>
  <r>
    <n v="2059"/>
    <n v="4340"/>
    <x v="78"/>
    <n v="1126.52"/>
    <s v="Completed"/>
    <x v="0"/>
    <s v="Debit Card"/>
  </r>
  <r>
    <n v="2060"/>
    <n v="3740"/>
    <x v="90"/>
    <n v="1009.92"/>
    <s v="Completed"/>
    <x v="4"/>
    <s v="Debit Card"/>
  </r>
  <r>
    <n v="2061"/>
    <n v="3284"/>
    <x v="357"/>
    <n v="1161.8"/>
    <s v="Completed"/>
    <x v="0"/>
    <s v="Debit Card"/>
  </r>
  <r>
    <n v="2062"/>
    <n v="8738"/>
    <x v="30"/>
    <n v="626.59"/>
    <s v="Returned"/>
    <x v="3"/>
    <s v="Apple Pay"/>
  </r>
  <r>
    <n v="2063"/>
    <n v="3336"/>
    <x v="258"/>
    <n v="2127.63"/>
    <s v="Completed"/>
    <x v="4"/>
    <s v="Debit Card"/>
  </r>
  <r>
    <n v="2064"/>
    <n v="8476"/>
    <x v="147"/>
    <n v="4031.93"/>
    <s v="Completed"/>
    <x v="4"/>
    <s v="PayPal"/>
  </r>
  <r>
    <n v="2065"/>
    <n v="6497"/>
    <x v="351"/>
    <n v="594.37"/>
    <s v="Completed"/>
    <x v="2"/>
    <s v="Debit Card"/>
  </r>
  <r>
    <n v="2066"/>
    <n v="6034"/>
    <x v="118"/>
    <n v="414.24"/>
    <s v="Completed"/>
    <x v="0"/>
    <s v="Debit Card"/>
  </r>
  <r>
    <n v="2067"/>
    <n v="6514"/>
    <x v="316"/>
    <n v="867.64"/>
    <s v="Completed"/>
    <x v="2"/>
    <s v="Credit Card"/>
  </r>
  <r>
    <n v="2068"/>
    <n v="6170"/>
    <x v="209"/>
    <n v="600.15"/>
    <s v="Completed"/>
    <x v="3"/>
    <s v="Apple Pay"/>
  </r>
  <r>
    <n v="2069"/>
    <n v="15"/>
    <x v="5"/>
    <n v="193.6"/>
    <s v="Completed"/>
    <x v="4"/>
    <s v="Credit Card"/>
  </r>
  <r>
    <n v="2070"/>
    <n v="5056"/>
    <x v="104"/>
    <n v="325.76"/>
    <s v="Completed"/>
    <x v="2"/>
    <s v="Credit Card"/>
  </r>
  <r>
    <n v="2071"/>
    <n v="1829"/>
    <x v="342"/>
    <n v="254.46"/>
    <s v="Completed"/>
    <x v="0"/>
    <s v="Credit Card"/>
  </r>
  <r>
    <n v="2072"/>
    <n v="1893"/>
    <x v="279"/>
    <n v="256.68"/>
    <s v="Completed"/>
    <x v="2"/>
    <s v="Apple Pay"/>
  </r>
  <r>
    <n v="2073"/>
    <n v="4676"/>
    <x v="178"/>
    <n v="2540.35"/>
    <s v="Completed"/>
    <x v="4"/>
    <s v="Apple Pay"/>
  </r>
  <r>
    <n v="2074"/>
    <n v="4032"/>
    <x v="140"/>
    <n v="1251.1400000000001"/>
    <s v="Completed"/>
    <x v="0"/>
    <s v="Credit Card"/>
  </r>
  <r>
    <n v="2075"/>
    <n v="7726"/>
    <x v="297"/>
    <n v="786.98"/>
    <s v="Completed"/>
    <x v="0"/>
    <s v="Apple Pay"/>
  </r>
  <r>
    <n v="2076"/>
    <n v="1666"/>
    <x v="258"/>
    <n v="691.55"/>
    <s v="Completed"/>
    <x v="2"/>
    <s v="Debit Card"/>
  </r>
  <r>
    <n v="2077"/>
    <n v="2608"/>
    <x v="51"/>
    <n v="1629.76"/>
    <s v="Completed"/>
    <x v="1"/>
    <s v="Credit Card"/>
  </r>
  <r>
    <n v="2078"/>
    <n v="122"/>
    <x v="51"/>
    <n v="513.36"/>
    <s v="Completed"/>
    <x v="1"/>
    <s v="Credit Card"/>
  </r>
  <r>
    <n v="2079"/>
    <n v="7241"/>
    <x v="129"/>
    <n v="151.46"/>
    <s v="Completed"/>
    <x v="0"/>
    <s v="Credit Card"/>
  </r>
  <r>
    <n v="2080"/>
    <n v="7047"/>
    <x v="29"/>
    <n v="274.33"/>
    <s v="Completed"/>
    <x v="3"/>
    <s v="Apple Pay"/>
  </r>
  <r>
    <n v="2081"/>
    <n v="8341"/>
    <x v="98"/>
    <n v="1128.9100000000001"/>
    <s v="Completed"/>
    <x v="1"/>
    <s v="PayPal"/>
  </r>
  <r>
    <n v="2082"/>
    <n v="5375"/>
    <x v="274"/>
    <n v="602.61"/>
    <s v="Completed"/>
    <x v="0"/>
    <s v="Credit Card"/>
  </r>
  <r>
    <n v="2083"/>
    <n v="7305"/>
    <x v="140"/>
    <n v="549.91"/>
    <s v="Completed"/>
    <x v="2"/>
    <s v="PayPal"/>
  </r>
  <r>
    <n v="2084"/>
    <n v="96"/>
    <x v="305"/>
    <n v="361.25"/>
    <s v="Completed"/>
    <x v="4"/>
    <s v="PayPal"/>
  </r>
  <r>
    <n v="2085"/>
    <n v="7957"/>
    <x v="250"/>
    <n v="805.16"/>
    <s v="Completed"/>
    <x v="2"/>
    <s v="Credit Card"/>
  </r>
  <r>
    <n v="2086"/>
    <n v="9906"/>
    <x v="337"/>
    <n v="187.89"/>
    <s v="Completed"/>
    <x v="0"/>
    <s v="PayPal"/>
  </r>
  <r>
    <n v="2087"/>
    <n v="6319"/>
    <x v="60"/>
    <n v="783.34"/>
    <s v="Completed"/>
    <x v="2"/>
    <s v="Debit Card"/>
  </r>
  <r>
    <n v="2088"/>
    <n v="8215"/>
    <x v="186"/>
    <n v="367.89"/>
    <s v="Completed"/>
    <x v="1"/>
    <s v="Apple Pay"/>
  </r>
  <r>
    <n v="2089"/>
    <n v="5259"/>
    <x v="89"/>
    <n v="1188.1600000000001"/>
    <s v="Completed"/>
    <x v="3"/>
    <s v="Credit Card"/>
  </r>
  <r>
    <n v="2090"/>
    <n v="6800"/>
    <x v="93"/>
    <n v="870.87"/>
    <s v="Returned"/>
    <x v="2"/>
    <s v="Debit Card"/>
  </r>
  <r>
    <n v="2091"/>
    <n v="123"/>
    <x v="81"/>
    <n v="691.55"/>
    <s v="Completed"/>
    <x v="2"/>
    <s v="Apple Pay"/>
  </r>
  <r>
    <n v="2092"/>
    <n v="1222"/>
    <x v="254"/>
    <n v="2119.13"/>
    <s v="Completed"/>
    <x v="4"/>
    <s v="Debit Card"/>
  </r>
  <r>
    <n v="2093"/>
    <n v="2303"/>
    <x v="176"/>
    <n v="2986.72"/>
    <s v="Completed"/>
    <x v="1"/>
    <s v="Debit Card"/>
  </r>
  <r>
    <n v="2094"/>
    <n v="1088"/>
    <x v="340"/>
    <n v="1307.6400000000001"/>
    <s v="Completed"/>
    <x v="2"/>
    <s v="Debit Card"/>
  </r>
  <r>
    <n v="2095"/>
    <n v="3136"/>
    <x v="53"/>
    <n v="1652.34"/>
    <s v="Completed"/>
    <x v="0"/>
    <s v="PayPal"/>
  </r>
  <r>
    <n v="2096"/>
    <n v="8385"/>
    <x v="277"/>
    <n v="1355.44"/>
    <s v="Cancelled"/>
    <x v="2"/>
    <s v="Credit Card"/>
  </r>
  <r>
    <n v="2097"/>
    <n v="3585"/>
    <x v="11"/>
    <n v="2605.34"/>
    <s v="Completed"/>
    <x v="3"/>
    <s v="Credit Card"/>
  </r>
  <r>
    <n v="2098"/>
    <n v="2915"/>
    <x v="37"/>
    <n v="152.53"/>
    <s v="Completed"/>
    <x v="3"/>
    <s v="Credit Card"/>
  </r>
  <r>
    <n v="2099"/>
    <n v="1605"/>
    <x v="88"/>
    <n v="661.44"/>
    <s v="Completed"/>
    <x v="1"/>
    <s v="Apple Pay"/>
  </r>
  <r>
    <n v="2100"/>
    <n v="4017"/>
    <x v="324"/>
    <n v="992.01"/>
    <s v="Completed"/>
    <x v="1"/>
    <s v="Debit Card"/>
  </r>
  <r>
    <n v="2101"/>
    <n v="9661"/>
    <x v="282"/>
    <n v="1111.97"/>
    <s v="Completed"/>
    <x v="0"/>
    <s v="Apple Pay"/>
  </r>
  <r>
    <n v="2102"/>
    <n v="8196"/>
    <x v="299"/>
    <n v="780.2"/>
    <s v="Completed"/>
    <x v="1"/>
    <s v="Apple Pay"/>
  </r>
  <r>
    <n v="2103"/>
    <n v="6983"/>
    <x v="268"/>
    <n v="96.07"/>
    <s v="Completed"/>
    <x v="1"/>
    <s v="Credit Card"/>
  </r>
  <r>
    <n v="2104"/>
    <n v="3931"/>
    <x v="162"/>
    <n v="826.6"/>
    <s v="Completed"/>
    <x v="4"/>
    <s v="Apple Pay"/>
  </r>
  <r>
    <n v="2105"/>
    <n v="2424"/>
    <x v="48"/>
    <n v="2387.5300000000002"/>
    <s v="Completed"/>
    <x v="0"/>
    <s v="Debit Card"/>
  </r>
  <r>
    <n v="2106"/>
    <n v="6106"/>
    <x v="109"/>
    <n v="1547.95"/>
    <s v="Completed"/>
    <x v="4"/>
    <s v="PayPal"/>
  </r>
  <r>
    <n v="2107"/>
    <n v="2314"/>
    <x v="308"/>
    <n v="1176.57"/>
    <s v="Completed"/>
    <x v="3"/>
    <s v="PayPal"/>
  </r>
  <r>
    <n v="2108"/>
    <n v="3505"/>
    <x v="15"/>
    <n v="164.76"/>
    <s v="Completed"/>
    <x v="3"/>
    <s v="Apple Pay"/>
  </r>
  <r>
    <n v="2109"/>
    <n v="7063"/>
    <x v="87"/>
    <n v="394.17"/>
    <s v="Completed"/>
    <x v="1"/>
    <s v="Credit Card"/>
  </r>
  <r>
    <n v="2110"/>
    <n v="716"/>
    <x v="166"/>
    <n v="716.89"/>
    <s v="Completed"/>
    <x v="0"/>
    <s v="Debit Card"/>
  </r>
  <r>
    <n v="2111"/>
    <n v="2971"/>
    <x v="220"/>
    <n v="638.1"/>
    <s v="Completed"/>
    <x v="2"/>
    <s v="Credit Card"/>
  </r>
  <r>
    <n v="2112"/>
    <n v="6392"/>
    <x v="167"/>
    <n v="548.39"/>
    <s v="Completed"/>
    <x v="1"/>
    <s v="PayPal"/>
  </r>
  <r>
    <n v="2113"/>
    <n v="3783"/>
    <x v="192"/>
    <n v="3122.7"/>
    <s v="Completed"/>
    <x v="5"/>
    <s v="Apple Pay"/>
  </r>
  <r>
    <n v="2114"/>
    <n v="9409"/>
    <x v="15"/>
    <n v="3270.3"/>
    <s v="Completed"/>
    <x v="4"/>
    <s v="PayPal"/>
  </r>
  <r>
    <n v="2115"/>
    <n v="4901"/>
    <x v="89"/>
    <n v="651.52"/>
    <s v="Completed"/>
    <x v="4"/>
    <s v="PayPal"/>
  </r>
  <r>
    <n v="2116"/>
    <n v="657"/>
    <x v="6"/>
    <n v="1629.76"/>
    <s v="Completed"/>
    <x v="0"/>
    <s v="Debit Card"/>
  </r>
  <r>
    <n v="2117"/>
    <n v="2238"/>
    <x v="262"/>
    <n v="959.7"/>
    <s v="Completed"/>
    <x v="3"/>
    <s v="Apple Pay"/>
  </r>
  <r>
    <n v="2118"/>
    <n v="1919"/>
    <x v="130"/>
    <n v="98.14"/>
    <s v="Completed"/>
    <x v="1"/>
    <s v="Apple Pay"/>
  </r>
  <r>
    <n v="2119"/>
    <n v="2998"/>
    <x v="44"/>
    <n v="579.6"/>
    <s v="Completed"/>
    <x v="4"/>
    <s v="PayPal"/>
  </r>
  <r>
    <n v="2120"/>
    <n v="2049"/>
    <x v="119"/>
    <n v="413.05"/>
    <s v="Completed"/>
    <x v="4"/>
    <s v="Credit Card"/>
  </r>
  <r>
    <n v="2121"/>
    <n v="2332"/>
    <x v="18"/>
    <n v="2108.38"/>
    <s v="Completed"/>
    <x v="2"/>
    <s v="PayPal"/>
  </r>
  <r>
    <n v="2122"/>
    <n v="3183"/>
    <x v="58"/>
    <n v="351.18"/>
    <s v="Completed"/>
    <x v="4"/>
    <s v="Debit Card"/>
  </r>
  <r>
    <n v="2123"/>
    <n v="5957"/>
    <x v="341"/>
    <n v="2495.06"/>
    <s v="Completed"/>
    <x v="1"/>
    <s v="Credit Card"/>
  </r>
  <r>
    <n v="2124"/>
    <n v="4313"/>
    <x v="215"/>
    <n v="2183.2600000000002"/>
    <s v="Completed"/>
    <x v="4"/>
    <s v="Debit Card"/>
  </r>
  <r>
    <n v="2125"/>
    <n v="1445"/>
    <x v="344"/>
    <n v="615.45000000000005"/>
    <s v="Completed"/>
    <x v="0"/>
    <s v="Credit Card"/>
  </r>
  <r>
    <n v="2126"/>
    <n v="3924"/>
    <x v="16"/>
    <n v="2253.04"/>
    <s v="Completed"/>
    <x v="1"/>
    <s v="Credit Card"/>
  </r>
  <r>
    <n v="2127"/>
    <n v="5759"/>
    <x v="210"/>
    <n v="4400.63"/>
    <s v="Completed"/>
    <x v="5"/>
    <s v="Apple Pay"/>
  </r>
  <r>
    <n v="2128"/>
    <n v="2056"/>
    <x v="341"/>
    <n v="257.17"/>
    <s v="Completed"/>
    <x v="1"/>
    <s v="Credit Card"/>
  </r>
  <r>
    <n v="2129"/>
    <n v="7439"/>
    <x v="224"/>
    <n v="1200.08"/>
    <s v="Completed"/>
    <x v="0"/>
    <s v="Debit Card"/>
  </r>
  <r>
    <n v="2130"/>
    <n v="5310"/>
    <x v="80"/>
    <n v="2931.46"/>
    <s v="Completed"/>
    <x v="2"/>
    <s v="Apple Pay"/>
  </r>
  <r>
    <n v="2131"/>
    <n v="182"/>
    <x v="291"/>
    <n v="5140.26"/>
    <s v="Completed"/>
    <x v="0"/>
    <s v="Apple Pay"/>
  </r>
  <r>
    <n v="2132"/>
    <n v="7292"/>
    <x v="273"/>
    <n v="1791.4"/>
    <s v="Completed"/>
    <x v="0"/>
    <s v="PayPal"/>
  </r>
  <r>
    <n v="2133"/>
    <n v="5360"/>
    <x v="251"/>
    <n v="503.99"/>
    <s v="Completed"/>
    <x v="4"/>
    <s v="Credit Card"/>
  </r>
  <r>
    <n v="2134"/>
    <n v="5771"/>
    <x v="143"/>
    <n v="1126.5899999999999"/>
    <s v="Completed"/>
    <x v="2"/>
    <s v="Credit Card"/>
  </r>
  <r>
    <n v="2135"/>
    <n v="7101"/>
    <x v="143"/>
    <n v="1836.14"/>
    <s v="Completed"/>
    <x v="3"/>
    <s v="PayPal"/>
  </r>
  <r>
    <n v="2136"/>
    <n v="6880"/>
    <x v="212"/>
    <n v="226.13"/>
    <s v="Completed"/>
    <x v="4"/>
    <s v="Apple Pay"/>
  </r>
  <r>
    <n v="2137"/>
    <n v="987"/>
    <x v="345"/>
    <n v="911.3"/>
    <s v="Completed"/>
    <x v="0"/>
    <s v="Credit Card"/>
  </r>
  <r>
    <n v="2138"/>
    <n v="8072"/>
    <x v="91"/>
    <n v="1165.58"/>
    <s v="Completed"/>
    <x v="1"/>
    <s v="Credit Card"/>
  </r>
  <r>
    <n v="2139"/>
    <n v="1798"/>
    <x v="91"/>
    <n v="3440.9"/>
    <s v="Completed"/>
    <x v="2"/>
    <s v="Apple Pay"/>
  </r>
  <r>
    <n v="2140"/>
    <n v="6318"/>
    <x v="96"/>
    <n v="1736.91"/>
    <s v="Completed"/>
    <x v="3"/>
    <s v="Credit Card"/>
  </r>
  <r>
    <n v="2141"/>
    <n v="8173"/>
    <x v="268"/>
    <n v="2524.1999999999998"/>
    <s v="Completed"/>
    <x v="1"/>
    <s v="Credit Card"/>
  </r>
  <r>
    <n v="2142"/>
    <n v="9494"/>
    <x v="330"/>
    <n v="1128.9100000000001"/>
    <s v="Completed"/>
    <x v="0"/>
    <s v="Apple Pay"/>
  </r>
  <r>
    <n v="2143"/>
    <n v="4688"/>
    <x v="13"/>
    <n v="1226.53"/>
    <s v="Completed"/>
    <x v="1"/>
    <s v="Credit Card"/>
  </r>
  <r>
    <n v="2144"/>
    <n v="2812"/>
    <x v="264"/>
    <n v="560.67999999999995"/>
    <s v="Completed"/>
    <x v="2"/>
    <s v="PayPal"/>
  </r>
  <r>
    <n v="2145"/>
    <n v="3529"/>
    <x v="305"/>
    <n v="1276.2"/>
    <s v="Completed"/>
    <x v="3"/>
    <s v="Apple Pay"/>
  </r>
  <r>
    <n v="2146"/>
    <n v="5360"/>
    <x v="109"/>
    <n v="329.52"/>
    <s v="Completed"/>
    <x v="4"/>
    <s v="Credit Card"/>
  </r>
  <r>
    <n v="2147"/>
    <n v="7790"/>
    <x v="162"/>
    <n v="415.09"/>
    <s v="Completed"/>
    <x v="3"/>
    <s v="Apple Pay"/>
  </r>
  <r>
    <n v="2148"/>
    <n v="1137"/>
    <x v="48"/>
    <n v="1208.3900000000001"/>
    <s v="Completed"/>
    <x v="0"/>
    <s v="Credit Card"/>
  </r>
  <r>
    <n v="2149"/>
    <n v="9889"/>
    <x v="106"/>
    <n v="826.84"/>
    <s v="Completed"/>
    <x v="3"/>
    <s v="Credit Card"/>
  </r>
  <r>
    <n v="2150"/>
    <n v="9435"/>
    <x v="223"/>
    <n v="620.13"/>
    <s v="Completed"/>
    <x v="0"/>
    <s v="Debit Card"/>
  </r>
  <r>
    <n v="2151"/>
    <n v="9618"/>
    <x v="328"/>
    <n v="410.28"/>
    <s v="Completed"/>
    <x v="3"/>
    <s v="Credit Card"/>
  </r>
  <r>
    <n v="2152"/>
    <n v="1752"/>
    <x v="225"/>
    <n v="1417.1"/>
    <s v="Completed"/>
    <x v="4"/>
    <s v="Apple Pay"/>
  </r>
  <r>
    <n v="2153"/>
    <n v="3807"/>
    <x v="157"/>
    <n v="579.6"/>
    <s v="Completed"/>
    <x v="1"/>
    <s v="Debit Card"/>
  </r>
  <r>
    <n v="2154"/>
    <n v="6010"/>
    <x v="256"/>
    <n v="401.82"/>
    <s v="Completed"/>
    <x v="2"/>
    <s v="Apple Pay"/>
  </r>
  <r>
    <n v="2155"/>
    <n v="6261"/>
    <x v="206"/>
    <n v="360.28"/>
    <s v="Completed"/>
    <x v="1"/>
    <s v="Credit Card"/>
  </r>
  <r>
    <n v="2156"/>
    <n v="1300"/>
    <x v="16"/>
    <n v="1505.96"/>
    <s v="Completed"/>
    <x v="1"/>
    <s v="PayPal"/>
  </r>
  <r>
    <n v="2157"/>
    <n v="1821"/>
    <x v="113"/>
    <n v="3085.16"/>
    <s v="Completed"/>
    <x v="4"/>
    <s v="Debit Card"/>
  </r>
  <r>
    <n v="2158"/>
    <n v="2278"/>
    <x v="300"/>
    <n v="2063.7199999999998"/>
    <s v="Completed"/>
    <x v="3"/>
    <s v="Apple Pay"/>
  </r>
  <r>
    <n v="2159"/>
    <n v="1180"/>
    <x v="19"/>
    <n v="750.85"/>
    <s v="Completed"/>
    <x v="1"/>
    <s v="Apple Pay"/>
  </r>
  <r>
    <n v="2160"/>
    <n v="2902"/>
    <x v="22"/>
    <n v="90.47"/>
    <s v="Completed"/>
    <x v="3"/>
    <s v="PayPal"/>
  </r>
  <r>
    <n v="2161"/>
    <n v="7021"/>
    <x v="130"/>
    <n v="746.07"/>
    <s v="Completed"/>
    <x v="3"/>
    <s v="Debit Card"/>
  </r>
  <r>
    <n v="2162"/>
    <n v="9883"/>
    <x v="167"/>
    <n v="575.08000000000004"/>
    <s v="Completed"/>
    <x v="2"/>
    <s v="Credit Card"/>
  </r>
  <r>
    <n v="2163"/>
    <n v="8675"/>
    <x v="271"/>
    <n v="1472.4"/>
    <s v="Completed"/>
    <x v="4"/>
    <s v="PayPal"/>
  </r>
  <r>
    <n v="2164"/>
    <n v="4382"/>
    <x v="201"/>
    <n v="1527.31"/>
    <s v="Completed"/>
    <x v="2"/>
    <s v="Credit Card"/>
  </r>
  <r>
    <n v="2165"/>
    <n v="1396"/>
    <x v="211"/>
    <n v="4208.3100000000004"/>
    <s v="Completed"/>
    <x v="3"/>
    <s v="PayPal"/>
  </r>
  <r>
    <n v="2166"/>
    <n v="2545"/>
    <x v="141"/>
    <n v="3427.67"/>
    <s v="Completed"/>
    <x v="4"/>
    <s v="Debit Card"/>
  </r>
  <r>
    <n v="2167"/>
    <n v="9250"/>
    <x v="328"/>
    <n v="159.37"/>
    <s v="Completed"/>
    <x v="0"/>
    <s v="PayPal"/>
  </r>
  <r>
    <n v="2168"/>
    <n v="499"/>
    <x v="332"/>
    <n v="410.57"/>
    <s v="Completed"/>
    <x v="3"/>
    <s v="Debit Card"/>
  </r>
  <r>
    <n v="2169"/>
    <n v="1349"/>
    <x v="273"/>
    <n v="886.52"/>
    <s v="Completed"/>
    <x v="2"/>
    <s v="Credit Card"/>
  </r>
  <r>
    <n v="2170"/>
    <n v="1256"/>
    <x v="5"/>
    <n v="1147.3399999999999"/>
    <s v="Completed"/>
    <x v="4"/>
    <s v="Credit Card"/>
  </r>
  <r>
    <n v="2171"/>
    <n v="9871"/>
    <x v="246"/>
    <n v="901.51"/>
    <s v="Completed"/>
    <x v="3"/>
    <s v="Credit Card"/>
  </r>
  <r>
    <n v="2172"/>
    <n v="2140"/>
    <x v="163"/>
    <n v="957.11"/>
    <s v="Completed"/>
    <x v="0"/>
    <s v="Apple Pay"/>
  </r>
  <r>
    <n v="2173"/>
    <n v="1097"/>
    <x v="325"/>
    <n v="1957.49"/>
    <s v="Completed"/>
    <x v="1"/>
    <s v="Credit Card"/>
  </r>
  <r>
    <n v="2174"/>
    <n v="5821"/>
    <x v="196"/>
    <n v="1786.37"/>
    <s v="Completed"/>
    <x v="2"/>
    <s v="Credit Card"/>
  </r>
  <r>
    <n v="2175"/>
    <n v="7820"/>
    <x v="180"/>
    <n v="1454.55"/>
    <s v="Completed"/>
    <x v="1"/>
    <s v="Apple Pay"/>
  </r>
  <r>
    <n v="2176"/>
    <n v="5644"/>
    <x v="192"/>
    <n v="260.57"/>
    <s v="Completed"/>
    <x v="4"/>
    <s v="PayPal"/>
  </r>
  <r>
    <n v="2177"/>
    <n v="3443"/>
    <x v="227"/>
    <n v="2346.67"/>
    <s v="Completed"/>
    <x v="1"/>
    <s v="Debit Card"/>
  </r>
  <r>
    <n v="2178"/>
    <n v="4437"/>
    <x v="90"/>
    <n v="345.32"/>
    <s v="Completed"/>
    <x v="1"/>
    <s v="Debit Card"/>
  </r>
  <r>
    <n v="2179"/>
    <n v="4169"/>
    <x v="195"/>
    <n v="1378.17"/>
    <s v="Completed"/>
    <x v="3"/>
    <s v="PayPal"/>
  </r>
  <r>
    <n v="2180"/>
    <n v="3232"/>
    <x v="360"/>
    <n v="3868.21"/>
    <s v="Completed"/>
    <x v="3"/>
    <s v="PayPal"/>
  </r>
  <r>
    <n v="2181"/>
    <n v="7846"/>
    <x v="78"/>
    <n v="2598.38"/>
    <s v="Completed"/>
    <x v="3"/>
    <s v="Apple Pay"/>
  </r>
  <r>
    <n v="2182"/>
    <n v="5944"/>
    <x v="52"/>
    <n v="748.01"/>
    <s v="Completed"/>
    <x v="0"/>
    <s v="Credit Card"/>
  </r>
  <r>
    <n v="2183"/>
    <n v="9669"/>
    <x v="210"/>
    <n v="255.79"/>
    <s v="Completed"/>
    <x v="3"/>
    <s v="PayPal"/>
  </r>
  <r>
    <n v="2184"/>
    <n v="3991"/>
    <x v="86"/>
    <n v="2931.04"/>
    <s v="Returned"/>
    <x v="4"/>
    <s v="PayPal"/>
  </r>
  <r>
    <n v="2185"/>
    <n v="5208"/>
    <x v="195"/>
    <n v="2867.88"/>
    <s v="Completed"/>
    <x v="2"/>
    <s v="Apple Pay"/>
  </r>
  <r>
    <n v="2186"/>
    <n v="6970"/>
    <x v="139"/>
    <n v="1834.55"/>
    <s v="Completed"/>
    <x v="1"/>
    <s v="Credit Card"/>
  </r>
  <r>
    <n v="2187"/>
    <n v="9966"/>
    <x v="122"/>
    <n v="828.48"/>
    <s v="Completed"/>
    <x v="2"/>
    <s v="Apple Pay"/>
  </r>
  <r>
    <n v="2188"/>
    <n v="6920"/>
    <x v="97"/>
    <n v="1349.47"/>
    <s v="Completed"/>
    <x v="1"/>
    <s v="Debit Card"/>
  </r>
  <r>
    <n v="2189"/>
    <n v="9531"/>
    <x v="352"/>
    <n v="1611.71"/>
    <s v="Completed"/>
    <x v="4"/>
    <s v="PayPal"/>
  </r>
  <r>
    <n v="2190"/>
    <n v="564"/>
    <x v="115"/>
    <n v="1095.6199999999999"/>
    <s v="Completed"/>
    <x v="3"/>
    <s v="Apple Pay"/>
  </r>
  <r>
    <n v="2191"/>
    <n v="1353"/>
    <x v="45"/>
    <n v="1146.95"/>
    <s v="Completed"/>
    <x v="0"/>
    <s v="Debit Card"/>
  </r>
  <r>
    <n v="2192"/>
    <n v="716"/>
    <x v="107"/>
    <n v="245.09"/>
    <s v="Completed"/>
    <x v="0"/>
    <s v="Debit Card"/>
  </r>
  <r>
    <n v="2193"/>
    <n v="8200"/>
    <x v="238"/>
    <n v="834.79"/>
    <s v="Completed"/>
    <x v="4"/>
    <s v="Credit Card"/>
  </r>
  <r>
    <n v="2194"/>
    <n v="17"/>
    <x v="12"/>
    <n v="1672.37"/>
    <s v="Completed"/>
    <x v="3"/>
    <s v="Credit Card"/>
  </r>
  <r>
    <n v="2195"/>
    <n v="9661"/>
    <x v="271"/>
    <n v="7289.22"/>
    <s v="Completed"/>
    <x v="0"/>
    <s v="Apple Pay"/>
  </r>
  <r>
    <n v="2196"/>
    <n v="3164"/>
    <x v="353"/>
    <n v="2461.9299999999998"/>
    <s v="Completed"/>
    <x v="2"/>
    <s v="Apple Pay"/>
  </r>
  <r>
    <n v="2197"/>
    <n v="5417"/>
    <x v="166"/>
    <n v="428.94"/>
    <s v="Completed"/>
    <x v="2"/>
    <s v="Debit Card"/>
  </r>
  <r>
    <n v="2198"/>
    <n v="9548"/>
    <x v="89"/>
    <n v="1526.73"/>
    <s v="Completed"/>
    <x v="0"/>
    <s v="PayPal"/>
  </r>
  <r>
    <n v="2199"/>
    <n v="1425"/>
    <x v="157"/>
    <n v="1041.67"/>
    <s v="Completed"/>
    <x v="0"/>
    <s v="Apple Pay"/>
  </r>
  <r>
    <n v="2200"/>
    <n v="5828"/>
    <x v="322"/>
    <n v="940.69"/>
    <s v="Completed"/>
    <x v="3"/>
    <s v="Credit Card"/>
  </r>
  <r>
    <n v="2201"/>
    <n v="7461"/>
    <x v="22"/>
    <n v="766.48"/>
    <s v="Completed"/>
    <x v="4"/>
    <s v="PayPal"/>
  </r>
  <r>
    <n v="2202"/>
    <n v="574"/>
    <x v="22"/>
    <n v="2421.4499999999998"/>
    <s v="Completed"/>
    <x v="3"/>
    <s v="PayPal"/>
  </r>
  <r>
    <n v="2203"/>
    <n v="2926"/>
    <x v="93"/>
    <n v="2312.5"/>
    <s v="Completed"/>
    <x v="3"/>
    <s v="Credit Card"/>
  </r>
  <r>
    <n v="2204"/>
    <n v="9100"/>
    <x v="112"/>
    <n v="3572.74"/>
    <s v="Returned"/>
    <x v="2"/>
    <s v="Credit Card"/>
  </r>
  <r>
    <n v="2205"/>
    <n v="4691"/>
    <x v="348"/>
    <n v="486.42"/>
    <s v="Completed"/>
    <x v="0"/>
    <s v="PayPal"/>
  </r>
  <r>
    <n v="2206"/>
    <n v="3288"/>
    <x v="2"/>
    <n v="280.61"/>
    <s v="Completed"/>
    <x v="0"/>
    <s v="Apple Pay"/>
  </r>
  <r>
    <n v="2207"/>
    <n v="3672"/>
    <x v="73"/>
    <n v="2198.5100000000002"/>
    <s v="Completed"/>
    <x v="4"/>
    <s v="Debit Card"/>
  </r>
  <r>
    <n v="2208"/>
    <n v="3406"/>
    <x v="240"/>
    <n v="260.61"/>
    <s v="Completed"/>
    <x v="1"/>
    <s v="PayPal"/>
  </r>
  <r>
    <n v="2209"/>
    <n v="2811"/>
    <x v="288"/>
    <n v="91.92"/>
    <s v="Completed"/>
    <x v="0"/>
    <s v="Credit Card"/>
  </r>
  <r>
    <n v="2210"/>
    <n v="2455"/>
    <x v="218"/>
    <n v="4179.1400000000003"/>
    <s v="Cancelled"/>
    <x v="3"/>
    <s v="PayPal"/>
  </r>
  <r>
    <n v="2211"/>
    <n v="4347"/>
    <x v="102"/>
    <n v="411.21"/>
    <s v="Completed"/>
    <x v="0"/>
    <s v="Apple Pay"/>
  </r>
  <r>
    <n v="2212"/>
    <n v="2795"/>
    <x v="139"/>
    <n v="579.6"/>
    <s v="Completed"/>
    <x v="2"/>
    <s v="PayPal"/>
  </r>
  <r>
    <n v="2213"/>
    <n v="4917"/>
    <x v="26"/>
    <n v="1300.8499999999999"/>
    <s v="Completed"/>
    <x v="0"/>
    <s v="Apple Pay"/>
  </r>
  <r>
    <n v="2214"/>
    <n v="846"/>
    <x v="118"/>
    <n v="3120.07"/>
    <s v="Completed"/>
    <x v="3"/>
    <s v="Credit Card"/>
  </r>
  <r>
    <n v="2215"/>
    <n v="8978"/>
    <x v="113"/>
    <n v="1121.53"/>
    <s v="Completed"/>
    <x v="4"/>
    <s v="Debit Card"/>
  </r>
  <r>
    <n v="2216"/>
    <n v="8109"/>
    <x v="172"/>
    <n v="627.61"/>
    <s v="Returned"/>
    <x v="4"/>
    <s v="Credit Card"/>
  </r>
  <r>
    <n v="2217"/>
    <n v="2303"/>
    <x v="17"/>
    <n v="1059.54"/>
    <s v="Completed"/>
    <x v="1"/>
    <s v="PayPal"/>
  </r>
  <r>
    <n v="2218"/>
    <n v="1517"/>
    <x v="8"/>
    <n v="1134.44"/>
    <s v="Completed"/>
    <x v="1"/>
    <s v="Debit Card"/>
  </r>
  <r>
    <n v="2219"/>
    <n v="9071"/>
    <x v="24"/>
    <n v="759.97"/>
    <s v="Completed"/>
    <x v="0"/>
    <s v="Debit Card"/>
  </r>
  <r>
    <n v="2220"/>
    <n v="1791"/>
    <x v="261"/>
    <n v="210.12"/>
    <s v="Completed"/>
    <x v="4"/>
    <s v="Credit Card"/>
  </r>
  <r>
    <n v="2221"/>
    <n v="4075"/>
    <x v="43"/>
    <n v="1885.15"/>
    <s v="Completed"/>
    <x v="3"/>
    <s v="Apple Pay"/>
  </r>
  <r>
    <n v="2222"/>
    <n v="7270"/>
    <x v="272"/>
    <n v="1448.85"/>
    <s v="Returned"/>
    <x v="0"/>
    <s v="Credit Card"/>
  </r>
  <r>
    <n v="2223"/>
    <n v="1929"/>
    <x v="313"/>
    <n v="668.99"/>
    <s v="Completed"/>
    <x v="2"/>
    <s v="Debit Card"/>
  </r>
  <r>
    <n v="2224"/>
    <n v="1903"/>
    <x v="31"/>
    <n v="96.07"/>
    <s v="Completed"/>
    <x v="1"/>
    <s v="PayPal"/>
  </r>
  <r>
    <n v="2225"/>
    <n v="3947"/>
    <x v="265"/>
    <n v="313.64999999999998"/>
    <s v="Completed"/>
    <x v="0"/>
    <s v="Credit Card"/>
  </r>
  <r>
    <n v="2226"/>
    <n v="3576"/>
    <x v="336"/>
    <n v="493.21"/>
    <s v="Completed"/>
    <x v="4"/>
    <s v="Debit Card"/>
  </r>
  <r>
    <n v="2227"/>
    <n v="7773"/>
    <x v="60"/>
    <n v="526.1"/>
    <s v="Completed"/>
    <x v="1"/>
    <s v="Apple Pay"/>
  </r>
  <r>
    <n v="2228"/>
    <n v="3875"/>
    <x v="88"/>
    <n v="815.03"/>
    <s v="Completed"/>
    <x v="2"/>
    <s v="Credit Card"/>
  </r>
  <r>
    <n v="2229"/>
    <n v="9327"/>
    <x v="101"/>
    <n v="2923.87"/>
    <s v="Completed"/>
    <x v="2"/>
    <s v="Apple Pay"/>
  </r>
  <r>
    <n v="2230"/>
    <n v="846"/>
    <x v="257"/>
    <n v="848.39"/>
    <s v="Completed"/>
    <x v="3"/>
    <s v="Credit Card"/>
  </r>
  <r>
    <n v="2231"/>
    <n v="8146"/>
    <x v="261"/>
    <n v="2850.33"/>
    <s v="Completed"/>
    <x v="2"/>
    <s v="PayPal"/>
  </r>
  <r>
    <n v="2232"/>
    <n v="1566"/>
    <x v="2"/>
    <n v="538.64"/>
    <s v="Returned"/>
    <x v="0"/>
    <s v="Debit Card"/>
  </r>
  <r>
    <n v="2233"/>
    <n v="4917"/>
    <x v="216"/>
    <n v="157.91999999999999"/>
    <s v="Completed"/>
    <x v="0"/>
    <s v="Apple Pay"/>
  </r>
  <r>
    <n v="2234"/>
    <n v="3405"/>
    <x v="73"/>
    <n v="2070.65"/>
    <s v="Completed"/>
    <x v="2"/>
    <s v="Apple Pay"/>
  </r>
  <r>
    <n v="2235"/>
    <n v="4796"/>
    <x v="244"/>
    <n v="2384.89"/>
    <s v="Cancelled"/>
    <x v="4"/>
    <s v="Credit Card"/>
  </r>
  <r>
    <n v="2236"/>
    <n v="5467"/>
    <x v="213"/>
    <n v="1759.75"/>
    <s v="Completed"/>
    <x v="2"/>
    <s v="PayPal"/>
  </r>
  <r>
    <n v="2237"/>
    <n v="3960"/>
    <x v="34"/>
    <n v="256.68"/>
    <s v="Completed"/>
    <x v="0"/>
    <s v="Credit Card"/>
  </r>
  <r>
    <n v="2238"/>
    <n v="8956"/>
    <x v="19"/>
    <n v="196.53"/>
    <s v="Completed"/>
    <x v="4"/>
    <s v="Credit Card"/>
  </r>
  <r>
    <n v="2239"/>
    <n v="3440"/>
    <x v="59"/>
    <n v="1074.23"/>
    <s v="Completed"/>
    <x v="3"/>
    <s v="PayPal"/>
  </r>
  <r>
    <n v="2240"/>
    <n v="5990"/>
    <x v="142"/>
    <n v="265.95"/>
    <s v="Completed"/>
    <x v="3"/>
    <s v="Apple Pay"/>
  </r>
  <r>
    <n v="2241"/>
    <n v="8325"/>
    <x v="183"/>
    <n v="914.09"/>
    <s v="Completed"/>
    <x v="4"/>
    <s v="Debit Card"/>
  </r>
  <r>
    <n v="2242"/>
    <n v="2196"/>
    <x v="35"/>
    <n v="784.9"/>
    <s v="Completed"/>
    <x v="3"/>
    <s v="Credit Card"/>
  </r>
  <r>
    <n v="2243"/>
    <n v="426"/>
    <x v="122"/>
    <n v="891.82"/>
    <s v="Completed"/>
    <x v="3"/>
    <s v="Credit Card"/>
  </r>
  <r>
    <n v="2244"/>
    <n v="6838"/>
    <x v="216"/>
    <n v="120.27"/>
    <s v="Completed"/>
    <x v="4"/>
    <s v="Apple Pay"/>
  </r>
  <r>
    <n v="2245"/>
    <n v="3008"/>
    <x v="273"/>
    <n v="1174.8900000000001"/>
    <s v="Completed"/>
    <x v="3"/>
    <s v="Credit Card"/>
  </r>
  <r>
    <n v="2246"/>
    <n v="1664"/>
    <x v="269"/>
    <n v="2684.33"/>
    <s v="Completed"/>
    <x v="5"/>
    <s v="Apple Pay"/>
  </r>
  <r>
    <n v="2247"/>
    <n v="620"/>
    <x v="293"/>
    <n v="803.58"/>
    <s v="Completed"/>
    <x v="1"/>
    <s v="Debit Card"/>
  </r>
  <r>
    <n v="2248"/>
    <n v="2107"/>
    <x v="91"/>
    <n v="30.63"/>
    <s v="Completed"/>
    <x v="0"/>
    <s v="PayPal"/>
  </r>
  <r>
    <n v="2249"/>
    <n v="3558"/>
    <x v="328"/>
    <n v="1552.73"/>
    <s v="Completed"/>
    <x v="4"/>
    <s v="Debit Card"/>
  </r>
  <r>
    <n v="2250"/>
    <n v="9367"/>
    <x v="15"/>
    <n v="235.13"/>
    <s v="Completed"/>
    <x v="2"/>
    <s v="PayPal"/>
  </r>
  <r>
    <n v="2251"/>
    <n v="4386"/>
    <x v="28"/>
    <n v="2529.7199999999998"/>
    <s v="Completed"/>
    <x v="1"/>
    <s v="PayPal"/>
  </r>
  <r>
    <n v="2252"/>
    <n v="7021"/>
    <x v="292"/>
    <n v="2352.61"/>
    <s v="Completed"/>
    <x v="3"/>
    <s v="PayPal"/>
  </r>
  <r>
    <n v="2253"/>
    <n v="7084"/>
    <x v="347"/>
    <n v="1261.24"/>
    <s v="Completed"/>
    <x v="4"/>
    <s v="Credit Card"/>
  </r>
  <r>
    <n v="2254"/>
    <n v="117"/>
    <x v="282"/>
    <n v="1097.3900000000001"/>
    <s v="Completed"/>
    <x v="2"/>
    <s v="Apple Pay"/>
  </r>
  <r>
    <n v="2255"/>
    <n v="3256"/>
    <x v="116"/>
    <n v="630.58000000000004"/>
    <s v="Completed"/>
    <x v="3"/>
    <s v="Credit Card"/>
  </r>
  <r>
    <n v="2256"/>
    <n v="1285"/>
    <x v="271"/>
    <n v="2881.07"/>
    <s v="Completed"/>
    <x v="1"/>
    <s v="Apple Pay"/>
  </r>
  <r>
    <n v="2257"/>
    <n v="6665"/>
    <x v="197"/>
    <n v="1327.91"/>
    <s v="Completed"/>
    <x v="3"/>
    <s v="Debit Card"/>
  </r>
  <r>
    <n v="2258"/>
    <n v="3336"/>
    <x v="41"/>
    <n v="623.01"/>
    <s v="Completed"/>
    <x v="4"/>
    <s v="PayPal"/>
  </r>
  <r>
    <n v="2259"/>
    <n v="4863"/>
    <x v="53"/>
    <n v="786.65"/>
    <s v="Completed"/>
    <x v="3"/>
    <s v="Debit Card"/>
  </r>
  <r>
    <n v="2260"/>
    <n v="3325"/>
    <x v="43"/>
    <n v="1885.77"/>
    <s v="Completed"/>
    <x v="1"/>
    <s v="PayPal"/>
  </r>
  <r>
    <n v="2261"/>
    <n v="1535"/>
    <x v="107"/>
    <n v="1142.08"/>
    <s v="Cancelled"/>
    <x v="2"/>
    <s v="PayPal"/>
  </r>
  <r>
    <n v="2262"/>
    <n v="3891"/>
    <x v="96"/>
    <n v="1008.02"/>
    <s v="Completed"/>
    <x v="2"/>
    <s v="Credit Card"/>
  </r>
  <r>
    <n v="2263"/>
    <n v="9589"/>
    <x v="3"/>
    <n v="4571.57"/>
    <s v="Completed"/>
    <x v="2"/>
    <s v="PayPal"/>
  </r>
  <r>
    <n v="2264"/>
    <n v="5818"/>
    <x v="249"/>
    <n v="844.42"/>
    <s v="Completed"/>
    <x v="2"/>
    <s v="PayPal"/>
  </r>
  <r>
    <n v="2265"/>
    <n v="2877"/>
    <x v="92"/>
    <n v="422.21"/>
    <s v="Completed"/>
    <x v="4"/>
    <s v="PayPal"/>
  </r>
  <r>
    <n v="2266"/>
    <n v="7439"/>
    <x v="186"/>
    <n v="422.21"/>
    <s v="Completed"/>
    <x v="0"/>
    <s v="PayPal"/>
  </r>
  <r>
    <n v="2267"/>
    <n v="6137"/>
    <x v="221"/>
    <n v="4752.68"/>
    <s v="Completed"/>
    <x v="4"/>
    <s v="Debit Card"/>
  </r>
  <r>
    <n v="2268"/>
    <n v="255"/>
    <x v="356"/>
    <n v="1354.25"/>
    <s v="Completed"/>
    <x v="4"/>
    <s v="Apple Pay"/>
  </r>
  <r>
    <n v="2269"/>
    <n v="2134"/>
    <x v="56"/>
    <n v="199.16"/>
    <s v="Completed"/>
    <x v="3"/>
    <s v="Credit Card"/>
  </r>
  <r>
    <n v="2270"/>
    <n v="1901"/>
    <x v="34"/>
    <n v="1802.19"/>
    <s v="Completed"/>
    <x v="4"/>
    <s v="PayPal"/>
  </r>
  <r>
    <n v="2271"/>
    <n v="4055"/>
    <x v="211"/>
    <n v="1655.94"/>
    <s v="Completed"/>
    <x v="0"/>
    <s v="PayPal"/>
  </r>
  <r>
    <n v="2272"/>
    <n v="6817"/>
    <x v="283"/>
    <n v="390.47"/>
    <s v="Completed"/>
    <x v="2"/>
    <s v="Credit Card"/>
  </r>
  <r>
    <n v="2273"/>
    <n v="2575"/>
    <x v="326"/>
    <n v="1952.94"/>
    <s v="Completed"/>
    <x v="4"/>
    <s v="Credit Card"/>
  </r>
  <r>
    <n v="2274"/>
    <n v="9444"/>
    <x v="16"/>
    <n v="370.18"/>
    <s v="Completed"/>
    <x v="0"/>
    <s v="Debit Card"/>
  </r>
  <r>
    <n v="2275"/>
    <n v="6086"/>
    <x v="5"/>
    <n v="596.1"/>
    <s v="Returned"/>
    <x v="1"/>
    <s v="Credit Card"/>
  </r>
  <r>
    <n v="2276"/>
    <n v="122"/>
    <x v="153"/>
    <n v="1045.18"/>
    <s v="Completed"/>
    <x v="1"/>
    <s v="PayPal"/>
  </r>
  <r>
    <n v="2277"/>
    <n v="127"/>
    <x v="24"/>
    <n v="2512.67"/>
    <s v="Completed"/>
    <x v="2"/>
    <s v="Credit Card"/>
  </r>
  <r>
    <n v="2278"/>
    <n v="5490"/>
    <x v="332"/>
    <n v="1248.1099999999999"/>
    <s v="Completed"/>
    <x v="4"/>
    <s v="PayPal"/>
  </r>
  <r>
    <n v="2279"/>
    <n v="3682"/>
    <x v="339"/>
    <n v="132.22999999999999"/>
    <s v="Completed"/>
    <x v="2"/>
    <s v="Apple Pay"/>
  </r>
  <r>
    <n v="2280"/>
    <n v="9008"/>
    <x v="84"/>
    <n v="759.97"/>
    <s v="Completed"/>
    <x v="0"/>
    <s v="Credit Card"/>
  </r>
  <r>
    <n v="2281"/>
    <n v="6812"/>
    <x v="345"/>
    <n v="619.65"/>
    <s v="Completed"/>
    <x v="2"/>
    <s v="Debit Card"/>
  </r>
  <r>
    <n v="2282"/>
    <n v="6690"/>
    <x v="24"/>
    <n v="299.56"/>
    <s v="Completed"/>
    <x v="4"/>
    <s v="PayPal"/>
  </r>
  <r>
    <n v="2283"/>
    <n v="7177"/>
    <x v="211"/>
    <n v="1336.07"/>
    <s v="Completed"/>
    <x v="0"/>
    <s v="Apple Pay"/>
  </r>
  <r>
    <n v="2284"/>
    <n v="8684"/>
    <x v="165"/>
    <n v="623.01"/>
    <s v="Completed"/>
    <x v="3"/>
    <s v="Apple Pay"/>
  </r>
  <r>
    <n v="2285"/>
    <n v="6837"/>
    <x v="8"/>
    <n v="2563.96"/>
    <s v="Completed"/>
    <x v="1"/>
    <s v="Credit Card"/>
  </r>
  <r>
    <n v="2286"/>
    <n v="834"/>
    <x v="242"/>
    <n v="4786.8"/>
    <s v="Completed"/>
    <x v="4"/>
    <s v="Apple Pay"/>
  </r>
  <r>
    <n v="2287"/>
    <n v="431"/>
    <x v="207"/>
    <n v="193.6"/>
    <s v="Completed"/>
    <x v="3"/>
    <s v="Debit Card"/>
  </r>
  <r>
    <n v="2288"/>
    <n v="655"/>
    <x v="315"/>
    <n v="605.64"/>
    <s v="Completed"/>
    <x v="4"/>
    <s v="Debit Card"/>
  </r>
  <r>
    <n v="2289"/>
    <n v="6110"/>
    <x v="264"/>
    <n v="612.86"/>
    <s v="Completed"/>
    <x v="3"/>
    <s v="Credit Card"/>
  </r>
  <r>
    <n v="2290"/>
    <n v="1845"/>
    <x v="164"/>
    <n v="924.22"/>
    <s v="Completed"/>
    <x v="1"/>
    <s v="Credit Card"/>
  </r>
  <r>
    <n v="2291"/>
    <n v="306"/>
    <x v="212"/>
    <n v="1858.78"/>
    <s v="Completed"/>
    <x v="1"/>
    <s v="PayPal"/>
  </r>
  <r>
    <n v="2292"/>
    <n v="7748"/>
    <x v="210"/>
    <n v="3437.11"/>
    <s v="Completed"/>
    <x v="3"/>
    <s v="Debit Card"/>
  </r>
  <r>
    <n v="2293"/>
    <n v="2274"/>
    <x v="207"/>
    <n v="245.09"/>
    <s v="Completed"/>
    <x v="1"/>
    <s v="PayPal"/>
  </r>
  <r>
    <n v="2294"/>
    <n v="64"/>
    <x v="155"/>
    <n v="1972.97"/>
    <s v="Completed"/>
    <x v="4"/>
    <s v="Apple Pay"/>
  </r>
  <r>
    <n v="2295"/>
    <n v="7837"/>
    <x v="214"/>
    <n v="96.07"/>
    <s v="Completed"/>
    <x v="3"/>
    <s v="Apple Pay"/>
  </r>
  <r>
    <n v="2296"/>
    <n v="7842"/>
    <x v="224"/>
    <n v="166.77"/>
    <s v="Completed"/>
    <x v="3"/>
    <s v="Credit Card"/>
  </r>
  <r>
    <n v="2297"/>
    <n v="8262"/>
    <x v="291"/>
    <n v="2325.13"/>
    <s v="Completed"/>
    <x v="3"/>
    <s v="Credit Card"/>
  </r>
  <r>
    <n v="2298"/>
    <n v="7155"/>
    <x v="188"/>
    <n v="858.98"/>
    <s v="Completed"/>
    <x v="3"/>
    <s v="Apple Pay"/>
  </r>
  <r>
    <n v="2299"/>
    <n v="5443"/>
    <x v="220"/>
    <n v="2087.3200000000002"/>
    <s v="Completed"/>
    <x v="5"/>
    <s v="PayPal"/>
  </r>
  <r>
    <n v="2300"/>
    <n v="1826"/>
    <x v="270"/>
    <n v="2909.8"/>
    <s v="Completed"/>
    <x v="5"/>
    <s v="Credit Card"/>
  </r>
  <r>
    <n v="2301"/>
    <n v="5828"/>
    <x v="83"/>
    <n v="1046.53"/>
    <s v="Completed"/>
    <x v="3"/>
    <s v="PayPal"/>
  </r>
  <r>
    <n v="2302"/>
    <n v="7339"/>
    <x v="4"/>
    <n v="964.91"/>
    <s v="Completed"/>
    <x v="3"/>
    <s v="Credit Card"/>
  </r>
  <r>
    <n v="2303"/>
    <n v="352"/>
    <x v="138"/>
    <n v="607.19000000000005"/>
    <s v="Completed"/>
    <x v="2"/>
    <s v="PayPal"/>
  </r>
  <r>
    <n v="2304"/>
    <n v="4363"/>
    <x v="67"/>
    <n v="1387.54"/>
    <s v="Completed"/>
    <x v="0"/>
    <s v="Debit Card"/>
  </r>
  <r>
    <n v="2305"/>
    <n v="2530"/>
    <x v="9"/>
    <n v="1786.37"/>
    <s v="Completed"/>
    <x v="4"/>
    <s v="PayPal"/>
  </r>
  <r>
    <n v="2306"/>
    <n v="4358"/>
    <x v="281"/>
    <n v="228.45"/>
    <s v="Cancelled"/>
    <x v="3"/>
    <s v="Credit Card"/>
  </r>
  <r>
    <n v="2307"/>
    <n v="6562"/>
    <x v="170"/>
    <n v="828.21"/>
    <s v="Completed"/>
    <x v="2"/>
    <s v="PayPal"/>
  </r>
  <r>
    <n v="2308"/>
    <n v="839"/>
    <x v="236"/>
    <n v="932.44"/>
    <s v="Completed"/>
    <x v="3"/>
    <s v="Apple Pay"/>
  </r>
  <r>
    <n v="2309"/>
    <n v="3732"/>
    <x v="121"/>
    <n v="254.46"/>
    <s v="Completed"/>
    <x v="1"/>
    <s v="PayPal"/>
  </r>
  <r>
    <n v="2310"/>
    <n v="4084"/>
    <x v="7"/>
    <n v="2455.58"/>
    <s v="Completed"/>
    <x v="0"/>
    <s v="Apple Pay"/>
  </r>
  <r>
    <n v="2311"/>
    <n v="5802"/>
    <x v="196"/>
    <n v="1326"/>
    <s v="Returned"/>
    <x v="4"/>
    <s v="Debit Card"/>
  </r>
  <r>
    <n v="2312"/>
    <n v="1108"/>
    <x v="172"/>
    <n v="996.68"/>
    <s v="Completed"/>
    <x v="3"/>
    <s v="Debit Card"/>
  </r>
  <r>
    <n v="2313"/>
    <n v="7784"/>
    <x v="140"/>
    <n v="1239.03"/>
    <s v="Completed"/>
    <x v="4"/>
    <s v="Apple Pay"/>
  </r>
  <r>
    <n v="2314"/>
    <n v="810"/>
    <x v="83"/>
    <n v="240.54"/>
    <s v="Completed"/>
    <x v="4"/>
    <s v="Debit Card"/>
  </r>
  <r>
    <n v="2315"/>
    <n v="8966"/>
    <x v="157"/>
    <n v="2932.48"/>
    <s v="Completed"/>
    <x v="2"/>
    <s v="Debit Card"/>
  </r>
  <r>
    <n v="2316"/>
    <n v="2932"/>
    <x v="12"/>
    <n v="3183.75"/>
    <s v="Completed"/>
    <x v="3"/>
    <s v="Debit Card"/>
  </r>
  <r>
    <n v="2317"/>
    <n v="287"/>
    <x v="265"/>
    <n v="1071.23"/>
    <s v="Completed"/>
    <x v="1"/>
    <s v="Credit Card"/>
  </r>
  <r>
    <n v="2318"/>
    <n v="5464"/>
    <x v="17"/>
    <n v="836.54"/>
    <s v="Completed"/>
    <x v="3"/>
    <s v="Apple Pay"/>
  </r>
  <r>
    <n v="2319"/>
    <n v="7155"/>
    <x v="7"/>
    <n v="1834.12"/>
    <s v="Completed"/>
    <x v="3"/>
    <s v="Credit Card"/>
  </r>
  <r>
    <n v="2320"/>
    <n v="5418"/>
    <x v="1"/>
    <n v="420.23"/>
    <s v="Completed"/>
    <x v="0"/>
    <s v="Debit Card"/>
  </r>
  <r>
    <n v="2321"/>
    <n v="3087"/>
    <x v="122"/>
    <n v="1397.06"/>
    <s v="Completed"/>
    <x v="4"/>
    <s v="Apple Pay"/>
  </r>
  <r>
    <n v="2322"/>
    <n v="4693"/>
    <x v="89"/>
    <n v="679.81"/>
    <s v="Cancelled"/>
    <x v="4"/>
    <s v="Debit Card"/>
  </r>
  <r>
    <n v="2323"/>
    <n v="5630"/>
    <x v="188"/>
    <n v="3044.45"/>
    <s v="Completed"/>
    <x v="0"/>
    <s v="Debit Card"/>
  </r>
  <r>
    <n v="2324"/>
    <n v="4589"/>
    <x v="190"/>
    <n v="1064.6500000000001"/>
    <s v="Completed"/>
    <x v="2"/>
    <s v="Debit Card"/>
  </r>
  <r>
    <n v="2325"/>
    <n v="7349"/>
    <x v="3"/>
    <n v="714"/>
    <s v="Completed"/>
    <x v="3"/>
    <s v="Credit Card"/>
  </r>
  <r>
    <n v="2326"/>
    <n v="218"/>
    <x v="111"/>
    <n v="676.32"/>
    <s v="Cancelled"/>
    <x v="2"/>
    <s v="Credit Card"/>
  </r>
  <r>
    <n v="2327"/>
    <n v="8932"/>
    <x v="164"/>
    <n v="1484.88"/>
    <s v="Completed"/>
    <x v="4"/>
    <s v="Credit Card"/>
  </r>
  <r>
    <n v="2328"/>
    <n v="211"/>
    <x v="332"/>
    <n v="817.51"/>
    <s v="Completed"/>
    <x v="1"/>
    <s v="Debit Card"/>
  </r>
  <r>
    <n v="2329"/>
    <n v="5496"/>
    <x v="126"/>
    <n v="719.27"/>
    <s v="Completed"/>
    <x v="3"/>
    <s v="PayPal"/>
  </r>
  <r>
    <n v="2330"/>
    <n v="2133"/>
    <x v="282"/>
    <n v="429.11"/>
    <s v="Completed"/>
    <x v="4"/>
    <s v="Credit Card"/>
  </r>
  <r>
    <n v="2331"/>
    <n v="683"/>
    <x v="163"/>
    <n v="1813.64"/>
    <s v="Completed"/>
    <x v="1"/>
    <s v="Apple Pay"/>
  </r>
  <r>
    <n v="2332"/>
    <n v="1848"/>
    <x v="162"/>
    <n v="1632.22"/>
    <s v="Completed"/>
    <x v="2"/>
    <s v="Credit Card"/>
  </r>
  <r>
    <n v="2333"/>
    <n v="8801"/>
    <x v="47"/>
    <n v="156.65"/>
    <s v="Completed"/>
    <x v="3"/>
    <s v="Debit Card"/>
  </r>
  <r>
    <n v="2334"/>
    <n v="9630"/>
    <x v="110"/>
    <n v="2125.3200000000002"/>
    <s v="Completed"/>
    <x v="3"/>
    <s v="PayPal"/>
  </r>
  <r>
    <n v="2335"/>
    <n v="2720"/>
    <x v="324"/>
    <n v="884.91"/>
    <s v="Completed"/>
    <x v="3"/>
    <s v="Debit Card"/>
  </r>
  <r>
    <n v="2336"/>
    <n v="8036"/>
    <x v="47"/>
    <n v="228.45"/>
    <s v="Completed"/>
    <x v="4"/>
    <s v="Apple Pay"/>
  </r>
  <r>
    <n v="2337"/>
    <n v="5302"/>
    <x v="202"/>
    <n v="1257.96"/>
    <s v="Completed"/>
    <x v="0"/>
    <s v="Debit Card"/>
  </r>
  <r>
    <n v="2338"/>
    <n v="9633"/>
    <x v="137"/>
    <n v="367.55"/>
    <s v="Returned"/>
    <x v="0"/>
    <s v="Credit Card"/>
  </r>
  <r>
    <n v="2339"/>
    <n v="9307"/>
    <x v="265"/>
    <n v="2901.27"/>
    <s v="Completed"/>
    <x v="0"/>
    <s v="Debit Card"/>
  </r>
  <r>
    <n v="2340"/>
    <n v="8294"/>
    <x v="31"/>
    <n v="743.75"/>
    <s v="Completed"/>
    <x v="0"/>
    <s v="PayPal"/>
  </r>
  <r>
    <n v="2341"/>
    <n v="6324"/>
    <x v="192"/>
    <n v="2104.39"/>
    <s v="Completed"/>
    <x v="4"/>
    <s v="Debit Card"/>
  </r>
  <r>
    <n v="2342"/>
    <n v="3208"/>
    <x v="320"/>
    <n v="1665.68"/>
    <s v="Completed"/>
    <x v="5"/>
    <s v="Credit Card"/>
  </r>
  <r>
    <n v="2343"/>
    <n v="5057"/>
    <x v="131"/>
    <n v="1367.64"/>
    <s v="Completed"/>
    <x v="2"/>
    <s v="Debit Card"/>
  </r>
  <r>
    <n v="2344"/>
    <n v="3300"/>
    <x v="45"/>
    <n v="661.44"/>
    <s v="Completed"/>
    <x v="4"/>
    <s v="Credit Card"/>
  </r>
  <r>
    <n v="2345"/>
    <n v="9201"/>
    <x v="92"/>
    <n v="1515.29"/>
    <s v="Completed"/>
    <x v="3"/>
    <s v="PayPal"/>
  </r>
  <r>
    <n v="2346"/>
    <n v="8745"/>
    <x v="283"/>
    <n v="2244.66"/>
    <s v="Completed"/>
    <x v="1"/>
    <s v="Credit Card"/>
  </r>
  <r>
    <n v="2347"/>
    <n v="6460"/>
    <x v="12"/>
    <n v="1100.94"/>
    <s v="Completed"/>
    <x v="1"/>
    <s v="Apple Pay"/>
  </r>
  <r>
    <n v="2348"/>
    <n v="2816"/>
    <x v="116"/>
    <n v="844.4"/>
    <s v="Completed"/>
    <x v="2"/>
    <s v="PayPal"/>
  </r>
  <r>
    <n v="2349"/>
    <n v="9666"/>
    <x v="120"/>
    <n v="736.28"/>
    <s v="Returned"/>
    <x v="4"/>
    <s v="Debit Card"/>
  </r>
  <r>
    <n v="2350"/>
    <n v="923"/>
    <x v="248"/>
    <n v="373.93"/>
    <s v="Completed"/>
    <x v="1"/>
    <s v="PayPal"/>
  </r>
  <r>
    <n v="2351"/>
    <n v="1328"/>
    <x v="33"/>
    <n v="653.71"/>
    <s v="Completed"/>
    <x v="0"/>
    <s v="Apple Pay"/>
  </r>
  <r>
    <n v="2352"/>
    <n v="7828"/>
    <x v="212"/>
    <n v="245.09"/>
    <s v="Completed"/>
    <x v="4"/>
    <s v="Apple Pay"/>
  </r>
  <r>
    <n v="2353"/>
    <n v="6265"/>
    <x v="263"/>
    <n v="1169"/>
    <s v="Completed"/>
    <x v="4"/>
    <s v="PayPal"/>
  </r>
  <r>
    <n v="2354"/>
    <n v="1127"/>
    <x v="157"/>
    <n v="315.18"/>
    <s v="Completed"/>
    <x v="4"/>
    <s v="Apple Pay"/>
  </r>
  <r>
    <n v="2355"/>
    <n v="6672"/>
    <x v="232"/>
    <n v="3214.71"/>
    <s v="Cancelled"/>
    <x v="3"/>
    <s v="PayPal"/>
  </r>
  <r>
    <n v="2356"/>
    <n v="6106"/>
    <x v="340"/>
    <n v="2019.37"/>
    <s v="Completed"/>
    <x v="4"/>
    <s v="Debit Card"/>
  </r>
  <r>
    <n v="2357"/>
    <n v="1634"/>
    <x v="76"/>
    <n v="2589.94"/>
    <s v="Completed"/>
    <x v="2"/>
    <s v="Credit Card"/>
  </r>
  <r>
    <n v="2358"/>
    <n v="9035"/>
    <x v="24"/>
    <n v="957.32"/>
    <s v="Completed"/>
    <x v="2"/>
    <s v="Debit Card"/>
  </r>
  <r>
    <n v="2359"/>
    <n v="673"/>
    <x v="114"/>
    <n v="1144.1099999999999"/>
    <s v="Completed"/>
    <x v="1"/>
    <s v="Debit Card"/>
  </r>
  <r>
    <n v="2360"/>
    <n v="7568"/>
    <x v="46"/>
    <n v="244.19"/>
    <s v="Completed"/>
    <x v="3"/>
    <s v="PayPal"/>
  </r>
  <r>
    <n v="2361"/>
    <n v="828"/>
    <x v="28"/>
    <n v="1490.74"/>
    <s v="Completed"/>
    <x v="0"/>
    <s v="Apple Pay"/>
  </r>
  <r>
    <n v="2362"/>
    <n v="1074"/>
    <x v="291"/>
    <n v="521.28"/>
    <s v="Completed"/>
    <x v="1"/>
    <s v="PayPal"/>
  </r>
  <r>
    <n v="2363"/>
    <n v="4081"/>
    <x v="273"/>
    <n v="1044.3900000000001"/>
    <s v="Returned"/>
    <x v="1"/>
    <s v="Debit Card"/>
  </r>
  <r>
    <n v="2364"/>
    <n v="1425"/>
    <x v="343"/>
    <n v="1278.19"/>
    <s v="Completed"/>
    <x v="0"/>
    <s v="Apple Pay"/>
  </r>
  <r>
    <n v="2365"/>
    <n v="6335"/>
    <x v="28"/>
    <n v="1871.48"/>
    <s v="Completed"/>
    <x v="0"/>
    <s v="Apple Pay"/>
  </r>
  <r>
    <n v="2366"/>
    <n v="4713"/>
    <x v="310"/>
    <n v="3154.92"/>
    <s v="Completed"/>
    <x v="4"/>
    <s v="Debit Card"/>
  </r>
  <r>
    <n v="2367"/>
    <n v="439"/>
    <x v="169"/>
    <n v="284.14"/>
    <s v="Completed"/>
    <x v="2"/>
    <s v="Debit Card"/>
  </r>
  <r>
    <n v="2368"/>
    <n v="6893"/>
    <x v="105"/>
    <n v="1443.59"/>
    <s v="Completed"/>
    <x v="4"/>
    <s v="PayPal"/>
  </r>
  <r>
    <n v="2369"/>
    <n v="835"/>
    <x v="113"/>
    <n v="1199.81"/>
    <s v="Completed"/>
    <x v="1"/>
    <s v="Apple Pay"/>
  </r>
  <r>
    <n v="2370"/>
    <n v="5484"/>
    <x v="114"/>
    <n v="1112.22"/>
    <s v="Completed"/>
    <x v="2"/>
    <s v="Debit Card"/>
  </r>
  <r>
    <n v="2371"/>
    <n v="252"/>
    <x v="170"/>
    <n v="1894"/>
    <s v="Completed"/>
    <x v="0"/>
    <s v="Debit Card"/>
  </r>
  <r>
    <n v="2372"/>
    <n v="7101"/>
    <x v="25"/>
    <n v="2346.61"/>
    <s v="Returned"/>
    <x v="3"/>
    <s v="Apple Pay"/>
  </r>
  <r>
    <n v="2373"/>
    <n v="817"/>
    <x v="161"/>
    <n v="364.61"/>
    <s v="Completed"/>
    <x v="4"/>
    <s v="Debit Card"/>
  </r>
  <r>
    <n v="2374"/>
    <n v="1232"/>
    <x v="205"/>
    <n v="1587.5"/>
    <s v="Completed"/>
    <x v="0"/>
    <s v="PayPal"/>
  </r>
  <r>
    <n v="2375"/>
    <n v="7305"/>
    <x v="242"/>
    <n v="899.2"/>
    <s v="Completed"/>
    <x v="2"/>
    <s v="Credit Card"/>
  </r>
  <r>
    <n v="2376"/>
    <n v="2643"/>
    <x v="304"/>
    <n v="1186.56"/>
    <s v="Completed"/>
    <x v="3"/>
    <s v="Apple Pay"/>
  </r>
  <r>
    <n v="2377"/>
    <n v="1408"/>
    <x v="279"/>
    <n v="1365.96"/>
    <s v="Completed"/>
    <x v="4"/>
    <s v="Credit Card"/>
  </r>
  <r>
    <n v="2378"/>
    <n v="3394"/>
    <x v="222"/>
    <n v="2627.69"/>
    <s v="Completed"/>
    <x v="1"/>
    <s v="Apple Pay"/>
  </r>
  <r>
    <n v="2379"/>
    <n v="6283"/>
    <x v="63"/>
    <n v="450.59"/>
    <s v="Completed"/>
    <x v="3"/>
    <s v="Credit Card"/>
  </r>
  <r>
    <n v="2380"/>
    <n v="7732"/>
    <x v="332"/>
    <n v="1617.31"/>
    <s v="Completed"/>
    <x v="2"/>
    <s v="PayPal"/>
  </r>
  <r>
    <n v="2381"/>
    <n v="4211"/>
    <x v="42"/>
    <n v="968.43"/>
    <s v="Completed"/>
    <x v="2"/>
    <s v="Credit Card"/>
  </r>
  <r>
    <n v="2382"/>
    <n v="960"/>
    <x v="354"/>
    <n v="683.81"/>
    <s v="Completed"/>
    <x v="2"/>
    <s v="Credit Card"/>
  </r>
  <r>
    <n v="2383"/>
    <n v="1190"/>
    <x v="128"/>
    <n v="313.64999999999998"/>
    <s v="Completed"/>
    <x v="0"/>
    <s v="Debit Card"/>
  </r>
  <r>
    <n v="2384"/>
    <n v="6688"/>
    <x v="272"/>
    <n v="2383.08"/>
    <s v="Completed"/>
    <x v="2"/>
    <s v="Credit Card"/>
  </r>
  <r>
    <n v="2385"/>
    <n v="251"/>
    <x v="271"/>
    <n v="1099.8900000000001"/>
    <s v="Completed"/>
    <x v="3"/>
    <s v="Debit Card"/>
  </r>
  <r>
    <n v="2386"/>
    <n v="5804"/>
    <x v="32"/>
    <n v="1989.13"/>
    <s v="Completed"/>
    <x v="0"/>
    <s v="PayPal"/>
  </r>
  <r>
    <n v="2387"/>
    <n v="8963"/>
    <x v="199"/>
    <n v="4029.4"/>
    <s v="Completed"/>
    <x v="4"/>
    <s v="PayPal"/>
  </r>
  <r>
    <n v="2388"/>
    <n v="3522"/>
    <x v="148"/>
    <n v="2151.5100000000002"/>
    <s v="Completed"/>
    <x v="3"/>
    <s v="Debit Card"/>
  </r>
  <r>
    <n v="2389"/>
    <n v="9954"/>
    <x v="27"/>
    <n v="693.05"/>
    <s v="Completed"/>
    <x v="3"/>
    <s v="Credit Card"/>
  </r>
  <r>
    <n v="2390"/>
    <n v="1882"/>
    <x v="57"/>
    <n v="376.31"/>
    <s v="Completed"/>
    <x v="2"/>
    <s v="PayPal"/>
  </r>
  <r>
    <n v="2391"/>
    <n v="3736"/>
    <x v="319"/>
    <n v="2589.69"/>
    <s v="Cancelled"/>
    <x v="0"/>
    <s v="PayPal"/>
  </r>
  <r>
    <n v="2392"/>
    <n v="9270"/>
    <x v="1"/>
    <n v="1517.02"/>
    <s v="Completed"/>
    <x v="0"/>
    <s v="PayPal"/>
  </r>
  <r>
    <n v="2393"/>
    <n v="3286"/>
    <x v="99"/>
    <n v="145.02000000000001"/>
    <s v="Completed"/>
    <x v="2"/>
    <s v="PayPal"/>
  </r>
  <r>
    <n v="2394"/>
    <n v="9589"/>
    <x v="58"/>
    <n v="447.91"/>
    <s v="Completed"/>
    <x v="2"/>
    <s v="Apple Pay"/>
  </r>
  <r>
    <n v="2395"/>
    <n v="768"/>
    <x v="161"/>
    <n v="2122.7800000000002"/>
    <s v="Completed"/>
    <x v="0"/>
    <s v="Debit Card"/>
  </r>
  <r>
    <n v="2396"/>
    <n v="2606"/>
    <x v="89"/>
    <n v="751.38"/>
    <s v="Cancelled"/>
    <x v="2"/>
    <s v="PayPal"/>
  </r>
  <r>
    <n v="2397"/>
    <n v="2232"/>
    <x v="169"/>
    <n v="4581.93"/>
    <s v="Completed"/>
    <x v="0"/>
    <s v="Apple Pay"/>
  </r>
  <r>
    <n v="2398"/>
    <n v="6736"/>
    <x v="228"/>
    <n v="459.12"/>
    <s v="Completed"/>
    <x v="3"/>
    <s v="Debit Card"/>
  </r>
  <r>
    <n v="2399"/>
    <n v="2816"/>
    <x v="285"/>
    <n v="2681.76"/>
    <s v="Completed"/>
    <x v="2"/>
    <s v="Apple Pay"/>
  </r>
  <r>
    <n v="2400"/>
    <n v="6696"/>
    <x v="85"/>
    <n v="2444.09"/>
    <s v="Completed"/>
    <x v="0"/>
    <s v="Debit Card"/>
  </r>
  <r>
    <n v="2401"/>
    <n v="3287"/>
    <x v="112"/>
    <n v="395.52"/>
    <s v="Completed"/>
    <x v="2"/>
    <s v="Apple Pay"/>
  </r>
  <r>
    <n v="2402"/>
    <n v="2156"/>
    <x v="269"/>
    <n v="1041.67"/>
    <s v="Completed"/>
    <x v="2"/>
    <s v="PayPal"/>
  </r>
  <r>
    <n v="2403"/>
    <n v="9518"/>
    <x v="247"/>
    <n v="3554.5"/>
    <s v="Completed"/>
    <x v="3"/>
    <s v="PayPal"/>
  </r>
  <r>
    <n v="2404"/>
    <n v="8431"/>
    <x v="25"/>
    <n v="2176.23"/>
    <s v="Completed"/>
    <x v="4"/>
    <s v="Credit Card"/>
  </r>
  <r>
    <n v="2405"/>
    <n v="549"/>
    <x v="54"/>
    <n v="494.7"/>
    <s v="Completed"/>
    <x v="1"/>
    <s v="Apple Pay"/>
  </r>
  <r>
    <n v="2406"/>
    <n v="5346"/>
    <x v="236"/>
    <n v="198.89"/>
    <s v="Completed"/>
    <x v="2"/>
    <s v="Credit Card"/>
  </r>
  <r>
    <n v="2407"/>
    <n v="1122"/>
    <x v="166"/>
    <n v="547.54"/>
    <s v="Completed"/>
    <x v="3"/>
    <s v="Credit Card"/>
  </r>
  <r>
    <n v="2408"/>
    <n v="65"/>
    <x v="0"/>
    <n v="467.35"/>
    <s v="Completed"/>
    <x v="1"/>
    <s v="Debit Card"/>
  </r>
  <r>
    <n v="2409"/>
    <n v="1445"/>
    <x v="294"/>
    <n v="73.66"/>
    <s v="Completed"/>
    <x v="0"/>
    <s v="Credit Card"/>
  </r>
  <r>
    <n v="2410"/>
    <n v="9595"/>
    <x v="318"/>
    <n v="5368.21"/>
    <s v="Completed"/>
    <x v="2"/>
    <s v="PayPal"/>
  </r>
  <r>
    <n v="2411"/>
    <n v="9242"/>
    <x v="226"/>
    <n v="1628.17"/>
    <s v="Completed"/>
    <x v="1"/>
    <s v="Debit Card"/>
  </r>
  <r>
    <n v="2412"/>
    <n v="6727"/>
    <x v="233"/>
    <n v="239.67"/>
    <s v="Completed"/>
    <x v="0"/>
    <s v="Debit Card"/>
  </r>
  <r>
    <n v="2413"/>
    <n v="4419"/>
    <x v="168"/>
    <n v="1516.42"/>
    <s v="Completed"/>
    <x v="3"/>
    <s v="Debit Card"/>
  </r>
  <r>
    <n v="2414"/>
    <n v="3741"/>
    <x v="141"/>
    <n v="183.34"/>
    <s v="Completed"/>
    <x v="3"/>
    <s v="PayPal"/>
  </r>
  <r>
    <n v="2415"/>
    <n v="2434"/>
    <x v="221"/>
    <n v="1044.9000000000001"/>
    <s v="Completed"/>
    <x v="2"/>
    <s v="Apple Pay"/>
  </r>
  <r>
    <n v="2416"/>
    <n v="690"/>
    <x v="87"/>
    <n v="526.08000000000004"/>
    <s v="Completed"/>
    <x v="3"/>
    <s v="Apple Pay"/>
  </r>
  <r>
    <n v="2417"/>
    <n v="9000"/>
    <x v="303"/>
    <n v="228.45"/>
    <s v="Completed"/>
    <x v="4"/>
    <s v="Apple Pay"/>
  </r>
  <r>
    <n v="2418"/>
    <n v="9106"/>
    <x v="157"/>
    <n v="1140.1199999999999"/>
    <s v="Completed"/>
    <x v="0"/>
    <s v="Credit Card"/>
  </r>
  <r>
    <n v="2419"/>
    <n v="4789"/>
    <x v="356"/>
    <n v="562.41"/>
    <s v="Completed"/>
    <x v="0"/>
    <s v="Debit Card"/>
  </r>
  <r>
    <n v="2420"/>
    <n v="4087"/>
    <x v="307"/>
    <n v="2021.12"/>
    <s v="Completed"/>
    <x v="3"/>
    <s v="Debit Card"/>
  </r>
  <r>
    <n v="2421"/>
    <n v="3742"/>
    <x v="338"/>
    <n v="516.25"/>
    <s v="Returned"/>
    <x v="1"/>
    <s v="PayPal"/>
  </r>
  <r>
    <n v="2422"/>
    <n v="1718"/>
    <x v="197"/>
    <n v="485.89"/>
    <s v="Completed"/>
    <x v="4"/>
    <s v="Apple Pay"/>
  </r>
  <r>
    <n v="2423"/>
    <n v="5769"/>
    <x v="182"/>
    <n v="860.81"/>
    <s v="Completed"/>
    <x v="0"/>
    <s v="Debit Card"/>
  </r>
  <r>
    <n v="2424"/>
    <n v="3407"/>
    <x v="167"/>
    <n v="2494.96"/>
    <s v="Completed"/>
    <x v="0"/>
    <s v="PayPal"/>
  </r>
  <r>
    <n v="2425"/>
    <n v="5976"/>
    <x v="134"/>
    <n v="469.95"/>
    <s v="Completed"/>
    <x v="0"/>
    <s v="Credit Card"/>
  </r>
  <r>
    <n v="2426"/>
    <n v="7773"/>
    <x v="171"/>
    <n v="376.78"/>
    <s v="Completed"/>
    <x v="1"/>
    <s v="Apple Pay"/>
  </r>
  <r>
    <n v="2427"/>
    <n v="7305"/>
    <x v="167"/>
    <n v="254.46"/>
    <s v="Completed"/>
    <x v="2"/>
    <s v="PayPal"/>
  </r>
  <r>
    <n v="2428"/>
    <n v="5177"/>
    <x v="56"/>
    <n v="1257.96"/>
    <s v="Completed"/>
    <x v="0"/>
    <s v="Credit Card"/>
  </r>
  <r>
    <n v="2429"/>
    <n v="9749"/>
    <x v="31"/>
    <n v="2304.67"/>
    <s v="Completed"/>
    <x v="3"/>
    <s v="PayPal"/>
  </r>
  <r>
    <n v="2430"/>
    <n v="6873"/>
    <x v="354"/>
    <n v="2613.3000000000002"/>
    <s v="Completed"/>
    <x v="3"/>
    <s v="Apple Pay"/>
  </r>
  <r>
    <n v="2431"/>
    <n v="5125"/>
    <x v="91"/>
    <n v="151.46"/>
    <s v="Completed"/>
    <x v="2"/>
    <s v="Apple Pay"/>
  </r>
  <r>
    <n v="2432"/>
    <n v="8740"/>
    <x v="354"/>
    <n v="734.28"/>
    <s v="Completed"/>
    <x v="3"/>
    <s v="Apple Pay"/>
  </r>
  <r>
    <n v="2433"/>
    <n v="1892"/>
    <x v="30"/>
    <n v="1455.02"/>
    <s v="Completed"/>
    <x v="3"/>
    <s v="Credit Card"/>
  </r>
  <r>
    <n v="2434"/>
    <n v="349"/>
    <x v="346"/>
    <n v="1338.05"/>
    <s v="Completed"/>
    <x v="0"/>
    <s v="Credit Card"/>
  </r>
  <r>
    <n v="2435"/>
    <n v="2296"/>
    <x v="301"/>
    <n v="1228.22"/>
    <s v="Completed"/>
    <x v="1"/>
    <s v="Apple Pay"/>
  </r>
  <r>
    <n v="2436"/>
    <n v="4220"/>
    <x v="345"/>
    <n v="723.94"/>
    <s v="Cancelled"/>
    <x v="1"/>
    <s v="Debit Card"/>
  </r>
  <r>
    <n v="2437"/>
    <n v="6980"/>
    <x v="120"/>
    <n v="599.38"/>
    <s v="Completed"/>
    <x v="1"/>
    <s v="Debit Card"/>
  </r>
  <r>
    <n v="2438"/>
    <n v="9679"/>
    <x v="231"/>
    <n v="1527.31"/>
    <s v="Completed"/>
    <x v="3"/>
    <s v="Apple Pay"/>
  </r>
  <r>
    <n v="2439"/>
    <n v="2712"/>
    <x v="345"/>
    <n v="250.59"/>
    <s v="Completed"/>
    <x v="4"/>
    <s v="Credit Card"/>
  </r>
  <r>
    <n v="2440"/>
    <n v="594"/>
    <x v="161"/>
    <n v="5358.14"/>
    <s v="Completed"/>
    <x v="4"/>
    <s v="Credit Card"/>
  </r>
  <r>
    <n v="2441"/>
    <n v="4220"/>
    <x v="84"/>
    <n v="2570.2800000000002"/>
    <s v="Completed"/>
    <x v="1"/>
    <s v="Debit Card"/>
  </r>
  <r>
    <n v="2442"/>
    <n v="9072"/>
    <x v="316"/>
    <n v="1838.14"/>
    <s v="Cancelled"/>
    <x v="4"/>
    <s v="PayPal"/>
  </r>
  <r>
    <n v="2443"/>
    <n v="8239"/>
    <x v="130"/>
    <n v="1560.22"/>
    <s v="Completed"/>
    <x v="4"/>
    <s v="Credit Card"/>
  </r>
  <r>
    <n v="2444"/>
    <n v="6716"/>
    <x v="111"/>
    <n v="993.42"/>
    <s v="Completed"/>
    <x v="1"/>
    <s v="Credit Card"/>
  </r>
  <r>
    <n v="2445"/>
    <n v="4247"/>
    <x v="162"/>
    <n v="2643.94"/>
    <s v="Completed"/>
    <x v="4"/>
    <s v="PayPal"/>
  </r>
  <r>
    <n v="2446"/>
    <n v="1211"/>
    <x v="330"/>
    <n v="1933.65"/>
    <s v="Completed"/>
    <x v="3"/>
    <s v="PayPal"/>
  </r>
  <r>
    <n v="2447"/>
    <n v="5417"/>
    <x v="297"/>
    <n v="563.58000000000004"/>
    <s v="Completed"/>
    <x v="2"/>
    <s v="Apple Pay"/>
  </r>
  <r>
    <n v="2448"/>
    <n v="7748"/>
    <x v="83"/>
    <n v="1817.84"/>
    <s v="Completed"/>
    <x v="3"/>
    <s v="Apple Pay"/>
  </r>
  <r>
    <n v="2449"/>
    <n v="4538"/>
    <x v="164"/>
    <n v="812.41"/>
    <s v="Completed"/>
    <x v="2"/>
    <s v="PayPal"/>
  </r>
  <r>
    <n v="2450"/>
    <n v="9442"/>
    <x v="121"/>
    <n v="828.55"/>
    <s v="Completed"/>
    <x v="2"/>
    <s v="Debit Card"/>
  </r>
  <r>
    <n v="2451"/>
    <n v="9012"/>
    <x v="209"/>
    <n v="361.97"/>
    <s v="Completed"/>
    <x v="1"/>
    <s v="Apple Pay"/>
  </r>
  <r>
    <n v="2452"/>
    <n v="7326"/>
    <x v="355"/>
    <n v="4077.46"/>
    <s v="Completed"/>
    <x v="0"/>
    <s v="Debit Card"/>
  </r>
  <r>
    <n v="2453"/>
    <n v="4493"/>
    <x v="159"/>
    <n v="1547.85"/>
    <s v="Completed"/>
    <x v="4"/>
    <s v="Apple Pay"/>
  </r>
  <r>
    <n v="2454"/>
    <n v="1326"/>
    <x v="340"/>
    <n v="2524.48"/>
    <s v="Completed"/>
    <x v="3"/>
    <s v="Debit Card"/>
  </r>
  <r>
    <n v="2455"/>
    <n v="284"/>
    <x v="186"/>
    <n v="197.3"/>
    <s v="Completed"/>
    <x v="2"/>
    <s v="PayPal"/>
  </r>
  <r>
    <n v="2456"/>
    <n v="731"/>
    <x v="62"/>
    <n v="548.39"/>
    <s v="Completed"/>
    <x v="0"/>
    <s v="Apple Pay"/>
  </r>
  <r>
    <n v="2457"/>
    <n v="5297"/>
    <x v="202"/>
    <n v="870.94"/>
    <s v="Completed"/>
    <x v="4"/>
    <s v="PayPal"/>
  </r>
  <r>
    <n v="2458"/>
    <n v="6052"/>
    <x v="252"/>
    <n v="1127.3900000000001"/>
    <s v="Completed"/>
    <x v="1"/>
    <s v="PayPal"/>
  </r>
  <r>
    <n v="2459"/>
    <n v="707"/>
    <x v="194"/>
    <n v="2401.34"/>
    <s v="Completed"/>
    <x v="1"/>
    <s v="Debit Card"/>
  </r>
  <r>
    <n v="2460"/>
    <n v="2056"/>
    <x v="311"/>
    <n v="1262.3599999999999"/>
    <s v="Completed"/>
    <x v="1"/>
    <s v="Apple Pay"/>
  </r>
  <r>
    <n v="2461"/>
    <n v="4109"/>
    <x v="301"/>
    <n v="821"/>
    <s v="Completed"/>
    <x v="0"/>
    <s v="Debit Card"/>
  </r>
  <r>
    <n v="2462"/>
    <n v="7825"/>
    <x v="221"/>
    <n v="599.12"/>
    <s v="Completed"/>
    <x v="4"/>
    <s v="Credit Card"/>
  </r>
  <r>
    <n v="2463"/>
    <n v="8952"/>
    <x v="223"/>
    <n v="6605.74"/>
    <s v="Completed"/>
    <x v="4"/>
    <s v="PayPal"/>
  </r>
  <r>
    <n v="2464"/>
    <n v="6854"/>
    <x v="200"/>
    <n v="4215.32"/>
    <s v="Completed"/>
    <x v="3"/>
    <s v="Credit Card"/>
  </r>
  <r>
    <n v="2465"/>
    <n v="2432"/>
    <x v="115"/>
    <n v="1602.65"/>
    <s v="Cancelled"/>
    <x v="2"/>
    <s v="Apple Pay"/>
  </r>
  <r>
    <n v="2466"/>
    <n v="1936"/>
    <x v="132"/>
    <n v="209.84"/>
    <s v="Completed"/>
    <x v="2"/>
    <s v="Debit Card"/>
  </r>
  <r>
    <n v="2467"/>
    <n v="976"/>
    <x v="107"/>
    <n v="2473.42"/>
    <s v="Completed"/>
    <x v="2"/>
    <s v="Debit Card"/>
  </r>
  <r>
    <n v="2468"/>
    <n v="1433"/>
    <x v="149"/>
    <n v="971.78"/>
    <s v="Completed"/>
    <x v="0"/>
    <s v="Debit Card"/>
  </r>
  <r>
    <n v="2469"/>
    <n v="8422"/>
    <x v="216"/>
    <n v="274.83"/>
    <s v="Cancelled"/>
    <x v="3"/>
    <s v="Credit Card"/>
  </r>
  <r>
    <n v="2470"/>
    <n v="532"/>
    <x v="290"/>
    <n v="44.16"/>
    <s v="Completed"/>
    <x v="2"/>
    <s v="Apple Pay"/>
  </r>
  <r>
    <n v="2471"/>
    <n v="370"/>
    <x v="171"/>
    <n v="1679.65"/>
    <s v="Completed"/>
    <x v="0"/>
    <s v="Debit Card"/>
  </r>
  <r>
    <n v="2472"/>
    <n v="9331"/>
    <x v="314"/>
    <n v="413.05"/>
    <s v="Completed"/>
    <x v="2"/>
    <s v="Credit Card"/>
  </r>
  <r>
    <n v="2473"/>
    <n v="5572"/>
    <x v="58"/>
    <n v="1882.98"/>
    <s v="Completed"/>
    <x v="0"/>
    <s v="Apple Pay"/>
  </r>
  <r>
    <n v="2474"/>
    <n v="8808"/>
    <x v="142"/>
    <n v="2495.91"/>
    <s v="Completed"/>
    <x v="3"/>
    <s v="Apple Pay"/>
  </r>
  <r>
    <n v="2475"/>
    <n v="258"/>
    <x v="174"/>
    <n v="2849.53"/>
    <s v="Completed"/>
    <x v="3"/>
    <s v="Apple Pay"/>
  </r>
  <r>
    <n v="2476"/>
    <n v="3927"/>
    <x v="292"/>
    <n v="209.84"/>
    <s v="Completed"/>
    <x v="4"/>
    <s v="Apple Pay"/>
  </r>
  <r>
    <n v="2477"/>
    <n v="5220"/>
    <x v="177"/>
    <n v="227.77"/>
    <s v="Completed"/>
    <x v="3"/>
    <s v="PayPal"/>
  </r>
  <r>
    <n v="2478"/>
    <n v="9644"/>
    <x v="272"/>
    <n v="1810.33"/>
    <s v="Completed"/>
    <x v="1"/>
    <s v="PayPal"/>
  </r>
  <r>
    <n v="2479"/>
    <n v="2274"/>
    <x v="328"/>
    <n v="1067.77"/>
    <s v="Completed"/>
    <x v="1"/>
    <s v="Debit Card"/>
  </r>
  <r>
    <n v="2480"/>
    <n v="3826"/>
    <x v="166"/>
    <n v="1753.87"/>
    <s v="Completed"/>
    <x v="5"/>
    <s v="Apple Pay"/>
  </r>
  <r>
    <n v="2481"/>
    <n v="9945"/>
    <x v="258"/>
    <n v="796.08"/>
    <s v="Returned"/>
    <x v="1"/>
    <s v="PayPal"/>
  </r>
  <r>
    <n v="2482"/>
    <n v="3796"/>
    <x v="4"/>
    <n v="748.01"/>
    <s v="Completed"/>
    <x v="2"/>
    <s v="PayPal"/>
  </r>
  <r>
    <n v="2483"/>
    <n v="2454"/>
    <x v="336"/>
    <n v="2538.46"/>
    <s v="Completed"/>
    <x v="4"/>
    <s v="Debit Card"/>
  </r>
  <r>
    <n v="2484"/>
    <n v="9679"/>
    <x v="292"/>
    <n v="751.38"/>
    <s v="Completed"/>
    <x v="3"/>
    <s v="Debit Card"/>
  </r>
  <r>
    <n v="2485"/>
    <n v="7070"/>
    <x v="119"/>
    <n v="736.45"/>
    <s v="Completed"/>
    <x v="3"/>
    <s v="Apple Pay"/>
  </r>
  <r>
    <n v="2486"/>
    <n v="1519"/>
    <x v="230"/>
    <n v="1279.4000000000001"/>
    <s v="Completed"/>
    <x v="1"/>
    <s v="PayPal"/>
  </r>
  <r>
    <n v="2487"/>
    <n v="3300"/>
    <x v="106"/>
    <n v="398.41"/>
    <s v="Completed"/>
    <x v="4"/>
    <s v="PayPal"/>
  </r>
  <r>
    <n v="2488"/>
    <n v="8325"/>
    <x v="34"/>
    <n v="990.14"/>
    <s v="Completed"/>
    <x v="4"/>
    <s v="Apple Pay"/>
  </r>
  <r>
    <n v="2489"/>
    <n v="9005"/>
    <x v="281"/>
    <n v="558.62"/>
    <s v="Completed"/>
    <x v="1"/>
    <s v="Apple Pay"/>
  </r>
  <r>
    <n v="2490"/>
    <n v="4639"/>
    <x v="152"/>
    <n v="2105.38"/>
    <s v="Completed"/>
    <x v="2"/>
    <s v="Credit Card"/>
  </r>
  <r>
    <n v="2491"/>
    <n v="7718"/>
    <x v="60"/>
    <n v="4337.75"/>
    <s v="Completed"/>
    <x v="0"/>
    <s v="Debit Card"/>
  </r>
  <r>
    <n v="2492"/>
    <n v="653"/>
    <x v="348"/>
    <n v="485.89"/>
    <s v="Completed"/>
    <x v="4"/>
    <s v="Credit Card"/>
  </r>
  <r>
    <n v="2493"/>
    <n v="6906"/>
    <x v="185"/>
    <n v="1802.19"/>
    <s v="Completed"/>
    <x v="3"/>
    <s v="Debit Card"/>
  </r>
  <r>
    <n v="2494"/>
    <n v="1417"/>
    <x v="8"/>
    <n v="340.18"/>
    <s v="Completed"/>
    <x v="0"/>
    <s v="Credit Card"/>
  </r>
  <r>
    <n v="2495"/>
    <n v="1759"/>
    <x v="90"/>
    <n v="120.27"/>
    <s v="Completed"/>
    <x v="3"/>
    <s v="PayPal"/>
  </r>
  <r>
    <n v="2496"/>
    <n v="7079"/>
    <x v="241"/>
    <n v="2265.46"/>
    <s v="Completed"/>
    <x v="1"/>
    <s v="Apple Pay"/>
  </r>
  <r>
    <n v="2497"/>
    <n v="595"/>
    <x v="210"/>
    <n v="367.55"/>
    <s v="Completed"/>
    <x v="2"/>
    <s v="Apple Pay"/>
  </r>
  <r>
    <n v="2498"/>
    <n v="5663"/>
    <x v="163"/>
    <n v="257.17"/>
    <s v="Completed"/>
    <x v="0"/>
    <s v="Apple Pay"/>
  </r>
  <r>
    <n v="2499"/>
    <n v="3256"/>
    <x v="214"/>
    <n v="2491.89"/>
    <s v="Completed"/>
    <x v="3"/>
    <s v="Debit Card"/>
  </r>
  <r>
    <n v="2500"/>
    <n v="9376"/>
    <x v="228"/>
    <n v="380.41"/>
    <s v="Completed"/>
    <x v="4"/>
    <s v="Apple Pay"/>
  </r>
  <r>
    <n v="2501"/>
    <n v="579"/>
    <x v="22"/>
    <n v="1174.31"/>
    <s v="Completed"/>
    <x v="4"/>
    <s v="PayPal"/>
  </r>
  <r>
    <n v="2502"/>
    <n v="567"/>
    <x v="332"/>
    <n v="2196.1"/>
    <s v="Completed"/>
    <x v="2"/>
    <s v="Credit Card"/>
  </r>
  <r>
    <n v="2503"/>
    <n v="2231"/>
    <x v="316"/>
    <n v="574.91"/>
    <s v="Completed"/>
    <x v="4"/>
    <s v="Credit Card"/>
  </r>
  <r>
    <n v="2504"/>
    <n v="4644"/>
    <x v="5"/>
    <n v="759.97"/>
    <s v="Completed"/>
    <x v="1"/>
    <s v="Apple Pay"/>
  </r>
  <r>
    <n v="2505"/>
    <n v="1425"/>
    <x v="252"/>
    <n v="1955.02"/>
    <s v="Completed"/>
    <x v="0"/>
    <s v="PayPal"/>
  </r>
  <r>
    <n v="2506"/>
    <n v="334"/>
    <x v="102"/>
    <n v="1153.5"/>
    <s v="Completed"/>
    <x v="4"/>
    <s v="PayPal"/>
  </r>
  <r>
    <n v="2507"/>
    <n v="6027"/>
    <x v="9"/>
    <n v="2555.0100000000002"/>
    <s v="Completed"/>
    <x v="2"/>
    <s v="Debit Card"/>
  </r>
  <r>
    <n v="2508"/>
    <n v="6655"/>
    <x v="357"/>
    <n v="1922.15"/>
    <s v="Completed"/>
    <x v="2"/>
    <s v="PayPal"/>
  </r>
  <r>
    <n v="2509"/>
    <n v="1250"/>
    <x v="211"/>
    <n v="538.64"/>
    <s v="Completed"/>
    <x v="3"/>
    <s v="PayPal"/>
  </r>
  <r>
    <n v="2510"/>
    <n v="7707"/>
    <x v="203"/>
    <n v="218.79"/>
    <s v="Completed"/>
    <x v="1"/>
    <s v="PayPal"/>
  </r>
  <r>
    <n v="2511"/>
    <n v="7680"/>
    <x v="199"/>
    <n v="1141.32"/>
    <s v="Completed"/>
    <x v="1"/>
    <s v="Debit Card"/>
  </r>
  <r>
    <n v="2512"/>
    <n v="2424"/>
    <x v="313"/>
    <n v="1704.3"/>
    <s v="Completed"/>
    <x v="0"/>
    <s v="Debit Card"/>
  </r>
  <r>
    <n v="2513"/>
    <n v="6712"/>
    <x v="269"/>
    <n v="359.42"/>
    <s v="Completed"/>
    <x v="1"/>
    <s v="PayPal"/>
  </r>
  <r>
    <n v="2514"/>
    <n v="3217"/>
    <x v="189"/>
    <n v="2266.2399999999998"/>
    <s v="Completed"/>
    <x v="3"/>
    <s v="Credit Card"/>
  </r>
  <r>
    <n v="2515"/>
    <n v="5220"/>
    <x v="52"/>
    <n v="3390.18"/>
    <s v="Completed"/>
    <x v="3"/>
    <s v="Credit Card"/>
  </r>
  <r>
    <n v="2516"/>
    <n v="6304"/>
    <x v="169"/>
    <n v="324.13"/>
    <s v="Completed"/>
    <x v="1"/>
    <s v="Apple Pay"/>
  </r>
  <r>
    <n v="2517"/>
    <n v="4055"/>
    <x v="236"/>
    <n v="521.14"/>
    <s v="Returned"/>
    <x v="0"/>
    <s v="Debit Card"/>
  </r>
  <r>
    <n v="2518"/>
    <n v="7062"/>
    <x v="229"/>
    <n v="3819.14"/>
    <s v="Completed"/>
    <x v="4"/>
    <s v="PayPal"/>
  </r>
  <r>
    <n v="2519"/>
    <n v="4169"/>
    <x v="159"/>
    <n v="2870.9"/>
    <s v="Completed"/>
    <x v="3"/>
    <s v="Debit Card"/>
  </r>
  <r>
    <n v="2520"/>
    <n v="1026"/>
    <x v="205"/>
    <n v="1146.95"/>
    <s v="Completed"/>
    <x v="3"/>
    <s v="Debit Card"/>
  </r>
  <r>
    <n v="2521"/>
    <n v="6423"/>
    <x v="310"/>
    <n v="1008.02"/>
    <s v="Completed"/>
    <x v="4"/>
    <s v="PayPal"/>
  </r>
  <r>
    <n v="2522"/>
    <n v="4021"/>
    <x v="255"/>
    <n v="470.36"/>
    <s v="Completed"/>
    <x v="3"/>
    <s v="PayPal"/>
  </r>
  <r>
    <n v="2523"/>
    <n v="1263"/>
    <x v="166"/>
    <n v="2360.08"/>
    <s v="Completed"/>
    <x v="0"/>
    <s v="PayPal"/>
  </r>
  <r>
    <n v="2524"/>
    <n v="6834"/>
    <x v="76"/>
    <n v="183.34"/>
    <s v="Completed"/>
    <x v="1"/>
    <s v="Credit Card"/>
  </r>
  <r>
    <n v="2525"/>
    <n v="78"/>
    <x v="44"/>
    <n v="1146.95"/>
    <s v="Completed"/>
    <x v="0"/>
    <s v="PayPal"/>
  </r>
  <r>
    <n v="2526"/>
    <n v="3316"/>
    <x v="219"/>
    <n v="315.29000000000002"/>
    <s v="Completed"/>
    <x v="0"/>
    <s v="Debit Card"/>
  </r>
  <r>
    <n v="2527"/>
    <n v="5621"/>
    <x v="216"/>
    <n v="1569.26"/>
    <s v="Completed"/>
    <x v="1"/>
    <s v="Credit Card"/>
  </r>
  <r>
    <n v="2528"/>
    <n v="6122"/>
    <x v="296"/>
    <n v="1988.19"/>
    <s v="Completed"/>
    <x v="0"/>
    <s v="Debit Card"/>
  </r>
  <r>
    <n v="2529"/>
    <n v="5901"/>
    <x v="341"/>
    <n v="395.52"/>
    <s v="Completed"/>
    <x v="0"/>
    <s v="PayPal"/>
  </r>
  <r>
    <n v="2530"/>
    <n v="2252"/>
    <x v="340"/>
    <n v="284.14"/>
    <s v="Completed"/>
    <x v="0"/>
    <s v="Debit Card"/>
  </r>
  <r>
    <n v="2531"/>
    <n v="8463"/>
    <x v="346"/>
    <n v="798.94"/>
    <s v="Completed"/>
    <x v="2"/>
    <s v="Debit Card"/>
  </r>
  <r>
    <n v="2532"/>
    <n v="8121"/>
    <x v="74"/>
    <n v="359.28"/>
    <s v="Completed"/>
    <x v="4"/>
    <s v="Credit Card"/>
  </r>
  <r>
    <n v="2533"/>
    <n v="4998"/>
    <x v="164"/>
    <n v="292.06"/>
    <s v="Completed"/>
    <x v="3"/>
    <s v="Credit Card"/>
  </r>
  <r>
    <n v="2534"/>
    <n v="8905"/>
    <x v="245"/>
    <n v="1280.22"/>
    <s v="Completed"/>
    <x v="2"/>
    <s v="Apple Pay"/>
  </r>
  <r>
    <n v="2535"/>
    <n v="1746"/>
    <x v="181"/>
    <n v="1140.57"/>
    <s v="Completed"/>
    <x v="3"/>
    <s v="Debit Card"/>
  </r>
  <r>
    <n v="2536"/>
    <n v="7021"/>
    <x v="56"/>
    <n v="3034.04"/>
    <s v="Completed"/>
    <x v="3"/>
    <s v="Debit Card"/>
  </r>
  <r>
    <n v="2537"/>
    <n v="5015"/>
    <x v="71"/>
    <n v="788.34"/>
    <s v="Completed"/>
    <x v="3"/>
    <s v="Debit Card"/>
  </r>
  <r>
    <n v="2538"/>
    <n v="4163"/>
    <x v="146"/>
    <n v="742.19"/>
    <s v="Completed"/>
    <x v="1"/>
    <s v="Apple Pay"/>
  </r>
  <r>
    <n v="2539"/>
    <n v="5617"/>
    <x v="45"/>
    <n v="96.07"/>
    <s v="Completed"/>
    <x v="1"/>
    <s v="Credit Card"/>
  </r>
  <r>
    <n v="2540"/>
    <n v="9847"/>
    <x v="116"/>
    <n v="3187.75"/>
    <s v="Completed"/>
    <x v="4"/>
    <s v="Debit Card"/>
  </r>
  <r>
    <n v="2541"/>
    <n v="8166"/>
    <x v="151"/>
    <n v="405.1"/>
    <s v="Completed"/>
    <x v="3"/>
    <s v="Credit Card"/>
  </r>
  <r>
    <n v="2542"/>
    <n v="8045"/>
    <x v="222"/>
    <n v="899.2"/>
    <s v="Completed"/>
    <x v="0"/>
    <s v="PayPal"/>
  </r>
  <r>
    <n v="2543"/>
    <n v="1861"/>
    <x v="127"/>
    <n v="2625.04"/>
    <s v="Completed"/>
    <x v="2"/>
    <s v="Apple Pay"/>
  </r>
  <r>
    <n v="2544"/>
    <n v="5815"/>
    <x v="360"/>
    <n v="1328.07"/>
    <s v="Completed"/>
    <x v="2"/>
    <s v="Apple Pay"/>
  </r>
  <r>
    <n v="2545"/>
    <n v="5793"/>
    <x v="58"/>
    <n v="1169"/>
    <s v="Completed"/>
    <x v="4"/>
    <s v="Credit Card"/>
  </r>
  <r>
    <n v="2546"/>
    <n v="9200"/>
    <x v="315"/>
    <n v="1996.55"/>
    <s v="Completed"/>
    <x v="1"/>
    <s v="Credit Card"/>
  </r>
  <r>
    <n v="2547"/>
    <n v="3155"/>
    <x v="204"/>
    <n v="690.67"/>
    <s v="Completed"/>
    <x v="5"/>
    <s v="Credit Card"/>
  </r>
  <r>
    <n v="2548"/>
    <n v="8713"/>
    <x v="197"/>
    <n v="140.76"/>
    <s v="Completed"/>
    <x v="0"/>
    <s v="Credit Card"/>
  </r>
  <r>
    <n v="2549"/>
    <n v="1538"/>
    <x v="73"/>
    <n v="55.64"/>
    <s v="Completed"/>
    <x v="3"/>
    <s v="Debit Card"/>
  </r>
  <r>
    <n v="2550"/>
    <n v="8881"/>
    <x v="249"/>
    <n v="2933.83"/>
    <s v="Completed"/>
    <x v="4"/>
    <s v="Credit Card"/>
  </r>
  <r>
    <n v="2551"/>
    <n v="6812"/>
    <x v="72"/>
    <n v="428.94"/>
    <s v="Completed"/>
    <x v="2"/>
    <s v="PayPal"/>
  </r>
  <r>
    <n v="2552"/>
    <n v="9161"/>
    <x v="123"/>
    <n v="1464.24"/>
    <s v="Completed"/>
    <x v="0"/>
    <s v="PayPal"/>
  </r>
  <r>
    <n v="2553"/>
    <n v="5724"/>
    <x v="96"/>
    <n v="7919.7"/>
    <s v="Completed"/>
    <x v="1"/>
    <s v="PayPal"/>
  </r>
  <r>
    <n v="2554"/>
    <n v="7"/>
    <x v="89"/>
    <n v="140.76"/>
    <s v="Completed"/>
    <x v="2"/>
    <s v="PayPal"/>
  </r>
  <r>
    <n v="2555"/>
    <n v="625"/>
    <x v="252"/>
    <n v="759.97"/>
    <s v="Completed"/>
    <x v="4"/>
    <s v="Debit Card"/>
  </r>
  <r>
    <n v="2556"/>
    <n v="1064"/>
    <x v="25"/>
    <n v="273.77"/>
    <s v="Completed"/>
    <x v="1"/>
    <s v="Apple Pay"/>
  </r>
  <r>
    <n v="2557"/>
    <n v="7798"/>
    <x v="323"/>
    <n v="539.75"/>
    <s v="Returned"/>
    <x v="1"/>
    <s v="Debit Card"/>
  </r>
  <r>
    <n v="2558"/>
    <n v="7599"/>
    <x v="179"/>
    <n v="1648.71"/>
    <s v="Completed"/>
    <x v="3"/>
    <s v="Apple Pay"/>
  </r>
  <r>
    <n v="2559"/>
    <n v="5613"/>
    <x v="90"/>
    <n v="1550.33"/>
    <s v="Completed"/>
    <x v="1"/>
    <s v="Credit Card"/>
  </r>
  <r>
    <n v="2560"/>
    <n v="3960"/>
    <x v="132"/>
    <n v="5085.2700000000004"/>
    <s v="Completed"/>
    <x v="0"/>
    <s v="PayPal"/>
  </r>
  <r>
    <n v="2561"/>
    <n v="7269"/>
    <x v="233"/>
    <n v="318.02"/>
    <s v="Completed"/>
    <x v="2"/>
    <s v="PayPal"/>
  </r>
  <r>
    <n v="2562"/>
    <n v="6329"/>
    <x v="339"/>
    <n v="2156.29"/>
    <s v="Cancelled"/>
    <x v="1"/>
    <s v="Credit Card"/>
  </r>
  <r>
    <n v="2563"/>
    <n v="4894"/>
    <x v="21"/>
    <n v="2681.63"/>
    <s v="Cancelled"/>
    <x v="3"/>
    <s v="Debit Card"/>
  </r>
  <r>
    <n v="2564"/>
    <n v="786"/>
    <x v="158"/>
    <n v="1111.6600000000001"/>
    <s v="Completed"/>
    <x v="0"/>
    <s v="PayPal"/>
  </r>
  <r>
    <n v="2565"/>
    <n v="188"/>
    <x v="115"/>
    <n v="1261.3900000000001"/>
    <s v="Completed"/>
    <x v="0"/>
    <s v="Debit Card"/>
  </r>
  <r>
    <n v="2566"/>
    <n v="7450"/>
    <x v="224"/>
    <n v="2190.7399999999998"/>
    <s v="Completed"/>
    <x v="0"/>
    <s v="PayPal"/>
  </r>
  <r>
    <n v="2567"/>
    <n v="6609"/>
    <x v="208"/>
    <n v="2065.5100000000002"/>
    <s v="Completed"/>
    <x v="5"/>
    <s v="Credit Card"/>
  </r>
  <r>
    <n v="2568"/>
    <n v="5182"/>
    <x v="299"/>
    <n v="1112"/>
    <s v="Completed"/>
    <x v="0"/>
    <s v="Credit Card"/>
  </r>
  <r>
    <n v="2569"/>
    <n v="298"/>
    <x v="320"/>
    <n v="1811.55"/>
    <s v="Completed"/>
    <x v="3"/>
    <s v="Apple Pay"/>
  </r>
  <r>
    <n v="2570"/>
    <n v="6878"/>
    <x v="131"/>
    <n v="413.05"/>
    <s v="Completed"/>
    <x v="3"/>
    <s v="PayPal"/>
  </r>
  <r>
    <n v="2571"/>
    <n v="5216"/>
    <x v="67"/>
    <n v="1876.92"/>
    <s v="Completed"/>
    <x v="3"/>
    <s v="PayPal"/>
  </r>
  <r>
    <n v="2572"/>
    <n v="3264"/>
    <x v="5"/>
    <n v="1875"/>
    <s v="Completed"/>
    <x v="4"/>
    <s v="Credit Card"/>
  </r>
  <r>
    <n v="2573"/>
    <n v="9369"/>
    <x v="284"/>
    <n v="1816.72"/>
    <s v="Completed"/>
    <x v="3"/>
    <s v="Debit Card"/>
  </r>
  <r>
    <n v="2574"/>
    <n v="7320"/>
    <x v="300"/>
    <n v="2193.14"/>
    <s v="Completed"/>
    <x v="2"/>
    <s v="Apple Pay"/>
  </r>
  <r>
    <n v="2575"/>
    <n v="9994"/>
    <x v="161"/>
    <n v="3787.08"/>
    <s v="Completed"/>
    <x v="0"/>
    <s v="Credit Card"/>
  </r>
  <r>
    <n v="2576"/>
    <n v="2864"/>
    <x v="61"/>
    <n v="2724.64"/>
    <s v="Completed"/>
    <x v="4"/>
    <s v="Credit Card"/>
  </r>
  <r>
    <n v="2577"/>
    <n v="2686"/>
    <x v="191"/>
    <n v="466.97"/>
    <s v="Completed"/>
    <x v="3"/>
    <s v="PayPal"/>
  </r>
  <r>
    <n v="2578"/>
    <n v="9442"/>
    <x v="326"/>
    <n v="1023.43"/>
    <s v="Completed"/>
    <x v="2"/>
    <s v="Apple Pay"/>
  </r>
  <r>
    <n v="2579"/>
    <n v="8087"/>
    <x v="116"/>
    <n v="10515.44"/>
    <s v="Completed"/>
    <x v="0"/>
    <s v="Credit Card"/>
  </r>
  <r>
    <n v="2580"/>
    <n v="8284"/>
    <x v="152"/>
    <n v="1072.43"/>
    <s v="Completed"/>
    <x v="0"/>
    <s v="Credit Card"/>
  </r>
  <r>
    <n v="2581"/>
    <n v="4171"/>
    <x v="223"/>
    <n v="788.31"/>
    <s v="Completed"/>
    <x v="0"/>
    <s v="PayPal"/>
  </r>
  <r>
    <n v="2582"/>
    <n v="4793"/>
    <x v="360"/>
    <n v="401.39"/>
    <s v="Completed"/>
    <x v="3"/>
    <s v="Apple Pay"/>
  </r>
  <r>
    <n v="2583"/>
    <n v="2236"/>
    <x v="295"/>
    <n v="576.96"/>
    <s v="Completed"/>
    <x v="2"/>
    <s v="PayPal"/>
  </r>
  <r>
    <n v="2584"/>
    <n v="5927"/>
    <x v="41"/>
    <n v="810.94"/>
    <s v="Completed"/>
    <x v="0"/>
    <s v="Credit Card"/>
  </r>
  <r>
    <n v="2585"/>
    <n v="1292"/>
    <x v="171"/>
    <n v="1910.67"/>
    <s v="Completed"/>
    <x v="3"/>
    <s v="PayPal"/>
  </r>
  <r>
    <n v="2586"/>
    <n v="255"/>
    <x v="57"/>
    <n v="363.98"/>
    <s v="Completed"/>
    <x v="4"/>
    <s v="Credit Card"/>
  </r>
  <r>
    <n v="2587"/>
    <n v="5355"/>
    <x v="206"/>
    <n v="788.31"/>
    <s v="Completed"/>
    <x v="0"/>
    <s v="Credit Card"/>
  </r>
  <r>
    <n v="2588"/>
    <n v="4569"/>
    <x v="114"/>
    <n v="1441.45"/>
    <s v="Completed"/>
    <x v="4"/>
    <s v="PayPal"/>
  </r>
  <r>
    <n v="2589"/>
    <n v="7253"/>
    <x v="82"/>
    <n v="1326.08"/>
    <s v="Completed"/>
    <x v="1"/>
    <s v="Apple Pay"/>
  </r>
  <r>
    <n v="2590"/>
    <n v="8274"/>
    <x v="358"/>
    <n v="1665.95"/>
    <s v="Completed"/>
    <x v="1"/>
    <s v="Debit Card"/>
  </r>
  <r>
    <n v="2591"/>
    <n v="4370"/>
    <x v="9"/>
    <n v="38.69"/>
    <s v="Completed"/>
    <x v="2"/>
    <s v="PayPal"/>
  </r>
  <r>
    <n v="2592"/>
    <n v="5070"/>
    <x v="327"/>
    <n v="366.31"/>
    <s v="Completed"/>
    <x v="0"/>
    <s v="Credit Card"/>
  </r>
  <r>
    <n v="2593"/>
    <n v="5242"/>
    <x v="57"/>
    <n v="1083.56"/>
    <s v="Completed"/>
    <x v="4"/>
    <s v="Credit Card"/>
  </r>
  <r>
    <n v="2594"/>
    <n v="445"/>
    <x v="302"/>
    <n v="972.59"/>
    <s v="Completed"/>
    <x v="3"/>
    <s v="PayPal"/>
  </r>
  <r>
    <n v="2595"/>
    <n v="8781"/>
    <x v="99"/>
    <n v="526.08000000000004"/>
    <s v="Completed"/>
    <x v="1"/>
    <s v="Debit Card"/>
  </r>
  <r>
    <n v="2596"/>
    <n v="8953"/>
    <x v="126"/>
    <n v="1155.8900000000001"/>
    <s v="Completed"/>
    <x v="3"/>
    <s v="Credit Card"/>
  </r>
  <r>
    <n v="2597"/>
    <n v="7517"/>
    <x v="293"/>
    <n v="595.47"/>
    <s v="Completed"/>
    <x v="2"/>
    <s v="Debit Card"/>
  </r>
  <r>
    <n v="2598"/>
    <n v="8902"/>
    <x v="354"/>
    <n v="1711.19"/>
    <s v="Completed"/>
    <x v="1"/>
    <s v="Debit Card"/>
  </r>
  <r>
    <n v="2599"/>
    <n v="5978"/>
    <x v="223"/>
    <n v="797.76"/>
    <s v="Completed"/>
    <x v="2"/>
    <s v="Debit Card"/>
  </r>
  <r>
    <n v="2600"/>
    <n v="2255"/>
    <x v="226"/>
    <n v="2115.5500000000002"/>
    <s v="Completed"/>
    <x v="4"/>
    <s v="PayPal"/>
  </r>
  <r>
    <n v="2601"/>
    <n v="4292"/>
    <x v="159"/>
    <n v="487.37"/>
    <s v="Completed"/>
    <x v="4"/>
    <s v="PayPal"/>
  </r>
  <r>
    <n v="2602"/>
    <n v="3873"/>
    <x v="264"/>
    <n v="669.3"/>
    <s v="Completed"/>
    <x v="2"/>
    <s v="PayPal"/>
  </r>
  <r>
    <n v="2603"/>
    <n v="9658"/>
    <x v="49"/>
    <n v="618.92999999999995"/>
    <s v="Completed"/>
    <x v="4"/>
    <s v="PayPal"/>
  </r>
  <r>
    <n v="2604"/>
    <n v="824"/>
    <x v="26"/>
    <n v="359.28"/>
    <s v="Completed"/>
    <x v="2"/>
    <s v="Credit Card"/>
  </r>
  <r>
    <n v="2605"/>
    <n v="8750"/>
    <x v="83"/>
    <n v="214.93"/>
    <s v="Completed"/>
    <x v="0"/>
    <s v="Credit Card"/>
  </r>
  <r>
    <n v="2606"/>
    <n v="2388"/>
    <x v="237"/>
    <n v="471.55"/>
    <s v="Completed"/>
    <x v="0"/>
    <s v="Apple Pay"/>
  </r>
  <r>
    <n v="2607"/>
    <n v="5422"/>
    <x v="85"/>
    <n v="1757.46"/>
    <s v="Completed"/>
    <x v="4"/>
    <s v="Debit Card"/>
  </r>
  <r>
    <n v="2608"/>
    <n v="9982"/>
    <x v="93"/>
    <n v="1095.3599999999999"/>
    <s v="Completed"/>
    <x v="2"/>
    <s v="Apple Pay"/>
  </r>
  <r>
    <n v="2609"/>
    <n v="2089"/>
    <x v="318"/>
    <n v="4362.6400000000003"/>
    <s v="Completed"/>
    <x v="1"/>
    <s v="PayPal"/>
  </r>
  <r>
    <n v="2610"/>
    <n v="5162"/>
    <x v="155"/>
    <n v="1138.21"/>
    <s v="Completed"/>
    <x v="1"/>
    <s v="Apple Pay"/>
  </r>
  <r>
    <n v="2611"/>
    <n v="3893"/>
    <x v="155"/>
    <n v="1631.94"/>
    <s v="Completed"/>
    <x v="3"/>
    <s v="PayPal"/>
  </r>
  <r>
    <n v="2612"/>
    <n v="2311"/>
    <x v="185"/>
    <n v="776.21"/>
    <s v="Completed"/>
    <x v="4"/>
    <s v="Debit Card"/>
  </r>
  <r>
    <n v="2613"/>
    <n v="9040"/>
    <x v="123"/>
    <n v="1673.19"/>
    <s v="Completed"/>
    <x v="4"/>
    <s v="Credit Card"/>
  </r>
  <r>
    <n v="2614"/>
    <n v="8708"/>
    <x v="350"/>
    <n v="256.17"/>
    <s v="Completed"/>
    <x v="2"/>
    <s v="PayPal"/>
  </r>
  <r>
    <n v="2615"/>
    <n v="6914"/>
    <x v="9"/>
    <n v="3269.63"/>
    <s v="Completed"/>
    <x v="4"/>
    <s v="Debit Card"/>
  </r>
  <r>
    <n v="2616"/>
    <n v="4042"/>
    <x v="280"/>
    <n v="1216.29"/>
    <s v="Completed"/>
    <x v="0"/>
    <s v="PayPal"/>
  </r>
  <r>
    <n v="2617"/>
    <n v="6094"/>
    <x v="7"/>
    <n v="643.41"/>
    <s v="Completed"/>
    <x v="3"/>
    <s v="PayPal"/>
  </r>
  <r>
    <n v="2618"/>
    <n v="6876"/>
    <x v="100"/>
    <n v="760.48"/>
    <s v="Completed"/>
    <x v="4"/>
    <s v="Debit Card"/>
  </r>
  <r>
    <n v="2619"/>
    <n v="2134"/>
    <x v="265"/>
    <n v="1218.48"/>
    <s v="Completed"/>
    <x v="3"/>
    <s v="Apple Pay"/>
  </r>
  <r>
    <n v="2620"/>
    <n v="4642"/>
    <x v="111"/>
    <n v="1695.09"/>
    <s v="Completed"/>
    <x v="4"/>
    <s v="PayPal"/>
  </r>
  <r>
    <n v="2621"/>
    <n v="7968"/>
    <x v="304"/>
    <n v="3900.19"/>
    <s v="Completed"/>
    <x v="2"/>
    <s v="Debit Card"/>
  </r>
  <r>
    <n v="2622"/>
    <n v="626"/>
    <x v="256"/>
    <n v="1293.3599999999999"/>
    <s v="Completed"/>
    <x v="4"/>
    <s v="Debit Card"/>
  </r>
  <r>
    <n v="2623"/>
    <n v="2501"/>
    <x v="313"/>
    <n v="1532.96"/>
    <s v="Completed"/>
    <x v="1"/>
    <s v="PayPal"/>
  </r>
  <r>
    <n v="2624"/>
    <n v="7261"/>
    <x v="190"/>
    <n v="1317.27"/>
    <s v="Completed"/>
    <x v="4"/>
    <s v="PayPal"/>
  </r>
  <r>
    <n v="2625"/>
    <n v="2345"/>
    <x v="135"/>
    <n v="399.61"/>
    <s v="Completed"/>
    <x v="1"/>
    <s v="PayPal"/>
  </r>
  <r>
    <n v="2626"/>
    <n v="4728"/>
    <x v="144"/>
    <n v="1093.21"/>
    <s v="Completed"/>
    <x v="2"/>
    <s v="Debit Card"/>
  </r>
  <r>
    <n v="2627"/>
    <n v="434"/>
    <x v="285"/>
    <n v="366.31"/>
    <s v="Completed"/>
    <x v="2"/>
    <s v="PayPal"/>
  </r>
  <r>
    <n v="2628"/>
    <n v="2510"/>
    <x v="176"/>
    <n v="1598.33"/>
    <s v="Completed"/>
    <x v="2"/>
    <s v="Debit Card"/>
  </r>
  <r>
    <n v="2629"/>
    <n v="9236"/>
    <x v="251"/>
    <n v="1078.2"/>
    <s v="Completed"/>
    <x v="4"/>
    <s v="Credit Card"/>
  </r>
  <r>
    <n v="2630"/>
    <n v="3771"/>
    <x v="221"/>
    <n v="193.6"/>
    <s v="Completed"/>
    <x v="2"/>
    <s v="Credit Card"/>
  </r>
  <r>
    <n v="2631"/>
    <n v="4934"/>
    <x v="252"/>
    <n v="812.66"/>
    <s v="Completed"/>
    <x v="4"/>
    <s v="Apple Pay"/>
  </r>
  <r>
    <n v="2632"/>
    <n v="9366"/>
    <x v="115"/>
    <n v="1037.8800000000001"/>
    <s v="Completed"/>
    <x v="3"/>
    <s v="Credit Card"/>
  </r>
  <r>
    <n v="2633"/>
    <n v="1528"/>
    <x v="178"/>
    <n v="295.79000000000002"/>
    <s v="Completed"/>
    <x v="4"/>
    <s v="Apple Pay"/>
  </r>
  <r>
    <n v="2634"/>
    <n v="5942"/>
    <x v="111"/>
    <n v="1517.02"/>
    <s v="Completed"/>
    <x v="2"/>
    <s v="Credit Card"/>
  </r>
  <r>
    <n v="2635"/>
    <n v="1900"/>
    <x v="203"/>
    <n v="1340.95"/>
    <s v="Completed"/>
    <x v="1"/>
    <s v="Apple Pay"/>
  </r>
  <r>
    <n v="2636"/>
    <n v="1929"/>
    <x v="166"/>
    <n v="453.84"/>
    <s v="Completed"/>
    <x v="2"/>
    <s v="Debit Card"/>
  </r>
  <r>
    <n v="2637"/>
    <n v="9606"/>
    <x v="123"/>
    <n v="240.57"/>
    <s v="Completed"/>
    <x v="0"/>
    <s v="PayPal"/>
  </r>
  <r>
    <n v="2638"/>
    <n v="7362"/>
    <x v="199"/>
    <n v="1346.76"/>
    <s v="Completed"/>
    <x v="1"/>
    <s v="Debit Card"/>
  </r>
  <r>
    <n v="2639"/>
    <n v="2385"/>
    <x v="219"/>
    <n v="578.97"/>
    <s v="Completed"/>
    <x v="3"/>
    <s v="Apple Pay"/>
  </r>
  <r>
    <n v="2640"/>
    <n v="1826"/>
    <x v="200"/>
    <n v="1742.68"/>
    <s v="Completed"/>
    <x v="0"/>
    <s v="Credit Card"/>
  </r>
  <r>
    <n v="2641"/>
    <n v="296"/>
    <x v="40"/>
    <n v="1473.31"/>
    <s v="Completed"/>
    <x v="0"/>
    <s v="Debit Card"/>
  </r>
  <r>
    <n v="2642"/>
    <n v="6402"/>
    <x v="328"/>
    <n v="580"/>
    <s v="Completed"/>
    <x v="4"/>
    <s v="Debit Card"/>
  </r>
  <r>
    <n v="2643"/>
    <n v="1435"/>
    <x v="74"/>
    <n v="771.67"/>
    <s v="Completed"/>
    <x v="0"/>
    <s v="PayPal"/>
  </r>
  <r>
    <n v="2644"/>
    <n v="4279"/>
    <x v="112"/>
    <n v="1146.95"/>
    <s v="Completed"/>
    <x v="1"/>
    <s v="PayPal"/>
  </r>
  <r>
    <n v="2645"/>
    <n v="6472"/>
    <x v="356"/>
    <n v="574.96"/>
    <s v="Completed"/>
    <x v="4"/>
    <s v="PayPal"/>
  </r>
  <r>
    <n v="2646"/>
    <n v="5644"/>
    <x v="351"/>
    <n v="3609.71"/>
    <s v="Completed"/>
    <x v="4"/>
    <s v="PayPal"/>
  </r>
  <r>
    <n v="2647"/>
    <n v="7175"/>
    <x v="202"/>
    <n v="323.68"/>
    <s v="Completed"/>
    <x v="0"/>
    <s v="PayPal"/>
  </r>
  <r>
    <n v="2648"/>
    <n v="6565"/>
    <x v="298"/>
    <n v="1862.96"/>
    <s v="Completed"/>
    <x v="1"/>
    <s v="Credit Card"/>
  </r>
  <r>
    <n v="2649"/>
    <n v="1345"/>
    <x v="306"/>
    <n v="1695.09"/>
    <s v="Completed"/>
    <x v="1"/>
    <s v="Credit Card"/>
  </r>
  <r>
    <n v="2650"/>
    <n v="6335"/>
    <x v="233"/>
    <n v="538.64"/>
    <s v="Completed"/>
    <x v="0"/>
    <s v="Apple Pay"/>
  </r>
  <r>
    <n v="2651"/>
    <n v="140"/>
    <x v="107"/>
    <n v="290.79000000000002"/>
    <s v="Returned"/>
    <x v="1"/>
    <s v="Apple Pay"/>
  </r>
  <r>
    <n v="2652"/>
    <n v="7124"/>
    <x v="308"/>
    <n v="1181.0899999999999"/>
    <s v="Completed"/>
    <x v="0"/>
    <s v="Debit Card"/>
  </r>
  <r>
    <n v="2653"/>
    <n v="7109"/>
    <x v="159"/>
    <n v="1038.93"/>
    <s v="Completed"/>
    <x v="2"/>
    <s v="Apple Pay"/>
  </r>
  <r>
    <n v="2654"/>
    <n v="557"/>
    <x v="89"/>
    <n v="4251.3"/>
    <s v="Completed"/>
    <x v="5"/>
    <s v="Credit Card"/>
  </r>
  <r>
    <n v="2655"/>
    <n v="5712"/>
    <x v="340"/>
    <n v="956.91"/>
    <s v="Completed"/>
    <x v="1"/>
    <s v="Apple Pay"/>
  </r>
  <r>
    <n v="2656"/>
    <n v="5078"/>
    <x v="249"/>
    <n v="1507.9"/>
    <s v="Completed"/>
    <x v="1"/>
    <s v="Apple Pay"/>
  </r>
  <r>
    <n v="2657"/>
    <n v="7147"/>
    <x v="340"/>
    <n v="1055.98"/>
    <s v="Completed"/>
    <x v="3"/>
    <s v="Debit Card"/>
  </r>
  <r>
    <n v="2658"/>
    <n v="1202"/>
    <x v="198"/>
    <n v="228.45"/>
    <s v="Completed"/>
    <x v="3"/>
    <s v="Debit Card"/>
  </r>
  <r>
    <n v="2659"/>
    <n v="9603"/>
    <x v="37"/>
    <n v="1475.3"/>
    <s v="Completed"/>
    <x v="2"/>
    <s v="PayPal"/>
  </r>
  <r>
    <n v="2660"/>
    <n v="9689"/>
    <x v="278"/>
    <n v="2608.52"/>
    <s v="Completed"/>
    <x v="0"/>
    <s v="Credit Card"/>
  </r>
  <r>
    <n v="2661"/>
    <n v="5762"/>
    <x v="163"/>
    <n v="140.76"/>
    <s v="Completed"/>
    <x v="5"/>
    <s v="Credit Card"/>
  </r>
  <r>
    <n v="2662"/>
    <n v="6017"/>
    <x v="212"/>
    <n v="607.04999999999995"/>
    <s v="Completed"/>
    <x v="1"/>
    <s v="PayPal"/>
  </r>
  <r>
    <n v="2663"/>
    <n v="6036"/>
    <x v="286"/>
    <n v="295.79000000000002"/>
    <s v="Completed"/>
    <x v="0"/>
    <s v="Debit Card"/>
  </r>
  <r>
    <n v="2664"/>
    <n v="1069"/>
    <x v="77"/>
    <n v="2319.63"/>
    <s v="Completed"/>
    <x v="2"/>
    <s v="Debit Card"/>
  </r>
  <r>
    <n v="2665"/>
    <n v="883"/>
    <x v="345"/>
    <n v="280.61"/>
    <s v="Completed"/>
    <x v="4"/>
    <s v="Debit Card"/>
  </r>
  <r>
    <n v="2666"/>
    <n v="6930"/>
    <x v="125"/>
    <n v="1296.73"/>
    <s v="Completed"/>
    <x v="2"/>
    <s v="PayPal"/>
  </r>
  <r>
    <n v="2667"/>
    <n v="8437"/>
    <x v="51"/>
    <n v="667.02"/>
    <s v="Completed"/>
    <x v="4"/>
    <s v="Debit Card"/>
  </r>
  <r>
    <n v="2668"/>
    <n v="537"/>
    <x v="65"/>
    <n v="1963.7"/>
    <s v="Completed"/>
    <x v="3"/>
    <s v="Debit Card"/>
  </r>
  <r>
    <n v="2669"/>
    <n v="5114"/>
    <x v="234"/>
    <n v="844.15"/>
    <s v="Completed"/>
    <x v="4"/>
    <s v="Debit Card"/>
  </r>
  <r>
    <n v="2670"/>
    <n v="651"/>
    <x v="89"/>
    <n v="2633.86"/>
    <s v="Completed"/>
    <x v="3"/>
    <s v="PayPal"/>
  </r>
  <r>
    <n v="2671"/>
    <n v="2577"/>
    <x v="254"/>
    <n v="187.47"/>
    <s v="Completed"/>
    <x v="2"/>
    <s v="Credit Card"/>
  </r>
  <r>
    <n v="2672"/>
    <n v="2342"/>
    <x v="84"/>
    <n v="299.56"/>
    <s v="Completed"/>
    <x v="3"/>
    <s v="PayPal"/>
  </r>
  <r>
    <n v="2673"/>
    <n v="3394"/>
    <x v="34"/>
    <n v="2873.65"/>
    <s v="Completed"/>
    <x v="1"/>
    <s v="Apple Pay"/>
  </r>
  <r>
    <n v="2674"/>
    <n v="4877"/>
    <x v="215"/>
    <n v="319.83999999999997"/>
    <s v="Completed"/>
    <x v="4"/>
    <s v="Debit Card"/>
  </r>
  <r>
    <n v="2675"/>
    <n v="9287"/>
    <x v="174"/>
    <n v="132.56"/>
    <s v="Completed"/>
    <x v="2"/>
    <s v="Apple Pay"/>
  </r>
  <r>
    <n v="2676"/>
    <n v="3163"/>
    <x v="116"/>
    <n v="1543.34"/>
    <s v="Completed"/>
    <x v="3"/>
    <s v="PayPal"/>
  </r>
  <r>
    <n v="2677"/>
    <n v="2884"/>
    <x v="193"/>
    <n v="1008.11"/>
    <s v="Completed"/>
    <x v="4"/>
    <s v="Apple Pay"/>
  </r>
  <r>
    <n v="2678"/>
    <n v="7086"/>
    <x v="306"/>
    <n v="556.9"/>
    <s v="Completed"/>
    <x v="2"/>
    <s v="Apple Pay"/>
  </r>
  <r>
    <n v="2679"/>
    <n v="1152"/>
    <x v="87"/>
    <n v="1507.68"/>
    <s v="Completed"/>
    <x v="2"/>
    <s v="Credit Card"/>
  </r>
  <r>
    <n v="2680"/>
    <n v="5168"/>
    <x v="113"/>
    <n v="1995.72"/>
    <s v="Completed"/>
    <x v="3"/>
    <s v="Debit Card"/>
  </r>
  <r>
    <n v="2681"/>
    <n v="2665"/>
    <x v="220"/>
    <n v="28.09"/>
    <s v="Completed"/>
    <x v="5"/>
    <s v="Debit Card"/>
  </r>
  <r>
    <n v="2682"/>
    <n v="883"/>
    <x v="182"/>
    <n v="323.68"/>
    <s v="Completed"/>
    <x v="5"/>
    <s v="Apple Pay"/>
  </r>
  <r>
    <n v="2683"/>
    <n v="2603"/>
    <x v="160"/>
    <n v="2634.32"/>
    <s v="Completed"/>
    <x v="0"/>
    <s v="Apple Pay"/>
  </r>
  <r>
    <n v="2684"/>
    <n v="590"/>
    <x v="43"/>
    <n v="5090.75"/>
    <s v="Completed"/>
    <x v="2"/>
    <s v="PayPal"/>
  </r>
  <r>
    <n v="2685"/>
    <n v="7731"/>
    <x v="335"/>
    <n v="867.4"/>
    <s v="Completed"/>
    <x v="2"/>
    <s v="Debit Card"/>
  </r>
  <r>
    <n v="2686"/>
    <n v="4791"/>
    <x v="340"/>
    <n v="971.78"/>
    <s v="Completed"/>
    <x v="0"/>
    <s v="Debit Card"/>
  </r>
  <r>
    <n v="2687"/>
    <n v="6170"/>
    <x v="113"/>
    <n v="194.21"/>
    <s v="Completed"/>
    <x v="3"/>
    <s v="Credit Card"/>
  </r>
  <r>
    <n v="2688"/>
    <n v="5867"/>
    <x v="19"/>
    <n v="2481.2199999999998"/>
    <s v="Completed"/>
    <x v="2"/>
    <s v="Debit Card"/>
  </r>
  <r>
    <n v="2689"/>
    <n v="4944"/>
    <x v="248"/>
    <n v="281.52"/>
    <s v="Completed"/>
    <x v="0"/>
    <s v="Apple Pay"/>
  </r>
  <r>
    <n v="2690"/>
    <n v="9637"/>
    <x v="347"/>
    <n v="300.98"/>
    <s v="Completed"/>
    <x v="3"/>
    <s v="Credit Card"/>
  </r>
  <r>
    <n v="2691"/>
    <n v="4323"/>
    <x v="83"/>
    <n v="3010.94"/>
    <s v="Completed"/>
    <x v="4"/>
    <s v="Debit Card"/>
  </r>
  <r>
    <n v="2692"/>
    <n v="5246"/>
    <x v="280"/>
    <n v="661.44"/>
    <s v="Completed"/>
    <x v="2"/>
    <s v="Debit Card"/>
  </r>
  <r>
    <n v="2693"/>
    <n v="3506"/>
    <x v="194"/>
    <n v="260.61"/>
    <s v="Completed"/>
    <x v="3"/>
    <s v="Apple Pay"/>
  </r>
  <r>
    <n v="2694"/>
    <n v="8670"/>
    <x v="304"/>
    <n v="1016.02"/>
    <s v="Completed"/>
    <x v="4"/>
    <s v="Apple Pay"/>
  </r>
  <r>
    <n v="2695"/>
    <n v="2775"/>
    <x v="16"/>
    <n v="3073.92"/>
    <s v="Completed"/>
    <x v="1"/>
    <s v="PayPal"/>
  </r>
  <r>
    <n v="2696"/>
    <n v="1169"/>
    <x v="90"/>
    <n v="1099.9100000000001"/>
    <s v="Completed"/>
    <x v="0"/>
    <s v="Apple Pay"/>
  </r>
  <r>
    <n v="2697"/>
    <n v="8072"/>
    <x v="28"/>
    <n v="2066.02"/>
    <s v="Completed"/>
    <x v="1"/>
    <s v="PayPal"/>
  </r>
  <r>
    <n v="2698"/>
    <n v="8721"/>
    <x v="126"/>
    <n v="844.42"/>
    <s v="Cancelled"/>
    <x v="2"/>
    <s v="Credit Card"/>
  </r>
  <r>
    <n v="2699"/>
    <n v="2501"/>
    <x v="270"/>
    <n v="5981.37"/>
    <s v="Completed"/>
    <x v="1"/>
    <s v="Apple Pay"/>
  </r>
  <r>
    <n v="2700"/>
    <n v="1099"/>
    <x v="11"/>
    <n v="1150.45"/>
    <s v="Completed"/>
    <x v="1"/>
    <s v="PayPal"/>
  </r>
  <r>
    <n v="2701"/>
    <n v="828"/>
    <x v="275"/>
    <n v="284.86"/>
    <s v="Completed"/>
    <x v="0"/>
    <s v="Credit Card"/>
  </r>
  <r>
    <n v="2702"/>
    <n v="2797"/>
    <x v="271"/>
    <n v="949.57"/>
    <s v="Completed"/>
    <x v="3"/>
    <s v="PayPal"/>
  </r>
  <r>
    <n v="2703"/>
    <n v="4998"/>
    <x v="203"/>
    <n v="2503.52"/>
    <s v="Completed"/>
    <x v="3"/>
    <s v="Credit Card"/>
  </r>
  <r>
    <n v="2704"/>
    <n v="6508"/>
    <x v="58"/>
    <n v="459.12"/>
    <s v="Returned"/>
    <x v="3"/>
    <s v="PayPal"/>
  </r>
  <r>
    <n v="2705"/>
    <n v="1608"/>
    <x v="113"/>
    <n v="2074.65"/>
    <s v="Completed"/>
    <x v="2"/>
    <s v="Apple Pay"/>
  </r>
  <r>
    <n v="2706"/>
    <n v="1476"/>
    <x v="89"/>
    <n v="998.64"/>
    <s v="Completed"/>
    <x v="1"/>
    <s v="PayPal"/>
  </r>
  <r>
    <n v="2707"/>
    <n v="1857"/>
    <x v="191"/>
    <n v="926.44"/>
    <s v="Completed"/>
    <x v="1"/>
    <s v="Credit Card"/>
  </r>
  <r>
    <n v="2708"/>
    <n v="3585"/>
    <x v="190"/>
    <n v="75.62"/>
    <s v="Completed"/>
    <x v="3"/>
    <s v="Apple Pay"/>
  </r>
  <r>
    <n v="2709"/>
    <n v="945"/>
    <x v="260"/>
    <n v="1777.25"/>
    <s v="Completed"/>
    <x v="1"/>
    <s v="Debit Card"/>
  </r>
  <r>
    <n v="2710"/>
    <n v="8633"/>
    <x v="211"/>
    <n v="971.04"/>
    <s v="Completed"/>
    <x v="0"/>
    <s v="Credit Card"/>
  </r>
  <r>
    <n v="2711"/>
    <n v="142"/>
    <x v="336"/>
    <n v="708.71"/>
    <s v="Cancelled"/>
    <x v="1"/>
    <s v="PayPal"/>
  </r>
  <r>
    <n v="2712"/>
    <n v="2278"/>
    <x v="209"/>
    <n v="1115.31"/>
    <s v="Completed"/>
    <x v="3"/>
    <s v="Credit Card"/>
  </r>
  <r>
    <n v="2713"/>
    <n v="1189"/>
    <x v="86"/>
    <n v="891.08"/>
    <s v="Completed"/>
    <x v="1"/>
    <s v="Debit Card"/>
  </r>
  <r>
    <n v="2714"/>
    <n v="2341"/>
    <x v="1"/>
    <n v="1679.58"/>
    <s v="Returned"/>
    <x v="4"/>
    <s v="Credit Card"/>
  </r>
  <r>
    <n v="2715"/>
    <n v="4954"/>
    <x v="122"/>
    <n v="1219.05"/>
    <s v="Completed"/>
    <x v="0"/>
    <s v="Apple Pay"/>
  </r>
  <r>
    <n v="2716"/>
    <n v="3971"/>
    <x v="0"/>
    <n v="1095.6199999999999"/>
    <s v="Completed"/>
    <x v="3"/>
    <s v="Apple Pay"/>
  </r>
  <r>
    <n v="2717"/>
    <n v="843"/>
    <x v="344"/>
    <n v="201.88"/>
    <s v="Completed"/>
    <x v="3"/>
    <s v="PayPal"/>
  </r>
  <r>
    <n v="2718"/>
    <n v="7589"/>
    <x v="31"/>
    <n v="200.91"/>
    <s v="Completed"/>
    <x v="0"/>
    <s v="PayPal"/>
  </r>
  <r>
    <n v="2719"/>
    <n v="6621"/>
    <x v="19"/>
    <n v="2846.89"/>
    <s v="Completed"/>
    <x v="3"/>
    <s v="Apple Pay"/>
  </r>
  <r>
    <n v="2720"/>
    <n v="8946"/>
    <x v="42"/>
    <n v="1633.18"/>
    <s v="Completed"/>
    <x v="2"/>
    <s v="Apple Pay"/>
  </r>
  <r>
    <n v="2721"/>
    <n v="5897"/>
    <x v="352"/>
    <n v="254.46"/>
    <s v="Completed"/>
    <x v="3"/>
    <s v="Debit Card"/>
  </r>
  <r>
    <n v="2722"/>
    <n v="97"/>
    <x v="125"/>
    <n v="3054.62"/>
    <s v="Completed"/>
    <x v="4"/>
    <s v="Apple Pay"/>
  </r>
  <r>
    <n v="2723"/>
    <n v="3926"/>
    <x v="58"/>
    <n v="1041.02"/>
    <s v="Completed"/>
    <x v="0"/>
    <s v="Debit Card"/>
  </r>
  <r>
    <n v="2724"/>
    <n v="4340"/>
    <x v="117"/>
    <n v="776.21"/>
    <s v="Completed"/>
    <x v="0"/>
    <s v="Credit Card"/>
  </r>
  <r>
    <n v="2725"/>
    <n v="5705"/>
    <x v="17"/>
    <n v="1100.4000000000001"/>
    <s v="Completed"/>
    <x v="1"/>
    <s v="Credit Card"/>
  </r>
  <r>
    <n v="2726"/>
    <n v="9820"/>
    <x v="357"/>
    <n v="2171.33"/>
    <s v="Completed"/>
    <x v="3"/>
    <s v="Credit Card"/>
  </r>
  <r>
    <n v="2727"/>
    <n v="4766"/>
    <x v="354"/>
    <n v="159.37"/>
    <s v="Completed"/>
    <x v="0"/>
    <s v="Credit Card"/>
  </r>
  <r>
    <n v="2728"/>
    <n v="7722"/>
    <x v="286"/>
    <n v="1354.25"/>
    <s v="Completed"/>
    <x v="5"/>
    <s v="Debit Card"/>
  </r>
  <r>
    <n v="2729"/>
    <n v="5450"/>
    <x v="315"/>
    <n v="1095.6199999999999"/>
    <s v="Completed"/>
    <x v="4"/>
    <s v="Debit Card"/>
  </r>
  <r>
    <n v="2730"/>
    <n v="3125"/>
    <x v="100"/>
    <n v="1433.78"/>
    <s v="Completed"/>
    <x v="4"/>
    <s v="PayPal"/>
  </r>
  <r>
    <n v="2731"/>
    <n v="6199"/>
    <x v="363"/>
    <n v="1865.59"/>
    <s v="Completed"/>
    <x v="0"/>
    <s v="Apple Pay"/>
  </r>
  <r>
    <n v="2732"/>
    <n v="5302"/>
    <x v="90"/>
    <n v="406.33"/>
    <s v="Completed"/>
    <x v="0"/>
    <s v="PayPal"/>
  </r>
  <r>
    <n v="2733"/>
    <n v="3826"/>
    <x v="1"/>
    <n v="448.66"/>
    <s v="Completed"/>
    <x v="2"/>
    <s v="Apple Pay"/>
  </r>
  <r>
    <n v="2734"/>
    <n v="3324"/>
    <x v="102"/>
    <n v="339.07"/>
    <s v="Completed"/>
    <x v="4"/>
    <s v="PayPal"/>
  </r>
  <r>
    <n v="2735"/>
    <n v="3787"/>
    <x v="261"/>
    <n v="914.76"/>
    <s v="Completed"/>
    <x v="3"/>
    <s v="Credit Card"/>
  </r>
  <r>
    <n v="2736"/>
    <n v="259"/>
    <x v="163"/>
    <n v="2328.46"/>
    <s v="Returned"/>
    <x v="3"/>
    <s v="PayPal"/>
  </r>
  <r>
    <n v="2737"/>
    <n v="5946"/>
    <x v="55"/>
    <n v="209.84"/>
    <s v="Completed"/>
    <x v="3"/>
    <s v="PayPal"/>
  </r>
  <r>
    <n v="2738"/>
    <n v="2661"/>
    <x v="325"/>
    <n v="1153.5"/>
    <s v="Completed"/>
    <x v="3"/>
    <s v="Credit Card"/>
  </r>
  <r>
    <n v="2739"/>
    <n v="8741"/>
    <x v="266"/>
    <n v="1820.74"/>
    <s v="Completed"/>
    <x v="3"/>
    <s v="Apple Pay"/>
  </r>
  <r>
    <n v="2740"/>
    <n v="2428"/>
    <x v="59"/>
    <n v="1153.5"/>
    <s v="Completed"/>
    <x v="0"/>
    <s v="Debit Card"/>
  </r>
  <r>
    <n v="2741"/>
    <n v="3672"/>
    <x v="184"/>
    <n v="200.91"/>
    <s v="Completed"/>
    <x v="4"/>
    <s v="Apple Pay"/>
  </r>
  <r>
    <n v="2742"/>
    <n v="9282"/>
    <x v="147"/>
    <n v="1771.93"/>
    <s v="Completed"/>
    <x v="1"/>
    <s v="Apple Pay"/>
  </r>
  <r>
    <n v="2743"/>
    <n v="3818"/>
    <x v="265"/>
    <n v="1360.93"/>
    <s v="Completed"/>
    <x v="0"/>
    <s v="Credit Card"/>
  </r>
  <r>
    <n v="2744"/>
    <n v="5451"/>
    <x v="75"/>
    <n v="2258.2399999999998"/>
    <s v="Completed"/>
    <x v="2"/>
    <s v="Debit Card"/>
  </r>
  <r>
    <n v="2745"/>
    <n v="4278"/>
    <x v="89"/>
    <n v="1636.29"/>
    <s v="Completed"/>
    <x v="0"/>
    <s v="Apple Pay"/>
  </r>
  <r>
    <n v="2746"/>
    <n v="9946"/>
    <x v="32"/>
    <n v="1600.95"/>
    <s v="Completed"/>
    <x v="4"/>
    <s v="Credit Card"/>
  </r>
  <r>
    <n v="2747"/>
    <n v="1374"/>
    <x v="277"/>
    <n v="1661.6"/>
    <s v="Completed"/>
    <x v="3"/>
    <s v="Credit Card"/>
  </r>
  <r>
    <n v="2748"/>
    <n v="7177"/>
    <x v="247"/>
    <n v="941.99"/>
    <s v="Completed"/>
    <x v="0"/>
    <s v="Credit Card"/>
  </r>
  <r>
    <n v="2749"/>
    <n v="1176"/>
    <x v="40"/>
    <n v="973.11"/>
    <s v="Completed"/>
    <x v="1"/>
    <s v="Credit Card"/>
  </r>
  <r>
    <n v="2750"/>
    <n v="6437"/>
    <x v="113"/>
    <n v="2195.36"/>
    <s v="Completed"/>
    <x v="2"/>
    <s v="Apple Pay"/>
  </r>
  <r>
    <n v="2751"/>
    <n v="4469"/>
    <x v="103"/>
    <n v="379.38"/>
    <s v="Completed"/>
    <x v="1"/>
    <s v="Apple Pay"/>
  </r>
  <r>
    <n v="2752"/>
    <n v="5990"/>
    <x v="283"/>
    <n v="1110.8800000000001"/>
    <s v="Completed"/>
    <x v="3"/>
    <s v="Credit Card"/>
  </r>
  <r>
    <n v="2753"/>
    <n v="8479"/>
    <x v="154"/>
    <n v="2331.79"/>
    <s v="Completed"/>
    <x v="4"/>
    <s v="Credit Card"/>
  </r>
  <r>
    <n v="2754"/>
    <n v="2256"/>
    <x v="116"/>
    <n v="1666.74"/>
    <s v="Returned"/>
    <x v="2"/>
    <s v="PayPal"/>
  </r>
  <r>
    <n v="2755"/>
    <n v="1498"/>
    <x v="224"/>
    <n v="3106.49"/>
    <s v="Completed"/>
    <x v="2"/>
    <s v="Apple Pay"/>
  </r>
  <r>
    <n v="2756"/>
    <n v="7909"/>
    <x v="86"/>
    <n v="512.34"/>
    <s v="Completed"/>
    <x v="2"/>
    <s v="Debit Card"/>
  </r>
  <r>
    <n v="2757"/>
    <n v="8233"/>
    <x v="315"/>
    <n v="308.56"/>
    <s v="Completed"/>
    <x v="1"/>
    <s v="Credit Card"/>
  </r>
  <r>
    <n v="2758"/>
    <n v="6142"/>
    <x v="157"/>
    <n v="209.84"/>
    <s v="Completed"/>
    <x v="2"/>
    <s v="Apple Pay"/>
  </r>
  <r>
    <n v="2759"/>
    <n v="1664"/>
    <x v="228"/>
    <n v="897.37"/>
    <s v="Completed"/>
    <x v="0"/>
    <s v="Debit Card"/>
  </r>
  <r>
    <n v="2760"/>
    <n v="5463"/>
    <x v="285"/>
    <n v="1128.9100000000001"/>
    <s v="Completed"/>
    <x v="4"/>
    <s v="Credit Card"/>
  </r>
  <r>
    <n v="2761"/>
    <n v="5031"/>
    <x v="173"/>
    <n v="1384.4"/>
    <s v="Completed"/>
    <x v="0"/>
    <s v="Debit Card"/>
  </r>
  <r>
    <n v="2762"/>
    <n v="4304"/>
    <x v="57"/>
    <n v="1995.72"/>
    <s v="Completed"/>
    <x v="4"/>
    <s v="Apple Pay"/>
  </r>
  <r>
    <n v="2763"/>
    <n v="8805"/>
    <x v="16"/>
    <n v="4322.6000000000004"/>
    <s v="Completed"/>
    <x v="3"/>
    <s v="Debit Card"/>
  </r>
  <r>
    <n v="2764"/>
    <n v="7825"/>
    <x v="58"/>
    <n v="1734.45"/>
    <s v="Completed"/>
    <x v="4"/>
    <s v="Apple Pay"/>
  </r>
  <r>
    <n v="2765"/>
    <n v="3046"/>
    <x v="134"/>
    <n v="950.65"/>
    <s v="Completed"/>
    <x v="4"/>
    <s v="Debit Card"/>
  </r>
  <r>
    <n v="2766"/>
    <n v="4431"/>
    <x v="80"/>
    <n v="3507.4"/>
    <s v="Completed"/>
    <x v="3"/>
    <s v="Apple Pay"/>
  </r>
  <r>
    <n v="2767"/>
    <n v="1674"/>
    <x v="40"/>
    <n v="1786.98"/>
    <s v="Completed"/>
    <x v="4"/>
    <s v="PayPal"/>
  </r>
  <r>
    <n v="2768"/>
    <n v="2530"/>
    <x v="237"/>
    <n v="977.28"/>
    <s v="Completed"/>
    <x v="4"/>
    <s v="PayPal"/>
  </r>
  <r>
    <n v="2769"/>
    <n v="8307"/>
    <x v="16"/>
    <n v="1894.66"/>
    <s v="Completed"/>
    <x v="5"/>
    <s v="Apple Pay"/>
  </r>
  <r>
    <n v="2770"/>
    <n v="6902"/>
    <x v="194"/>
    <n v="1255.42"/>
    <s v="Completed"/>
    <x v="3"/>
    <s v="Apple Pay"/>
  </r>
  <r>
    <n v="2771"/>
    <n v="8719"/>
    <x v="37"/>
    <n v="3979.72"/>
    <s v="Completed"/>
    <x v="0"/>
    <s v="Debit Card"/>
  </r>
  <r>
    <n v="2772"/>
    <n v="7054"/>
    <x v="0"/>
    <n v="526.08000000000004"/>
    <s v="Completed"/>
    <x v="1"/>
    <s v="Apple Pay"/>
  </r>
  <r>
    <n v="2773"/>
    <n v="4173"/>
    <x v="76"/>
    <n v="1247.53"/>
    <s v="Completed"/>
    <x v="3"/>
    <s v="Apple Pay"/>
  </r>
  <r>
    <n v="2774"/>
    <n v="641"/>
    <x v="254"/>
    <n v="287.08999999999997"/>
    <s v="Completed"/>
    <x v="2"/>
    <s v="Credit Card"/>
  </r>
  <r>
    <n v="2775"/>
    <n v="3637"/>
    <x v="236"/>
    <n v="475.16"/>
    <s v="Completed"/>
    <x v="3"/>
    <s v="Credit Card"/>
  </r>
  <r>
    <n v="2776"/>
    <n v="6228"/>
    <x v="188"/>
    <n v="849.18"/>
    <s v="Completed"/>
    <x v="1"/>
    <s v="Apple Pay"/>
  </r>
  <r>
    <n v="2777"/>
    <n v="551"/>
    <x v="153"/>
    <n v="956.18"/>
    <s v="Returned"/>
    <x v="0"/>
    <s v="PayPal"/>
  </r>
  <r>
    <n v="2778"/>
    <n v="3540"/>
    <x v="225"/>
    <n v="4912.58"/>
    <s v="Completed"/>
    <x v="1"/>
    <s v="Debit Card"/>
  </r>
  <r>
    <n v="2779"/>
    <n v="9956"/>
    <x v="112"/>
    <n v="100.33"/>
    <s v="Completed"/>
    <x v="3"/>
    <s v="Apple Pay"/>
  </r>
  <r>
    <n v="2780"/>
    <n v="2812"/>
    <x v="152"/>
    <n v="579.6"/>
    <s v="Completed"/>
    <x v="2"/>
    <s v="PayPal"/>
  </r>
  <r>
    <n v="2781"/>
    <n v="308"/>
    <x v="45"/>
    <n v="1777.25"/>
    <s v="Cancelled"/>
    <x v="4"/>
    <s v="Credit Card"/>
  </r>
  <r>
    <n v="2782"/>
    <n v="8084"/>
    <x v="124"/>
    <n v="580"/>
    <s v="Completed"/>
    <x v="4"/>
    <s v="PayPal"/>
  </r>
  <r>
    <n v="2783"/>
    <n v="3039"/>
    <x v="344"/>
    <n v="858.98"/>
    <s v="Completed"/>
    <x v="4"/>
    <s v="Debit Card"/>
  </r>
  <r>
    <n v="2784"/>
    <n v="9262"/>
    <x v="308"/>
    <n v="3321.21"/>
    <s v="Completed"/>
    <x v="0"/>
    <s v="Apple Pay"/>
  </r>
  <r>
    <n v="2785"/>
    <n v="9273"/>
    <x v="39"/>
    <n v="4651.33"/>
    <s v="Completed"/>
    <x v="1"/>
    <s v="Apple Pay"/>
  </r>
  <r>
    <n v="2786"/>
    <n v="5056"/>
    <x v="232"/>
    <n v="547.34"/>
    <s v="Completed"/>
    <x v="2"/>
    <s v="Apple Pay"/>
  </r>
  <r>
    <n v="2787"/>
    <n v="6622"/>
    <x v="282"/>
    <n v="676.23"/>
    <s v="Completed"/>
    <x v="0"/>
    <s v="Apple Pay"/>
  </r>
  <r>
    <n v="2788"/>
    <n v="1072"/>
    <x v="139"/>
    <n v="1354.61"/>
    <s v="Completed"/>
    <x v="2"/>
    <s v="PayPal"/>
  </r>
  <r>
    <n v="2789"/>
    <n v="7261"/>
    <x v="211"/>
    <n v="1181.06"/>
    <s v="Completed"/>
    <x v="4"/>
    <s v="Apple Pay"/>
  </r>
  <r>
    <n v="2790"/>
    <n v="9997"/>
    <x v="77"/>
    <n v="3295.2"/>
    <s v="Completed"/>
    <x v="4"/>
    <s v="Credit Card"/>
  </r>
  <r>
    <n v="2791"/>
    <n v="4048"/>
    <x v="347"/>
    <n v="1848.21"/>
    <s v="Returned"/>
    <x v="3"/>
    <s v="Apple Pay"/>
  </r>
  <r>
    <n v="2792"/>
    <n v="8670"/>
    <x v="35"/>
    <n v="965.83"/>
    <s v="Completed"/>
    <x v="4"/>
    <s v="PayPal"/>
  </r>
  <r>
    <n v="2793"/>
    <n v="2802"/>
    <x v="167"/>
    <n v="1027.97"/>
    <s v="Completed"/>
    <x v="2"/>
    <s v="PayPal"/>
  </r>
  <r>
    <n v="2794"/>
    <n v="8541"/>
    <x v="293"/>
    <n v="3353.17"/>
    <s v="Cancelled"/>
    <x v="2"/>
    <s v="PayPal"/>
  </r>
  <r>
    <n v="2795"/>
    <n v="604"/>
    <x v="139"/>
    <n v="1174.07"/>
    <s v="Completed"/>
    <x v="0"/>
    <s v="PayPal"/>
  </r>
  <r>
    <n v="2796"/>
    <n v="2391"/>
    <x v="325"/>
    <n v="938.88"/>
    <s v="Completed"/>
    <x v="1"/>
    <s v="PayPal"/>
  </r>
  <r>
    <n v="2797"/>
    <n v="6079"/>
    <x v="321"/>
    <n v="448.66"/>
    <s v="Completed"/>
    <x v="1"/>
    <s v="Credit Card"/>
  </r>
  <r>
    <n v="2798"/>
    <n v="4164"/>
    <x v="67"/>
    <n v="456.21"/>
    <s v="Completed"/>
    <x v="1"/>
    <s v="Apple Pay"/>
  </r>
  <r>
    <n v="2799"/>
    <n v="543"/>
    <x v="39"/>
    <n v="1151.77"/>
    <s v="Completed"/>
    <x v="4"/>
    <s v="Debit Card"/>
  </r>
  <r>
    <n v="2800"/>
    <n v="5887"/>
    <x v="228"/>
    <n v="151.46"/>
    <s v="Completed"/>
    <x v="1"/>
    <s v="Apple Pay"/>
  </r>
  <r>
    <n v="2801"/>
    <n v="2738"/>
    <x v="250"/>
    <n v="1146.95"/>
    <s v="Completed"/>
    <x v="3"/>
    <s v="Debit Card"/>
  </r>
  <r>
    <n v="2802"/>
    <n v="5677"/>
    <x v="325"/>
    <n v="1623.48"/>
    <s v="Completed"/>
    <x v="4"/>
    <s v="Credit Card"/>
  </r>
  <r>
    <n v="2803"/>
    <n v="4406"/>
    <x v="135"/>
    <n v="914.09"/>
    <s v="Completed"/>
    <x v="4"/>
    <s v="Credit Card"/>
  </r>
  <r>
    <n v="2804"/>
    <n v="9052"/>
    <x v="52"/>
    <n v="1988.1"/>
    <s v="Completed"/>
    <x v="4"/>
    <s v="PayPal"/>
  </r>
  <r>
    <n v="2805"/>
    <n v="3875"/>
    <x v="184"/>
    <n v="99.33"/>
    <s v="Completed"/>
    <x v="2"/>
    <s v="Debit Card"/>
  </r>
  <r>
    <n v="2806"/>
    <n v="3690"/>
    <x v="116"/>
    <n v="475.16"/>
    <s v="Completed"/>
    <x v="1"/>
    <s v="Debit Card"/>
  </r>
  <r>
    <n v="2807"/>
    <n v="8801"/>
    <x v="7"/>
    <n v="5509.56"/>
    <s v="Completed"/>
    <x v="3"/>
    <s v="Debit Card"/>
  </r>
  <r>
    <n v="2808"/>
    <n v="6170"/>
    <x v="192"/>
    <n v="413.05"/>
    <s v="Completed"/>
    <x v="3"/>
    <s v="Credit Card"/>
  </r>
  <r>
    <n v="2809"/>
    <n v="4156"/>
    <x v="103"/>
    <n v="670.56"/>
    <s v="Completed"/>
    <x v="4"/>
    <s v="Apple Pay"/>
  </r>
  <r>
    <n v="2810"/>
    <n v="5024"/>
    <x v="60"/>
    <n v="2521.85"/>
    <s v="Completed"/>
    <x v="2"/>
    <s v="PayPal"/>
  </r>
  <r>
    <n v="2811"/>
    <n v="1047"/>
    <x v="355"/>
    <n v="2790.71"/>
    <s v="Completed"/>
    <x v="2"/>
    <s v="PayPal"/>
  </r>
  <r>
    <n v="2812"/>
    <n v="6640"/>
    <x v="156"/>
    <n v="481.15"/>
    <s v="Completed"/>
    <x v="3"/>
    <s v="Debit Card"/>
  </r>
  <r>
    <n v="2813"/>
    <n v="6561"/>
    <x v="84"/>
    <n v="3960.83"/>
    <s v="Completed"/>
    <x v="4"/>
    <s v="Apple Pay"/>
  </r>
  <r>
    <n v="2814"/>
    <n v="3267"/>
    <x v="5"/>
    <n v="1933.65"/>
    <s v="Completed"/>
    <x v="5"/>
    <s v="Apple Pay"/>
  </r>
  <r>
    <n v="2815"/>
    <n v="3454"/>
    <x v="333"/>
    <n v="11792.36"/>
    <s v="Completed"/>
    <x v="0"/>
    <s v="Credit Card"/>
  </r>
  <r>
    <n v="2816"/>
    <n v="5581"/>
    <x v="289"/>
    <n v="534.49"/>
    <s v="Completed"/>
    <x v="3"/>
    <s v="Apple Pay"/>
  </r>
  <r>
    <n v="2817"/>
    <n v="3744"/>
    <x v="275"/>
    <n v="360.28"/>
    <s v="Completed"/>
    <x v="2"/>
    <s v="Apple Pay"/>
  </r>
  <r>
    <n v="2818"/>
    <n v="1060"/>
    <x v="92"/>
    <n v="273.77"/>
    <s v="Completed"/>
    <x v="4"/>
    <s v="Credit Card"/>
  </r>
  <r>
    <n v="2819"/>
    <n v="6079"/>
    <x v="349"/>
    <n v="157.91999999999999"/>
    <s v="Completed"/>
    <x v="1"/>
    <s v="Credit Card"/>
  </r>
  <r>
    <n v="2820"/>
    <n v="2265"/>
    <x v="204"/>
    <n v="1129.1500000000001"/>
    <s v="Completed"/>
    <x v="2"/>
    <s v="Apple Pay"/>
  </r>
  <r>
    <n v="2821"/>
    <n v="5022"/>
    <x v="330"/>
    <n v="132.22999999999999"/>
    <s v="Completed"/>
    <x v="0"/>
    <s v="Debit Card"/>
  </r>
  <r>
    <n v="2822"/>
    <n v="5036"/>
    <x v="134"/>
    <n v="469.48"/>
    <s v="Completed"/>
    <x v="1"/>
    <s v="Apple Pay"/>
  </r>
  <r>
    <n v="2823"/>
    <n v="6587"/>
    <x v="65"/>
    <n v="1195.3900000000001"/>
    <s v="Completed"/>
    <x v="2"/>
    <s v="PayPal"/>
  </r>
  <r>
    <n v="2824"/>
    <n v="4642"/>
    <x v="336"/>
    <n v="613.75"/>
    <s v="Completed"/>
    <x v="4"/>
    <s v="Debit Card"/>
  </r>
  <r>
    <n v="2825"/>
    <n v="1667"/>
    <x v="252"/>
    <n v="512.34"/>
    <s v="Completed"/>
    <x v="2"/>
    <s v="Credit Card"/>
  </r>
  <r>
    <n v="2826"/>
    <n v="2781"/>
    <x v="90"/>
    <n v="1872.65"/>
    <s v="Completed"/>
    <x v="3"/>
    <s v="Credit Card"/>
  </r>
  <r>
    <n v="2827"/>
    <n v="975"/>
    <x v="320"/>
    <n v="2432.2199999999998"/>
    <s v="Completed"/>
    <x v="5"/>
    <s v="Apple Pay"/>
  </r>
  <r>
    <n v="2828"/>
    <n v="1890"/>
    <x v="6"/>
    <n v="997.27"/>
    <s v="Completed"/>
    <x v="3"/>
    <s v="Debit Card"/>
  </r>
  <r>
    <n v="2829"/>
    <n v="2526"/>
    <x v="52"/>
    <n v="1926.52"/>
    <s v="Completed"/>
    <x v="1"/>
    <s v="Apple Pay"/>
  </r>
  <r>
    <n v="2830"/>
    <n v="3672"/>
    <x v="25"/>
    <n v="844.42"/>
    <s v="Completed"/>
    <x v="4"/>
    <s v="Debit Card"/>
  </r>
  <r>
    <n v="2831"/>
    <n v="674"/>
    <x v="153"/>
    <n v="1465.8"/>
    <s v="Completed"/>
    <x v="4"/>
    <s v="Debit Card"/>
  </r>
  <r>
    <n v="2832"/>
    <n v="7348"/>
    <x v="234"/>
    <n v="4879.46"/>
    <s v="Completed"/>
    <x v="1"/>
    <s v="Debit Card"/>
  </r>
  <r>
    <n v="2833"/>
    <n v="2988"/>
    <x v="219"/>
    <n v="648.16999999999996"/>
    <s v="Completed"/>
    <x v="1"/>
    <s v="Apple Pay"/>
  </r>
  <r>
    <n v="2834"/>
    <n v="7592"/>
    <x v="275"/>
    <n v="1502.56"/>
    <s v="Completed"/>
    <x v="1"/>
    <s v="Credit Card"/>
  </r>
  <r>
    <n v="2835"/>
    <n v="4051"/>
    <x v="325"/>
    <n v="2322.6799999999998"/>
    <s v="Completed"/>
    <x v="4"/>
    <s v="Apple Pay"/>
  </r>
  <r>
    <n v="2836"/>
    <n v="8759"/>
    <x v="250"/>
    <n v="858.98"/>
    <s v="Completed"/>
    <x v="3"/>
    <s v="Apple Pay"/>
  </r>
  <r>
    <n v="2837"/>
    <n v="9187"/>
    <x v="135"/>
    <n v="929.07"/>
    <s v="Completed"/>
    <x v="1"/>
    <s v="Credit Card"/>
  </r>
  <r>
    <n v="2838"/>
    <n v="4725"/>
    <x v="327"/>
    <n v="5514.92"/>
    <s v="Completed"/>
    <x v="2"/>
    <s v="Apple Pay"/>
  </r>
  <r>
    <n v="2839"/>
    <n v="3640"/>
    <x v="22"/>
    <n v="1556.22"/>
    <s v="Completed"/>
    <x v="1"/>
    <s v="Apple Pay"/>
  </r>
  <r>
    <n v="2840"/>
    <n v="3926"/>
    <x v="305"/>
    <n v="112.54"/>
    <s v="Completed"/>
    <x v="0"/>
    <s v="Apple Pay"/>
  </r>
  <r>
    <n v="2841"/>
    <n v="1308"/>
    <x v="293"/>
    <n v="2885"/>
    <s v="Completed"/>
    <x v="3"/>
    <s v="Apple Pay"/>
  </r>
  <r>
    <n v="2842"/>
    <n v="2485"/>
    <x v="246"/>
    <n v="82.03"/>
    <s v="Completed"/>
    <x v="0"/>
    <s v="PayPal"/>
  </r>
  <r>
    <n v="2843"/>
    <n v="9699"/>
    <x v="100"/>
    <n v="538.64"/>
    <s v="Completed"/>
    <x v="0"/>
    <s v="PayPal"/>
  </r>
  <r>
    <n v="2844"/>
    <n v="5058"/>
    <x v="82"/>
    <n v="1413.84"/>
    <s v="Completed"/>
    <x v="0"/>
    <s v="Debit Card"/>
  </r>
  <r>
    <n v="2845"/>
    <n v="6884"/>
    <x v="340"/>
    <n v="2690.2"/>
    <s v="Completed"/>
    <x v="0"/>
    <s v="PayPal"/>
  </r>
  <r>
    <n v="2846"/>
    <n v="8487"/>
    <x v="84"/>
    <n v="1438.58"/>
    <s v="Completed"/>
    <x v="0"/>
    <s v="Debit Card"/>
  </r>
  <r>
    <n v="2847"/>
    <n v="3764"/>
    <x v="194"/>
    <n v="1431.35"/>
    <s v="Completed"/>
    <x v="2"/>
    <s v="Apple Pay"/>
  </r>
  <r>
    <n v="2848"/>
    <n v="4190"/>
    <x v="3"/>
    <n v="230.74"/>
    <s v="Completed"/>
    <x v="3"/>
    <s v="PayPal"/>
  </r>
  <r>
    <n v="2849"/>
    <n v="1775"/>
    <x v="16"/>
    <n v="941.99"/>
    <s v="Completed"/>
    <x v="3"/>
    <s v="PayPal"/>
  </r>
  <r>
    <n v="2850"/>
    <n v="3825"/>
    <x v="202"/>
    <n v="3875.74"/>
    <s v="Completed"/>
    <x v="4"/>
    <s v="Credit Card"/>
  </r>
  <r>
    <n v="2851"/>
    <n v="2934"/>
    <x v="314"/>
    <n v="1567.77"/>
    <s v="Completed"/>
    <x v="3"/>
    <s v="PayPal"/>
  </r>
  <r>
    <n v="2852"/>
    <n v="8223"/>
    <x v="191"/>
    <n v="682.52"/>
    <s v="Completed"/>
    <x v="0"/>
    <s v="PayPal"/>
  </r>
  <r>
    <n v="2853"/>
    <n v="1141"/>
    <x v="186"/>
    <n v="4106.1499999999996"/>
    <s v="Completed"/>
    <x v="2"/>
    <s v="PayPal"/>
  </r>
  <r>
    <n v="2854"/>
    <n v="434"/>
    <x v="148"/>
    <n v="313.64999999999998"/>
    <s v="Completed"/>
    <x v="2"/>
    <s v="PayPal"/>
  </r>
  <r>
    <n v="2855"/>
    <n v="5023"/>
    <x v="243"/>
    <n v="142.43"/>
    <s v="Completed"/>
    <x v="4"/>
    <s v="Credit Card"/>
  </r>
  <r>
    <n v="2856"/>
    <n v="8912"/>
    <x v="264"/>
    <n v="1995.72"/>
    <s v="Completed"/>
    <x v="3"/>
    <s v="PayPal"/>
  </r>
  <r>
    <n v="2857"/>
    <n v="7909"/>
    <x v="133"/>
    <n v="183.34"/>
    <s v="Completed"/>
    <x v="2"/>
    <s v="Apple Pay"/>
  </r>
  <r>
    <n v="2858"/>
    <n v="38"/>
    <x v="45"/>
    <n v="1169"/>
    <s v="Completed"/>
    <x v="4"/>
    <s v="Credit Card"/>
  </r>
  <r>
    <n v="2859"/>
    <n v="9803"/>
    <x v="248"/>
    <n v="2659.76"/>
    <s v="Completed"/>
    <x v="4"/>
    <s v="PayPal"/>
  </r>
  <r>
    <n v="2860"/>
    <n v="3928"/>
    <x v="146"/>
    <n v="366.74"/>
    <s v="Completed"/>
    <x v="1"/>
    <s v="Apple Pay"/>
  </r>
  <r>
    <n v="2861"/>
    <n v="8251"/>
    <x v="7"/>
    <n v="325.76"/>
    <s v="Completed"/>
    <x v="0"/>
    <s v="PayPal"/>
  </r>
  <r>
    <n v="2862"/>
    <n v="4040"/>
    <x v="86"/>
    <n v="1955.02"/>
    <s v="Completed"/>
    <x v="1"/>
    <s v="PayPal"/>
  </r>
  <r>
    <n v="2863"/>
    <n v="1348"/>
    <x v="247"/>
    <n v="1176.51"/>
    <s v="Completed"/>
    <x v="1"/>
    <s v="Debit Card"/>
  </r>
  <r>
    <n v="2864"/>
    <n v="7058"/>
    <x v="9"/>
    <n v="159.37"/>
    <s v="Completed"/>
    <x v="4"/>
    <s v="PayPal"/>
  </r>
  <r>
    <n v="2865"/>
    <n v="652"/>
    <x v="289"/>
    <n v="1789.35"/>
    <s v="Completed"/>
    <x v="2"/>
    <s v="Apple Pay"/>
  </r>
  <r>
    <n v="2866"/>
    <n v="2825"/>
    <x v="359"/>
    <n v="2178.3000000000002"/>
    <s v="Completed"/>
    <x v="0"/>
    <s v="Apple Pay"/>
  </r>
  <r>
    <n v="2867"/>
    <n v="2366"/>
    <x v="266"/>
    <n v="1196.82"/>
    <s v="Completed"/>
    <x v="0"/>
    <s v="Debit Card"/>
  </r>
  <r>
    <n v="2868"/>
    <n v="2395"/>
    <x v="65"/>
    <n v="961.31"/>
    <s v="Completed"/>
    <x v="3"/>
    <s v="Credit Card"/>
  </r>
  <r>
    <n v="2869"/>
    <n v="5369"/>
    <x v="111"/>
    <n v="2800.68"/>
    <s v="Completed"/>
    <x v="4"/>
    <s v="Debit Card"/>
  </r>
  <r>
    <n v="2870"/>
    <n v="1815"/>
    <x v="247"/>
    <n v="1102.79"/>
    <s v="Completed"/>
    <x v="1"/>
    <s v="PayPal"/>
  </r>
  <r>
    <n v="2871"/>
    <n v="7997"/>
    <x v="118"/>
    <n v="2767.52"/>
    <s v="Completed"/>
    <x v="3"/>
    <s v="Credit Card"/>
  </r>
  <r>
    <n v="2872"/>
    <n v="9906"/>
    <x v="270"/>
    <n v="325.76"/>
    <s v="Completed"/>
    <x v="0"/>
    <s v="Apple Pay"/>
  </r>
  <r>
    <n v="2873"/>
    <n v="8437"/>
    <x v="49"/>
    <n v="538.64"/>
    <s v="Returned"/>
    <x v="4"/>
    <s v="PayPal"/>
  </r>
  <r>
    <n v="2874"/>
    <n v="5828"/>
    <x v="38"/>
    <n v="3222.45"/>
    <s v="Completed"/>
    <x v="3"/>
    <s v="PayPal"/>
  </r>
  <r>
    <n v="2875"/>
    <n v="3277"/>
    <x v="252"/>
    <n v="5139.13"/>
    <s v="Completed"/>
    <x v="1"/>
    <s v="PayPal"/>
  </r>
  <r>
    <n v="2876"/>
    <n v="2206"/>
    <x v="227"/>
    <n v="549.91"/>
    <s v="Completed"/>
    <x v="3"/>
    <s v="Credit Card"/>
  </r>
  <r>
    <n v="2877"/>
    <n v="3822"/>
    <x v="38"/>
    <n v="419.68"/>
    <s v="Completed"/>
    <x v="3"/>
    <s v="PayPal"/>
  </r>
  <r>
    <n v="2878"/>
    <n v="1912"/>
    <x v="62"/>
    <n v="1354.25"/>
    <s v="Completed"/>
    <x v="1"/>
    <s v="PayPal"/>
  </r>
  <r>
    <n v="2879"/>
    <n v="6726"/>
    <x v="345"/>
    <n v="336.84"/>
    <s v="Completed"/>
    <x v="0"/>
    <s v="Credit Card"/>
  </r>
  <r>
    <n v="2880"/>
    <n v="1435"/>
    <x v="182"/>
    <n v="1598.74"/>
    <s v="Completed"/>
    <x v="0"/>
    <s v="Credit Card"/>
  </r>
  <r>
    <n v="2881"/>
    <n v="9140"/>
    <x v="286"/>
    <n v="815.03"/>
    <s v="Completed"/>
    <x v="3"/>
    <s v="PayPal"/>
  </r>
  <r>
    <n v="2882"/>
    <n v="97"/>
    <x v="256"/>
    <n v="4712.42"/>
    <s v="Completed"/>
    <x v="4"/>
    <s v="Debit Card"/>
  </r>
  <r>
    <n v="2883"/>
    <n v="5499"/>
    <x v="91"/>
    <n v="3386.73"/>
    <s v="Returned"/>
    <x v="0"/>
    <s v="Credit Card"/>
  </r>
  <r>
    <n v="2884"/>
    <n v="6919"/>
    <x v="161"/>
    <n v="435.69"/>
    <s v="Completed"/>
    <x v="3"/>
    <s v="PayPal"/>
  </r>
  <r>
    <n v="2885"/>
    <n v="459"/>
    <x v="1"/>
    <n v="5034.93"/>
    <s v="Completed"/>
    <x v="0"/>
    <s v="Credit Card"/>
  </r>
  <r>
    <n v="2886"/>
    <n v="217"/>
    <x v="144"/>
    <n v="198.89"/>
    <s v="Completed"/>
    <x v="1"/>
    <s v="Credit Card"/>
  </r>
  <r>
    <n v="2887"/>
    <n v="5405"/>
    <x v="313"/>
    <n v="561.48"/>
    <s v="Completed"/>
    <x v="0"/>
    <s v="PayPal"/>
  </r>
  <r>
    <n v="2888"/>
    <n v="9522"/>
    <x v="274"/>
    <n v="5617.47"/>
    <s v="Completed"/>
    <x v="2"/>
    <s v="PayPal"/>
  </r>
  <r>
    <n v="2889"/>
    <n v="659"/>
    <x v="170"/>
    <n v="436.2"/>
    <s v="Completed"/>
    <x v="2"/>
    <s v="Debit Card"/>
  </r>
  <r>
    <n v="2890"/>
    <n v="9974"/>
    <x v="137"/>
    <n v="433.69"/>
    <s v="Completed"/>
    <x v="3"/>
    <s v="Apple Pay"/>
  </r>
  <r>
    <n v="2891"/>
    <n v="5057"/>
    <x v="88"/>
    <n v="1058.49"/>
    <s v="Completed"/>
    <x v="2"/>
    <s v="PayPal"/>
  </r>
  <r>
    <n v="2892"/>
    <n v="9947"/>
    <x v="234"/>
    <n v="1072.53"/>
    <s v="Completed"/>
    <x v="2"/>
    <s v="Debit Card"/>
  </r>
  <r>
    <n v="2893"/>
    <n v="4268"/>
    <x v="185"/>
    <n v="257.13"/>
    <s v="Completed"/>
    <x v="1"/>
    <s v="Apple Pay"/>
  </r>
  <r>
    <n v="2894"/>
    <n v="916"/>
    <x v="115"/>
    <n v="689.59"/>
    <s v="Completed"/>
    <x v="5"/>
    <s v="Debit Card"/>
  </r>
  <r>
    <n v="2895"/>
    <n v="7302"/>
    <x v="238"/>
    <n v="1230.71"/>
    <s v="Completed"/>
    <x v="1"/>
    <s v="Debit Card"/>
  </r>
  <r>
    <n v="2896"/>
    <n v="2241"/>
    <x v="304"/>
    <n v="966.66"/>
    <s v="Completed"/>
    <x v="5"/>
    <s v="Debit Card"/>
  </r>
  <r>
    <n v="2897"/>
    <n v="7332"/>
    <x v="245"/>
    <n v="416.58"/>
    <s v="Completed"/>
    <x v="1"/>
    <s v="Apple Pay"/>
  </r>
  <r>
    <n v="2898"/>
    <n v="644"/>
    <x v="131"/>
    <n v="3177.74"/>
    <s v="Completed"/>
    <x v="1"/>
    <s v="Debit Card"/>
  </r>
  <r>
    <n v="2899"/>
    <n v="9584"/>
    <x v="357"/>
    <n v="299.56"/>
    <s v="Completed"/>
    <x v="2"/>
    <s v="Credit Card"/>
  </r>
  <r>
    <n v="2900"/>
    <n v="8837"/>
    <x v="4"/>
    <n v="657.8"/>
    <s v="Completed"/>
    <x v="1"/>
    <s v="Credit Card"/>
  </r>
  <r>
    <n v="2901"/>
    <n v="8999"/>
    <x v="39"/>
    <n v="1421.41"/>
    <s v="Completed"/>
    <x v="4"/>
    <s v="PayPal"/>
  </r>
  <r>
    <n v="2902"/>
    <n v="564"/>
    <x v="102"/>
    <n v="5052.47"/>
    <s v="Completed"/>
    <x v="3"/>
    <s v="Debit Card"/>
  </r>
  <r>
    <n v="2903"/>
    <n v="6082"/>
    <x v="135"/>
    <n v="895.88"/>
    <s v="Completed"/>
    <x v="4"/>
    <s v="Debit Card"/>
  </r>
  <r>
    <n v="2904"/>
    <n v="7240"/>
    <x v="135"/>
    <n v="2977.61"/>
    <s v="Completed"/>
    <x v="3"/>
    <s v="Apple Pay"/>
  </r>
  <r>
    <n v="2905"/>
    <n v="1564"/>
    <x v="18"/>
    <n v="4386.9399999999996"/>
    <s v="Completed"/>
    <x v="4"/>
    <s v="PayPal"/>
  </r>
  <r>
    <n v="2906"/>
    <n v="3512"/>
    <x v="166"/>
    <n v="930.45"/>
    <s v="Completed"/>
    <x v="1"/>
    <s v="Credit Card"/>
  </r>
  <r>
    <n v="2907"/>
    <n v="2390"/>
    <x v="160"/>
    <n v="207.19"/>
    <s v="Completed"/>
    <x v="0"/>
    <s v="Credit Card"/>
  </r>
  <r>
    <n v="2908"/>
    <n v="5775"/>
    <x v="6"/>
    <n v="539.1"/>
    <s v="Completed"/>
    <x v="3"/>
    <s v="Debit Card"/>
  </r>
  <r>
    <n v="2909"/>
    <n v="3778"/>
    <x v="103"/>
    <n v="1230.81"/>
    <s v="Completed"/>
    <x v="0"/>
    <s v="Credit Card"/>
  </r>
  <r>
    <n v="2910"/>
    <n v="2821"/>
    <x v="92"/>
    <n v="2391.2399999999998"/>
    <s v="Completed"/>
    <x v="1"/>
    <s v="Apple Pay"/>
  </r>
  <r>
    <n v="2911"/>
    <n v="5676"/>
    <x v="209"/>
    <n v="2428.23"/>
    <s v="Completed"/>
    <x v="2"/>
    <s v="PayPal"/>
  </r>
  <r>
    <n v="2912"/>
    <n v="9713"/>
    <x v="88"/>
    <n v="1777.25"/>
    <s v="Completed"/>
    <x v="0"/>
    <s v="PayPal"/>
  </r>
  <r>
    <n v="2913"/>
    <n v="6916"/>
    <x v="86"/>
    <n v="1177.8599999999999"/>
    <s v="Completed"/>
    <x v="3"/>
    <s v="Debit Card"/>
  </r>
  <r>
    <n v="2914"/>
    <n v="6143"/>
    <x v="138"/>
    <n v="1072.3800000000001"/>
    <s v="Completed"/>
    <x v="3"/>
    <s v="Credit Card"/>
  </r>
  <r>
    <n v="2915"/>
    <n v="4835"/>
    <x v="302"/>
    <n v="1016.02"/>
    <s v="Completed"/>
    <x v="3"/>
    <s v="Credit Card"/>
  </r>
  <r>
    <n v="2916"/>
    <n v="6326"/>
    <x v="44"/>
    <n v="339.07"/>
    <s v="Completed"/>
    <x v="0"/>
    <s v="Credit Card"/>
  </r>
  <r>
    <n v="2917"/>
    <n v="4350"/>
    <x v="356"/>
    <n v="171.24"/>
    <s v="Completed"/>
    <x v="2"/>
    <s v="Debit Card"/>
  </r>
  <r>
    <n v="2918"/>
    <n v="367"/>
    <x v="301"/>
    <n v="3713.87"/>
    <s v="Completed"/>
    <x v="1"/>
    <s v="Credit Card"/>
  </r>
  <r>
    <n v="2919"/>
    <n v="5065"/>
    <x v="90"/>
    <n v="2005.04"/>
    <s v="Completed"/>
    <x v="1"/>
    <s v="Debit Card"/>
  </r>
  <r>
    <n v="2920"/>
    <n v="8138"/>
    <x v="41"/>
    <n v="967.79"/>
    <s v="Completed"/>
    <x v="2"/>
    <s v="PayPal"/>
  </r>
  <r>
    <n v="2921"/>
    <n v="3732"/>
    <x v="44"/>
    <n v="967.11"/>
    <s v="Completed"/>
    <x v="1"/>
    <s v="Debit Card"/>
  </r>
  <r>
    <n v="2922"/>
    <n v="4689"/>
    <x v="215"/>
    <n v="1176.98"/>
    <s v="Completed"/>
    <x v="2"/>
    <s v="Debit Card"/>
  </r>
  <r>
    <n v="2923"/>
    <n v="3218"/>
    <x v="29"/>
    <n v="2188.34"/>
    <s v="Completed"/>
    <x v="2"/>
    <s v="PayPal"/>
  </r>
  <r>
    <n v="2924"/>
    <n v="1669"/>
    <x v="27"/>
    <n v="193.8"/>
    <s v="Completed"/>
    <x v="3"/>
    <s v="Apple Pay"/>
  </r>
  <r>
    <n v="2925"/>
    <n v="5368"/>
    <x v="224"/>
    <n v="1007.5"/>
    <s v="Completed"/>
    <x v="5"/>
    <s v="Credit Card"/>
  </r>
  <r>
    <n v="2926"/>
    <n v="561"/>
    <x v="35"/>
    <n v="1128.9100000000001"/>
    <s v="Completed"/>
    <x v="1"/>
    <s v="Apple Pay"/>
  </r>
  <r>
    <n v="2927"/>
    <n v="4265"/>
    <x v="157"/>
    <n v="1636.91"/>
    <s v="Completed"/>
    <x v="1"/>
    <s v="Credit Card"/>
  </r>
  <r>
    <n v="2928"/>
    <n v="7203"/>
    <x v="179"/>
    <n v="2381.16"/>
    <s v="Completed"/>
    <x v="1"/>
    <s v="Debit Card"/>
  </r>
  <r>
    <n v="2929"/>
    <n v="7385"/>
    <x v="345"/>
    <n v="2620.02"/>
    <s v="Completed"/>
    <x v="1"/>
    <s v="PayPal"/>
  </r>
  <r>
    <n v="2930"/>
    <n v="9000"/>
    <x v="351"/>
    <n v="157.91999999999999"/>
    <s v="Completed"/>
    <x v="4"/>
    <s v="Debit Card"/>
  </r>
  <r>
    <n v="2931"/>
    <n v="5644"/>
    <x v="44"/>
    <n v="410.89"/>
    <s v="Completed"/>
    <x v="5"/>
    <s v="Credit Card"/>
  </r>
  <r>
    <n v="2932"/>
    <n v="2231"/>
    <x v="266"/>
    <n v="3873.95"/>
    <s v="Completed"/>
    <x v="4"/>
    <s v="Debit Card"/>
  </r>
  <r>
    <n v="2933"/>
    <n v="7356"/>
    <x v="105"/>
    <n v="520.20000000000005"/>
    <s v="Completed"/>
    <x v="1"/>
    <s v="Apple Pay"/>
  </r>
  <r>
    <n v="2934"/>
    <n v="7688"/>
    <x v="4"/>
    <n v="602.73"/>
    <s v="Completed"/>
    <x v="4"/>
    <s v="PayPal"/>
  </r>
  <r>
    <n v="2935"/>
    <n v="8165"/>
    <x v="246"/>
    <n v="480.36"/>
    <s v="Completed"/>
    <x v="0"/>
    <s v="Apple Pay"/>
  </r>
  <r>
    <n v="2936"/>
    <n v="6638"/>
    <x v="68"/>
    <n v="661.44"/>
    <s v="Cancelled"/>
    <x v="4"/>
    <s v="Apple Pay"/>
  </r>
  <r>
    <n v="2937"/>
    <n v="3618"/>
    <x v="289"/>
    <n v="1816.72"/>
    <s v="Returned"/>
    <x v="4"/>
    <s v="Apple Pay"/>
  </r>
  <r>
    <n v="2938"/>
    <n v="3635"/>
    <x v="193"/>
    <n v="1440.88"/>
    <s v="Completed"/>
    <x v="2"/>
    <s v="PayPal"/>
  </r>
  <r>
    <n v="2939"/>
    <n v="4136"/>
    <x v="286"/>
    <n v="662.52"/>
    <s v="Completed"/>
    <x v="1"/>
    <s v="Credit Card"/>
  </r>
  <r>
    <n v="2940"/>
    <n v="2341"/>
    <x v="123"/>
    <n v="280.61"/>
    <s v="Completed"/>
    <x v="4"/>
    <s v="Debit Card"/>
  </r>
  <r>
    <n v="2941"/>
    <n v="5467"/>
    <x v="156"/>
    <n v="1086.2"/>
    <s v="Completed"/>
    <x v="2"/>
    <s v="Credit Card"/>
  </r>
  <r>
    <n v="2942"/>
    <n v="4622"/>
    <x v="10"/>
    <n v="888.93"/>
    <s v="Completed"/>
    <x v="1"/>
    <s v="Credit Card"/>
  </r>
  <r>
    <n v="2943"/>
    <n v="5850"/>
    <x v="117"/>
    <n v="601.86"/>
    <s v="Completed"/>
    <x v="4"/>
    <s v="Apple Pay"/>
  </r>
  <r>
    <n v="2944"/>
    <n v="8283"/>
    <x v="65"/>
    <n v="761.53"/>
    <s v="Completed"/>
    <x v="2"/>
    <s v="Apple Pay"/>
  </r>
  <r>
    <n v="2945"/>
    <n v="606"/>
    <x v="88"/>
    <n v="3194.24"/>
    <s v="Completed"/>
    <x v="3"/>
    <s v="Apple Pay"/>
  </r>
  <r>
    <n v="2946"/>
    <n v="5804"/>
    <x v="18"/>
    <n v="756.46"/>
    <s v="Completed"/>
    <x v="0"/>
    <s v="Apple Pay"/>
  </r>
  <r>
    <n v="2947"/>
    <n v="945"/>
    <x v="48"/>
    <n v="1822.78"/>
    <s v="Completed"/>
    <x v="1"/>
    <s v="Credit Card"/>
  </r>
  <r>
    <n v="2948"/>
    <n v="8277"/>
    <x v="153"/>
    <n v="1845.75"/>
    <s v="Completed"/>
    <x v="1"/>
    <s v="Debit Card"/>
  </r>
  <r>
    <n v="2949"/>
    <n v="2392"/>
    <x v="151"/>
    <n v="1153.5"/>
    <s v="Completed"/>
    <x v="4"/>
    <s v="Apple Pay"/>
  </r>
  <r>
    <n v="2950"/>
    <n v="2324"/>
    <x v="262"/>
    <n v="2362.17"/>
    <s v="Completed"/>
    <x v="1"/>
    <s v="Apple Pay"/>
  </r>
  <r>
    <n v="2951"/>
    <n v="1942"/>
    <x v="187"/>
    <n v="920.76"/>
    <s v="Completed"/>
    <x v="2"/>
    <s v="Apple Pay"/>
  </r>
  <r>
    <n v="2952"/>
    <n v="6215"/>
    <x v="118"/>
    <n v="2914.63"/>
    <s v="Completed"/>
    <x v="4"/>
    <s v="Debit Card"/>
  </r>
  <r>
    <n v="2953"/>
    <n v="1620"/>
    <x v="103"/>
    <n v="266.31"/>
    <s v="Completed"/>
    <x v="1"/>
    <s v="Debit Card"/>
  </r>
  <r>
    <n v="2954"/>
    <n v="306"/>
    <x v="215"/>
    <n v="2158.3200000000002"/>
    <s v="Returned"/>
    <x v="1"/>
    <s v="Credit Card"/>
  </r>
  <r>
    <n v="2955"/>
    <n v="2770"/>
    <x v="360"/>
    <n v="1090.0999999999999"/>
    <s v="Completed"/>
    <x v="3"/>
    <s v="PayPal"/>
  </r>
  <r>
    <n v="2956"/>
    <n v="9895"/>
    <x v="148"/>
    <n v="1705.77"/>
    <s v="Completed"/>
    <x v="0"/>
    <s v="Credit Card"/>
  </r>
  <r>
    <n v="2957"/>
    <n v="1183"/>
    <x v="6"/>
    <n v="414.24"/>
    <s v="Completed"/>
    <x v="3"/>
    <s v="PayPal"/>
  </r>
  <r>
    <n v="2958"/>
    <n v="7964"/>
    <x v="17"/>
    <n v="759.53"/>
    <s v="Completed"/>
    <x v="1"/>
    <s v="PayPal"/>
  </r>
  <r>
    <n v="2959"/>
    <n v="3886"/>
    <x v="124"/>
    <n v="1411.31"/>
    <s v="Completed"/>
    <x v="1"/>
    <s v="Credit Card"/>
  </r>
  <r>
    <n v="2960"/>
    <n v="1230"/>
    <x v="217"/>
    <n v="284.73"/>
    <s v="Completed"/>
    <x v="3"/>
    <s v="Credit Card"/>
  </r>
  <r>
    <n v="2961"/>
    <n v="2861"/>
    <x v="109"/>
    <n v="858.98"/>
    <s v="Completed"/>
    <x v="2"/>
    <s v="Credit Card"/>
  </r>
  <r>
    <n v="2962"/>
    <n v="1682"/>
    <x v="90"/>
    <n v="777.27"/>
    <s v="Completed"/>
    <x v="3"/>
    <s v="Credit Card"/>
  </r>
  <r>
    <n v="2963"/>
    <n v="5558"/>
    <x v="173"/>
    <n v="965.83"/>
    <s v="Completed"/>
    <x v="3"/>
    <s v="Apple Pay"/>
  </r>
  <r>
    <n v="2964"/>
    <n v="595"/>
    <x v="203"/>
    <n v="1391.52"/>
    <s v="Completed"/>
    <x v="2"/>
    <s v="PayPal"/>
  </r>
  <r>
    <n v="2965"/>
    <n v="2734"/>
    <x v="323"/>
    <n v="2139.08"/>
    <s v="Completed"/>
    <x v="3"/>
    <s v="Debit Card"/>
  </r>
  <r>
    <n v="2966"/>
    <n v="9664"/>
    <x v="226"/>
    <n v="1804.08"/>
    <s v="Completed"/>
    <x v="0"/>
    <s v="PayPal"/>
  </r>
  <r>
    <n v="2967"/>
    <n v="6242"/>
    <x v="200"/>
    <n v="295.79000000000002"/>
    <s v="Completed"/>
    <x v="3"/>
    <s v="Debit Card"/>
  </r>
  <r>
    <n v="2968"/>
    <n v="5242"/>
    <x v="155"/>
    <n v="720.37"/>
    <s v="Completed"/>
    <x v="4"/>
    <s v="PayPal"/>
  </r>
  <r>
    <n v="2969"/>
    <n v="4637"/>
    <x v="161"/>
    <n v="960.27"/>
    <s v="Completed"/>
    <x v="2"/>
    <s v="PayPal"/>
  </r>
  <r>
    <n v="2970"/>
    <n v="6463"/>
    <x v="210"/>
    <n v="255.79"/>
    <s v="Completed"/>
    <x v="4"/>
    <s v="Apple Pay"/>
  </r>
  <r>
    <n v="2971"/>
    <n v="4974"/>
    <x v="142"/>
    <n v="1286.03"/>
    <s v="Completed"/>
    <x v="0"/>
    <s v="PayPal"/>
  </r>
  <r>
    <n v="2972"/>
    <n v="5092"/>
    <x v="255"/>
    <n v="989.11"/>
    <s v="Completed"/>
    <x v="4"/>
    <s v="Apple Pay"/>
  </r>
  <r>
    <n v="2973"/>
    <n v="8518"/>
    <x v="14"/>
    <n v="3115.63"/>
    <s v="Completed"/>
    <x v="3"/>
    <s v="Apple Pay"/>
  </r>
  <r>
    <n v="2974"/>
    <n v="8121"/>
    <x v="150"/>
    <n v="1362.58"/>
    <s v="Completed"/>
    <x v="5"/>
    <s v="Credit Card"/>
  </r>
  <r>
    <n v="2975"/>
    <n v="723"/>
    <x v="78"/>
    <n v="2843.6"/>
    <s v="Completed"/>
    <x v="0"/>
    <s v="PayPal"/>
  </r>
  <r>
    <n v="2976"/>
    <n v="9082"/>
    <x v="338"/>
    <n v="663.34"/>
    <s v="Cancelled"/>
    <x v="3"/>
    <s v="Credit Card"/>
  </r>
  <r>
    <n v="2977"/>
    <n v="1934"/>
    <x v="195"/>
    <n v="1916.76"/>
    <s v="Completed"/>
    <x v="0"/>
    <s v="Apple Pay"/>
  </r>
  <r>
    <n v="2978"/>
    <n v="5729"/>
    <x v="109"/>
    <n v="943.91"/>
    <s v="Completed"/>
    <x v="4"/>
    <s v="PayPal"/>
  </r>
  <r>
    <n v="2979"/>
    <n v="8494"/>
    <x v="296"/>
    <n v="969.19"/>
    <s v="Completed"/>
    <x v="0"/>
    <s v="Debit Card"/>
  </r>
  <r>
    <n v="2980"/>
    <n v="8911"/>
    <x v="167"/>
    <n v="1674.48"/>
    <s v="Completed"/>
    <x v="2"/>
    <s v="Debit Card"/>
  </r>
  <r>
    <n v="2981"/>
    <n v="5337"/>
    <x v="248"/>
    <n v="359.28"/>
    <s v="Completed"/>
    <x v="2"/>
    <s v="Apple Pay"/>
  </r>
  <r>
    <n v="2982"/>
    <n v="9705"/>
    <x v="143"/>
    <n v="1502.76"/>
    <s v="Completed"/>
    <x v="0"/>
    <s v="Credit Card"/>
  </r>
  <r>
    <n v="2983"/>
    <n v="1853"/>
    <x v="35"/>
    <n v="1832.01"/>
    <s v="Completed"/>
    <x v="4"/>
    <s v="Credit Card"/>
  </r>
  <r>
    <n v="2984"/>
    <n v="3132"/>
    <x v="211"/>
    <n v="3762.62"/>
    <s v="Completed"/>
    <x v="1"/>
    <s v="PayPal"/>
  </r>
  <r>
    <n v="2985"/>
    <n v="5422"/>
    <x v="110"/>
    <n v="955.75"/>
    <s v="Completed"/>
    <x v="4"/>
    <s v="PayPal"/>
  </r>
  <r>
    <n v="2986"/>
    <n v="6341"/>
    <x v="42"/>
    <n v="9286.34"/>
    <s v="Completed"/>
    <x v="2"/>
    <s v="PayPal"/>
  </r>
  <r>
    <n v="2987"/>
    <n v="1160"/>
    <x v="314"/>
    <n v="193.6"/>
    <s v="Completed"/>
    <x v="1"/>
    <s v="Debit Card"/>
  </r>
  <r>
    <n v="2988"/>
    <n v="3106"/>
    <x v="111"/>
    <n v="1887.71"/>
    <s v="Completed"/>
    <x v="1"/>
    <s v="Debit Card"/>
  </r>
  <r>
    <n v="2989"/>
    <n v="8757"/>
    <x v="71"/>
    <n v="2181.39"/>
    <s v="Completed"/>
    <x v="4"/>
    <s v="Apple Pay"/>
  </r>
  <r>
    <n v="2990"/>
    <n v="1873"/>
    <x v="127"/>
    <n v="1933.89"/>
    <s v="Completed"/>
    <x v="2"/>
    <s v="PayPal"/>
  </r>
  <r>
    <n v="2991"/>
    <n v="4860"/>
    <x v="88"/>
    <n v="3057.75"/>
    <s v="Completed"/>
    <x v="4"/>
    <s v="Apple Pay"/>
  </r>
  <r>
    <n v="2992"/>
    <n v="1177"/>
    <x v="138"/>
    <n v="1517.02"/>
    <s v="Completed"/>
    <x v="1"/>
    <s v="Credit Card"/>
  </r>
  <r>
    <n v="2993"/>
    <n v="1308"/>
    <x v="36"/>
    <n v="1925.05"/>
    <s v="Completed"/>
    <x v="3"/>
    <s v="Credit Card"/>
  </r>
  <r>
    <n v="2994"/>
    <n v="2365"/>
    <x v="278"/>
    <n v="653.39"/>
    <s v="Completed"/>
    <x v="0"/>
    <s v="PayPal"/>
  </r>
  <r>
    <n v="2995"/>
    <n v="6783"/>
    <x v="325"/>
    <n v="2485.4499999999998"/>
    <s v="Completed"/>
    <x v="1"/>
    <s v="Credit Card"/>
  </r>
  <r>
    <n v="2996"/>
    <n v="5158"/>
    <x v="271"/>
    <n v="1165.56"/>
    <s v="Completed"/>
    <x v="3"/>
    <s v="Credit Card"/>
  </r>
  <r>
    <n v="2997"/>
    <n v="8259"/>
    <x v="362"/>
    <n v="861.09"/>
    <s v="Completed"/>
    <x v="0"/>
    <s v="Debit Card"/>
  </r>
  <r>
    <n v="2998"/>
    <n v="1094"/>
    <x v="313"/>
    <n v="1915.49"/>
    <s v="Completed"/>
    <x v="4"/>
    <s v="PayPal"/>
  </r>
  <r>
    <n v="2999"/>
    <n v="579"/>
    <x v="128"/>
    <n v="258.66000000000003"/>
    <s v="Completed"/>
    <x v="4"/>
    <s v="Credit Card"/>
  </r>
  <r>
    <n v="3000"/>
    <n v="6142"/>
    <x v="59"/>
    <n v="74.09"/>
    <s v="Completed"/>
    <x v="2"/>
    <s v="PayPal"/>
  </r>
  <r>
    <n v="3001"/>
    <n v="7638"/>
    <x v="201"/>
    <n v="1860.2"/>
    <s v="Completed"/>
    <x v="0"/>
    <s v="Apple Pay"/>
  </r>
  <r>
    <n v="3002"/>
    <n v="236"/>
    <x v="342"/>
    <n v="1152.75"/>
    <s v="Completed"/>
    <x v="1"/>
    <s v="PayPal"/>
  </r>
  <r>
    <n v="3003"/>
    <n v="8087"/>
    <x v="224"/>
    <n v="240.57"/>
    <s v="Completed"/>
    <x v="0"/>
    <s v="Debit Card"/>
  </r>
  <r>
    <n v="3004"/>
    <n v="9759"/>
    <x v="5"/>
    <n v="2016.68"/>
    <s v="Completed"/>
    <x v="3"/>
    <s v="Debit Card"/>
  </r>
  <r>
    <n v="3005"/>
    <n v="6346"/>
    <x v="204"/>
    <n v="428.94"/>
    <s v="Completed"/>
    <x v="3"/>
    <s v="PayPal"/>
  </r>
  <r>
    <n v="3006"/>
    <n v="8437"/>
    <x v="42"/>
    <n v="1001.48"/>
    <s v="Completed"/>
    <x v="4"/>
    <s v="PayPal"/>
  </r>
  <r>
    <n v="3007"/>
    <n v="7487"/>
    <x v="287"/>
    <n v="1166.27"/>
    <s v="Completed"/>
    <x v="2"/>
    <s v="PayPal"/>
  </r>
  <r>
    <n v="3008"/>
    <n v="2491"/>
    <x v="346"/>
    <n v="1279.6099999999999"/>
    <s v="Completed"/>
    <x v="0"/>
    <s v="PayPal"/>
  </r>
  <r>
    <n v="3009"/>
    <n v="824"/>
    <x v="43"/>
    <n v="183.41"/>
    <s v="Completed"/>
    <x v="5"/>
    <s v="PayPal"/>
  </r>
  <r>
    <n v="3010"/>
    <n v="2392"/>
    <x v="81"/>
    <n v="154.28"/>
    <s v="Completed"/>
    <x v="4"/>
    <s v="Debit Card"/>
  </r>
  <r>
    <n v="3011"/>
    <n v="1440"/>
    <x v="278"/>
    <n v="486.42"/>
    <s v="Completed"/>
    <x v="4"/>
    <s v="PayPal"/>
  </r>
  <r>
    <n v="3012"/>
    <n v="716"/>
    <x v="157"/>
    <n v="832.95"/>
    <s v="Completed"/>
    <x v="0"/>
    <s v="Debit Card"/>
  </r>
  <r>
    <n v="3013"/>
    <n v="7148"/>
    <x v="53"/>
    <n v="221.62"/>
    <s v="Cancelled"/>
    <x v="4"/>
    <s v="Credit Card"/>
  </r>
  <r>
    <n v="3014"/>
    <n v="3558"/>
    <x v="152"/>
    <n v="1257.96"/>
    <s v="Completed"/>
    <x v="4"/>
    <s v="Credit Card"/>
  </r>
  <r>
    <n v="3015"/>
    <n v="3454"/>
    <x v="113"/>
    <n v="2016.04"/>
    <s v="Returned"/>
    <x v="0"/>
    <s v="Apple Pay"/>
  </r>
  <r>
    <n v="3016"/>
    <n v="333"/>
    <x v="281"/>
    <n v="623.01"/>
    <s v="Completed"/>
    <x v="4"/>
    <s v="Credit Card"/>
  </r>
  <r>
    <n v="3017"/>
    <n v="6701"/>
    <x v="9"/>
    <n v="3449.03"/>
    <s v="Completed"/>
    <x v="3"/>
    <s v="Debit Card"/>
  </r>
  <r>
    <n v="3018"/>
    <n v="8383"/>
    <x v="39"/>
    <n v="83.56"/>
    <s v="Completed"/>
    <x v="0"/>
    <s v="Debit Card"/>
  </r>
  <r>
    <n v="3019"/>
    <n v="7070"/>
    <x v="265"/>
    <n v="1170.1099999999999"/>
    <s v="Completed"/>
    <x v="3"/>
    <s v="Apple Pay"/>
  </r>
  <r>
    <n v="3020"/>
    <n v="6363"/>
    <x v="257"/>
    <n v="1722.8"/>
    <s v="Completed"/>
    <x v="3"/>
    <s v="Apple Pay"/>
  </r>
  <r>
    <n v="3021"/>
    <n v="5804"/>
    <x v="291"/>
    <n v="1376.71"/>
    <s v="Completed"/>
    <x v="0"/>
    <s v="Credit Card"/>
  </r>
  <r>
    <n v="3022"/>
    <n v="6861"/>
    <x v="127"/>
    <n v="1102.4100000000001"/>
    <s v="Completed"/>
    <x v="4"/>
    <s v="Credit Card"/>
  </r>
  <r>
    <n v="3023"/>
    <n v="3657"/>
    <x v="245"/>
    <n v="2808.34"/>
    <s v="Completed"/>
    <x v="1"/>
    <s v="Credit Card"/>
  </r>
  <r>
    <n v="3024"/>
    <n v="3316"/>
    <x v="165"/>
    <n v="526.08000000000004"/>
    <s v="Completed"/>
    <x v="5"/>
    <s v="Apple Pay"/>
  </r>
  <r>
    <n v="3025"/>
    <n v="2094"/>
    <x v="288"/>
    <n v="313.64999999999998"/>
    <s v="Completed"/>
    <x v="4"/>
    <s v="Apple Pay"/>
  </r>
  <r>
    <n v="3026"/>
    <n v="4002"/>
    <x v="28"/>
    <n v="1701.15"/>
    <s v="Completed"/>
    <x v="3"/>
    <s v="Apple Pay"/>
  </r>
  <r>
    <n v="3027"/>
    <n v="2775"/>
    <x v="313"/>
    <n v="1646.89"/>
    <s v="Returned"/>
    <x v="1"/>
    <s v="Debit Card"/>
  </r>
  <r>
    <n v="3028"/>
    <n v="2877"/>
    <x v="223"/>
    <n v="914.09"/>
    <s v="Completed"/>
    <x v="4"/>
    <s v="PayPal"/>
  </r>
  <r>
    <n v="3029"/>
    <n v="7423"/>
    <x v="165"/>
    <n v="374.8"/>
    <s v="Completed"/>
    <x v="2"/>
    <s v="PayPal"/>
  </r>
  <r>
    <n v="3030"/>
    <n v="414"/>
    <x v="229"/>
    <n v="5865.06"/>
    <s v="Completed"/>
    <x v="2"/>
    <s v="Apple Pay"/>
  </r>
  <r>
    <n v="3031"/>
    <n v="1451"/>
    <x v="207"/>
    <n v="406.33"/>
    <s v="Completed"/>
    <x v="1"/>
    <s v="PayPal"/>
  </r>
  <r>
    <n v="3032"/>
    <n v="2287"/>
    <x v="134"/>
    <n v="227.13"/>
    <s v="Completed"/>
    <x v="3"/>
    <s v="Apple Pay"/>
  </r>
  <r>
    <n v="3033"/>
    <n v="8464"/>
    <x v="140"/>
    <n v="2879.22"/>
    <s v="Completed"/>
    <x v="1"/>
    <s v="Credit Card"/>
  </r>
  <r>
    <n v="3034"/>
    <n v="8217"/>
    <x v="351"/>
    <n v="662.52"/>
    <s v="Completed"/>
    <x v="4"/>
    <s v="Credit Card"/>
  </r>
  <r>
    <n v="3035"/>
    <n v="7200"/>
    <x v="95"/>
    <n v="366.31"/>
    <s v="Completed"/>
    <x v="4"/>
    <s v="Credit Card"/>
  </r>
  <r>
    <n v="3036"/>
    <n v="4965"/>
    <x v="228"/>
    <n v="442.46"/>
    <s v="Completed"/>
    <x v="1"/>
    <s v="Apple Pay"/>
  </r>
  <r>
    <n v="3037"/>
    <n v="6459"/>
    <x v="38"/>
    <n v="439.45"/>
    <s v="Completed"/>
    <x v="3"/>
    <s v="PayPal"/>
  </r>
  <r>
    <n v="3038"/>
    <n v="4813"/>
    <x v="16"/>
    <n v="1007.5"/>
    <s v="Completed"/>
    <x v="0"/>
    <s v="PayPal"/>
  </r>
  <r>
    <n v="3039"/>
    <n v="1126"/>
    <x v="9"/>
    <n v="2686.72"/>
    <s v="Cancelled"/>
    <x v="0"/>
    <s v="Apple Pay"/>
  </r>
  <r>
    <n v="3040"/>
    <n v="2146"/>
    <x v="301"/>
    <n v="528.07000000000005"/>
    <s v="Completed"/>
    <x v="1"/>
    <s v="Credit Card"/>
  </r>
  <r>
    <n v="3041"/>
    <n v="2810"/>
    <x v="282"/>
    <n v="260.61"/>
    <s v="Completed"/>
    <x v="1"/>
    <s v="Apple Pay"/>
  </r>
  <r>
    <n v="3042"/>
    <n v="6907"/>
    <x v="68"/>
    <n v="1532.96"/>
    <s v="Completed"/>
    <x v="2"/>
    <s v="Debit Card"/>
  </r>
  <r>
    <n v="3043"/>
    <n v="8616"/>
    <x v="292"/>
    <n v="1371.75"/>
    <s v="Completed"/>
    <x v="0"/>
    <s v="PayPal"/>
  </r>
  <r>
    <n v="3044"/>
    <n v="9012"/>
    <x v="35"/>
    <n v="1257.96"/>
    <s v="Completed"/>
    <x v="1"/>
    <s v="Credit Card"/>
  </r>
  <r>
    <n v="3045"/>
    <n v="4585"/>
    <x v="177"/>
    <n v="2222.6999999999998"/>
    <s v="Completed"/>
    <x v="0"/>
    <s v="Apple Pay"/>
  </r>
  <r>
    <n v="3046"/>
    <n v="5771"/>
    <x v="159"/>
    <n v="414.24"/>
    <s v="Completed"/>
    <x v="2"/>
    <s v="PayPal"/>
  </r>
  <r>
    <n v="3047"/>
    <n v="2246"/>
    <x v="216"/>
    <n v="318.02"/>
    <s v="Completed"/>
    <x v="4"/>
    <s v="Debit Card"/>
  </r>
  <r>
    <n v="3048"/>
    <n v="8100"/>
    <x v="224"/>
    <n v="4147.67"/>
    <s v="Completed"/>
    <x v="2"/>
    <s v="PayPal"/>
  </r>
  <r>
    <n v="3049"/>
    <n v="5399"/>
    <x v="56"/>
    <n v="1511.13"/>
    <s v="Completed"/>
    <x v="3"/>
    <s v="Debit Card"/>
  </r>
  <r>
    <n v="3050"/>
    <n v="8890"/>
    <x v="285"/>
    <n v="673.89"/>
    <s v="Completed"/>
    <x v="0"/>
    <s v="PayPal"/>
  </r>
  <r>
    <n v="3051"/>
    <n v="1265"/>
    <x v="5"/>
    <n v="3547.14"/>
    <s v="Completed"/>
    <x v="1"/>
    <s v="Debit Card"/>
  </r>
  <r>
    <n v="3052"/>
    <n v="4764"/>
    <x v="265"/>
    <n v="422.21"/>
    <s v="Completed"/>
    <x v="1"/>
    <s v="Debit Card"/>
  </r>
  <r>
    <n v="3053"/>
    <n v="7784"/>
    <x v="139"/>
    <n v="359.28"/>
    <s v="Completed"/>
    <x v="4"/>
    <s v="Apple Pay"/>
  </r>
  <r>
    <n v="3054"/>
    <n v="3680"/>
    <x v="204"/>
    <n v="397.93"/>
    <s v="Completed"/>
    <x v="2"/>
    <s v="Credit Card"/>
  </r>
  <r>
    <n v="3055"/>
    <n v="4527"/>
    <x v="38"/>
    <n v="3100.44"/>
    <s v="Completed"/>
    <x v="3"/>
    <s v="Apple Pay"/>
  </r>
  <r>
    <n v="3056"/>
    <n v="1352"/>
    <x v="1"/>
    <n v="3572.74"/>
    <s v="Completed"/>
    <x v="4"/>
    <s v="Apple Pay"/>
  </r>
  <r>
    <n v="3057"/>
    <n v="657"/>
    <x v="121"/>
    <n v="996.68"/>
    <s v="Completed"/>
    <x v="0"/>
    <s v="Apple Pay"/>
  </r>
  <r>
    <n v="3058"/>
    <n v="9596"/>
    <x v="21"/>
    <n v="529.48"/>
    <s v="Completed"/>
    <x v="3"/>
    <s v="Credit Card"/>
  </r>
  <r>
    <n v="3059"/>
    <n v="3592"/>
    <x v="321"/>
    <n v="1371.96"/>
    <s v="Completed"/>
    <x v="4"/>
    <s v="PayPal"/>
  </r>
  <r>
    <n v="3060"/>
    <n v="287"/>
    <x v="91"/>
    <n v="1700.93"/>
    <s v="Completed"/>
    <x v="1"/>
    <s v="Apple Pay"/>
  </r>
  <r>
    <n v="3061"/>
    <n v="1709"/>
    <x v="152"/>
    <n v="2089.33"/>
    <s v="Completed"/>
    <x v="3"/>
    <s v="Credit Card"/>
  </r>
  <r>
    <n v="3062"/>
    <n v="9705"/>
    <x v="9"/>
    <n v="1507.64"/>
    <s v="Completed"/>
    <x v="0"/>
    <s v="Debit Card"/>
  </r>
  <r>
    <n v="3063"/>
    <n v="9589"/>
    <x v="178"/>
    <n v="290.79000000000002"/>
    <s v="Cancelled"/>
    <x v="2"/>
    <s v="PayPal"/>
  </r>
  <r>
    <n v="3064"/>
    <n v="8478"/>
    <x v="132"/>
    <n v="3217.29"/>
    <s v="Completed"/>
    <x v="0"/>
    <s v="Debit Card"/>
  </r>
  <r>
    <n v="3065"/>
    <n v="5490"/>
    <x v="266"/>
    <n v="2236.13"/>
    <s v="Completed"/>
    <x v="4"/>
    <s v="Apple Pay"/>
  </r>
  <r>
    <n v="3066"/>
    <n v="8049"/>
    <x v="216"/>
    <n v="913.39"/>
    <s v="Completed"/>
    <x v="2"/>
    <s v="Debit Card"/>
  </r>
  <r>
    <n v="3067"/>
    <n v="3336"/>
    <x v="48"/>
    <n v="1895.85"/>
    <s v="Returned"/>
    <x v="4"/>
    <s v="Credit Card"/>
  </r>
  <r>
    <n v="3068"/>
    <n v="8345"/>
    <x v="328"/>
    <n v="638.1"/>
    <s v="Completed"/>
    <x v="1"/>
    <s v="PayPal"/>
  </r>
  <r>
    <n v="3069"/>
    <n v="6912"/>
    <x v="278"/>
    <n v="7237.7"/>
    <s v="Completed"/>
    <x v="0"/>
    <s v="Debit Card"/>
  </r>
  <r>
    <n v="3070"/>
    <n v="7369"/>
    <x v="279"/>
    <n v="216.58"/>
    <s v="Completed"/>
    <x v="2"/>
    <s v="Apple Pay"/>
  </r>
  <r>
    <n v="3071"/>
    <n v="5566"/>
    <x v="66"/>
    <n v="486.42"/>
    <s v="Completed"/>
    <x v="2"/>
    <s v="Apple Pay"/>
  </r>
  <r>
    <n v="3072"/>
    <n v="4014"/>
    <x v="255"/>
    <n v="766.48"/>
    <s v="Completed"/>
    <x v="3"/>
    <s v="Apple Pay"/>
  </r>
  <r>
    <n v="3073"/>
    <n v="5869"/>
    <x v="8"/>
    <n v="413.05"/>
    <s v="Completed"/>
    <x v="3"/>
    <s v="Credit Card"/>
  </r>
  <r>
    <n v="3074"/>
    <n v="5907"/>
    <x v="158"/>
    <n v="1710.9"/>
    <s v="Completed"/>
    <x v="3"/>
    <s v="Debit Card"/>
  </r>
  <r>
    <n v="3075"/>
    <n v="6477"/>
    <x v="55"/>
    <n v="417.09"/>
    <s v="Completed"/>
    <x v="2"/>
    <s v="Apple Pay"/>
  </r>
  <r>
    <n v="3076"/>
    <n v="3278"/>
    <x v="220"/>
    <n v="1697.71"/>
    <s v="Completed"/>
    <x v="2"/>
    <s v="PayPal"/>
  </r>
  <r>
    <n v="3077"/>
    <n v="2133"/>
    <x v="363"/>
    <n v="1354.25"/>
    <s v="Completed"/>
    <x v="4"/>
    <s v="Debit Card"/>
  </r>
  <r>
    <n v="3078"/>
    <n v="9000"/>
    <x v="1"/>
    <n v="890.08"/>
    <s v="Completed"/>
    <x v="4"/>
    <s v="Apple Pay"/>
  </r>
  <r>
    <n v="3079"/>
    <n v="5897"/>
    <x v="99"/>
    <n v="395.52"/>
    <s v="Completed"/>
    <x v="3"/>
    <s v="Debit Card"/>
  </r>
  <r>
    <n v="3080"/>
    <n v="9816"/>
    <x v="27"/>
    <n v="1570.97"/>
    <s v="Completed"/>
    <x v="0"/>
    <s v="PayPal"/>
  </r>
  <r>
    <n v="3081"/>
    <n v="7032"/>
    <x v="78"/>
    <n v="250.59"/>
    <s v="Completed"/>
    <x v="3"/>
    <s v="Credit Card"/>
  </r>
  <r>
    <n v="3082"/>
    <n v="7008"/>
    <x v="17"/>
    <n v="2327.0100000000002"/>
    <s v="Completed"/>
    <x v="1"/>
    <s v="PayPal"/>
  </r>
  <r>
    <n v="3083"/>
    <n v="916"/>
    <x v="115"/>
    <n v="2449.08"/>
    <s v="Completed"/>
    <x v="0"/>
    <s v="Credit Card"/>
  </r>
  <r>
    <n v="3084"/>
    <n v="6452"/>
    <x v="159"/>
    <n v="30.63"/>
    <s v="Completed"/>
    <x v="1"/>
    <s v="PayPal"/>
  </r>
  <r>
    <n v="3085"/>
    <n v="5798"/>
    <x v="68"/>
    <n v="1035.28"/>
    <s v="Completed"/>
    <x v="2"/>
    <s v="Debit Card"/>
  </r>
  <r>
    <n v="3086"/>
    <n v="8588"/>
    <x v="68"/>
    <n v="3048.73"/>
    <s v="Completed"/>
    <x v="3"/>
    <s v="Debit Card"/>
  </r>
  <r>
    <n v="3087"/>
    <n v="28"/>
    <x v="207"/>
    <n v="1113.44"/>
    <s v="Completed"/>
    <x v="0"/>
    <s v="PayPal"/>
  </r>
  <r>
    <n v="3088"/>
    <n v="4605"/>
    <x v="57"/>
    <n v="4983.62"/>
    <s v="Completed"/>
    <x v="1"/>
    <s v="PayPal"/>
  </r>
  <r>
    <n v="3089"/>
    <n v="5529"/>
    <x v="306"/>
    <n v="1260.3699999999999"/>
    <s v="Completed"/>
    <x v="2"/>
    <s v="Debit Card"/>
  </r>
  <r>
    <n v="3090"/>
    <n v="4242"/>
    <x v="177"/>
    <n v="1786.37"/>
    <s v="Completed"/>
    <x v="4"/>
    <s v="Debit Card"/>
  </r>
  <r>
    <n v="3091"/>
    <n v="6070"/>
    <x v="192"/>
    <n v="447.91"/>
    <s v="Completed"/>
    <x v="4"/>
    <s v="PayPal"/>
  </r>
  <r>
    <n v="3092"/>
    <n v="1321"/>
    <x v="98"/>
    <n v="899.2"/>
    <s v="Completed"/>
    <x v="2"/>
    <s v="Credit Card"/>
  </r>
  <r>
    <n v="3093"/>
    <n v="1814"/>
    <x v="85"/>
    <n v="12736.9"/>
    <s v="Completed"/>
    <x v="0"/>
    <s v="Debit Card"/>
  </r>
  <r>
    <n v="3094"/>
    <n v="4666"/>
    <x v="152"/>
    <n v="2485.77"/>
    <s v="Completed"/>
    <x v="2"/>
    <s v="Apple Pay"/>
  </r>
  <r>
    <n v="3095"/>
    <n v="5337"/>
    <x v="357"/>
    <n v="781.25"/>
    <s v="Completed"/>
    <x v="2"/>
    <s v="Apple Pay"/>
  </r>
  <r>
    <n v="3096"/>
    <n v="8232"/>
    <x v="146"/>
    <n v="435.69"/>
    <s v="Completed"/>
    <x v="4"/>
    <s v="PayPal"/>
  </r>
  <r>
    <n v="3097"/>
    <n v="8417"/>
    <x v="152"/>
    <n v="628.59"/>
    <s v="Completed"/>
    <x v="3"/>
    <s v="Debit Card"/>
  </r>
  <r>
    <n v="3098"/>
    <n v="4145"/>
    <x v="24"/>
    <n v="1615.14"/>
    <s v="Completed"/>
    <x v="2"/>
    <s v="Credit Card"/>
  </r>
  <r>
    <n v="3099"/>
    <n v="8945"/>
    <x v="0"/>
    <n v="201.88"/>
    <s v="Completed"/>
    <x v="4"/>
    <s v="Credit Card"/>
  </r>
  <r>
    <n v="3100"/>
    <n v="7793"/>
    <x v="223"/>
    <n v="249.69"/>
    <s v="Returned"/>
    <x v="1"/>
    <s v="Debit Card"/>
  </r>
  <r>
    <n v="3101"/>
    <n v="1499"/>
    <x v="224"/>
    <n v="2661.89"/>
    <s v="Completed"/>
    <x v="0"/>
    <s v="Debit Card"/>
  </r>
  <r>
    <n v="3102"/>
    <n v="192"/>
    <x v="350"/>
    <n v="731.06"/>
    <s v="Cancelled"/>
    <x v="0"/>
    <s v="PayPal"/>
  </r>
  <r>
    <n v="3103"/>
    <n v="9518"/>
    <x v="160"/>
    <n v="105.06"/>
    <s v="Completed"/>
    <x v="3"/>
    <s v="PayPal"/>
  </r>
  <r>
    <n v="3104"/>
    <n v="2529"/>
    <x v="120"/>
    <n v="1266.6300000000001"/>
    <s v="Completed"/>
    <x v="3"/>
    <s v="Apple Pay"/>
  </r>
  <r>
    <n v="3105"/>
    <n v="1974"/>
    <x v="211"/>
    <n v="1074.5999999999999"/>
    <s v="Completed"/>
    <x v="1"/>
    <s v="PayPal"/>
  </r>
  <r>
    <n v="3106"/>
    <n v="5376"/>
    <x v="133"/>
    <n v="661.44"/>
    <s v="Completed"/>
    <x v="3"/>
    <s v="Apple Pay"/>
  </r>
  <r>
    <n v="3107"/>
    <n v="2679"/>
    <x v="100"/>
    <n v="667.02"/>
    <s v="Completed"/>
    <x v="1"/>
    <s v="Debit Card"/>
  </r>
  <r>
    <n v="3108"/>
    <n v="3776"/>
    <x v="324"/>
    <n v="132.22999999999999"/>
    <s v="Completed"/>
    <x v="2"/>
    <s v="Apple Pay"/>
  </r>
  <r>
    <n v="3109"/>
    <n v="8493"/>
    <x v="111"/>
    <n v="1315.56"/>
    <s v="Completed"/>
    <x v="1"/>
    <s v="Debit Card"/>
  </r>
  <r>
    <n v="3110"/>
    <n v="865"/>
    <x v="166"/>
    <n v="726.88"/>
    <s v="Completed"/>
    <x v="1"/>
    <s v="Credit Card"/>
  </r>
  <r>
    <n v="3111"/>
    <n v="3960"/>
    <x v="353"/>
    <n v="751.38"/>
    <s v="Completed"/>
    <x v="0"/>
    <s v="Apple Pay"/>
  </r>
  <r>
    <n v="3112"/>
    <n v="4220"/>
    <x v="362"/>
    <n v="3067.25"/>
    <s v="Completed"/>
    <x v="1"/>
    <s v="Debit Card"/>
  </r>
  <r>
    <n v="3113"/>
    <n v="881"/>
    <x v="332"/>
    <n v="667.02"/>
    <s v="Completed"/>
    <x v="4"/>
    <s v="Credit Card"/>
  </r>
  <r>
    <n v="3114"/>
    <n v="3515"/>
    <x v="278"/>
    <n v="832.31"/>
    <s v="Completed"/>
    <x v="1"/>
    <s v="Debit Card"/>
  </r>
  <r>
    <n v="3115"/>
    <n v="7495"/>
    <x v="269"/>
    <n v="4599.17"/>
    <s v="Completed"/>
    <x v="4"/>
    <s v="Apple Pay"/>
  </r>
  <r>
    <n v="3116"/>
    <n v="2163"/>
    <x v="297"/>
    <n v="1167.69"/>
    <s v="Completed"/>
    <x v="0"/>
    <s v="Apple Pay"/>
  </r>
  <r>
    <n v="3117"/>
    <n v="9326"/>
    <x v="152"/>
    <n v="1521.65"/>
    <s v="Returned"/>
    <x v="2"/>
    <s v="Debit Card"/>
  </r>
  <r>
    <n v="3118"/>
    <n v="9001"/>
    <x v="131"/>
    <n v="2194.33"/>
    <s v="Returned"/>
    <x v="0"/>
    <s v="Credit Card"/>
  </r>
  <r>
    <n v="3119"/>
    <n v="8262"/>
    <x v="148"/>
    <n v="4572.66"/>
    <s v="Completed"/>
    <x v="3"/>
    <s v="Apple Pay"/>
  </r>
  <r>
    <n v="3120"/>
    <n v="1750"/>
    <x v="100"/>
    <n v="646.02"/>
    <s v="Completed"/>
    <x v="1"/>
    <s v="Debit Card"/>
  </r>
  <r>
    <n v="3121"/>
    <n v="8211"/>
    <x v="121"/>
    <n v="367.55"/>
    <s v="Completed"/>
    <x v="2"/>
    <s v="Apple Pay"/>
  </r>
  <r>
    <n v="3122"/>
    <n v="3759"/>
    <x v="13"/>
    <n v="2191.2399999999998"/>
    <s v="Completed"/>
    <x v="0"/>
    <s v="PayPal"/>
  </r>
  <r>
    <n v="3123"/>
    <n v="1247"/>
    <x v="106"/>
    <n v="2155.79"/>
    <s v="Completed"/>
    <x v="3"/>
    <s v="Credit Card"/>
  </r>
  <r>
    <n v="3124"/>
    <n v="2943"/>
    <x v="345"/>
    <n v="323.68"/>
    <s v="Completed"/>
    <x v="0"/>
    <s v="PayPal"/>
  </r>
  <r>
    <n v="3125"/>
    <n v="3851"/>
    <x v="139"/>
    <n v="966.81"/>
    <s v="Completed"/>
    <x v="4"/>
    <s v="Apple Pay"/>
  </r>
  <r>
    <n v="3126"/>
    <n v="9164"/>
    <x v="355"/>
    <n v="2173.52"/>
    <s v="Completed"/>
    <x v="4"/>
    <s v="Apple Pay"/>
  </r>
  <r>
    <n v="3127"/>
    <n v="6691"/>
    <x v="218"/>
    <n v="2093.3000000000002"/>
    <s v="Completed"/>
    <x v="3"/>
    <s v="Debit Card"/>
  </r>
  <r>
    <n v="3128"/>
    <n v="6086"/>
    <x v="163"/>
    <n v="5233.29"/>
    <s v="Completed"/>
    <x v="1"/>
    <s v="Apple Pay"/>
  </r>
  <r>
    <n v="3129"/>
    <n v="9946"/>
    <x v="97"/>
    <n v="667.02"/>
    <s v="Completed"/>
    <x v="4"/>
    <s v="PayPal"/>
  </r>
  <r>
    <n v="3130"/>
    <n v="4891"/>
    <x v="48"/>
    <n v="369.17"/>
    <s v="Completed"/>
    <x v="1"/>
    <s v="PayPal"/>
  </r>
  <r>
    <n v="3131"/>
    <n v="8345"/>
    <x v="9"/>
    <n v="618.92999999999995"/>
    <s v="Completed"/>
    <x v="1"/>
    <s v="Credit Card"/>
  </r>
  <r>
    <n v="3132"/>
    <n v="4591"/>
    <x v="342"/>
    <n v="1703.41"/>
    <s v="Completed"/>
    <x v="4"/>
    <s v="PayPal"/>
  </r>
  <r>
    <n v="3133"/>
    <n v="5228"/>
    <x v="98"/>
    <n v="1432.4"/>
    <s v="Completed"/>
    <x v="3"/>
    <s v="PayPal"/>
  </r>
  <r>
    <n v="3134"/>
    <n v="7253"/>
    <x v="189"/>
    <n v="4058.64"/>
    <s v="Completed"/>
    <x v="1"/>
    <s v="Apple Pay"/>
  </r>
  <r>
    <n v="3135"/>
    <n v="8607"/>
    <x v="239"/>
    <n v="315.29000000000002"/>
    <s v="Completed"/>
    <x v="4"/>
    <s v="Credit Card"/>
  </r>
  <r>
    <n v="3136"/>
    <n v="4249"/>
    <x v="232"/>
    <n v="941.99"/>
    <s v="Completed"/>
    <x v="3"/>
    <s v="Credit Card"/>
  </r>
  <r>
    <n v="3137"/>
    <n v="4901"/>
    <x v="356"/>
    <n v="1729.16"/>
    <s v="Completed"/>
    <x v="4"/>
    <s v="PayPal"/>
  </r>
  <r>
    <n v="3138"/>
    <n v="9073"/>
    <x v="143"/>
    <n v="1417.1"/>
    <s v="Completed"/>
    <x v="2"/>
    <s v="Credit Card"/>
  </r>
  <r>
    <n v="3139"/>
    <n v="6489"/>
    <x v="229"/>
    <n v="842.98"/>
    <s v="Completed"/>
    <x v="4"/>
    <s v="PayPal"/>
  </r>
  <r>
    <n v="3140"/>
    <n v="822"/>
    <x v="103"/>
    <n v="320.33999999999997"/>
    <s v="Cancelled"/>
    <x v="0"/>
    <s v="Apple Pay"/>
  </r>
  <r>
    <n v="3141"/>
    <n v="9342"/>
    <x v="214"/>
    <n v="2435.6"/>
    <s v="Completed"/>
    <x v="4"/>
    <s v="Apple Pay"/>
  </r>
  <r>
    <n v="3142"/>
    <n v="9349"/>
    <x v="147"/>
    <n v="774.02"/>
    <s v="Completed"/>
    <x v="3"/>
    <s v="PayPal"/>
  </r>
  <r>
    <n v="3143"/>
    <n v="1265"/>
    <x v="109"/>
    <n v="1961.9"/>
    <s v="Completed"/>
    <x v="1"/>
    <s v="Debit Card"/>
  </r>
  <r>
    <n v="3144"/>
    <n v="1787"/>
    <x v="21"/>
    <n v="2598.96"/>
    <s v="Completed"/>
    <x v="1"/>
    <s v="Debit Card"/>
  </r>
  <r>
    <n v="3145"/>
    <n v="5205"/>
    <x v="94"/>
    <n v="1322.88"/>
    <s v="Completed"/>
    <x v="1"/>
    <s v="Credit Card"/>
  </r>
  <r>
    <n v="3146"/>
    <n v="5138"/>
    <x v="71"/>
    <n v="1777.25"/>
    <s v="Completed"/>
    <x v="0"/>
    <s v="Credit Card"/>
  </r>
  <r>
    <n v="3147"/>
    <n v="9089"/>
    <x v="125"/>
    <n v="257.17"/>
    <s v="Completed"/>
    <x v="3"/>
    <s v="Apple Pay"/>
  </r>
  <r>
    <n v="3148"/>
    <n v="8520"/>
    <x v="211"/>
    <n v="901.51"/>
    <s v="Completed"/>
    <x v="4"/>
    <s v="Debit Card"/>
  </r>
  <r>
    <n v="3149"/>
    <n v="9109"/>
    <x v="242"/>
    <n v="442.46"/>
    <s v="Completed"/>
    <x v="3"/>
    <s v="Debit Card"/>
  </r>
  <r>
    <n v="3150"/>
    <n v="848"/>
    <x v="103"/>
    <n v="1462.03"/>
    <s v="Completed"/>
    <x v="3"/>
    <s v="Credit Card"/>
  </r>
  <r>
    <n v="3151"/>
    <n v="9548"/>
    <x v="299"/>
    <n v="3786.78"/>
    <s v="Completed"/>
    <x v="0"/>
    <s v="Debit Card"/>
  </r>
  <r>
    <n v="3152"/>
    <n v="1504"/>
    <x v="145"/>
    <n v="2980.61"/>
    <s v="Completed"/>
    <x v="2"/>
    <s v="Credit Card"/>
  </r>
  <r>
    <n v="3153"/>
    <n v="2671"/>
    <x v="18"/>
    <n v="159.91999999999999"/>
    <s v="Completed"/>
    <x v="0"/>
    <s v="Apple Pay"/>
  </r>
  <r>
    <n v="3154"/>
    <n v="6754"/>
    <x v="361"/>
    <n v="1365.96"/>
    <s v="Completed"/>
    <x v="4"/>
    <s v="PayPal"/>
  </r>
  <r>
    <n v="3155"/>
    <n v="741"/>
    <x v="300"/>
    <n v="1276.2"/>
    <s v="Completed"/>
    <x v="1"/>
    <s v="Debit Card"/>
  </r>
  <r>
    <n v="3156"/>
    <n v="1744"/>
    <x v="186"/>
    <n v="965.83"/>
    <s v="Completed"/>
    <x v="3"/>
    <s v="Debit Card"/>
  </r>
  <r>
    <n v="3157"/>
    <n v="4128"/>
    <x v="200"/>
    <n v="1146.95"/>
    <s v="Completed"/>
    <x v="4"/>
    <s v="Apple Pay"/>
  </r>
  <r>
    <n v="3158"/>
    <n v="3553"/>
    <x v="337"/>
    <n v="1936.86"/>
    <s v="Completed"/>
    <x v="0"/>
    <s v="Debit Card"/>
  </r>
  <r>
    <n v="3159"/>
    <n v="9871"/>
    <x v="126"/>
    <n v="471.55"/>
    <s v="Returned"/>
    <x v="3"/>
    <s v="PayPal"/>
  </r>
  <r>
    <n v="3160"/>
    <n v="1374"/>
    <x v="140"/>
    <n v="3948.27"/>
    <s v="Completed"/>
    <x v="3"/>
    <s v="Debit Card"/>
  </r>
  <r>
    <n v="3161"/>
    <n v="8781"/>
    <x v="177"/>
    <n v="295.79000000000002"/>
    <s v="Completed"/>
    <x v="1"/>
    <s v="Debit Card"/>
  </r>
  <r>
    <n v="3162"/>
    <n v="3564"/>
    <x v="114"/>
    <n v="1554.26"/>
    <s v="Completed"/>
    <x v="3"/>
    <s v="Credit Card"/>
  </r>
  <r>
    <n v="3163"/>
    <n v="4319"/>
    <x v="276"/>
    <n v="1815.36"/>
    <s v="Completed"/>
    <x v="2"/>
    <s v="Credit Card"/>
  </r>
  <r>
    <n v="3164"/>
    <n v="4292"/>
    <x v="182"/>
    <n v="692.82"/>
    <s v="Completed"/>
    <x v="4"/>
    <s v="Apple Pay"/>
  </r>
  <r>
    <n v="3165"/>
    <n v="1099"/>
    <x v="159"/>
    <n v="987.2"/>
    <s v="Completed"/>
    <x v="1"/>
    <s v="Apple Pay"/>
  </r>
  <r>
    <n v="3166"/>
    <n v="3663"/>
    <x v="335"/>
    <n v="751.38"/>
    <s v="Completed"/>
    <x v="4"/>
    <s v="Debit Card"/>
  </r>
  <r>
    <n v="3167"/>
    <n v="5330"/>
    <x v="293"/>
    <n v="2388.7399999999998"/>
    <s v="Completed"/>
    <x v="4"/>
    <s v="Credit Card"/>
  </r>
  <r>
    <n v="3168"/>
    <n v="6448"/>
    <x v="92"/>
    <n v="545.46"/>
    <s v="Cancelled"/>
    <x v="3"/>
    <s v="Credit Card"/>
  </r>
  <r>
    <n v="3169"/>
    <n v="6249"/>
    <x v="110"/>
    <n v="395.52"/>
    <s v="Completed"/>
    <x v="3"/>
    <s v="Apple Pay"/>
  </r>
  <r>
    <n v="3170"/>
    <n v="5637"/>
    <x v="287"/>
    <n v="260.54000000000002"/>
    <s v="Completed"/>
    <x v="2"/>
    <s v="PayPal"/>
  </r>
  <r>
    <n v="3171"/>
    <n v="1481"/>
    <x v="28"/>
    <n v="417.14"/>
    <s v="Completed"/>
    <x v="2"/>
    <s v="PayPal"/>
  </r>
  <r>
    <n v="3172"/>
    <n v="7374"/>
    <x v="19"/>
    <n v="1146.95"/>
    <s v="Completed"/>
    <x v="3"/>
    <s v="Debit Card"/>
  </r>
  <r>
    <n v="3173"/>
    <n v="8288"/>
    <x v="191"/>
    <n v="1129.45"/>
    <s v="Completed"/>
    <x v="5"/>
    <s v="PayPal"/>
  </r>
  <r>
    <n v="3174"/>
    <n v="5451"/>
    <x v="16"/>
    <n v="1636.04"/>
    <s v="Completed"/>
    <x v="2"/>
    <s v="Apple Pay"/>
  </r>
  <r>
    <n v="3175"/>
    <n v="7359"/>
    <x v="116"/>
    <n v="2224.81"/>
    <s v="Completed"/>
    <x v="0"/>
    <s v="Debit Card"/>
  </r>
  <r>
    <n v="3176"/>
    <n v="6588"/>
    <x v="312"/>
    <n v="2257.8200000000002"/>
    <s v="Completed"/>
    <x v="4"/>
    <s v="Debit Card"/>
  </r>
  <r>
    <n v="3177"/>
    <n v="3314"/>
    <x v="186"/>
    <n v="1948.67"/>
    <s v="Completed"/>
    <x v="3"/>
    <s v="Credit Card"/>
  </r>
  <r>
    <n v="3178"/>
    <n v="5054"/>
    <x v="26"/>
    <n v="235.13"/>
    <s v="Completed"/>
    <x v="0"/>
    <s v="Apple Pay"/>
  </r>
  <r>
    <n v="3179"/>
    <n v="1627"/>
    <x v="355"/>
    <n v="854.94"/>
    <s v="Completed"/>
    <x v="0"/>
    <s v="Credit Card"/>
  </r>
  <r>
    <n v="3180"/>
    <n v="6696"/>
    <x v="11"/>
    <n v="435.22"/>
    <s v="Completed"/>
    <x v="0"/>
    <s v="Debit Card"/>
  </r>
  <r>
    <n v="3181"/>
    <n v="6919"/>
    <x v="45"/>
    <n v="1316.19"/>
    <s v="Completed"/>
    <x v="3"/>
    <s v="Credit Card"/>
  </r>
  <r>
    <n v="3182"/>
    <n v="2549"/>
    <x v="220"/>
    <n v="1329.37"/>
    <s v="Completed"/>
    <x v="1"/>
    <s v="Credit Card"/>
  </r>
  <r>
    <n v="3183"/>
    <n v="9835"/>
    <x v="284"/>
    <n v="1145.71"/>
    <s v="Completed"/>
    <x v="3"/>
    <s v="Apple Pay"/>
  </r>
  <r>
    <n v="3184"/>
    <n v="4373"/>
    <x v="202"/>
    <n v="73.61"/>
    <s v="Completed"/>
    <x v="4"/>
    <s v="PayPal"/>
  </r>
  <r>
    <n v="3185"/>
    <n v="1786"/>
    <x v="247"/>
    <n v="3955.35"/>
    <s v="Completed"/>
    <x v="2"/>
    <s v="Credit Card"/>
  </r>
  <r>
    <n v="3186"/>
    <n v="6498"/>
    <x v="248"/>
    <n v="1048.8599999999999"/>
    <s v="Completed"/>
    <x v="3"/>
    <s v="PayPal"/>
  </r>
  <r>
    <n v="3187"/>
    <n v="8768"/>
    <x v="139"/>
    <n v="4101.28"/>
    <s v="Completed"/>
    <x v="1"/>
    <s v="Debit Card"/>
  </r>
  <r>
    <n v="3188"/>
    <n v="9047"/>
    <x v="161"/>
    <n v="558.85"/>
    <s v="Completed"/>
    <x v="1"/>
    <s v="Debit Card"/>
  </r>
  <r>
    <n v="3189"/>
    <n v="206"/>
    <x v="166"/>
    <n v="1008.02"/>
    <s v="Completed"/>
    <x v="4"/>
    <s v="Apple Pay"/>
  </r>
  <r>
    <n v="3190"/>
    <n v="6046"/>
    <x v="73"/>
    <n v="678.89"/>
    <s v="Completed"/>
    <x v="1"/>
    <s v="Debit Card"/>
  </r>
  <r>
    <n v="3191"/>
    <n v="6143"/>
    <x v="55"/>
    <n v="1128.9100000000001"/>
    <s v="Completed"/>
    <x v="3"/>
    <s v="PayPal"/>
  </r>
  <r>
    <n v="3192"/>
    <n v="9543"/>
    <x v="19"/>
    <n v="2647.59"/>
    <s v="Completed"/>
    <x v="3"/>
    <s v="Debit Card"/>
  </r>
  <r>
    <n v="3193"/>
    <n v="223"/>
    <x v="298"/>
    <n v="260.61"/>
    <s v="Completed"/>
    <x v="0"/>
    <s v="PayPal"/>
  </r>
  <r>
    <n v="3194"/>
    <n v="1602"/>
    <x v="62"/>
    <n v="658.9"/>
    <s v="Completed"/>
    <x v="4"/>
    <s v="Apple Pay"/>
  </r>
  <r>
    <n v="3195"/>
    <n v="5453"/>
    <x v="308"/>
    <n v="485.49"/>
    <s v="Completed"/>
    <x v="4"/>
    <s v="Credit Card"/>
  </r>
  <r>
    <n v="3196"/>
    <n v="2915"/>
    <x v="153"/>
    <n v="1817.23"/>
    <s v="Completed"/>
    <x v="3"/>
    <s v="PayPal"/>
  </r>
  <r>
    <n v="3197"/>
    <n v="2491"/>
    <x v="178"/>
    <n v="1041.67"/>
    <s v="Completed"/>
    <x v="0"/>
    <s v="PayPal"/>
  </r>
  <r>
    <n v="3198"/>
    <n v="3606"/>
    <x v="205"/>
    <n v="3996.22"/>
    <s v="Completed"/>
    <x v="3"/>
    <s v="Apple Pay"/>
  </r>
  <r>
    <n v="3199"/>
    <n v="3633"/>
    <x v="195"/>
    <n v="759.3"/>
    <s v="Completed"/>
    <x v="3"/>
    <s v="Apple Pay"/>
  </r>
  <r>
    <n v="3200"/>
    <n v="7264"/>
    <x v="84"/>
    <n v="4039.15"/>
    <s v="Completed"/>
    <x v="3"/>
    <s v="Debit Card"/>
  </r>
  <r>
    <n v="3201"/>
    <n v="9090"/>
    <x v="211"/>
    <n v="1098.42"/>
    <s v="Completed"/>
    <x v="0"/>
    <s v="PayPal"/>
  </r>
  <r>
    <n v="3202"/>
    <n v="1975"/>
    <x v="308"/>
    <n v="374.8"/>
    <s v="Completed"/>
    <x v="4"/>
    <s v="Apple Pay"/>
  </r>
  <r>
    <n v="3203"/>
    <n v="7070"/>
    <x v="96"/>
    <n v="2012.84"/>
    <s v="Completed"/>
    <x v="3"/>
    <s v="Apple Pay"/>
  </r>
  <r>
    <n v="3204"/>
    <n v="4511"/>
    <x v="3"/>
    <n v="131.88999999999999"/>
    <s v="Completed"/>
    <x v="1"/>
    <s v="Apple Pay"/>
  </r>
  <r>
    <n v="3205"/>
    <n v="7908"/>
    <x v="51"/>
    <n v="1528.46"/>
    <s v="Completed"/>
    <x v="3"/>
    <s v="Credit Card"/>
  </r>
  <r>
    <n v="3206"/>
    <n v="3314"/>
    <x v="302"/>
    <n v="265.95"/>
    <s v="Completed"/>
    <x v="3"/>
    <s v="Debit Card"/>
  </r>
  <r>
    <n v="3207"/>
    <n v="2952"/>
    <x v="28"/>
    <n v="1741.11"/>
    <s v="Completed"/>
    <x v="1"/>
    <s v="PayPal"/>
  </r>
  <r>
    <n v="3208"/>
    <n v="4823"/>
    <x v="322"/>
    <n v="1610.69"/>
    <s v="Completed"/>
    <x v="3"/>
    <s v="PayPal"/>
  </r>
  <r>
    <n v="3209"/>
    <n v="9315"/>
    <x v="349"/>
    <n v="1008.02"/>
    <s v="Completed"/>
    <x v="4"/>
    <s v="Apple Pay"/>
  </r>
  <r>
    <n v="3210"/>
    <n v="5852"/>
    <x v="85"/>
    <n v="788.31"/>
    <s v="Completed"/>
    <x v="3"/>
    <s v="PayPal"/>
  </r>
  <r>
    <n v="3211"/>
    <n v="7021"/>
    <x v="210"/>
    <n v="3570.1"/>
    <s v="Completed"/>
    <x v="3"/>
    <s v="Debit Card"/>
  </r>
  <r>
    <n v="3212"/>
    <n v="1921"/>
    <x v="186"/>
    <n v="1740.3"/>
    <s v="Completed"/>
    <x v="4"/>
    <s v="Apple Pay"/>
  </r>
  <r>
    <n v="3213"/>
    <n v="7786"/>
    <x v="12"/>
    <n v="1081.1099999999999"/>
    <s v="Completed"/>
    <x v="3"/>
    <s v="Apple Pay"/>
  </r>
  <r>
    <n v="3214"/>
    <n v="8194"/>
    <x v="16"/>
    <n v="1290.76"/>
    <s v="Completed"/>
    <x v="2"/>
    <s v="PayPal"/>
  </r>
  <r>
    <n v="3215"/>
    <n v="6886"/>
    <x v="244"/>
    <n v="585.62"/>
    <s v="Completed"/>
    <x v="3"/>
    <s v="PayPal"/>
  </r>
  <r>
    <n v="3216"/>
    <n v="7496"/>
    <x v="12"/>
    <n v="361.92"/>
    <s v="Completed"/>
    <x v="1"/>
    <s v="Credit Card"/>
  </r>
  <r>
    <n v="3217"/>
    <n v="1240"/>
    <x v="349"/>
    <n v="1973.9"/>
    <s v="Completed"/>
    <x v="0"/>
    <s v="Apple Pay"/>
  </r>
  <r>
    <n v="3218"/>
    <n v="8450"/>
    <x v="229"/>
    <n v="278.66000000000003"/>
    <s v="Completed"/>
    <x v="0"/>
    <s v="PayPal"/>
  </r>
  <r>
    <n v="3219"/>
    <n v="7842"/>
    <x v="190"/>
    <n v="201.88"/>
    <s v="Completed"/>
    <x v="3"/>
    <s v="Credit Card"/>
  </r>
  <r>
    <n v="3220"/>
    <n v="9503"/>
    <x v="298"/>
    <n v="1095.96"/>
    <s v="Completed"/>
    <x v="2"/>
    <s v="Debit Card"/>
  </r>
  <r>
    <n v="3221"/>
    <n v="4138"/>
    <x v="63"/>
    <n v="435.69"/>
    <s v="Completed"/>
    <x v="4"/>
    <s v="Debit Card"/>
  </r>
  <r>
    <n v="3222"/>
    <n v="6987"/>
    <x v="35"/>
    <n v="284.14"/>
    <s v="Cancelled"/>
    <x v="2"/>
    <s v="Credit Card"/>
  </r>
  <r>
    <n v="3223"/>
    <n v="5899"/>
    <x v="107"/>
    <n v="1400.18"/>
    <s v="Completed"/>
    <x v="1"/>
    <s v="Debit Card"/>
  </r>
  <r>
    <n v="3224"/>
    <n v="4406"/>
    <x v="177"/>
    <n v="1076.24"/>
    <s v="Completed"/>
    <x v="4"/>
    <s v="Apple Pay"/>
  </r>
  <r>
    <n v="3225"/>
    <n v="8087"/>
    <x v="24"/>
    <n v="154.53"/>
    <s v="Completed"/>
    <x v="0"/>
    <s v="Credit Card"/>
  </r>
  <r>
    <n v="3226"/>
    <n v="4208"/>
    <x v="2"/>
    <n v="601.45000000000005"/>
    <s v="Completed"/>
    <x v="1"/>
    <s v="Apple Pay"/>
  </r>
  <r>
    <n v="3227"/>
    <n v="2160"/>
    <x v="270"/>
    <n v="8646.86"/>
    <s v="Completed"/>
    <x v="3"/>
    <s v="Debit Card"/>
  </r>
  <r>
    <n v="3228"/>
    <n v="5825"/>
    <x v="91"/>
    <n v="1820.65"/>
    <s v="Completed"/>
    <x v="2"/>
    <s v="PayPal"/>
  </r>
  <r>
    <n v="3229"/>
    <n v="7225"/>
    <x v="192"/>
    <n v="1063.32"/>
    <s v="Completed"/>
    <x v="3"/>
    <s v="Apple Pay"/>
  </r>
  <r>
    <n v="3230"/>
    <n v="610"/>
    <x v="11"/>
    <n v="748.08"/>
    <s v="Completed"/>
    <x v="2"/>
    <s v="PayPal"/>
  </r>
  <r>
    <n v="3231"/>
    <n v="5208"/>
    <x v="275"/>
    <n v="1128.9100000000001"/>
    <s v="Completed"/>
    <x v="2"/>
    <s v="PayPal"/>
  </r>
  <r>
    <n v="3232"/>
    <n v="7829"/>
    <x v="340"/>
    <n v="878.1"/>
    <s v="Completed"/>
    <x v="3"/>
    <s v="Credit Card"/>
  </r>
  <r>
    <n v="3233"/>
    <n v="8322"/>
    <x v="218"/>
    <n v="30.63"/>
    <s v="Completed"/>
    <x v="2"/>
    <s v="Debit Card"/>
  </r>
  <r>
    <n v="3234"/>
    <n v="8759"/>
    <x v="176"/>
    <n v="485.89"/>
    <s v="Completed"/>
    <x v="3"/>
    <s v="Debit Card"/>
  </r>
  <r>
    <n v="3235"/>
    <n v="7678"/>
    <x v="160"/>
    <n v="1749.53"/>
    <s v="Cancelled"/>
    <x v="0"/>
    <s v="Credit Card"/>
  </r>
  <r>
    <n v="3236"/>
    <n v="1054"/>
    <x v="358"/>
    <n v="986.67"/>
    <s v="Completed"/>
    <x v="2"/>
    <s v="PayPal"/>
  </r>
  <r>
    <n v="3237"/>
    <n v="3835"/>
    <x v="216"/>
    <n v="3012.22"/>
    <s v="Completed"/>
    <x v="2"/>
    <s v="Apple Pay"/>
  </r>
  <r>
    <n v="3238"/>
    <n v="4234"/>
    <x v="226"/>
    <n v="3809.56"/>
    <s v="Completed"/>
    <x v="4"/>
    <s v="Credit Card"/>
  </r>
  <r>
    <n v="3239"/>
    <n v="6322"/>
    <x v="125"/>
    <n v="990.66"/>
    <s v="Completed"/>
    <x v="3"/>
    <s v="PayPal"/>
  </r>
  <r>
    <n v="3240"/>
    <n v="7359"/>
    <x v="59"/>
    <n v="96.07"/>
    <s v="Completed"/>
    <x v="0"/>
    <s v="PayPal"/>
  </r>
  <r>
    <n v="3241"/>
    <n v="8832"/>
    <x v="318"/>
    <n v="323.68"/>
    <s v="Completed"/>
    <x v="2"/>
    <s v="Credit Card"/>
  </r>
  <r>
    <n v="3242"/>
    <n v="3259"/>
    <x v="21"/>
    <n v="213.3"/>
    <s v="Completed"/>
    <x v="3"/>
    <s v="Debit Card"/>
  </r>
  <r>
    <n v="3243"/>
    <n v="4710"/>
    <x v="162"/>
    <n v="3108.81"/>
    <s v="Completed"/>
    <x v="2"/>
    <s v="Apple Pay"/>
  </r>
  <r>
    <n v="3244"/>
    <n v="8173"/>
    <x v="161"/>
    <n v="889.78"/>
    <s v="Completed"/>
    <x v="1"/>
    <s v="Apple Pay"/>
  </r>
  <r>
    <n v="3245"/>
    <n v="9498"/>
    <x v="91"/>
    <n v="193.6"/>
    <s v="Completed"/>
    <x v="1"/>
    <s v="Credit Card"/>
  </r>
  <r>
    <n v="3246"/>
    <n v="6315"/>
    <x v="13"/>
    <n v="152.53"/>
    <s v="Completed"/>
    <x v="3"/>
    <s v="PayPal"/>
  </r>
  <r>
    <n v="3247"/>
    <n v="8998"/>
    <x v="338"/>
    <n v="553.5"/>
    <s v="Completed"/>
    <x v="3"/>
    <s v="Debit Card"/>
  </r>
  <r>
    <n v="3248"/>
    <n v="3267"/>
    <x v="210"/>
    <n v="296.31"/>
    <s v="Returned"/>
    <x v="4"/>
    <s v="Debit Card"/>
  </r>
  <r>
    <n v="3249"/>
    <n v="863"/>
    <x v="93"/>
    <n v="3868.45"/>
    <s v="Cancelled"/>
    <x v="2"/>
    <s v="PayPal"/>
  </r>
  <r>
    <n v="3250"/>
    <n v="3102"/>
    <x v="313"/>
    <n v="2991.16"/>
    <s v="Completed"/>
    <x v="4"/>
    <s v="Debit Card"/>
  </r>
  <r>
    <n v="3251"/>
    <n v="6699"/>
    <x v="73"/>
    <n v="2171.17"/>
    <s v="Completed"/>
    <x v="0"/>
    <s v="Apple Pay"/>
  </r>
  <r>
    <n v="3252"/>
    <n v="4713"/>
    <x v="62"/>
    <n v="360.28"/>
    <s v="Completed"/>
    <x v="4"/>
    <s v="Apple Pay"/>
  </r>
  <r>
    <n v="3253"/>
    <n v="1201"/>
    <x v="260"/>
    <n v="832.01"/>
    <s v="Completed"/>
    <x v="0"/>
    <s v="PayPal"/>
  </r>
  <r>
    <n v="3254"/>
    <n v="4569"/>
    <x v="148"/>
    <n v="591.58000000000004"/>
    <s v="Completed"/>
    <x v="4"/>
    <s v="Debit Card"/>
  </r>
  <r>
    <n v="3255"/>
    <n v="169"/>
    <x v="273"/>
    <n v="1129.0999999999999"/>
    <s v="Completed"/>
    <x v="5"/>
    <s v="Apple Pay"/>
  </r>
  <r>
    <n v="3256"/>
    <n v="5837"/>
    <x v="201"/>
    <n v="265.95"/>
    <s v="Completed"/>
    <x v="4"/>
    <s v="PayPal"/>
  </r>
  <r>
    <n v="3257"/>
    <n v="4856"/>
    <x v="348"/>
    <n v="1990.38"/>
    <s v="Completed"/>
    <x v="4"/>
    <s v="Apple Pay"/>
  </r>
  <r>
    <n v="3258"/>
    <n v="5177"/>
    <x v="16"/>
    <n v="295.79000000000002"/>
    <s v="Completed"/>
    <x v="0"/>
    <s v="Apple Pay"/>
  </r>
  <r>
    <n v="3259"/>
    <n v="581"/>
    <x v="122"/>
    <n v="265.95"/>
    <s v="Completed"/>
    <x v="3"/>
    <s v="PayPal"/>
  </r>
  <r>
    <n v="3260"/>
    <n v="42"/>
    <x v="230"/>
    <n v="412.02"/>
    <s v="Completed"/>
    <x v="3"/>
    <s v="Debit Card"/>
  </r>
  <r>
    <n v="3261"/>
    <n v="4492"/>
    <x v="80"/>
    <n v="2067.4"/>
    <s v="Completed"/>
    <x v="0"/>
    <s v="Debit Card"/>
  </r>
  <r>
    <n v="3262"/>
    <n v="2523"/>
    <x v="325"/>
    <n v="3328.5"/>
    <s v="Completed"/>
    <x v="0"/>
    <s v="Debit Card"/>
  </r>
  <r>
    <n v="3263"/>
    <n v="9009"/>
    <x v="110"/>
    <n v="1185.27"/>
    <s v="Completed"/>
    <x v="0"/>
    <s v="Debit Card"/>
  </r>
  <r>
    <n v="3264"/>
    <n v="3513"/>
    <x v="315"/>
    <n v="861.87"/>
    <s v="Completed"/>
    <x v="0"/>
    <s v="Debit Card"/>
  </r>
  <r>
    <n v="3265"/>
    <n v="1921"/>
    <x v="339"/>
    <n v="2881.98"/>
    <s v="Completed"/>
    <x v="4"/>
    <s v="Debit Card"/>
  </r>
  <r>
    <n v="3266"/>
    <n v="9732"/>
    <x v="211"/>
    <n v="250.59"/>
    <s v="Completed"/>
    <x v="0"/>
    <s v="Debit Card"/>
  </r>
  <r>
    <n v="3267"/>
    <n v="7155"/>
    <x v="236"/>
    <n v="998.96"/>
    <s v="Completed"/>
    <x v="3"/>
    <s v="PayPal"/>
  </r>
  <r>
    <n v="3268"/>
    <n v="5289"/>
    <x v="56"/>
    <n v="325.76"/>
    <s v="Completed"/>
    <x v="3"/>
    <s v="PayPal"/>
  </r>
  <r>
    <n v="3269"/>
    <n v="4419"/>
    <x v="278"/>
    <n v="1153.5"/>
    <s v="Completed"/>
    <x v="3"/>
    <s v="Credit Card"/>
  </r>
  <r>
    <n v="3270"/>
    <n v="5246"/>
    <x v="224"/>
    <n v="3104.26"/>
    <s v="Completed"/>
    <x v="5"/>
    <s v="Apple Pay"/>
  </r>
  <r>
    <n v="3271"/>
    <n v="4847"/>
    <x v="362"/>
    <n v="851.74"/>
    <s v="Completed"/>
    <x v="2"/>
    <s v="PayPal"/>
  </r>
  <r>
    <n v="3272"/>
    <n v="2627"/>
    <x v="15"/>
    <n v="2312.54"/>
    <s v="Completed"/>
    <x v="0"/>
    <s v="Credit Card"/>
  </r>
  <r>
    <n v="3273"/>
    <n v="4110"/>
    <x v="155"/>
    <n v="803.38"/>
    <s v="Completed"/>
    <x v="2"/>
    <s v="Debit Card"/>
  </r>
  <r>
    <n v="3274"/>
    <n v="9923"/>
    <x v="316"/>
    <n v="954.37"/>
    <s v="Completed"/>
    <x v="2"/>
    <s v="Apple Pay"/>
  </r>
  <r>
    <n v="3275"/>
    <n v="4208"/>
    <x v="357"/>
    <n v="1717.35"/>
    <s v="Completed"/>
    <x v="1"/>
    <s v="PayPal"/>
  </r>
  <r>
    <n v="3276"/>
    <n v="5635"/>
    <x v="166"/>
    <n v="1220.28"/>
    <s v="Completed"/>
    <x v="3"/>
    <s v="Credit Card"/>
  </r>
  <r>
    <n v="3277"/>
    <n v="8741"/>
    <x v="113"/>
    <n v="928.58"/>
    <s v="Completed"/>
    <x v="3"/>
    <s v="Debit Card"/>
  </r>
  <r>
    <n v="3278"/>
    <n v="253"/>
    <x v="219"/>
    <n v="276.75"/>
    <s v="Completed"/>
    <x v="0"/>
    <s v="Credit Card"/>
  </r>
  <r>
    <n v="3279"/>
    <n v="7875"/>
    <x v="196"/>
    <n v="1786.37"/>
    <s v="Completed"/>
    <x v="2"/>
    <s v="Apple Pay"/>
  </r>
  <r>
    <n v="3280"/>
    <n v="8099"/>
    <x v="24"/>
    <n v="204.06"/>
    <s v="Completed"/>
    <x v="1"/>
    <s v="Debit Card"/>
  </r>
  <r>
    <n v="3281"/>
    <n v="6232"/>
    <x v="6"/>
    <n v="1883.33"/>
    <s v="Completed"/>
    <x v="0"/>
    <s v="PayPal"/>
  </r>
  <r>
    <n v="3282"/>
    <n v="9281"/>
    <x v="107"/>
    <n v="2674.63"/>
    <s v="Completed"/>
    <x v="2"/>
    <s v="Debit Card"/>
  </r>
  <r>
    <n v="3283"/>
    <n v="3520"/>
    <x v="50"/>
    <n v="1077.95"/>
    <s v="Completed"/>
    <x v="4"/>
    <s v="Apple Pay"/>
  </r>
  <r>
    <n v="3284"/>
    <n v="8260"/>
    <x v="178"/>
    <n v="3440.85"/>
    <s v="Completed"/>
    <x v="4"/>
    <s v="Apple Pay"/>
  </r>
  <r>
    <n v="3285"/>
    <n v="5188"/>
    <x v="293"/>
    <n v="183.34"/>
    <s v="Completed"/>
    <x v="2"/>
    <s v="Apple Pay"/>
  </r>
  <r>
    <n v="3286"/>
    <n v="5862"/>
    <x v="70"/>
    <n v="142.43"/>
    <s v="Completed"/>
    <x v="0"/>
    <s v="PayPal"/>
  </r>
  <r>
    <n v="3287"/>
    <n v="954"/>
    <x v="253"/>
    <n v="1725.27"/>
    <s v="Completed"/>
    <x v="3"/>
    <s v="Credit Card"/>
  </r>
  <r>
    <n v="3288"/>
    <n v="8691"/>
    <x v="85"/>
    <n v="2086.7199999999998"/>
    <s v="Returned"/>
    <x v="1"/>
    <s v="Apple Pay"/>
  </r>
  <r>
    <n v="3289"/>
    <n v="3123"/>
    <x v="58"/>
    <n v="904.97"/>
    <s v="Completed"/>
    <x v="4"/>
    <s v="Credit Card"/>
  </r>
  <r>
    <n v="3290"/>
    <n v="8445"/>
    <x v="52"/>
    <n v="1696.03"/>
    <s v="Completed"/>
    <x v="1"/>
    <s v="Credit Card"/>
  </r>
  <r>
    <n v="3291"/>
    <n v="7286"/>
    <x v="133"/>
    <n v="225.98"/>
    <s v="Completed"/>
    <x v="4"/>
    <s v="Credit Card"/>
  </r>
  <r>
    <n v="3292"/>
    <n v="498"/>
    <x v="170"/>
    <n v="587.97"/>
    <s v="Completed"/>
    <x v="2"/>
    <s v="Credit Card"/>
  </r>
  <r>
    <n v="3293"/>
    <n v="1059"/>
    <x v="185"/>
    <n v="2081.2399999999998"/>
    <s v="Completed"/>
    <x v="4"/>
    <s v="PayPal"/>
  </r>
  <r>
    <n v="3294"/>
    <n v="9630"/>
    <x v="53"/>
    <n v="980.48"/>
    <s v="Completed"/>
    <x v="3"/>
    <s v="Apple Pay"/>
  </r>
  <r>
    <n v="3295"/>
    <n v="8464"/>
    <x v="274"/>
    <n v="3292.73"/>
    <s v="Cancelled"/>
    <x v="1"/>
    <s v="PayPal"/>
  </r>
  <r>
    <n v="3296"/>
    <n v="2319"/>
    <x v="264"/>
    <n v="470.26"/>
    <s v="Completed"/>
    <x v="0"/>
    <s v="PayPal"/>
  </r>
  <r>
    <n v="3297"/>
    <n v="1926"/>
    <x v="251"/>
    <n v="2758.47"/>
    <s v="Completed"/>
    <x v="3"/>
    <s v="Apple Pay"/>
  </r>
  <r>
    <n v="3298"/>
    <n v="2411"/>
    <x v="358"/>
    <n v="2955.17"/>
    <s v="Cancelled"/>
    <x v="1"/>
    <s v="Debit Card"/>
  </r>
  <r>
    <n v="3299"/>
    <n v="4829"/>
    <x v="258"/>
    <n v="867.36"/>
    <s v="Completed"/>
    <x v="1"/>
    <s v="PayPal"/>
  </r>
  <r>
    <n v="3300"/>
    <n v="3692"/>
    <x v="203"/>
    <n v="927.33"/>
    <s v="Completed"/>
    <x v="1"/>
    <s v="Debit Card"/>
  </r>
  <r>
    <n v="3301"/>
    <n v="5504"/>
    <x v="211"/>
    <n v="627.29999999999995"/>
    <s v="Completed"/>
    <x v="2"/>
    <s v="Debit Card"/>
  </r>
  <r>
    <n v="3302"/>
    <n v="516"/>
    <x v="100"/>
    <n v="2307"/>
    <s v="Completed"/>
    <x v="2"/>
    <s v="Credit Card"/>
  </r>
  <r>
    <n v="3303"/>
    <n v="461"/>
    <x v="213"/>
    <n v="3631.99"/>
    <s v="Completed"/>
    <x v="1"/>
    <s v="PayPal"/>
  </r>
  <r>
    <n v="3304"/>
    <n v="1265"/>
    <x v="247"/>
    <n v="1629.76"/>
    <s v="Completed"/>
    <x v="1"/>
    <s v="PayPal"/>
  </r>
  <r>
    <n v="3305"/>
    <n v="2422"/>
    <x v="254"/>
    <n v="3365.54"/>
    <s v="Completed"/>
    <x v="0"/>
    <s v="Credit Card"/>
  </r>
  <r>
    <n v="3306"/>
    <n v="9197"/>
    <x v="105"/>
    <n v="2662.19"/>
    <s v="Completed"/>
    <x v="0"/>
    <s v="Apple Pay"/>
  </r>
  <r>
    <n v="3307"/>
    <n v="4783"/>
    <x v="16"/>
    <n v="1267.28"/>
    <s v="Completed"/>
    <x v="3"/>
    <s v="PayPal"/>
  </r>
  <r>
    <n v="3308"/>
    <n v="7352"/>
    <x v="125"/>
    <n v="2930.53"/>
    <s v="Completed"/>
    <x v="4"/>
    <s v="PayPal"/>
  </r>
  <r>
    <n v="3309"/>
    <n v="2132"/>
    <x v="23"/>
    <n v="1262.3599999999999"/>
    <s v="Completed"/>
    <x v="3"/>
    <s v="Apple Pay"/>
  </r>
  <r>
    <n v="3310"/>
    <n v="8657"/>
    <x v="113"/>
    <n v="228.45"/>
    <s v="Completed"/>
    <x v="1"/>
    <s v="PayPal"/>
  </r>
  <r>
    <n v="3311"/>
    <n v="4321"/>
    <x v="3"/>
    <n v="1249.6400000000001"/>
    <s v="Completed"/>
    <x v="4"/>
    <s v="Debit Card"/>
  </r>
  <r>
    <n v="3312"/>
    <n v="9522"/>
    <x v="145"/>
    <n v="439.45"/>
    <s v="Completed"/>
    <x v="2"/>
    <s v="PayPal"/>
  </r>
  <r>
    <n v="3313"/>
    <n v="2841"/>
    <x v="121"/>
    <n v="1647.27"/>
    <s v="Completed"/>
    <x v="4"/>
    <s v="PayPal"/>
  </r>
  <r>
    <n v="3314"/>
    <n v="7307"/>
    <x v="227"/>
    <n v="2281.16"/>
    <s v="Completed"/>
    <x v="2"/>
    <s v="Apple Pay"/>
  </r>
  <r>
    <n v="3315"/>
    <n v="8183"/>
    <x v="78"/>
    <n v="798.99"/>
    <s v="Completed"/>
    <x v="3"/>
    <s v="Credit Card"/>
  </r>
  <r>
    <n v="3316"/>
    <n v="7688"/>
    <x v="282"/>
    <n v="1146.95"/>
    <s v="Completed"/>
    <x v="4"/>
    <s v="Apple Pay"/>
  </r>
  <r>
    <n v="3317"/>
    <n v="5692"/>
    <x v="13"/>
    <n v="325.76"/>
    <s v="Completed"/>
    <x v="1"/>
    <s v="PayPal"/>
  </r>
  <r>
    <n v="3318"/>
    <n v="3252"/>
    <x v="267"/>
    <n v="3188.65"/>
    <s v="Completed"/>
    <x v="2"/>
    <s v="Credit Card"/>
  </r>
  <r>
    <n v="3319"/>
    <n v="8046"/>
    <x v="236"/>
    <n v="657.03"/>
    <s v="Completed"/>
    <x v="4"/>
    <s v="Credit Card"/>
  </r>
  <r>
    <n v="3320"/>
    <n v="8286"/>
    <x v="245"/>
    <n v="1179.04"/>
    <s v="Completed"/>
    <x v="3"/>
    <s v="Debit Card"/>
  </r>
  <r>
    <n v="3321"/>
    <n v="3891"/>
    <x v="119"/>
    <n v="4414.47"/>
    <s v="Completed"/>
    <x v="2"/>
    <s v="Credit Card"/>
  </r>
  <r>
    <n v="3322"/>
    <n v="6125"/>
    <x v="310"/>
    <n v="2254.46"/>
    <s v="Completed"/>
    <x v="4"/>
    <s v="Debit Card"/>
  </r>
  <r>
    <n v="3323"/>
    <n v="6309"/>
    <x v="304"/>
    <n v="1263.69"/>
    <s v="Completed"/>
    <x v="1"/>
    <s v="Credit Card"/>
  </r>
  <r>
    <n v="3324"/>
    <n v="4042"/>
    <x v="73"/>
    <n v="1432.69"/>
    <s v="Completed"/>
    <x v="0"/>
    <s v="Credit Card"/>
  </r>
  <r>
    <n v="3325"/>
    <n v="2198"/>
    <x v="57"/>
    <n v="1011.06"/>
    <s v="Completed"/>
    <x v="2"/>
    <s v="Debit Card"/>
  </r>
  <r>
    <n v="3326"/>
    <n v="1045"/>
    <x v="128"/>
    <n v="323.68"/>
    <s v="Completed"/>
    <x v="3"/>
    <s v="Debit Card"/>
  </r>
  <r>
    <n v="3327"/>
    <n v="2107"/>
    <x v="19"/>
    <n v="318.74"/>
    <s v="Completed"/>
    <x v="0"/>
    <s v="PayPal"/>
  </r>
  <r>
    <n v="3328"/>
    <n v="431"/>
    <x v="203"/>
    <n v="517.32000000000005"/>
    <s v="Completed"/>
    <x v="3"/>
    <s v="Credit Card"/>
  </r>
  <r>
    <n v="3329"/>
    <n v="5451"/>
    <x v="9"/>
    <n v="1872.99"/>
    <s v="Completed"/>
    <x v="2"/>
    <s v="PayPal"/>
  </r>
  <r>
    <n v="3330"/>
    <n v="9706"/>
    <x v="327"/>
    <n v="402.39"/>
    <s v="Completed"/>
    <x v="2"/>
    <s v="Apple Pay"/>
  </r>
  <r>
    <n v="3331"/>
    <n v="1441"/>
    <x v="34"/>
    <n v="1612.58"/>
    <s v="Completed"/>
    <x v="0"/>
    <s v="PayPal"/>
  </r>
  <r>
    <n v="3332"/>
    <n v="584"/>
    <x v="41"/>
    <n v="1165.1199999999999"/>
    <s v="Completed"/>
    <x v="4"/>
    <s v="Credit Card"/>
  </r>
  <r>
    <n v="3333"/>
    <n v="4278"/>
    <x v="104"/>
    <n v="366.68"/>
    <s v="Completed"/>
    <x v="0"/>
    <s v="Apple Pay"/>
  </r>
  <r>
    <n v="3334"/>
    <n v="3236"/>
    <x v="10"/>
    <n v="312.74"/>
    <s v="Completed"/>
    <x v="4"/>
    <s v="Debit Card"/>
  </r>
  <r>
    <n v="3335"/>
    <n v="2292"/>
    <x v="222"/>
    <n v="323.68"/>
    <s v="Completed"/>
    <x v="3"/>
    <s v="Apple Pay"/>
  </r>
  <r>
    <n v="3336"/>
    <n v="7621"/>
    <x v="340"/>
    <n v="1153.1500000000001"/>
    <s v="Completed"/>
    <x v="2"/>
    <s v="PayPal"/>
  </r>
  <r>
    <n v="3337"/>
    <n v="2136"/>
    <x v="113"/>
    <n v="423.91"/>
    <s v="Completed"/>
    <x v="4"/>
    <s v="Credit Card"/>
  </r>
  <r>
    <n v="3338"/>
    <n v="6833"/>
    <x v="193"/>
    <n v="1146.95"/>
    <s v="Completed"/>
    <x v="3"/>
    <s v="PayPal"/>
  </r>
  <r>
    <n v="3339"/>
    <n v="2094"/>
    <x v="153"/>
    <n v="228.45"/>
    <s v="Completed"/>
    <x v="4"/>
    <s v="Credit Card"/>
  </r>
  <r>
    <n v="3340"/>
    <n v="1954"/>
    <x v="283"/>
    <n v="1231.17"/>
    <s v="Completed"/>
    <x v="3"/>
    <s v="Debit Card"/>
  </r>
  <r>
    <n v="3341"/>
    <n v="2583"/>
    <x v="211"/>
    <n v="1071.23"/>
    <s v="Completed"/>
    <x v="1"/>
    <s v="Credit Card"/>
  </r>
  <r>
    <n v="3342"/>
    <n v="3397"/>
    <x v="242"/>
    <n v="352.84"/>
    <s v="Completed"/>
    <x v="0"/>
    <s v="Debit Card"/>
  </r>
  <r>
    <n v="3343"/>
    <n v="3896"/>
    <x v="51"/>
    <n v="444.23"/>
    <s v="Returned"/>
    <x v="2"/>
    <s v="PayPal"/>
  </r>
  <r>
    <n v="3344"/>
    <n v="6526"/>
    <x v="327"/>
    <n v="1252.29"/>
    <s v="Completed"/>
    <x v="0"/>
    <s v="Apple Pay"/>
  </r>
  <r>
    <n v="3345"/>
    <n v="1263"/>
    <x v="304"/>
    <n v="2014.38"/>
    <s v="Completed"/>
    <x v="0"/>
    <s v="Credit Card"/>
  </r>
  <r>
    <n v="3346"/>
    <n v="9865"/>
    <x v="122"/>
    <n v="4565.09"/>
    <s v="Completed"/>
    <x v="1"/>
    <s v="Debit Card"/>
  </r>
  <r>
    <n v="3347"/>
    <n v="5511"/>
    <x v="37"/>
    <n v="705.39"/>
    <s v="Returned"/>
    <x v="2"/>
    <s v="Apple Pay"/>
  </r>
  <r>
    <n v="3348"/>
    <n v="4252"/>
    <x v="17"/>
    <n v="2807.1"/>
    <s v="Completed"/>
    <x v="0"/>
    <s v="Debit Card"/>
  </r>
  <r>
    <n v="3349"/>
    <n v="4298"/>
    <x v="265"/>
    <n v="96.07"/>
    <s v="Completed"/>
    <x v="2"/>
    <s v="Credit Card"/>
  </r>
  <r>
    <n v="3350"/>
    <n v="2074"/>
    <x v="355"/>
    <n v="528.79"/>
    <s v="Completed"/>
    <x v="2"/>
    <s v="Debit Card"/>
  </r>
  <r>
    <n v="3351"/>
    <n v="347"/>
    <x v="47"/>
    <n v="1176.57"/>
    <s v="Completed"/>
    <x v="3"/>
    <s v="PayPal"/>
  </r>
  <r>
    <n v="3352"/>
    <n v="5495"/>
    <x v="214"/>
    <n v="242.5"/>
    <s v="Completed"/>
    <x v="2"/>
    <s v="PayPal"/>
  </r>
  <r>
    <n v="3353"/>
    <n v="476"/>
    <x v="311"/>
    <n v="3120.27"/>
    <s v="Completed"/>
    <x v="3"/>
    <s v="Apple Pay"/>
  </r>
  <r>
    <n v="3354"/>
    <n v="5073"/>
    <x v="152"/>
    <n v="290.79000000000002"/>
    <s v="Completed"/>
    <x v="4"/>
    <s v="Debit Card"/>
  </r>
  <r>
    <n v="3355"/>
    <n v="6233"/>
    <x v="34"/>
    <n v="260.61"/>
    <s v="Completed"/>
    <x v="2"/>
    <s v="Debit Card"/>
  </r>
  <r>
    <n v="3356"/>
    <n v="6733"/>
    <x v="3"/>
    <n v="716.89"/>
    <s v="Completed"/>
    <x v="0"/>
    <s v="Debit Card"/>
  </r>
  <r>
    <n v="3357"/>
    <n v="6046"/>
    <x v="157"/>
    <n v="768.39"/>
    <s v="Completed"/>
    <x v="1"/>
    <s v="Apple Pay"/>
  </r>
  <r>
    <n v="3358"/>
    <n v="768"/>
    <x v="128"/>
    <n v="406.76"/>
    <s v="Completed"/>
    <x v="0"/>
    <s v="Credit Card"/>
  </r>
  <r>
    <n v="3359"/>
    <n v="1556"/>
    <x v="199"/>
    <n v="1215.8900000000001"/>
    <s v="Completed"/>
    <x v="1"/>
    <s v="Debit Card"/>
  </r>
  <r>
    <n v="3360"/>
    <n v="3573"/>
    <x v="198"/>
    <n v="3457.61"/>
    <s v="Completed"/>
    <x v="1"/>
    <s v="Apple Pay"/>
  </r>
  <r>
    <n v="3361"/>
    <n v="297"/>
    <x v="308"/>
    <n v="325.76"/>
    <s v="Completed"/>
    <x v="0"/>
    <s v="Credit Card"/>
  </r>
  <r>
    <n v="3362"/>
    <n v="7569"/>
    <x v="166"/>
    <n v="507.96"/>
    <s v="Completed"/>
    <x v="0"/>
    <s v="PayPal"/>
  </r>
  <r>
    <n v="3363"/>
    <n v="8541"/>
    <x v="190"/>
    <n v="1356.25"/>
    <s v="Completed"/>
    <x v="2"/>
    <s v="Credit Card"/>
  </r>
  <r>
    <n v="3364"/>
    <n v="7235"/>
    <x v="353"/>
    <n v="564.26"/>
    <s v="Completed"/>
    <x v="1"/>
    <s v="PayPal"/>
  </r>
  <r>
    <n v="3365"/>
    <n v="18"/>
    <x v="85"/>
    <n v="2399.9"/>
    <s v="Completed"/>
    <x v="3"/>
    <s v="Credit Card"/>
  </r>
  <r>
    <n v="3366"/>
    <n v="1648"/>
    <x v="100"/>
    <n v="3132.09"/>
    <s v="Completed"/>
    <x v="4"/>
    <s v="Apple Pay"/>
  </r>
  <r>
    <n v="3367"/>
    <n v="1744"/>
    <x v="299"/>
    <n v="2053.64"/>
    <s v="Completed"/>
    <x v="3"/>
    <s v="Credit Card"/>
  </r>
  <r>
    <n v="3368"/>
    <n v="4121"/>
    <x v="169"/>
    <n v="151.46"/>
    <s v="Completed"/>
    <x v="4"/>
    <s v="PayPal"/>
  </r>
  <r>
    <n v="3369"/>
    <n v="5687"/>
    <x v="15"/>
    <n v="2820.72"/>
    <s v="Completed"/>
    <x v="2"/>
    <s v="Credit Card"/>
  </r>
  <r>
    <n v="3370"/>
    <n v="4896"/>
    <x v="120"/>
    <n v="1624.59"/>
    <s v="Completed"/>
    <x v="3"/>
    <s v="Credit Card"/>
  </r>
  <r>
    <n v="3371"/>
    <n v="7388"/>
    <x v="223"/>
    <n v="4570.87"/>
    <s v="Completed"/>
    <x v="0"/>
    <s v="Debit Card"/>
  </r>
  <r>
    <n v="3372"/>
    <n v="2674"/>
    <x v="202"/>
    <n v="468.13"/>
    <s v="Completed"/>
    <x v="5"/>
    <s v="Debit Card"/>
  </r>
  <r>
    <n v="3373"/>
    <n v="9749"/>
    <x v="309"/>
    <n v="1468.07"/>
    <s v="Completed"/>
    <x v="3"/>
    <s v="Debit Card"/>
  </r>
  <r>
    <n v="3374"/>
    <n v="3483"/>
    <x v="199"/>
    <n v="1190.01"/>
    <s v="Returned"/>
    <x v="3"/>
    <s v="PayPal"/>
  </r>
  <r>
    <n v="3375"/>
    <n v="4538"/>
    <x v="193"/>
    <n v="943.48"/>
    <s v="Completed"/>
    <x v="2"/>
    <s v="Apple Pay"/>
  </r>
  <r>
    <n v="3376"/>
    <n v="5124"/>
    <x v="29"/>
    <n v="256.68"/>
    <s v="Completed"/>
    <x v="3"/>
    <s v="Debit Card"/>
  </r>
  <r>
    <n v="3377"/>
    <n v="7914"/>
    <x v="189"/>
    <n v="1263.82"/>
    <s v="Completed"/>
    <x v="0"/>
    <s v="Credit Card"/>
  </r>
  <r>
    <n v="3378"/>
    <n v="7968"/>
    <x v="250"/>
    <n v="901.51"/>
    <s v="Completed"/>
    <x v="2"/>
    <s v="Debit Card"/>
  </r>
  <r>
    <n v="3379"/>
    <n v="3714"/>
    <x v="352"/>
    <n v="284.73"/>
    <s v="Cancelled"/>
    <x v="4"/>
    <s v="Apple Pay"/>
  </r>
  <r>
    <n v="3380"/>
    <n v="5251"/>
    <x v="9"/>
    <n v="781.07"/>
    <s v="Completed"/>
    <x v="1"/>
    <s v="Debit Card"/>
  </r>
  <r>
    <n v="3381"/>
    <n v="7395"/>
    <x v="208"/>
    <n v="3255.06"/>
    <s v="Completed"/>
    <x v="1"/>
    <s v="Credit Card"/>
  </r>
  <r>
    <n v="3382"/>
    <n v="954"/>
    <x v="191"/>
    <n v="2403.41"/>
    <s v="Completed"/>
    <x v="3"/>
    <s v="Debit Card"/>
  </r>
  <r>
    <n v="3383"/>
    <n v="3006"/>
    <x v="53"/>
    <n v="1854.98"/>
    <s v="Completed"/>
    <x v="3"/>
    <s v="Apple Pay"/>
  </r>
  <r>
    <n v="3384"/>
    <n v="4786"/>
    <x v="32"/>
    <n v="698"/>
    <s v="Completed"/>
    <x v="1"/>
    <s v="Credit Card"/>
  </r>
  <r>
    <n v="3385"/>
    <n v="8730"/>
    <x v="124"/>
    <n v="486.42"/>
    <s v="Completed"/>
    <x v="0"/>
    <s v="Apple Pay"/>
  </r>
  <r>
    <n v="3386"/>
    <n v="1047"/>
    <x v="344"/>
    <n v="364.61"/>
    <s v="Cancelled"/>
    <x v="2"/>
    <s v="PayPal"/>
  </r>
  <r>
    <n v="3387"/>
    <n v="3406"/>
    <x v="119"/>
    <n v="651.52"/>
    <s v="Completed"/>
    <x v="1"/>
    <s v="Debit Card"/>
  </r>
  <r>
    <n v="3388"/>
    <n v="5206"/>
    <x v="125"/>
    <n v="1512.73"/>
    <s v="Completed"/>
    <x v="3"/>
    <s v="Credit Card"/>
  </r>
  <r>
    <n v="3389"/>
    <n v="678"/>
    <x v="275"/>
    <n v="1796.94"/>
    <s v="Completed"/>
    <x v="1"/>
    <s v="PayPal"/>
  </r>
  <r>
    <n v="3390"/>
    <n v="4328"/>
    <x v="236"/>
    <n v="776.21"/>
    <s v="Completed"/>
    <x v="4"/>
    <s v="Apple Pay"/>
  </r>
  <r>
    <n v="3391"/>
    <n v="7197"/>
    <x v="220"/>
    <n v="1306.74"/>
    <s v="Completed"/>
    <x v="3"/>
    <s v="Credit Card"/>
  </r>
  <r>
    <n v="3392"/>
    <n v="4367"/>
    <x v="185"/>
    <n v="758.08"/>
    <s v="Completed"/>
    <x v="3"/>
    <s v="PayPal"/>
  </r>
  <r>
    <n v="3393"/>
    <n v="8728"/>
    <x v="304"/>
    <n v="1553.05"/>
    <s v="Completed"/>
    <x v="1"/>
    <s v="PayPal"/>
  </r>
  <r>
    <n v="3394"/>
    <n v="4090"/>
    <x v="54"/>
    <n v="1925.76"/>
    <s v="Completed"/>
    <x v="3"/>
    <s v="PayPal"/>
  </r>
  <r>
    <n v="3395"/>
    <n v="2830"/>
    <x v="122"/>
    <n v="1443.41"/>
    <s v="Completed"/>
    <x v="1"/>
    <s v="Credit Card"/>
  </r>
  <r>
    <n v="3396"/>
    <n v="6766"/>
    <x v="266"/>
    <n v="1802.19"/>
    <s v="Completed"/>
    <x v="0"/>
    <s v="PayPal"/>
  </r>
  <r>
    <n v="3397"/>
    <n v="4603"/>
    <x v="248"/>
    <n v="1320.15"/>
    <s v="Completed"/>
    <x v="5"/>
    <s v="Apple Pay"/>
  </r>
  <r>
    <n v="3398"/>
    <n v="4299"/>
    <x v="157"/>
    <n v="2254.14"/>
    <s v="Completed"/>
    <x v="3"/>
    <s v="PayPal"/>
  </r>
  <r>
    <n v="3399"/>
    <n v="3400"/>
    <x v="205"/>
    <n v="296.31"/>
    <s v="Completed"/>
    <x v="2"/>
    <s v="Credit Card"/>
  </r>
  <r>
    <n v="3400"/>
    <n v="9731"/>
    <x v="229"/>
    <n v="760.2"/>
    <s v="Completed"/>
    <x v="4"/>
    <s v="Apple Pay"/>
  </r>
  <r>
    <n v="3401"/>
    <n v="5458"/>
    <x v="161"/>
    <n v="471.55"/>
    <s v="Completed"/>
    <x v="3"/>
    <s v="Credit Card"/>
  </r>
  <r>
    <n v="3402"/>
    <n v="5654"/>
    <x v="343"/>
    <n v="2731.92"/>
    <s v="Completed"/>
    <x v="1"/>
    <s v="Credit Card"/>
  </r>
  <r>
    <n v="3403"/>
    <n v="4788"/>
    <x v="245"/>
    <n v="595.70000000000005"/>
    <s v="Completed"/>
    <x v="4"/>
    <s v="Credit Card"/>
  </r>
  <r>
    <n v="3404"/>
    <n v="7255"/>
    <x v="287"/>
    <n v="1041.67"/>
    <s v="Completed"/>
    <x v="2"/>
    <s v="Apple Pay"/>
  </r>
  <r>
    <n v="3405"/>
    <n v="3250"/>
    <x v="18"/>
    <n v="2139.91"/>
    <s v="Completed"/>
    <x v="3"/>
    <s v="Debit Card"/>
  </r>
  <r>
    <n v="3406"/>
    <n v="946"/>
    <x v="65"/>
    <n v="414.6"/>
    <s v="Completed"/>
    <x v="2"/>
    <s v="PayPal"/>
  </r>
  <r>
    <n v="3407"/>
    <n v="3601"/>
    <x v="245"/>
    <n v="1786.37"/>
    <s v="Completed"/>
    <x v="4"/>
    <s v="Debit Card"/>
  </r>
  <r>
    <n v="3408"/>
    <n v="8498"/>
    <x v="200"/>
    <n v="193.6"/>
    <s v="Returned"/>
    <x v="4"/>
    <s v="Debit Card"/>
  </r>
  <r>
    <n v="3409"/>
    <n v="9069"/>
    <x v="227"/>
    <n v="965.83"/>
    <s v="Completed"/>
    <x v="3"/>
    <s v="Credit Card"/>
  </r>
  <r>
    <n v="3410"/>
    <n v="822"/>
    <x v="310"/>
    <n v="806.03"/>
    <s v="Completed"/>
    <x v="0"/>
    <s v="Credit Card"/>
  </r>
  <r>
    <n v="3411"/>
    <n v="7210"/>
    <x v="288"/>
    <n v="235.13"/>
    <s v="Completed"/>
    <x v="3"/>
    <s v="Credit Card"/>
  </r>
  <r>
    <n v="3412"/>
    <n v="44"/>
    <x v="241"/>
    <n v="367.55"/>
    <s v="Completed"/>
    <x v="1"/>
    <s v="Credit Card"/>
  </r>
  <r>
    <n v="3413"/>
    <n v="2624"/>
    <x v="352"/>
    <n v="4760.78"/>
    <s v="Completed"/>
    <x v="3"/>
    <s v="Apple Pay"/>
  </r>
  <r>
    <n v="3414"/>
    <n v="2219"/>
    <x v="128"/>
    <n v="2877.54"/>
    <s v="Completed"/>
    <x v="4"/>
    <s v="Debit Card"/>
  </r>
  <r>
    <n v="3415"/>
    <n v="4379"/>
    <x v="265"/>
    <n v="189.69"/>
    <s v="Completed"/>
    <x v="0"/>
    <s v="Apple Pay"/>
  </r>
  <r>
    <n v="3416"/>
    <n v="220"/>
    <x v="94"/>
    <n v="439.45"/>
    <s v="Completed"/>
    <x v="1"/>
    <s v="Apple Pay"/>
  </r>
  <r>
    <n v="3417"/>
    <n v="1617"/>
    <x v="58"/>
    <n v="2648.51"/>
    <s v="Completed"/>
    <x v="3"/>
    <s v="Apple Pay"/>
  </r>
  <r>
    <n v="3418"/>
    <n v="5169"/>
    <x v="125"/>
    <n v="968.37"/>
    <s v="Completed"/>
    <x v="0"/>
    <s v="Debit Card"/>
  </r>
  <r>
    <n v="3419"/>
    <n v="1482"/>
    <x v="322"/>
    <n v="1023.58"/>
    <s v="Completed"/>
    <x v="4"/>
    <s v="Apple Pay"/>
  </r>
  <r>
    <n v="3420"/>
    <n v="720"/>
    <x v="329"/>
    <n v="228.45"/>
    <s v="Completed"/>
    <x v="4"/>
    <s v="Credit Card"/>
  </r>
  <r>
    <n v="3421"/>
    <n v="8005"/>
    <x v="213"/>
    <n v="1144.4100000000001"/>
    <s v="Completed"/>
    <x v="1"/>
    <s v="PayPal"/>
  </r>
  <r>
    <n v="3422"/>
    <n v="7807"/>
    <x v="260"/>
    <n v="318.02"/>
    <s v="Completed"/>
    <x v="4"/>
    <s v="Debit Card"/>
  </r>
  <r>
    <n v="3423"/>
    <n v="2301"/>
    <x v="13"/>
    <n v="480.81"/>
    <s v="Completed"/>
    <x v="0"/>
    <s v="Apple Pay"/>
  </r>
  <r>
    <n v="3424"/>
    <n v="13"/>
    <x v="7"/>
    <n v="2220.21"/>
    <s v="Completed"/>
    <x v="0"/>
    <s v="Apple Pay"/>
  </r>
  <r>
    <n v="3425"/>
    <n v="7882"/>
    <x v="199"/>
    <n v="753.32"/>
    <s v="Completed"/>
    <x v="2"/>
    <s v="Apple Pay"/>
  </r>
  <r>
    <n v="3426"/>
    <n v="9442"/>
    <x v="126"/>
    <n v="1041.8599999999999"/>
    <s v="Completed"/>
    <x v="2"/>
    <s v="Credit Card"/>
  </r>
  <r>
    <n v="3427"/>
    <n v="6950"/>
    <x v="38"/>
    <n v="3609.65"/>
    <s v="Completed"/>
    <x v="4"/>
    <s v="Apple Pay"/>
  </r>
  <r>
    <n v="3428"/>
    <n v="426"/>
    <x v="351"/>
    <n v="949.36"/>
    <s v="Completed"/>
    <x v="3"/>
    <s v="PayPal"/>
  </r>
  <r>
    <n v="3429"/>
    <n v="8695"/>
    <x v="166"/>
    <n v="2300.67"/>
    <s v="Completed"/>
    <x v="2"/>
    <s v="Debit Card"/>
  </r>
  <r>
    <n v="3430"/>
    <n v="2924"/>
    <x v="19"/>
    <n v="3123.85"/>
    <s v="Completed"/>
    <x v="4"/>
    <s v="Credit Card"/>
  </r>
  <r>
    <n v="3431"/>
    <n v="5992"/>
    <x v="5"/>
    <n v="3653.84"/>
    <s v="Completed"/>
    <x v="1"/>
    <s v="PayPal"/>
  </r>
  <r>
    <n v="3432"/>
    <n v="4808"/>
    <x v="247"/>
    <n v="2094.0700000000002"/>
    <s v="Completed"/>
    <x v="5"/>
    <s v="Debit Card"/>
  </r>
  <r>
    <n v="3433"/>
    <n v="9956"/>
    <x v="231"/>
    <n v="884.41"/>
    <s v="Completed"/>
    <x v="3"/>
    <s v="Credit Card"/>
  </r>
  <r>
    <n v="3434"/>
    <n v="24"/>
    <x v="120"/>
    <n v="239.64"/>
    <s v="Completed"/>
    <x v="2"/>
    <s v="PayPal"/>
  </r>
  <r>
    <n v="3435"/>
    <n v="4031"/>
    <x v="353"/>
    <n v="1151.8699999999999"/>
    <s v="Completed"/>
    <x v="4"/>
    <s v="Credit Card"/>
  </r>
  <r>
    <n v="3436"/>
    <n v="875"/>
    <x v="14"/>
    <n v="361.97"/>
    <s v="Completed"/>
    <x v="4"/>
    <s v="Debit Card"/>
  </r>
  <r>
    <n v="3437"/>
    <n v="4105"/>
    <x v="165"/>
    <n v="2899.98"/>
    <s v="Completed"/>
    <x v="4"/>
    <s v="Apple Pay"/>
  </r>
  <r>
    <n v="3438"/>
    <n v="1654"/>
    <x v="87"/>
    <n v="748.01"/>
    <s v="Completed"/>
    <x v="3"/>
    <s v="Apple Pay"/>
  </r>
  <r>
    <n v="3439"/>
    <n v="3234"/>
    <x v="154"/>
    <n v="2381.98"/>
    <s v="Completed"/>
    <x v="3"/>
    <s v="Apple Pay"/>
  </r>
  <r>
    <n v="3440"/>
    <n v="4642"/>
    <x v="118"/>
    <n v="1128.9100000000001"/>
    <s v="Completed"/>
    <x v="4"/>
    <s v="PayPal"/>
  </r>
  <r>
    <n v="3441"/>
    <n v="315"/>
    <x v="236"/>
    <n v="2296.65"/>
    <s v="Completed"/>
    <x v="3"/>
    <s v="Debit Card"/>
  </r>
  <r>
    <n v="3442"/>
    <n v="168"/>
    <x v="9"/>
    <n v="1591.44"/>
    <s v="Completed"/>
    <x v="3"/>
    <s v="Apple Pay"/>
  </r>
  <r>
    <n v="3443"/>
    <n v="8234"/>
    <x v="90"/>
    <n v="2379.81"/>
    <s v="Completed"/>
    <x v="0"/>
    <s v="Debit Card"/>
  </r>
  <r>
    <n v="3444"/>
    <n v="7681"/>
    <x v="306"/>
    <n v="827.1"/>
    <s v="Completed"/>
    <x v="3"/>
    <s v="PayPal"/>
  </r>
  <r>
    <n v="3445"/>
    <n v="4810"/>
    <x v="140"/>
    <n v="1780.48"/>
    <s v="Cancelled"/>
    <x v="3"/>
    <s v="Credit Card"/>
  </r>
  <r>
    <n v="3446"/>
    <n v="3093"/>
    <x v="79"/>
    <n v="1490.74"/>
    <s v="Completed"/>
    <x v="1"/>
    <s v="Apple Pay"/>
  </r>
  <r>
    <n v="3447"/>
    <n v="2118"/>
    <x v="185"/>
    <n v="151.46"/>
    <s v="Completed"/>
    <x v="0"/>
    <s v="Debit Card"/>
  </r>
  <r>
    <n v="3448"/>
    <n v="1227"/>
    <x v="211"/>
    <n v="157.91999999999999"/>
    <s v="Completed"/>
    <x v="1"/>
    <s v="Credit Card"/>
  </r>
  <r>
    <n v="3449"/>
    <n v="1117"/>
    <x v="236"/>
    <n v="260.61"/>
    <s v="Completed"/>
    <x v="3"/>
    <s v="PayPal"/>
  </r>
  <r>
    <n v="3450"/>
    <n v="7339"/>
    <x v="34"/>
    <n v="280.61"/>
    <s v="Completed"/>
    <x v="3"/>
    <s v="Apple Pay"/>
  </r>
  <r>
    <n v="3451"/>
    <n v="3858"/>
    <x v="79"/>
    <n v="29817.33"/>
    <s v="Completed"/>
    <x v="2"/>
    <s v="Apple Pay"/>
  </r>
  <r>
    <n v="3452"/>
    <n v="7493"/>
    <x v="210"/>
    <n v="2325.73"/>
    <s v="Completed"/>
    <x v="0"/>
    <s v="Credit Card"/>
  </r>
  <r>
    <n v="3453"/>
    <n v="2798"/>
    <x v="139"/>
    <n v="826.1"/>
    <s v="Completed"/>
    <x v="1"/>
    <s v="PayPal"/>
  </r>
  <r>
    <n v="3454"/>
    <n v="2468"/>
    <x v="205"/>
    <n v="1777.24"/>
    <s v="Completed"/>
    <x v="2"/>
    <s v="Apple Pay"/>
  </r>
  <r>
    <n v="3455"/>
    <n v="3439"/>
    <x v="327"/>
    <n v="1557.72"/>
    <s v="Completed"/>
    <x v="1"/>
    <s v="Debit Card"/>
  </r>
  <r>
    <n v="3456"/>
    <n v="3748"/>
    <x v="306"/>
    <n v="3820.69"/>
    <s v="Completed"/>
    <x v="3"/>
    <s v="Apple Pay"/>
  </r>
  <r>
    <n v="3457"/>
    <n v="4745"/>
    <x v="151"/>
    <n v="2004.37"/>
    <s v="Completed"/>
    <x v="1"/>
    <s v="Credit Card"/>
  </r>
  <r>
    <n v="3458"/>
    <n v="5162"/>
    <x v="274"/>
    <n v="958.2"/>
    <s v="Completed"/>
    <x v="1"/>
    <s v="PayPal"/>
  </r>
  <r>
    <n v="3459"/>
    <n v="23"/>
    <x v="41"/>
    <n v="1146.8499999999999"/>
    <s v="Completed"/>
    <x v="1"/>
    <s v="Apple Pay"/>
  </r>
  <r>
    <n v="3460"/>
    <n v="4502"/>
    <x v="182"/>
    <n v="2152.09"/>
    <s v="Completed"/>
    <x v="3"/>
    <s v="Credit Card"/>
  </r>
  <r>
    <n v="3461"/>
    <n v="5391"/>
    <x v="358"/>
    <n v="1461.34"/>
    <s v="Completed"/>
    <x v="2"/>
    <s v="PayPal"/>
  </r>
  <r>
    <n v="3462"/>
    <n v="5612"/>
    <x v="100"/>
    <n v="816.7"/>
    <s v="Completed"/>
    <x v="2"/>
    <s v="PayPal"/>
  </r>
  <r>
    <n v="3463"/>
    <n v="9178"/>
    <x v="252"/>
    <n v="1793.72"/>
    <s v="Completed"/>
    <x v="4"/>
    <s v="Credit Card"/>
  </r>
  <r>
    <n v="3464"/>
    <n v="2219"/>
    <x v="147"/>
    <n v="632.91"/>
    <s v="Completed"/>
    <x v="4"/>
    <s v="Debit Card"/>
  </r>
  <r>
    <n v="3465"/>
    <n v="9904"/>
    <x v="330"/>
    <n v="377.58"/>
    <s v="Completed"/>
    <x v="4"/>
    <s v="Credit Card"/>
  </r>
  <r>
    <n v="3466"/>
    <n v="7520"/>
    <x v="287"/>
    <n v="744.5"/>
    <s v="Completed"/>
    <x v="0"/>
    <s v="Debit Card"/>
  </r>
  <r>
    <n v="3467"/>
    <n v="1952"/>
    <x v="123"/>
    <n v="1102.8800000000001"/>
    <s v="Completed"/>
    <x v="2"/>
    <s v="Apple Pay"/>
  </r>
  <r>
    <n v="3468"/>
    <n v="7235"/>
    <x v="229"/>
    <n v="1214.9100000000001"/>
    <s v="Completed"/>
    <x v="1"/>
    <s v="Credit Card"/>
  </r>
  <r>
    <n v="3469"/>
    <n v="7863"/>
    <x v="0"/>
    <n v="898.06"/>
    <s v="Completed"/>
    <x v="1"/>
    <s v="Debit Card"/>
  </r>
  <r>
    <n v="3470"/>
    <n v="1583"/>
    <x v="201"/>
    <n v="1072.43"/>
    <s v="Completed"/>
    <x v="3"/>
    <s v="Debit Card"/>
  </r>
  <r>
    <n v="3471"/>
    <n v="1402"/>
    <x v="351"/>
    <n v="772.53"/>
    <s v="Returned"/>
    <x v="0"/>
    <s v="Credit Card"/>
  </r>
  <r>
    <n v="3472"/>
    <n v="4125"/>
    <x v="211"/>
    <n v="152.53"/>
    <s v="Completed"/>
    <x v="4"/>
    <s v="PayPal"/>
  </r>
  <r>
    <n v="3473"/>
    <n v="4344"/>
    <x v="268"/>
    <n v="1374.61"/>
    <s v="Completed"/>
    <x v="1"/>
    <s v="Debit Card"/>
  </r>
  <r>
    <n v="3474"/>
    <n v="6740"/>
    <x v="280"/>
    <n v="2121.66"/>
    <s v="Completed"/>
    <x v="2"/>
    <s v="Debit Card"/>
  </r>
  <r>
    <n v="3475"/>
    <n v="5126"/>
    <x v="34"/>
    <n v="1128.9100000000001"/>
    <s v="Completed"/>
    <x v="0"/>
    <s v="Debit Card"/>
  </r>
  <r>
    <n v="3476"/>
    <n v="6412"/>
    <x v="196"/>
    <n v="1148.94"/>
    <s v="Completed"/>
    <x v="2"/>
    <s v="Debit Card"/>
  </r>
  <r>
    <n v="3477"/>
    <n v="1400"/>
    <x v="332"/>
    <n v="193.27"/>
    <s v="Completed"/>
    <x v="1"/>
    <s v="Apple Pay"/>
  </r>
  <r>
    <n v="3478"/>
    <n v="163"/>
    <x v="91"/>
    <n v="2257.8200000000002"/>
    <s v="Completed"/>
    <x v="0"/>
    <s v="Apple Pay"/>
  </r>
  <r>
    <n v="3479"/>
    <n v="4650"/>
    <x v="352"/>
    <n v="3189.55"/>
    <s v="Completed"/>
    <x v="0"/>
    <s v="Debit Card"/>
  </r>
  <r>
    <n v="3480"/>
    <n v="7087"/>
    <x v="113"/>
    <n v="2001.06"/>
    <s v="Completed"/>
    <x v="1"/>
    <s v="Credit Card"/>
  </r>
  <r>
    <n v="3481"/>
    <n v="6205"/>
    <x v="273"/>
    <n v="1072.43"/>
    <s v="Completed"/>
    <x v="4"/>
    <s v="Debit Card"/>
  </r>
  <r>
    <n v="3482"/>
    <n v="3410"/>
    <x v="339"/>
    <n v="1257.96"/>
    <s v="Completed"/>
    <x v="4"/>
    <s v="Debit Card"/>
  </r>
  <r>
    <n v="3483"/>
    <n v="1319"/>
    <x v="236"/>
    <n v="2301.8000000000002"/>
    <s v="Completed"/>
    <x v="1"/>
    <s v="Debit Card"/>
  </r>
  <r>
    <n v="3484"/>
    <n v="3896"/>
    <x v="280"/>
    <n v="4130.8900000000003"/>
    <s v="Completed"/>
    <x v="2"/>
    <s v="Debit Card"/>
  </r>
  <r>
    <n v="3485"/>
    <n v="7726"/>
    <x v="51"/>
    <n v="422.21"/>
    <s v="Completed"/>
    <x v="0"/>
    <s v="Credit Card"/>
  </r>
  <r>
    <n v="3486"/>
    <n v="6670"/>
    <x v="158"/>
    <n v="1257.18"/>
    <s v="Completed"/>
    <x v="3"/>
    <s v="Credit Card"/>
  </r>
  <r>
    <n v="3487"/>
    <n v="7843"/>
    <x v="229"/>
    <n v="1354.25"/>
    <s v="Completed"/>
    <x v="5"/>
    <s v="Apple Pay"/>
  </r>
  <r>
    <n v="3488"/>
    <n v="2665"/>
    <x v="341"/>
    <n v="336.84"/>
    <s v="Completed"/>
    <x v="3"/>
    <s v="PayPal"/>
  </r>
  <r>
    <n v="3489"/>
    <n v="3825"/>
    <x v="288"/>
    <n v="512.52"/>
    <s v="Completed"/>
    <x v="4"/>
    <s v="Credit Card"/>
  </r>
  <r>
    <n v="3490"/>
    <n v="9529"/>
    <x v="60"/>
    <n v="3276.92"/>
    <s v="Completed"/>
    <x v="4"/>
    <s v="Credit Card"/>
  </r>
  <r>
    <n v="3491"/>
    <n v="2592"/>
    <x v="46"/>
    <n v="278.26"/>
    <s v="Completed"/>
    <x v="0"/>
    <s v="Debit Card"/>
  </r>
  <r>
    <n v="3492"/>
    <n v="2626"/>
    <x v="287"/>
    <n v="1468.48"/>
    <s v="Completed"/>
    <x v="3"/>
    <s v="PayPal"/>
  </r>
  <r>
    <n v="3493"/>
    <n v="7366"/>
    <x v="349"/>
    <n v="1257.96"/>
    <s v="Completed"/>
    <x v="1"/>
    <s v="Debit Card"/>
  </r>
  <r>
    <n v="3494"/>
    <n v="6773"/>
    <x v="222"/>
    <n v="518.12"/>
    <s v="Completed"/>
    <x v="0"/>
    <s v="Debit Card"/>
  </r>
  <r>
    <n v="3495"/>
    <n v="1250"/>
    <x v="31"/>
    <n v="1527.31"/>
    <s v="Cancelled"/>
    <x v="3"/>
    <s v="Debit Card"/>
  </r>
  <r>
    <n v="3496"/>
    <n v="2504"/>
    <x v="124"/>
    <n v="4703.22"/>
    <s v="Completed"/>
    <x v="4"/>
    <s v="Credit Card"/>
  </r>
  <r>
    <n v="3497"/>
    <n v="2871"/>
    <x v="345"/>
    <n v="802.78"/>
    <s v="Completed"/>
    <x v="2"/>
    <s v="Debit Card"/>
  </r>
  <r>
    <n v="3498"/>
    <n v="7859"/>
    <x v="182"/>
    <n v="3645.8"/>
    <s v="Completed"/>
    <x v="2"/>
    <s v="Debit Card"/>
  </r>
  <r>
    <n v="3499"/>
    <n v="4763"/>
    <x v="236"/>
    <n v="1919.68"/>
    <s v="Completed"/>
    <x v="2"/>
    <s v="Apple Pay"/>
  </r>
  <r>
    <n v="3500"/>
    <n v="2749"/>
    <x v="223"/>
    <n v="1014.35"/>
    <s v="Completed"/>
    <x v="0"/>
    <s v="Debit Card"/>
  </r>
  <r>
    <n v="3501"/>
    <n v="4912"/>
    <x v="285"/>
    <n v="661.44"/>
    <s v="Cancelled"/>
    <x v="1"/>
    <s v="Credit Card"/>
  </r>
  <r>
    <n v="3502"/>
    <n v="3514"/>
    <x v="145"/>
    <n v="554.44000000000005"/>
    <s v="Completed"/>
    <x v="4"/>
    <s v="PayPal"/>
  </r>
  <r>
    <n v="3503"/>
    <n v="6825"/>
    <x v="122"/>
    <n v="1880.46"/>
    <s v="Completed"/>
    <x v="1"/>
    <s v="Debit Card"/>
  </r>
  <r>
    <n v="3504"/>
    <n v="8046"/>
    <x v="90"/>
    <n v="931.71"/>
    <s v="Completed"/>
    <x v="4"/>
    <s v="Debit Card"/>
  </r>
  <r>
    <n v="3505"/>
    <n v="9927"/>
    <x v="236"/>
    <n v="3007.57"/>
    <s v="Completed"/>
    <x v="0"/>
    <s v="Debit Card"/>
  </r>
  <r>
    <n v="3506"/>
    <n v="1864"/>
    <x v="312"/>
    <n v="366.31"/>
    <s v="Completed"/>
    <x v="1"/>
    <s v="PayPal"/>
  </r>
  <r>
    <n v="3507"/>
    <n v="8814"/>
    <x v="263"/>
    <n v="639.26"/>
    <s v="Completed"/>
    <x v="0"/>
    <s v="PayPal"/>
  </r>
  <r>
    <n v="3508"/>
    <n v="657"/>
    <x v="291"/>
    <n v="766.48"/>
    <s v="Completed"/>
    <x v="0"/>
    <s v="PayPal"/>
  </r>
  <r>
    <n v="3509"/>
    <n v="5688"/>
    <x v="173"/>
    <n v="442.69"/>
    <s v="Completed"/>
    <x v="2"/>
    <s v="Apple Pay"/>
  </r>
  <r>
    <n v="3510"/>
    <n v="1807"/>
    <x v="203"/>
    <n v="254.47"/>
    <s v="Completed"/>
    <x v="4"/>
    <s v="PayPal"/>
  </r>
  <r>
    <n v="3511"/>
    <n v="1295"/>
    <x v="325"/>
    <n v="1602.32"/>
    <s v="Completed"/>
    <x v="5"/>
    <s v="Apple Pay"/>
  </r>
  <r>
    <n v="3512"/>
    <n v="5396"/>
    <x v="309"/>
    <n v="996.13"/>
    <s v="Completed"/>
    <x v="0"/>
    <s v="Credit Card"/>
  </r>
  <r>
    <n v="3513"/>
    <n v="4085"/>
    <x v="102"/>
    <n v="644.54999999999995"/>
    <s v="Completed"/>
    <x v="4"/>
    <s v="Debit Card"/>
  </r>
  <r>
    <n v="3514"/>
    <n v="5508"/>
    <x v="256"/>
    <n v="1364.93"/>
    <s v="Completed"/>
    <x v="1"/>
    <s v="Apple Pay"/>
  </r>
  <r>
    <n v="3515"/>
    <n v="5517"/>
    <x v="95"/>
    <n v="1600.75"/>
    <s v="Completed"/>
    <x v="4"/>
    <s v="PayPal"/>
  </r>
  <r>
    <n v="3516"/>
    <n v="5240"/>
    <x v="231"/>
    <n v="2122.62"/>
    <s v="Completed"/>
    <x v="0"/>
    <s v="Debit Card"/>
  </r>
  <r>
    <n v="3517"/>
    <n v="6462"/>
    <x v="163"/>
    <n v="2018.07"/>
    <s v="Completed"/>
    <x v="1"/>
    <s v="Debit Card"/>
  </r>
  <r>
    <n v="3518"/>
    <n v="6443"/>
    <x v="139"/>
    <n v="1524.03"/>
    <s v="Completed"/>
    <x v="1"/>
    <s v="Debit Card"/>
  </r>
  <r>
    <n v="3519"/>
    <n v="1056"/>
    <x v="85"/>
    <n v="2612.2399999999998"/>
    <s v="Cancelled"/>
    <x v="3"/>
    <s v="Apple Pay"/>
  </r>
  <r>
    <n v="3520"/>
    <n v="7847"/>
    <x v="209"/>
    <n v="361.97"/>
    <s v="Completed"/>
    <x v="0"/>
    <s v="PayPal"/>
  </r>
  <r>
    <n v="3521"/>
    <n v="2505"/>
    <x v="322"/>
    <n v="394.17"/>
    <s v="Completed"/>
    <x v="1"/>
    <s v="PayPal"/>
  </r>
  <r>
    <n v="3522"/>
    <n v="8509"/>
    <x v="17"/>
    <n v="1212.17"/>
    <s v="Completed"/>
    <x v="0"/>
    <s v="Debit Card"/>
  </r>
  <r>
    <n v="3523"/>
    <n v="6408"/>
    <x v="116"/>
    <n v="1357.9"/>
    <s v="Completed"/>
    <x v="4"/>
    <s v="Debit Card"/>
  </r>
  <r>
    <n v="3524"/>
    <n v="7135"/>
    <x v="254"/>
    <n v="112.48"/>
    <s v="Completed"/>
    <x v="4"/>
    <s v="Debit Card"/>
  </r>
  <r>
    <n v="3525"/>
    <n v="5590"/>
    <x v="68"/>
    <n v="379.38"/>
    <s v="Completed"/>
    <x v="4"/>
    <s v="Debit Card"/>
  </r>
  <r>
    <n v="3526"/>
    <n v="2491"/>
    <x v="101"/>
    <n v="3560.01"/>
    <s v="Completed"/>
    <x v="0"/>
    <s v="Apple Pay"/>
  </r>
  <r>
    <n v="3527"/>
    <n v="3121"/>
    <x v="269"/>
    <n v="2333.73"/>
    <s v="Completed"/>
    <x v="1"/>
    <s v="Apple Pay"/>
  </r>
  <r>
    <n v="3528"/>
    <n v="4684"/>
    <x v="205"/>
    <n v="1285.75"/>
    <s v="Completed"/>
    <x v="1"/>
    <s v="PayPal"/>
  </r>
  <r>
    <n v="3529"/>
    <n v="8"/>
    <x v="315"/>
    <n v="1064.6500000000001"/>
    <s v="Completed"/>
    <x v="3"/>
    <s v="Credit Card"/>
  </r>
  <r>
    <n v="3530"/>
    <n v="5333"/>
    <x v="50"/>
    <n v="1430.96"/>
    <s v="Completed"/>
    <x v="3"/>
    <s v="Credit Card"/>
  </r>
  <r>
    <n v="3531"/>
    <n v="4004"/>
    <x v="233"/>
    <n v="744.15"/>
    <s v="Completed"/>
    <x v="2"/>
    <s v="Debit Card"/>
  </r>
  <r>
    <n v="3532"/>
    <n v="6311"/>
    <x v="252"/>
    <n v="2798.88"/>
    <s v="Returned"/>
    <x v="0"/>
    <s v="PayPal"/>
  </r>
  <r>
    <n v="3533"/>
    <n v="819"/>
    <x v="200"/>
    <n v="1448.19"/>
    <s v="Completed"/>
    <x v="1"/>
    <s v="Credit Card"/>
  </r>
  <r>
    <n v="3534"/>
    <n v="6328"/>
    <x v="45"/>
    <n v="159.91999999999999"/>
    <s v="Completed"/>
    <x v="4"/>
    <s v="PayPal"/>
  </r>
  <r>
    <n v="3535"/>
    <n v="8442"/>
    <x v="79"/>
    <n v="902.21"/>
    <s v="Completed"/>
    <x v="2"/>
    <s v="Apple Pay"/>
  </r>
  <r>
    <n v="3536"/>
    <n v="9977"/>
    <x v="79"/>
    <n v="3100.64"/>
    <s v="Completed"/>
    <x v="3"/>
    <s v="Credit Card"/>
  </r>
  <r>
    <n v="3537"/>
    <n v="8814"/>
    <x v="103"/>
    <n v="892.57"/>
    <s v="Completed"/>
    <x v="0"/>
    <s v="Debit Card"/>
  </r>
  <r>
    <n v="3538"/>
    <n v="1392"/>
    <x v="219"/>
    <n v="509.98"/>
    <s v="Completed"/>
    <x v="2"/>
    <s v="Credit Card"/>
  </r>
  <r>
    <n v="3539"/>
    <n v="3935"/>
    <x v="1"/>
    <n v="1262.3599999999999"/>
    <s v="Completed"/>
    <x v="3"/>
    <s v="PayPal"/>
  </r>
  <r>
    <n v="3540"/>
    <n v="3470"/>
    <x v="155"/>
    <n v="257.17"/>
    <s v="Completed"/>
    <x v="4"/>
    <s v="Debit Card"/>
  </r>
  <r>
    <n v="3541"/>
    <n v="7395"/>
    <x v="222"/>
    <n v="1617.7"/>
    <s v="Completed"/>
    <x v="1"/>
    <s v="Credit Card"/>
  </r>
  <r>
    <n v="3542"/>
    <n v="7063"/>
    <x v="192"/>
    <n v="1771.42"/>
    <s v="Completed"/>
    <x v="1"/>
    <s v="Debit Card"/>
  </r>
  <r>
    <n v="3543"/>
    <n v="5454"/>
    <x v="15"/>
    <n v="580"/>
    <s v="Completed"/>
    <x v="2"/>
    <s v="PayPal"/>
  </r>
  <r>
    <n v="3544"/>
    <n v="1054"/>
    <x v="358"/>
    <n v="499.65"/>
    <s v="Completed"/>
    <x v="2"/>
    <s v="Credit Card"/>
  </r>
  <r>
    <n v="3545"/>
    <n v="8270"/>
    <x v="272"/>
    <n v="5989.26"/>
    <s v="Completed"/>
    <x v="2"/>
    <s v="Apple Pay"/>
  </r>
  <r>
    <n v="3546"/>
    <n v="3931"/>
    <x v="287"/>
    <n v="1634.62"/>
    <s v="Completed"/>
    <x v="4"/>
    <s v="PayPal"/>
  </r>
  <r>
    <n v="3547"/>
    <n v="4018"/>
    <x v="113"/>
    <n v="4289.57"/>
    <s v="Completed"/>
    <x v="4"/>
    <s v="PayPal"/>
  </r>
  <r>
    <n v="3548"/>
    <n v="3115"/>
    <x v="136"/>
    <n v="196.53"/>
    <s v="Completed"/>
    <x v="1"/>
    <s v="Credit Card"/>
  </r>
  <r>
    <n v="3549"/>
    <n v="7832"/>
    <x v="285"/>
    <n v="514.54999999999995"/>
    <s v="Completed"/>
    <x v="1"/>
    <s v="PayPal"/>
  </r>
  <r>
    <n v="3550"/>
    <n v="1857"/>
    <x v="48"/>
    <n v="411.99"/>
    <s v="Completed"/>
    <x v="1"/>
    <s v="PayPal"/>
  </r>
  <r>
    <n v="3551"/>
    <n v="9935"/>
    <x v="106"/>
    <n v="2990.11"/>
    <s v="Completed"/>
    <x v="4"/>
    <s v="Debit Card"/>
  </r>
  <r>
    <n v="3552"/>
    <n v="2165"/>
    <x v="162"/>
    <n v="90.27"/>
    <s v="Completed"/>
    <x v="4"/>
    <s v="Apple Pay"/>
  </r>
  <r>
    <n v="3553"/>
    <n v="8891"/>
    <x v="344"/>
    <n v="1008.23"/>
    <s v="Completed"/>
    <x v="0"/>
    <s v="Debit Card"/>
  </r>
  <r>
    <n v="3554"/>
    <n v="3558"/>
    <x v="180"/>
    <n v="952.33"/>
    <s v="Completed"/>
    <x v="4"/>
    <s v="PayPal"/>
  </r>
  <r>
    <n v="3555"/>
    <n v="4548"/>
    <x v="161"/>
    <n v="2023.99"/>
    <s v="Completed"/>
    <x v="0"/>
    <s v="PayPal"/>
  </r>
  <r>
    <n v="3556"/>
    <n v="4122"/>
    <x v="341"/>
    <n v="2341.77"/>
    <s v="Completed"/>
    <x v="1"/>
    <s v="Credit Card"/>
  </r>
  <r>
    <n v="3557"/>
    <n v="2007"/>
    <x v="223"/>
    <n v="608.39"/>
    <s v="Completed"/>
    <x v="5"/>
    <s v="Apple Pay"/>
  </r>
  <r>
    <n v="3558"/>
    <n v="1541"/>
    <x v="280"/>
    <n v="187.89"/>
    <s v="Completed"/>
    <x v="0"/>
    <s v="PayPal"/>
  </r>
  <r>
    <n v="3559"/>
    <n v="1476"/>
    <x v="122"/>
    <n v="928.25"/>
    <s v="Completed"/>
    <x v="1"/>
    <s v="Debit Card"/>
  </r>
  <r>
    <n v="3560"/>
    <n v="8228"/>
    <x v="13"/>
    <n v="1016.02"/>
    <s v="Completed"/>
    <x v="3"/>
    <s v="PayPal"/>
  </r>
  <r>
    <n v="3561"/>
    <n v="2970"/>
    <x v="296"/>
    <n v="2601.56"/>
    <s v="Completed"/>
    <x v="3"/>
    <s v="Apple Pay"/>
  </r>
  <r>
    <n v="3562"/>
    <n v="2995"/>
    <x v="278"/>
    <n v="4062.75"/>
    <s v="Completed"/>
    <x v="2"/>
    <s v="Debit Card"/>
  </r>
  <r>
    <n v="3563"/>
    <n v="6677"/>
    <x v="324"/>
    <n v="2620.65"/>
    <s v="Completed"/>
    <x v="2"/>
    <s v="Credit Card"/>
  </r>
  <r>
    <n v="3564"/>
    <n v="3585"/>
    <x v="120"/>
    <n v="258.66000000000003"/>
    <s v="Completed"/>
    <x v="3"/>
    <s v="Apple Pay"/>
  </r>
  <r>
    <n v="3565"/>
    <n v="7589"/>
    <x v="247"/>
    <n v="1009.99"/>
    <s v="Completed"/>
    <x v="0"/>
    <s v="PayPal"/>
  </r>
  <r>
    <n v="3566"/>
    <n v="3771"/>
    <x v="168"/>
    <n v="392.24"/>
    <s v="Completed"/>
    <x v="2"/>
    <s v="Credit Card"/>
  </r>
  <r>
    <n v="3567"/>
    <n v="8361"/>
    <x v="65"/>
    <n v="2248.81"/>
    <s v="Completed"/>
    <x v="1"/>
    <s v="PayPal"/>
  </r>
  <r>
    <n v="3568"/>
    <n v="1225"/>
    <x v="342"/>
    <n v="1241.17"/>
    <s v="Completed"/>
    <x v="3"/>
    <s v="Credit Card"/>
  </r>
  <r>
    <n v="3569"/>
    <n v="3832"/>
    <x v="0"/>
    <n v="2726.91"/>
    <s v="Completed"/>
    <x v="2"/>
    <s v="Apple Pay"/>
  </r>
  <r>
    <n v="3570"/>
    <n v="1127"/>
    <x v="343"/>
    <n v="300.98"/>
    <s v="Completed"/>
    <x v="4"/>
    <s v="Apple Pay"/>
  </r>
  <r>
    <n v="3571"/>
    <n v="8759"/>
    <x v="59"/>
    <n v="30.63"/>
    <s v="Completed"/>
    <x v="3"/>
    <s v="Debit Card"/>
  </r>
  <r>
    <n v="3572"/>
    <n v="954"/>
    <x v="338"/>
    <n v="1239.3"/>
    <s v="Completed"/>
    <x v="3"/>
    <s v="PayPal"/>
  </r>
  <r>
    <n v="3573"/>
    <n v="4247"/>
    <x v="232"/>
    <n v="2745.93"/>
    <s v="Completed"/>
    <x v="4"/>
    <s v="PayPal"/>
  </r>
  <r>
    <n v="3574"/>
    <n v="5852"/>
    <x v="231"/>
    <n v="2162.9899999999998"/>
    <s v="Completed"/>
    <x v="3"/>
    <s v="Apple Pay"/>
  </r>
  <r>
    <n v="3575"/>
    <n v="6046"/>
    <x v="52"/>
    <n v="1033.01"/>
    <s v="Completed"/>
    <x v="1"/>
    <s v="Debit Card"/>
  </r>
  <r>
    <n v="3576"/>
    <n v="6852"/>
    <x v="32"/>
    <n v="1658.68"/>
    <s v="Completed"/>
    <x v="2"/>
    <s v="PayPal"/>
  </r>
  <r>
    <n v="3577"/>
    <n v="1019"/>
    <x v="97"/>
    <n v="1912.17"/>
    <s v="Completed"/>
    <x v="1"/>
    <s v="Apple Pay"/>
  </r>
  <r>
    <n v="3578"/>
    <n v="5009"/>
    <x v="167"/>
    <n v="943.31"/>
    <s v="Completed"/>
    <x v="0"/>
    <s v="Apple Pay"/>
  </r>
  <r>
    <n v="3579"/>
    <n v="2177"/>
    <x v="102"/>
    <n v="2731.92"/>
    <s v="Completed"/>
    <x v="3"/>
    <s v="PayPal"/>
  </r>
  <r>
    <n v="3580"/>
    <n v="595"/>
    <x v="304"/>
    <n v="1388.85"/>
    <s v="Completed"/>
    <x v="5"/>
    <s v="Apple Pay"/>
  </r>
  <r>
    <n v="3581"/>
    <n v="3129"/>
    <x v="42"/>
    <n v="2213.17"/>
    <s v="Completed"/>
    <x v="2"/>
    <s v="Debit Card"/>
  </r>
  <r>
    <n v="3582"/>
    <n v="499"/>
    <x v="33"/>
    <n v="2161.4499999999998"/>
    <s v="Completed"/>
    <x v="3"/>
    <s v="Debit Card"/>
  </r>
  <r>
    <n v="3583"/>
    <n v="4532"/>
    <x v="110"/>
    <n v="1148"/>
    <s v="Completed"/>
    <x v="0"/>
    <s v="Debit Card"/>
  </r>
  <r>
    <n v="3584"/>
    <n v="6668"/>
    <x v="160"/>
    <n v="596.71"/>
    <s v="Completed"/>
    <x v="2"/>
    <s v="PayPal"/>
  </r>
  <r>
    <n v="3585"/>
    <n v="3236"/>
    <x v="286"/>
    <n v="1980.53"/>
    <s v="Completed"/>
    <x v="4"/>
    <s v="Debit Card"/>
  </r>
  <r>
    <n v="3586"/>
    <n v="4000"/>
    <x v="71"/>
    <n v="914.09"/>
    <s v="Completed"/>
    <x v="4"/>
    <s v="PayPal"/>
  </r>
  <r>
    <n v="3587"/>
    <n v="6859"/>
    <x v="58"/>
    <n v="3598.27"/>
    <s v="Completed"/>
    <x v="2"/>
    <s v="Credit Card"/>
  </r>
  <r>
    <n v="3588"/>
    <n v="7421"/>
    <x v="333"/>
    <n v="641.61"/>
    <s v="Completed"/>
    <x v="5"/>
    <s v="Credit Card"/>
  </r>
  <r>
    <n v="3589"/>
    <n v="61"/>
    <x v="347"/>
    <n v="534.33000000000004"/>
    <s v="Completed"/>
    <x v="2"/>
    <s v="Apple Pay"/>
  </r>
  <r>
    <n v="3590"/>
    <n v="8422"/>
    <x v="115"/>
    <n v="2257.8200000000002"/>
    <s v="Completed"/>
    <x v="3"/>
    <s v="Apple Pay"/>
  </r>
  <r>
    <n v="3591"/>
    <n v="8963"/>
    <x v="35"/>
    <n v="2590.37"/>
    <s v="Completed"/>
    <x v="4"/>
    <s v="PayPal"/>
  </r>
  <r>
    <n v="3592"/>
    <n v="6567"/>
    <x v="72"/>
    <n v="150.49"/>
    <s v="Completed"/>
    <x v="1"/>
    <s v="Apple Pay"/>
  </r>
  <r>
    <n v="3593"/>
    <n v="1440"/>
    <x v="230"/>
    <n v="647.09"/>
    <s v="Completed"/>
    <x v="4"/>
    <s v="Credit Card"/>
  </r>
  <r>
    <n v="3594"/>
    <n v="1944"/>
    <x v="312"/>
    <n v="235.02"/>
    <s v="Completed"/>
    <x v="2"/>
    <s v="Debit Card"/>
  </r>
  <r>
    <n v="3595"/>
    <n v="431"/>
    <x v="232"/>
    <n v="3054.62"/>
    <s v="Completed"/>
    <x v="3"/>
    <s v="Apple Pay"/>
  </r>
  <r>
    <n v="3596"/>
    <n v="3439"/>
    <x v="325"/>
    <n v="693.27"/>
    <s v="Completed"/>
    <x v="1"/>
    <s v="Apple Pay"/>
  </r>
  <r>
    <n v="3597"/>
    <n v="4108"/>
    <x v="61"/>
    <n v="560.19000000000005"/>
    <s v="Completed"/>
    <x v="3"/>
    <s v="Apple Pay"/>
  </r>
  <r>
    <n v="3598"/>
    <n v="4865"/>
    <x v="101"/>
    <n v="2157.0100000000002"/>
    <s v="Completed"/>
    <x v="0"/>
    <s v="Credit Card"/>
  </r>
  <r>
    <n v="3599"/>
    <n v="6517"/>
    <x v="104"/>
    <n v="1686.91"/>
    <s v="Completed"/>
    <x v="4"/>
    <s v="Debit Card"/>
  </r>
  <r>
    <n v="3600"/>
    <n v="7157"/>
    <x v="320"/>
    <n v="1847.41"/>
    <s v="Completed"/>
    <x v="2"/>
    <s v="Debit Card"/>
  </r>
  <r>
    <n v="3601"/>
    <n v="4074"/>
    <x v="17"/>
    <n v="1071.23"/>
    <s v="Completed"/>
    <x v="3"/>
    <s v="PayPal"/>
  </r>
  <r>
    <n v="3602"/>
    <n v="3425"/>
    <x v="300"/>
    <n v="1992.71"/>
    <s v="Completed"/>
    <x v="4"/>
    <s v="PayPal"/>
  </r>
  <r>
    <n v="3603"/>
    <n v="4869"/>
    <x v="201"/>
    <n v="1777.25"/>
    <s v="Completed"/>
    <x v="3"/>
    <s v="Credit Card"/>
  </r>
  <r>
    <n v="3604"/>
    <n v="4991"/>
    <x v="150"/>
    <n v="1798.99"/>
    <s v="Completed"/>
    <x v="2"/>
    <s v="Apple Pay"/>
  </r>
  <r>
    <n v="3605"/>
    <n v="9661"/>
    <x v="93"/>
    <n v="3119.43"/>
    <s v="Completed"/>
    <x v="0"/>
    <s v="Credit Card"/>
  </r>
  <r>
    <n v="3606"/>
    <n v="804"/>
    <x v="159"/>
    <n v="618.92999999999995"/>
    <s v="Completed"/>
    <x v="4"/>
    <s v="Apple Pay"/>
  </r>
  <r>
    <n v="3607"/>
    <n v="9479"/>
    <x v="134"/>
    <n v="1294.6199999999999"/>
    <s v="Completed"/>
    <x v="1"/>
    <s v="Credit Card"/>
  </r>
  <r>
    <n v="3608"/>
    <n v="5466"/>
    <x v="334"/>
    <n v="3253.68"/>
    <s v="Completed"/>
    <x v="1"/>
    <s v="Credit Card"/>
  </r>
  <r>
    <n v="3609"/>
    <n v="5812"/>
    <x v="258"/>
    <n v="1589.14"/>
    <s v="Completed"/>
    <x v="0"/>
    <s v="Apple Pay"/>
  </r>
  <r>
    <n v="3610"/>
    <n v="4038"/>
    <x v="315"/>
    <n v="1664.48"/>
    <s v="Completed"/>
    <x v="2"/>
    <s v="PayPal"/>
  </r>
  <r>
    <n v="3611"/>
    <n v="6489"/>
    <x v="184"/>
    <n v="394.17"/>
    <s v="Completed"/>
    <x v="4"/>
    <s v="Apple Pay"/>
  </r>
  <r>
    <n v="3612"/>
    <n v="3542"/>
    <x v="174"/>
    <n v="1187.45"/>
    <s v="Completed"/>
    <x v="2"/>
    <s v="Apple Pay"/>
  </r>
  <r>
    <n v="3613"/>
    <n v="4616"/>
    <x v="277"/>
    <n v="1164.5"/>
    <s v="Completed"/>
    <x v="3"/>
    <s v="Apple Pay"/>
  </r>
  <r>
    <n v="3614"/>
    <n v="2570"/>
    <x v="342"/>
    <n v="759.37"/>
    <s v="Completed"/>
    <x v="2"/>
    <s v="Debit Card"/>
  </r>
  <r>
    <n v="3615"/>
    <n v="4965"/>
    <x v="353"/>
    <n v="2969.84"/>
    <s v="Completed"/>
    <x v="1"/>
    <s v="Debit Card"/>
  </r>
  <r>
    <n v="3616"/>
    <n v="8989"/>
    <x v="21"/>
    <n v="3988.79"/>
    <s v="Completed"/>
    <x v="3"/>
    <s v="Debit Card"/>
  </r>
  <r>
    <n v="3617"/>
    <n v="5330"/>
    <x v="13"/>
    <n v="1313.85"/>
    <s v="Completed"/>
    <x v="4"/>
    <s v="Apple Pay"/>
  </r>
  <r>
    <n v="3618"/>
    <n v="2388"/>
    <x v="214"/>
    <n v="270.86"/>
    <s v="Completed"/>
    <x v="0"/>
    <s v="PayPal"/>
  </r>
  <r>
    <n v="3619"/>
    <n v="263"/>
    <x v="40"/>
    <n v="852.42"/>
    <s v="Completed"/>
    <x v="2"/>
    <s v="Apple Pay"/>
  </r>
  <r>
    <n v="3620"/>
    <n v="5828"/>
    <x v="35"/>
    <n v="2555.85"/>
    <s v="Completed"/>
    <x v="3"/>
    <s v="Debit Card"/>
  </r>
  <r>
    <n v="3621"/>
    <n v="2097"/>
    <x v="91"/>
    <n v="545.46"/>
    <s v="Completed"/>
    <x v="0"/>
    <s v="Apple Pay"/>
  </r>
  <r>
    <n v="3622"/>
    <n v="1752"/>
    <x v="63"/>
    <n v="140.76"/>
    <s v="Completed"/>
    <x v="4"/>
    <s v="PayPal"/>
  </r>
  <r>
    <n v="3623"/>
    <n v="7040"/>
    <x v="227"/>
    <n v="2047.9"/>
    <s v="Completed"/>
    <x v="3"/>
    <s v="Debit Card"/>
  </r>
  <r>
    <n v="3624"/>
    <n v="8825"/>
    <x v="189"/>
    <n v="751.37"/>
    <s v="Completed"/>
    <x v="3"/>
    <s v="Debit Card"/>
  </r>
  <r>
    <n v="3625"/>
    <n v="1775"/>
    <x v="82"/>
    <n v="1008.02"/>
    <s v="Completed"/>
    <x v="3"/>
    <s v="PayPal"/>
  </r>
  <r>
    <n v="3626"/>
    <n v="1740"/>
    <x v="292"/>
    <n v="821.31"/>
    <s v="Completed"/>
    <x v="3"/>
    <s v="Apple Pay"/>
  </r>
  <r>
    <n v="3627"/>
    <n v="6439"/>
    <x v="64"/>
    <n v="30.63"/>
    <s v="Completed"/>
    <x v="1"/>
    <s v="Debit Card"/>
  </r>
  <r>
    <n v="3628"/>
    <n v="8906"/>
    <x v="246"/>
    <n v="366.31"/>
    <s v="Completed"/>
    <x v="2"/>
    <s v="PayPal"/>
  </r>
  <r>
    <n v="3629"/>
    <n v="2109"/>
    <x v="194"/>
    <n v="883.62"/>
    <s v="Completed"/>
    <x v="0"/>
    <s v="Debit Card"/>
  </r>
  <r>
    <n v="3630"/>
    <n v="4610"/>
    <x v="28"/>
    <n v="1532.96"/>
    <s v="Completed"/>
    <x v="4"/>
    <s v="Credit Card"/>
  </r>
  <r>
    <n v="3631"/>
    <n v="1951"/>
    <x v="306"/>
    <n v="2171.29"/>
    <s v="Completed"/>
    <x v="1"/>
    <s v="Apple Pay"/>
  </r>
  <r>
    <n v="3632"/>
    <n v="8656"/>
    <x v="136"/>
    <n v="2490.7399999999998"/>
    <s v="Completed"/>
    <x v="0"/>
    <s v="PayPal"/>
  </r>
  <r>
    <n v="3633"/>
    <n v="5546"/>
    <x v="298"/>
    <n v="539.1"/>
    <s v="Completed"/>
    <x v="1"/>
    <s v="Debit Card"/>
  </r>
  <r>
    <n v="3634"/>
    <n v="1354"/>
    <x v="363"/>
    <n v="623.21"/>
    <s v="Completed"/>
    <x v="0"/>
    <s v="PayPal"/>
  </r>
  <r>
    <n v="3635"/>
    <n v="9071"/>
    <x v="192"/>
    <n v="2142.46"/>
    <s v="Completed"/>
    <x v="0"/>
    <s v="PayPal"/>
  </r>
  <r>
    <n v="3636"/>
    <n v="6287"/>
    <x v="317"/>
    <n v="1052.75"/>
    <s v="Completed"/>
    <x v="4"/>
    <s v="Credit Card"/>
  </r>
  <r>
    <n v="3637"/>
    <n v="8327"/>
    <x v="262"/>
    <n v="615.07000000000005"/>
    <s v="Completed"/>
    <x v="2"/>
    <s v="Apple Pay"/>
  </r>
  <r>
    <n v="3638"/>
    <n v="8242"/>
    <x v="168"/>
    <n v="258.66000000000003"/>
    <s v="Completed"/>
    <x v="1"/>
    <s v="PayPal"/>
  </r>
  <r>
    <n v="3639"/>
    <n v="5888"/>
    <x v="57"/>
    <n v="2328.0100000000002"/>
    <s v="Completed"/>
    <x v="2"/>
    <s v="Credit Card"/>
  </r>
  <r>
    <n v="3640"/>
    <n v="5399"/>
    <x v="136"/>
    <n v="608.58000000000004"/>
    <s v="Completed"/>
    <x v="3"/>
    <s v="Credit Card"/>
  </r>
  <r>
    <n v="3641"/>
    <n v="1882"/>
    <x v="193"/>
    <n v="898.16"/>
    <s v="Completed"/>
    <x v="2"/>
    <s v="Debit Card"/>
  </r>
  <r>
    <n v="3642"/>
    <n v="8465"/>
    <x v="88"/>
    <n v="273.77"/>
    <s v="Completed"/>
    <x v="4"/>
    <s v="Apple Pay"/>
  </r>
  <r>
    <n v="3643"/>
    <n v="764"/>
    <x v="94"/>
    <n v="1034.8399999999999"/>
    <s v="Completed"/>
    <x v="0"/>
    <s v="PayPal"/>
  </r>
  <r>
    <n v="3644"/>
    <n v="9419"/>
    <x v="43"/>
    <n v="3303.03"/>
    <s v="Completed"/>
    <x v="4"/>
    <s v="PayPal"/>
  </r>
  <r>
    <n v="3645"/>
    <n v="4395"/>
    <x v="338"/>
    <n v="209.84"/>
    <s v="Completed"/>
    <x v="1"/>
    <s v="PayPal"/>
  </r>
  <r>
    <n v="3646"/>
    <n v="8059"/>
    <x v="252"/>
    <n v="2593.62"/>
    <s v="Completed"/>
    <x v="1"/>
    <s v="PayPal"/>
  </r>
  <r>
    <n v="3647"/>
    <n v="3648"/>
    <x v="20"/>
    <n v="1778.77"/>
    <s v="Completed"/>
    <x v="2"/>
    <s v="Credit Card"/>
  </r>
  <r>
    <n v="3648"/>
    <n v="1028"/>
    <x v="75"/>
    <n v="230.8"/>
    <s v="Completed"/>
    <x v="1"/>
    <s v="PayPal"/>
  </r>
  <r>
    <n v="3649"/>
    <n v="5389"/>
    <x v="256"/>
    <n v="278.93"/>
    <s v="Completed"/>
    <x v="3"/>
    <s v="Apple Pay"/>
  </r>
  <r>
    <n v="3650"/>
    <n v="7430"/>
    <x v="44"/>
    <n v="602.29999999999995"/>
    <s v="Completed"/>
    <x v="4"/>
    <s v="Debit Card"/>
  </r>
  <r>
    <n v="3651"/>
    <n v="810"/>
    <x v="2"/>
    <n v="1802.19"/>
    <s v="Completed"/>
    <x v="4"/>
    <s v="Credit Card"/>
  </r>
  <r>
    <n v="3652"/>
    <n v="9774"/>
    <x v="350"/>
    <n v="183.34"/>
    <s v="Completed"/>
    <x v="2"/>
    <s v="Credit Card"/>
  </r>
  <r>
    <n v="3653"/>
    <n v="1727"/>
    <x v="103"/>
    <n v="3820.84"/>
    <s v="Completed"/>
    <x v="4"/>
    <s v="Credit Card"/>
  </r>
  <r>
    <n v="3654"/>
    <n v="8898"/>
    <x v="206"/>
    <n v="437.93"/>
    <s v="Completed"/>
    <x v="1"/>
    <s v="Apple Pay"/>
  </r>
  <r>
    <n v="3655"/>
    <n v="1627"/>
    <x v="325"/>
    <n v="1740.47"/>
    <s v="Completed"/>
    <x v="0"/>
    <s v="Debit Card"/>
  </r>
  <r>
    <n v="3656"/>
    <n v="7903"/>
    <x v="337"/>
    <n v="156.65"/>
    <s v="Completed"/>
    <x v="3"/>
    <s v="Debit Card"/>
  </r>
  <r>
    <n v="3657"/>
    <n v="3678"/>
    <x v="290"/>
    <n v="293.51"/>
    <s v="Cancelled"/>
    <x v="0"/>
    <s v="Debit Card"/>
  </r>
  <r>
    <n v="3658"/>
    <n v="5338"/>
    <x v="202"/>
    <n v="2279.91"/>
    <s v="Completed"/>
    <x v="0"/>
    <s v="Debit Card"/>
  </r>
  <r>
    <n v="3659"/>
    <n v="2267"/>
    <x v="60"/>
    <n v="278.93"/>
    <s v="Completed"/>
    <x v="4"/>
    <s v="PayPal"/>
  </r>
  <r>
    <n v="3660"/>
    <n v="1189"/>
    <x v="196"/>
    <n v="3441.17"/>
    <s v="Completed"/>
    <x v="1"/>
    <s v="Debit Card"/>
  </r>
  <r>
    <n v="3661"/>
    <n v="9187"/>
    <x v="36"/>
    <n v="204.06"/>
    <s v="Completed"/>
    <x v="5"/>
    <s v="Debit Card"/>
  </r>
  <r>
    <n v="3662"/>
    <n v="8052"/>
    <x v="122"/>
    <n v="917.64"/>
    <s v="Completed"/>
    <x v="0"/>
    <s v="Apple Pay"/>
  </r>
  <r>
    <n v="3663"/>
    <n v="5251"/>
    <x v="329"/>
    <n v="1332.38"/>
    <s v="Completed"/>
    <x v="1"/>
    <s v="PayPal"/>
  </r>
  <r>
    <n v="3664"/>
    <n v="8215"/>
    <x v="80"/>
    <n v="182.78"/>
    <s v="Completed"/>
    <x v="1"/>
    <s v="Apple Pay"/>
  </r>
  <r>
    <n v="3665"/>
    <n v="3759"/>
    <x v="245"/>
    <n v="1153.5"/>
    <s v="Completed"/>
    <x v="0"/>
    <s v="PayPal"/>
  </r>
  <r>
    <n v="3666"/>
    <n v="8621"/>
    <x v="305"/>
    <n v="1797.47"/>
    <s v="Completed"/>
    <x v="1"/>
    <s v="Apple Pay"/>
  </r>
  <r>
    <n v="3667"/>
    <n v="9655"/>
    <x v="17"/>
    <n v="459.12"/>
    <s v="Completed"/>
    <x v="0"/>
    <s v="Credit Card"/>
  </r>
  <r>
    <n v="3668"/>
    <n v="6846"/>
    <x v="90"/>
    <n v="1600.46"/>
    <s v="Completed"/>
    <x v="0"/>
    <s v="Debit Card"/>
  </r>
  <r>
    <n v="3669"/>
    <n v="5496"/>
    <x v="306"/>
    <n v="4078.86"/>
    <s v="Completed"/>
    <x v="3"/>
    <s v="Apple Pay"/>
  </r>
  <r>
    <n v="3670"/>
    <n v="7554"/>
    <x v="122"/>
    <n v="3708.6"/>
    <s v="Completed"/>
    <x v="0"/>
    <s v="Credit Card"/>
  </r>
  <r>
    <n v="3671"/>
    <n v="4672"/>
    <x v="41"/>
    <n v="1527.31"/>
    <s v="Completed"/>
    <x v="4"/>
    <s v="Credit Card"/>
  </r>
  <r>
    <n v="3672"/>
    <n v="1642"/>
    <x v="361"/>
    <n v="1422.28"/>
    <s v="Completed"/>
    <x v="2"/>
    <s v="Debit Card"/>
  </r>
  <r>
    <n v="3673"/>
    <n v="9749"/>
    <x v="201"/>
    <n v="2661.94"/>
    <s v="Completed"/>
    <x v="3"/>
    <s v="PayPal"/>
  </r>
  <r>
    <n v="3674"/>
    <n v="7034"/>
    <x v="164"/>
    <n v="448.66"/>
    <s v="Completed"/>
    <x v="0"/>
    <s v="Apple Pay"/>
  </r>
  <r>
    <n v="3675"/>
    <n v="2725"/>
    <x v="291"/>
    <n v="1106.47"/>
    <s v="Completed"/>
    <x v="3"/>
    <s v="Credit Card"/>
  </r>
  <r>
    <n v="3676"/>
    <n v="3034"/>
    <x v="189"/>
    <n v="2361.1799999999998"/>
    <s v="Completed"/>
    <x v="3"/>
    <s v="Apple Pay"/>
  </r>
  <r>
    <n v="3677"/>
    <n v="7066"/>
    <x v="51"/>
    <n v="196.53"/>
    <s v="Returned"/>
    <x v="0"/>
    <s v="PayPal"/>
  </r>
  <r>
    <n v="3678"/>
    <n v="9207"/>
    <x v="276"/>
    <n v="644.54999999999995"/>
    <s v="Completed"/>
    <x v="4"/>
    <s v="PayPal"/>
  </r>
  <r>
    <n v="3679"/>
    <n v="3357"/>
    <x v="182"/>
    <n v="520.62"/>
    <s v="Completed"/>
    <x v="2"/>
    <s v="Credit Card"/>
  </r>
  <r>
    <n v="3680"/>
    <n v="8912"/>
    <x v="24"/>
    <n v="361.97"/>
    <s v="Completed"/>
    <x v="3"/>
    <s v="Credit Card"/>
  </r>
  <r>
    <n v="3681"/>
    <n v="6334"/>
    <x v="352"/>
    <n v="517.6"/>
    <s v="Completed"/>
    <x v="0"/>
    <s v="PayPal"/>
  </r>
  <r>
    <n v="3682"/>
    <n v="5326"/>
    <x v="328"/>
    <n v="3025.99"/>
    <s v="Completed"/>
    <x v="2"/>
    <s v="Apple Pay"/>
  </r>
  <r>
    <n v="3683"/>
    <n v="9301"/>
    <x v="202"/>
    <n v="439.19"/>
    <s v="Completed"/>
    <x v="3"/>
    <s v="Debit Card"/>
  </r>
  <r>
    <n v="3684"/>
    <n v="4812"/>
    <x v="83"/>
    <n v="1818.93"/>
    <s v="Completed"/>
    <x v="0"/>
    <s v="PayPal"/>
  </r>
  <r>
    <n v="3685"/>
    <n v="3713"/>
    <x v="47"/>
    <n v="2029.36"/>
    <s v="Completed"/>
    <x v="2"/>
    <s v="Apple Pay"/>
  </r>
  <r>
    <n v="3686"/>
    <n v="3841"/>
    <x v="212"/>
    <n v="1374.61"/>
    <s v="Completed"/>
    <x v="4"/>
    <s v="Debit Card"/>
  </r>
  <r>
    <n v="3687"/>
    <n v="5137"/>
    <x v="166"/>
    <n v="386.13"/>
    <s v="Completed"/>
    <x v="4"/>
    <s v="Apple Pay"/>
  </r>
  <r>
    <n v="3688"/>
    <n v="4398"/>
    <x v="284"/>
    <n v="1994.76"/>
    <s v="Completed"/>
    <x v="3"/>
    <s v="Debit Card"/>
  </r>
  <r>
    <n v="3689"/>
    <n v="6047"/>
    <x v="271"/>
    <n v="619.65"/>
    <s v="Completed"/>
    <x v="0"/>
    <s v="Apple Pay"/>
  </r>
  <r>
    <n v="3690"/>
    <n v="24"/>
    <x v="37"/>
    <n v="1125.9000000000001"/>
    <s v="Completed"/>
    <x v="2"/>
    <s v="PayPal"/>
  </r>
  <r>
    <n v="3691"/>
    <n v="1865"/>
    <x v="226"/>
    <n v="1299.54"/>
    <s v="Completed"/>
    <x v="1"/>
    <s v="Credit Card"/>
  </r>
  <r>
    <n v="3692"/>
    <n v="846"/>
    <x v="338"/>
    <n v="1264.57"/>
    <s v="Completed"/>
    <x v="3"/>
    <s v="Apple Pay"/>
  </r>
  <r>
    <n v="3693"/>
    <n v="4374"/>
    <x v="344"/>
    <n v="345.69"/>
    <s v="Completed"/>
    <x v="1"/>
    <s v="Debit Card"/>
  </r>
  <r>
    <n v="3694"/>
    <n v="5880"/>
    <x v="208"/>
    <n v="154.28"/>
    <s v="Completed"/>
    <x v="3"/>
    <s v="Apple Pay"/>
  </r>
  <r>
    <n v="3695"/>
    <n v="1268"/>
    <x v="255"/>
    <n v="1883.98"/>
    <s v="Completed"/>
    <x v="3"/>
    <s v="Apple Pay"/>
  </r>
  <r>
    <n v="3696"/>
    <n v="3217"/>
    <x v="208"/>
    <n v="545.46"/>
    <s v="Completed"/>
    <x v="3"/>
    <s v="Apple Pay"/>
  </r>
  <r>
    <n v="3697"/>
    <n v="9305"/>
    <x v="152"/>
    <n v="686.4"/>
    <s v="Completed"/>
    <x v="0"/>
    <s v="Apple Pay"/>
  </r>
  <r>
    <n v="3698"/>
    <n v="9708"/>
    <x v="128"/>
    <n v="260.61"/>
    <s v="Completed"/>
    <x v="4"/>
    <s v="Debit Card"/>
  </r>
  <r>
    <n v="3699"/>
    <n v="2517"/>
    <x v="40"/>
    <n v="90.33"/>
    <s v="Completed"/>
    <x v="2"/>
    <s v="Credit Card"/>
  </r>
  <r>
    <n v="3700"/>
    <n v="964"/>
    <x v="315"/>
    <n v="2647.26"/>
    <s v="Completed"/>
    <x v="2"/>
    <s v="Credit Card"/>
  </r>
  <r>
    <n v="3701"/>
    <n v="46"/>
    <x v="31"/>
    <n v="823.93"/>
    <s v="Completed"/>
    <x v="4"/>
    <s v="Apple Pay"/>
  </r>
  <r>
    <n v="3702"/>
    <n v="5424"/>
    <x v="260"/>
    <n v="1071.23"/>
    <s v="Completed"/>
    <x v="1"/>
    <s v="Debit Card"/>
  </r>
  <r>
    <n v="3703"/>
    <n v="3357"/>
    <x v="87"/>
    <n v="471.55"/>
    <s v="Completed"/>
    <x v="2"/>
    <s v="Apple Pay"/>
  </r>
  <r>
    <n v="3704"/>
    <n v="7608"/>
    <x v="262"/>
    <n v="635.74"/>
    <s v="Completed"/>
    <x v="1"/>
    <s v="PayPal"/>
  </r>
  <r>
    <n v="3705"/>
    <n v="5448"/>
    <x v="357"/>
    <n v="971.04"/>
    <s v="Completed"/>
    <x v="1"/>
    <s v="Apple Pay"/>
  </r>
  <r>
    <n v="3706"/>
    <n v="115"/>
    <x v="292"/>
    <n v="2616.4499999999998"/>
    <s v="Completed"/>
    <x v="0"/>
    <s v="Credit Card"/>
  </r>
  <r>
    <n v="3707"/>
    <n v="3462"/>
    <x v="229"/>
    <n v="152.53"/>
    <s v="Completed"/>
    <x v="5"/>
    <s v="Apple Pay"/>
  </r>
  <r>
    <n v="3708"/>
    <n v="9178"/>
    <x v="90"/>
    <n v="3444.19"/>
    <s v="Completed"/>
    <x v="4"/>
    <s v="Debit Card"/>
  </r>
  <r>
    <n v="3709"/>
    <n v="5017"/>
    <x v="66"/>
    <n v="352.84"/>
    <s v="Completed"/>
    <x v="3"/>
    <s v="Credit Card"/>
  </r>
  <r>
    <n v="3710"/>
    <n v="9252"/>
    <x v="152"/>
    <n v="1551.37"/>
    <s v="Completed"/>
    <x v="2"/>
    <s v="Credit Card"/>
  </r>
  <r>
    <n v="3711"/>
    <n v="7324"/>
    <x v="52"/>
    <n v="1993.79"/>
    <s v="Completed"/>
    <x v="4"/>
    <s v="PayPal"/>
  </r>
  <r>
    <n v="3712"/>
    <n v="8479"/>
    <x v="248"/>
    <n v="2466.9299999999998"/>
    <s v="Completed"/>
    <x v="4"/>
    <s v="PayPal"/>
  </r>
  <r>
    <n v="3713"/>
    <n v="4449"/>
    <x v="35"/>
    <n v="2532.7399999999998"/>
    <s v="Completed"/>
    <x v="1"/>
    <s v="PayPal"/>
  </r>
  <r>
    <n v="3714"/>
    <n v="6710"/>
    <x v="103"/>
    <n v="2092.87"/>
    <s v="Completed"/>
    <x v="4"/>
    <s v="Credit Card"/>
  </r>
  <r>
    <n v="3715"/>
    <n v="5940"/>
    <x v="349"/>
    <n v="1033.01"/>
    <s v="Completed"/>
    <x v="0"/>
    <s v="Credit Card"/>
  </r>
  <r>
    <n v="3716"/>
    <n v="2698"/>
    <x v="99"/>
    <n v="1803.02"/>
    <s v="Completed"/>
    <x v="4"/>
    <s v="Credit Card"/>
  </r>
  <r>
    <n v="3717"/>
    <n v="4048"/>
    <x v="46"/>
    <n v="1285.58"/>
    <s v="Cancelled"/>
    <x v="3"/>
    <s v="Debit Card"/>
  </r>
  <r>
    <n v="3718"/>
    <n v="8270"/>
    <x v="83"/>
    <n v="432.51"/>
    <s v="Completed"/>
    <x v="2"/>
    <s v="Debit Card"/>
  </r>
  <r>
    <n v="3719"/>
    <n v="7732"/>
    <x v="277"/>
    <n v="724.71"/>
    <s v="Completed"/>
    <x v="2"/>
    <s v="PayPal"/>
  </r>
  <r>
    <n v="3720"/>
    <n v="3134"/>
    <x v="253"/>
    <n v="413.05"/>
    <s v="Completed"/>
    <x v="4"/>
    <s v="Debit Card"/>
  </r>
  <r>
    <n v="3721"/>
    <n v="4442"/>
    <x v="159"/>
    <n v="497.83"/>
    <s v="Completed"/>
    <x v="2"/>
    <s v="Apple Pay"/>
  </r>
  <r>
    <n v="3722"/>
    <n v="3904"/>
    <x v="315"/>
    <n v="2585.75"/>
    <s v="Completed"/>
    <x v="4"/>
    <s v="Credit Card"/>
  </r>
  <r>
    <n v="3723"/>
    <n v="3598"/>
    <x v="124"/>
    <n v="797.85"/>
    <s v="Completed"/>
    <x v="4"/>
    <s v="PayPal"/>
  </r>
  <r>
    <n v="3724"/>
    <n v="1291"/>
    <x v="268"/>
    <n v="181.83"/>
    <s v="Completed"/>
    <x v="2"/>
    <s v="Debit Card"/>
  </r>
  <r>
    <n v="3725"/>
    <n v="2636"/>
    <x v="288"/>
    <n v="210.74"/>
    <s v="Completed"/>
    <x v="0"/>
    <s v="Credit Card"/>
  </r>
  <r>
    <n v="3726"/>
    <n v="8242"/>
    <x v="20"/>
    <n v="7876.24"/>
    <s v="Completed"/>
    <x v="1"/>
    <s v="Debit Card"/>
  </r>
  <r>
    <n v="3727"/>
    <n v="7908"/>
    <x v="56"/>
    <n v="2010.33"/>
    <s v="Completed"/>
    <x v="3"/>
    <s v="Debit Card"/>
  </r>
  <r>
    <n v="3728"/>
    <n v="9055"/>
    <x v="185"/>
    <n v="443.8"/>
    <s v="Completed"/>
    <x v="1"/>
    <s v="Apple Pay"/>
  </r>
  <r>
    <n v="3729"/>
    <n v="2007"/>
    <x v="176"/>
    <n v="250.59"/>
    <s v="Completed"/>
    <x v="1"/>
    <s v="Debit Card"/>
  </r>
  <r>
    <n v="3730"/>
    <n v="9947"/>
    <x v="351"/>
    <n v="211.3"/>
    <s v="Completed"/>
    <x v="2"/>
    <s v="Apple Pay"/>
  </r>
  <r>
    <n v="3731"/>
    <n v="5725"/>
    <x v="131"/>
    <n v="1527.31"/>
    <s v="Completed"/>
    <x v="4"/>
    <s v="Debit Card"/>
  </r>
  <r>
    <n v="3732"/>
    <n v="9719"/>
    <x v="40"/>
    <n v="2702.91"/>
    <s v="Completed"/>
    <x v="5"/>
    <s v="PayPal"/>
  </r>
  <r>
    <n v="3733"/>
    <n v="5589"/>
    <x v="116"/>
    <n v="793.22"/>
    <s v="Completed"/>
    <x v="2"/>
    <s v="Debit Card"/>
  </r>
  <r>
    <n v="3734"/>
    <n v="1077"/>
    <x v="181"/>
    <n v="193.6"/>
    <s v="Completed"/>
    <x v="1"/>
    <s v="PayPal"/>
  </r>
  <r>
    <n v="3735"/>
    <n v="9936"/>
    <x v="196"/>
    <n v="1045.1199999999999"/>
    <s v="Completed"/>
    <x v="2"/>
    <s v="PayPal"/>
  </r>
  <r>
    <n v="3736"/>
    <n v="5976"/>
    <x v="35"/>
    <n v="2585.61"/>
    <s v="Completed"/>
    <x v="0"/>
    <s v="Apple Pay"/>
  </r>
  <r>
    <n v="3737"/>
    <n v="2145"/>
    <x v="129"/>
    <n v="1102.1099999999999"/>
    <s v="Completed"/>
    <x v="3"/>
    <s v="PayPal"/>
  </r>
  <r>
    <n v="3738"/>
    <n v="6458"/>
    <x v="116"/>
    <n v="870.15"/>
    <s v="Cancelled"/>
    <x v="4"/>
    <s v="Credit Card"/>
  </r>
  <r>
    <n v="3739"/>
    <n v="1385"/>
    <x v="360"/>
    <n v="5782.99"/>
    <s v="Completed"/>
    <x v="0"/>
    <s v="PayPal"/>
  </r>
  <r>
    <n v="3740"/>
    <n v="5172"/>
    <x v="28"/>
    <n v="150.49"/>
    <s v="Completed"/>
    <x v="0"/>
    <s v="PayPal"/>
  </r>
  <r>
    <n v="3741"/>
    <n v="7283"/>
    <x v="4"/>
    <n v="2532.5300000000002"/>
    <s v="Cancelled"/>
    <x v="1"/>
    <s v="Apple Pay"/>
  </r>
  <r>
    <n v="3742"/>
    <n v="9977"/>
    <x v="7"/>
    <n v="2683.19"/>
    <s v="Completed"/>
    <x v="3"/>
    <s v="Apple Pay"/>
  </r>
  <r>
    <n v="3743"/>
    <n v="8077"/>
    <x v="341"/>
    <n v="1397.03"/>
    <s v="Completed"/>
    <x v="0"/>
    <s v="Debit Card"/>
  </r>
  <r>
    <n v="3744"/>
    <n v="5673"/>
    <x v="361"/>
    <n v="256.52"/>
    <s v="Completed"/>
    <x v="3"/>
    <s v="Credit Card"/>
  </r>
  <r>
    <n v="3745"/>
    <n v="9251"/>
    <x v="89"/>
    <n v="1237.8599999999999"/>
    <s v="Completed"/>
    <x v="1"/>
    <s v="PayPal"/>
  </r>
  <r>
    <n v="3746"/>
    <n v="6344"/>
    <x v="134"/>
    <n v="1665.79"/>
    <s v="Completed"/>
    <x v="4"/>
    <s v="PayPal"/>
  </r>
  <r>
    <n v="3747"/>
    <n v="4081"/>
    <x v="244"/>
    <n v="400.57"/>
    <s v="Completed"/>
    <x v="1"/>
    <s v="Apple Pay"/>
  </r>
  <r>
    <n v="3748"/>
    <n v="498"/>
    <x v="364"/>
    <n v="3009.47"/>
    <s v="Completed"/>
    <x v="2"/>
    <s v="Apple Pay"/>
  </r>
  <r>
    <n v="3749"/>
    <n v="2928"/>
    <x v="348"/>
    <n v="1657.32"/>
    <s v="Completed"/>
    <x v="4"/>
    <s v="Apple Pay"/>
  </r>
  <r>
    <n v="3750"/>
    <n v="4249"/>
    <x v="81"/>
    <n v="1451.07"/>
    <s v="Completed"/>
    <x v="3"/>
    <s v="Debit Card"/>
  </r>
  <r>
    <n v="3751"/>
    <n v="7461"/>
    <x v="42"/>
    <n v="903.87"/>
    <s v="Completed"/>
    <x v="4"/>
    <s v="Debit Card"/>
  </r>
  <r>
    <n v="3752"/>
    <n v="8422"/>
    <x v="323"/>
    <n v="673.41"/>
    <s v="Completed"/>
    <x v="3"/>
    <s v="Apple Pay"/>
  </r>
  <r>
    <n v="3753"/>
    <n v="260"/>
    <x v="21"/>
    <n v="1816.72"/>
    <s v="Completed"/>
    <x v="0"/>
    <s v="PayPal"/>
  </r>
  <r>
    <n v="3754"/>
    <n v="9342"/>
    <x v="219"/>
    <n v="3478.58"/>
    <s v="Completed"/>
    <x v="4"/>
    <s v="Apple Pay"/>
  </r>
  <r>
    <n v="3755"/>
    <n v="4432"/>
    <x v="200"/>
    <n v="665.58"/>
    <s v="Cancelled"/>
    <x v="2"/>
    <s v="Credit Card"/>
  </r>
  <r>
    <n v="3756"/>
    <n v="4695"/>
    <x v="223"/>
    <n v="1041.67"/>
    <s v="Completed"/>
    <x v="3"/>
    <s v="Credit Card"/>
  </r>
  <r>
    <n v="3757"/>
    <n v="6477"/>
    <x v="186"/>
    <n v="531.9"/>
    <s v="Cancelled"/>
    <x v="2"/>
    <s v="Debit Card"/>
  </r>
  <r>
    <n v="3758"/>
    <n v="9534"/>
    <x v="313"/>
    <n v="2514.1799999999998"/>
    <s v="Completed"/>
    <x v="4"/>
    <s v="PayPal"/>
  </r>
  <r>
    <n v="3759"/>
    <n v="2504"/>
    <x v="12"/>
    <n v="1334.04"/>
    <s v="Completed"/>
    <x v="4"/>
    <s v="Debit Card"/>
  </r>
  <r>
    <n v="3760"/>
    <n v="3574"/>
    <x v="109"/>
    <n v="180.47"/>
    <s v="Completed"/>
    <x v="2"/>
    <s v="Debit Card"/>
  </r>
  <r>
    <n v="3761"/>
    <n v="6474"/>
    <x v="93"/>
    <n v="1615.99"/>
    <s v="Cancelled"/>
    <x v="0"/>
    <s v="PayPal"/>
  </r>
  <r>
    <n v="3762"/>
    <n v="8015"/>
    <x v="88"/>
    <n v="1218.47"/>
    <s v="Completed"/>
    <x v="2"/>
    <s v="PayPal"/>
  </r>
  <r>
    <n v="3763"/>
    <n v="2909"/>
    <x v="28"/>
    <n v="903.49"/>
    <s v="Completed"/>
    <x v="1"/>
    <s v="Apple Pay"/>
  </r>
  <r>
    <n v="3764"/>
    <n v="2393"/>
    <x v="169"/>
    <n v="2747.35"/>
    <s v="Completed"/>
    <x v="4"/>
    <s v="Credit Card"/>
  </r>
  <r>
    <n v="3765"/>
    <n v="2889"/>
    <x v="33"/>
    <n v="17782.2"/>
    <s v="Completed"/>
    <x v="1"/>
    <s v="Debit Card"/>
  </r>
  <r>
    <n v="3766"/>
    <n v="4300"/>
    <x v="280"/>
    <n v="3835.12"/>
    <s v="Completed"/>
    <x v="0"/>
    <s v="Credit Card"/>
  </r>
  <r>
    <n v="3767"/>
    <n v="5978"/>
    <x v="155"/>
    <n v="154.28"/>
    <s v="Completed"/>
    <x v="2"/>
    <s v="Credit Card"/>
  </r>
  <r>
    <n v="3768"/>
    <n v="8594"/>
    <x v="96"/>
    <n v="719.76"/>
    <s v="Completed"/>
    <x v="3"/>
    <s v="Apple Pay"/>
  </r>
  <r>
    <n v="3769"/>
    <n v="9281"/>
    <x v="50"/>
    <n v="239.38"/>
    <s v="Completed"/>
    <x v="2"/>
    <s v="Credit Card"/>
  </r>
  <r>
    <n v="3770"/>
    <n v="3686"/>
    <x v="101"/>
    <n v="3172.91"/>
    <s v="Completed"/>
    <x v="0"/>
    <s v="Apple Pay"/>
  </r>
  <r>
    <n v="3771"/>
    <n v="9395"/>
    <x v="220"/>
    <n v="183.34"/>
    <s v="Completed"/>
    <x v="3"/>
    <s v="PayPal"/>
  </r>
  <r>
    <n v="3772"/>
    <n v="1901"/>
    <x v="336"/>
    <n v="3816.72"/>
    <s v="Completed"/>
    <x v="4"/>
    <s v="Debit Card"/>
  </r>
  <r>
    <n v="3773"/>
    <n v="405"/>
    <x v="214"/>
    <n v="112.48"/>
    <s v="Completed"/>
    <x v="3"/>
    <s v="Debit Card"/>
  </r>
  <r>
    <n v="3774"/>
    <n v="8515"/>
    <x v="256"/>
    <n v="2601.08"/>
    <s v="Completed"/>
    <x v="3"/>
    <s v="PayPal"/>
  </r>
  <r>
    <n v="3775"/>
    <n v="6526"/>
    <x v="90"/>
    <n v="159.37"/>
    <s v="Completed"/>
    <x v="0"/>
    <s v="Debit Card"/>
  </r>
  <r>
    <n v="3776"/>
    <n v="720"/>
    <x v="157"/>
    <n v="1786.37"/>
    <s v="Completed"/>
    <x v="4"/>
    <s v="PayPal"/>
  </r>
  <r>
    <n v="3777"/>
    <n v="7784"/>
    <x v="186"/>
    <n v="1615.65"/>
    <s v="Completed"/>
    <x v="4"/>
    <s v="Apple Pay"/>
  </r>
  <r>
    <n v="3778"/>
    <n v="5945"/>
    <x v="149"/>
    <n v="976.73"/>
    <s v="Completed"/>
    <x v="1"/>
    <s v="Apple Pay"/>
  </r>
  <r>
    <n v="3779"/>
    <n v="1679"/>
    <x v="143"/>
    <n v="2105.5100000000002"/>
    <s v="Completed"/>
    <x v="1"/>
    <s v="Credit Card"/>
  </r>
  <r>
    <n v="3780"/>
    <n v="4832"/>
    <x v="39"/>
    <n v="5020.1000000000004"/>
    <s v="Completed"/>
    <x v="2"/>
    <s v="Credit Card"/>
  </r>
  <r>
    <n v="3781"/>
    <n v="3558"/>
    <x v="193"/>
    <n v="943.1"/>
    <s v="Completed"/>
    <x v="4"/>
    <s v="Credit Card"/>
  </r>
  <r>
    <n v="3782"/>
    <n v="3288"/>
    <x v="77"/>
    <n v="613.9"/>
    <s v="Completed"/>
    <x v="0"/>
    <s v="Debit Card"/>
  </r>
  <r>
    <n v="3783"/>
    <n v="4874"/>
    <x v="211"/>
    <n v="2853.08"/>
    <s v="Completed"/>
    <x v="2"/>
    <s v="Credit Card"/>
  </r>
  <r>
    <n v="3784"/>
    <n v="4176"/>
    <x v="275"/>
    <n v="337.6"/>
    <s v="Completed"/>
    <x v="4"/>
    <s v="Apple Pay"/>
  </r>
  <r>
    <n v="3785"/>
    <n v="5969"/>
    <x v="48"/>
    <n v="2191.2399999999998"/>
    <s v="Completed"/>
    <x v="3"/>
    <s v="PayPal"/>
  </r>
  <r>
    <n v="3786"/>
    <n v="1519"/>
    <x v="161"/>
    <n v="280.61"/>
    <s v="Completed"/>
    <x v="1"/>
    <s v="Credit Card"/>
  </r>
  <r>
    <n v="3787"/>
    <n v="8683"/>
    <x v="338"/>
    <n v="1951.76"/>
    <s v="Completed"/>
    <x v="2"/>
    <s v="PayPal"/>
  </r>
  <r>
    <n v="3788"/>
    <n v="7094"/>
    <x v="185"/>
    <n v="278.33"/>
    <s v="Completed"/>
    <x v="1"/>
    <s v="Debit Card"/>
  </r>
  <r>
    <n v="3789"/>
    <n v="8998"/>
    <x v="100"/>
    <n v="196.53"/>
    <s v="Completed"/>
    <x v="3"/>
    <s v="Credit Card"/>
  </r>
  <r>
    <n v="3790"/>
    <n v="8015"/>
    <x v="166"/>
    <n v="4314.01"/>
    <s v="Completed"/>
    <x v="2"/>
    <s v="Credit Card"/>
  </r>
  <r>
    <n v="3791"/>
    <n v="1179"/>
    <x v="171"/>
    <n v="282.13"/>
    <s v="Completed"/>
    <x v="0"/>
    <s v="Credit Card"/>
  </r>
  <r>
    <n v="3792"/>
    <n v="7286"/>
    <x v="128"/>
    <n v="169.04"/>
    <s v="Completed"/>
    <x v="4"/>
    <s v="PayPal"/>
  </r>
  <r>
    <n v="3793"/>
    <n v="6238"/>
    <x v="82"/>
    <n v="3255.8"/>
    <s v="Completed"/>
    <x v="1"/>
    <s v="Credit Card"/>
  </r>
  <r>
    <n v="3794"/>
    <n v="561"/>
    <x v="18"/>
    <n v="1071.23"/>
    <s v="Completed"/>
    <x v="1"/>
    <s v="Debit Card"/>
  </r>
  <r>
    <n v="3795"/>
    <n v="4461"/>
    <x v="260"/>
    <n v="798.94"/>
    <s v="Completed"/>
    <x v="3"/>
    <s v="PayPal"/>
  </r>
  <r>
    <n v="3796"/>
    <n v="8121"/>
    <x v="23"/>
    <n v="6565.09"/>
    <s v="Completed"/>
    <x v="4"/>
    <s v="Credit Card"/>
  </r>
  <r>
    <n v="3797"/>
    <n v="3397"/>
    <x v="90"/>
    <n v="2629.75"/>
    <s v="Completed"/>
    <x v="0"/>
    <s v="Apple Pay"/>
  </r>
  <r>
    <n v="3798"/>
    <n v="7847"/>
    <x v="96"/>
    <n v="6981.66"/>
    <s v="Completed"/>
    <x v="0"/>
    <s v="PayPal"/>
  </r>
  <r>
    <n v="3799"/>
    <n v="663"/>
    <x v="1"/>
    <n v="2994.06"/>
    <s v="Completed"/>
    <x v="1"/>
    <s v="Debit Card"/>
  </r>
  <r>
    <n v="3800"/>
    <n v="8895"/>
    <x v="162"/>
    <n v="1008.16"/>
    <s v="Completed"/>
    <x v="0"/>
    <s v="PayPal"/>
  </r>
  <r>
    <n v="3801"/>
    <n v="8520"/>
    <x v="39"/>
    <n v="875.31"/>
    <s v="Completed"/>
    <x v="4"/>
    <s v="Credit Card"/>
  </r>
  <r>
    <n v="3802"/>
    <n v="921"/>
    <x v="94"/>
    <n v="562.98"/>
    <s v="Completed"/>
    <x v="0"/>
    <s v="Credit Card"/>
  </r>
  <r>
    <n v="3803"/>
    <n v="1752"/>
    <x v="297"/>
    <n v="164.76"/>
    <s v="Completed"/>
    <x v="4"/>
    <s v="Debit Card"/>
  </r>
  <r>
    <n v="3804"/>
    <n v="5273"/>
    <x v="99"/>
    <n v="1227.5"/>
    <s v="Completed"/>
    <x v="2"/>
    <s v="Credit Card"/>
  </r>
  <r>
    <n v="3805"/>
    <n v="4111"/>
    <x v="179"/>
    <n v="1894.08"/>
    <s v="Completed"/>
    <x v="3"/>
    <s v="Debit Card"/>
  </r>
  <r>
    <n v="3806"/>
    <n v="8503"/>
    <x v="242"/>
    <n v="1095.6199999999999"/>
    <s v="Completed"/>
    <x v="4"/>
    <s v="Credit Card"/>
  </r>
  <r>
    <n v="3807"/>
    <n v="7401"/>
    <x v="162"/>
    <n v="2381.79"/>
    <s v="Completed"/>
    <x v="3"/>
    <s v="Apple Pay"/>
  </r>
  <r>
    <n v="3808"/>
    <n v="1259"/>
    <x v="47"/>
    <n v="1153.07"/>
    <s v="Completed"/>
    <x v="3"/>
    <s v="Credit Card"/>
  </r>
  <r>
    <n v="3809"/>
    <n v="5369"/>
    <x v="189"/>
    <n v="2412.81"/>
    <s v="Completed"/>
    <x v="4"/>
    <s v="PayPal"/>
  </r>
  <r>
    <n v="3810"/>
    <n v="461"/>
    <x v="54"/>
    <n v="477.9"/>
    <s v="Completed"/>
    <x v="1"/>
    <s v="Apple Pay"/>
  </r>
  <r>
    <n v="3811"/>
    <n v="5804"/>
    <x v="216"/>
    <n v="885.8"/>
    <s v="Completed"/>
    <x v="0"/>
    <s v="Debit Card"/>
  </r>
  <r>
    <n v="3812"/>
    <n v="4125"/>
    <x v="7"/>
    <n v="125.84"/>
    <s v="Completed"/>
    <x v="4"/>
    <s v="Debit Card"/>
  </r>
  <r>
    <n v="3813"/>
    <n v="9989"/>
    <x v="301"/>
    <n v="980.16"/>
    <s v="Completed"/>
    <x v="2"/>
    <s v="Apple Pay"/>
  </r>
  <r>
    <n v="3814"/>
    <n v="2306"/>
    <x v="201"/>
    <n v="8922.5300000000007"/>
    <s v="Completed"/>
    <x v="2"/>
    <s v="Debit Card"/>
  </r>
  <r>
    <n v="3815"/>
    <n v="5754"/>
    <x v="265"/>
    <n v="1295.93"/>
    <s v="Completed"/>
    <x v="4"/>
    <s v="PayPal"/>
  </r>
  <r>
    <n v="3816"/>
    <n v="2770"/>
    <x v="148"/>
    <n v="3107.66"/>
    <s v="Completed"/>
    <x v="3"/>
    <s v="Credit Card"/>
  </r>
  <r>
    <n v="3817"/>
    <n v="3460"/>
    <x v="103"/>
    <n v="759.69"/>
    <s v="Completed"/>
    <x v="1"/>
    <s v="Apple Pay"/>
  </r>
  <r>
    <n v="3818"/>
    <n v="4031"/>
    <x v="260"/>
    <n v="1442.93"/>
    <s v="Completed"/>
    <x v="4"/>
    <s v="Debit Card"/>
  </r>
  <r>
    <n v="3819"/>
    <n v="7899"/>
    <x v="115"/>
    <n v="1345.88"/>
    <s v="Completed"/>
    <x v="0"/>
    <s v="PayPal"/>
  </r>
  <r>
    <n v="3820"/>
    <n v="1031"/>
    <x v="272"/>
    <n v="579.6"/>
    <s v="Completed"/>
    <x v="4"/>
    <s v="PayPal"/>
  </r>
  <r>
    <n v="3821"/>
    <n v="6085"/>
    <x v="339"/>
    <n v="364.43"/>
    <s v="Completed"/>
    <x v="2"/>
    <s v="Debit Card"/>
  </r>
  <r>
    <n v="3822"/>
    <n v="4623"/>
    <x v="247"/>
    <n v="336.84"/>
    <s v="Completed"/>
    <x v="3"/>
    <s v="Debit Card"/>
  </r>
  <r>
    <n v="3823"/>
    <n v="9365"/>
    <x v="227"/>
    <n v="276.75"/>
    <s v="Completed"/>
    <x v="1"/>
    <s v="Apple Pay"/>
  </r>
  <r>
    <n v="3824"/>
    <n v="3575"/>
    <x v="250"/>
    <n v="899.11"/>
    <s v="Completed"/>
    <x v="0"/>
    <s v="Credit Card"/>
  </r>
  <r>
    <n v="3825"/>
    <n v="3754"/>
    <x v="68"/>
    <n v="2129.3000000000002"/>
    <s v="Completed"/>
    <x v="4"/>
    <s v="PayPal"/>
  </r>
  <r>
    <n v="3826"/>
    <n v="9174"/>
    <x v="25"/>
    <n v="1399.52"/>
    <s v="Completed"/>
    <x v="4"/>
    <s v="PayPal"/>
  </r>
  <r>
    <n v="3827"/>
    <n v="628"/>
    <x v="105"/>
    <n v="929.72"/>
    <s v="Completed"/>
    <x v="3"/>
    <s v="Debit Card"/>
  </r>
  <r>
    <n v="3828"/>
    <n v="594"/>
    <x v="202"/>
    <n v="1093.6600000000001"/>
    <s v="Completed"/>
    <x v="4"/>
    <s v="Apple Pay"/>
  </r>
  <r>
    <n v="3829"/>
    <n v="2132"/>
    <x v="298"/>
    <n v="1277.05"/>
    <s v="Completed"/>
    <x v="3"/>
    <s v="Debit Card"/>
  </r>
  <r>
    <n v="3830"/>
    <n v="6650"/>
    <x v="265"/>
    <n v="2354.0700000000002"/>
    <s v="Completed"/>
    <x v="1"/>
    <s v="PayPal"/>
  </r>
  <r>
    <n v="3831"/>
    <n v="1674"/>
    <x v="348"/>
    <n v="1035.7"/>
    <s v="Completed"/>
    <x v="4"/>
    <s v="Credit Card"/>
  </r>
  <r>
    <n v="3832"/>
    <n v="3407"/>
    <x v="191"/>
    <n v="448.66"/>
    <s v="Completed"/>
    <x v="0"/>
    <s v="Apple Pay"/>
  </r>
  <r>
    <n v="3833"/>
    <n v="8165"/>
    <x v="224"/>
    <n v="1727.94"/>
    <s v="Returned"/>
    <x v="0"/>
    <s v="Credit Card"/>
  </r>
  <r>
    <n v="3834"/>
    <n v="3163"/>
    <x v="76"/>
    <n v="1629.76"/>
    <s v="Completed"/>
    <x v="3"/>
    <s v="Debit Card"/>
  </r>
  <r>
    <n v="3835"/>
    <n v="5846"/>
    <x v="4"/>
    <n v="1141.8399999999999"/>
    <s v="Returned"/>
    <x v="0"/>
    <s v="Apple Pay"/>
  </r>
  <r>
    <n v="3836"/>
    <n v="9140"/>
    <x v="34"/>
    <n v="449.81"/>
    <s v="Completed"/>
    <x v="3"/>
    <s v="Credit Card"/>
  </r>
  <r>
    <n v="3837"/>
    <n v="8385"/>
    <x v="172"/>
    <n v="476.7"/>
    <s v="Completed"/>
    <x v="2"/>
    <s v="Apple Pay"/>
  </r>
  <r>
    <n v="3838"/>
    <n v="595"/>
    <x v="250"/>
    <n v="1162.48"/>
    <s v="Cancelled"/>
    <x v="2"/>
    <s v="Credit Card"/>
  </r>
  <r>
    <n v="3839"/>
    <n v="645"/>
    <x v="151"/>
    <n v="821.36"/>
    <s v="Completed"/>
    <x v="3"/>
    <s v="Apple Pay"/>
  </r>
  <r>
    <n v="3840"/>
    <n v="7172"/>
    <x v="90"/>
    <n v="1217.9100000000001"/>
    <s v="Completed"/>
    <x v="2"/>
    <s v="PayPal"/>
  </r>
  <r>
    <n v="3841"/>
    <n v="169"/>
    <x v="155"/>
    <n v="2807"/>
    <s v="Completed"/>
    <x v="3"/>
    <s v="Debit Card"/>
  </r>
  <r>
    <n v="3842"/>
    <n v="2469"/>
    <x v="102"/>
    <n v="1335.35"/>
    <s v="Completed"/>
    <x v="0"/>
    <s v="PayPal"/>
  </r>
  <r>
    <n v="3843"/>
    <n v="361"/>
    <x v="49"/>
    <n v="580"/>
    <s v="Completed"/>
    <x v="2"/>
    <s v="Credit Card"/>
  </r>
  <r>
    <n v="3844"/>
    <n v="6320"/>
    <x v="83"/>
    <n v="1126.3800000000001"/>
    <s v="Completed"/>
    <x v="4"/>
    <s v="PayPal"/>
  </r>
  <r>
    <n v="3845"/>
    <n v="308"/>
    <x v="265"/>
    <n v="193.6"/>
    <s v="Completed"/>
    <x v="4"/>
    <s v="Debit Card"/>
  </r>
  <r>
    <n v="3846"/>
    <n v="4002"/>
    <x v="309"/>
    <n v="744.5"/>
    <s v="Completed"/>
    <x v="3"/>
    <s v="Apple Pay"/>
  </r>
  <r>
    <n v="3847"/>
    <n v="2993"/>
    <x v="39"/>
    <n v="1377.1"/>
    <s v="Completed"/>
    <x v="3"/>
    <s v="Credit Card"/>
  </r>
  <r>
    <n v="3848"/>
    <n v="232"/>
    <x v="90"/>
    <n v="1064.28"/>
    <s v="Completed"/>
    <x v="1"/>
    <s v="PayPal"/>
  </r>
  <r>
    <n v="3849"/>
    <n v="6725"/>
    <x v="6"/>
    <n v="1379.81"/>
    <s v="Completed"/>
    <x v="3"/>
    <s v="Credit Card"/>
  </r>
  <r>
    <n v="3850"/>
    <n v="3157"/>
    <x v="202"/>
    <n v="898.73"/>
    <s v="Completed"/>
    <x v="3"/>
    <s v="PayPal"/>
  </r>
  <r>
    <n v="3851"/>
    <n v="9911"/>
    <x v="68"/>
    <n v="1227.5"/>
    <s v="Returned"/>
    <x v="3"/>
    <s v="Credit Card"/>
  </r>
  <r>
    <n v="3852"/>
    <n v="4246"/>
    <x v="10"/>
    <n v="815.03"/>
    <s v="Completed"/>
    <x v="2"/>
    <s v="Credit Card"/>
  </r>
  <r>
    <n v="3853"/>
    <n v="202"/>
    <x v="41"/>
    <n v="30.63"/>
    <s v="Completed"/>
    <x v="3"/>
    <s v="Credit Card"/>
  </r>
  <r>
    <n v="3854"/>
    <n v="9738"/>
    <x v="223"/>
    <n v="698.11"/>
    <s v="Completed"/>
    <x v="3"/>
    <s v="Debit Card"/>
  </r>
  <r>
    <n v="3855"/>
    <n v="7066"/>
    <x v="57"/>
    <n v="447.91"/>
    <s v="Completed"/>
    <x v="0"/>
    <s v="Apple Pay"/>
  </r>
  <r>
    <n v="3856"/>
    <n v="9444"/>
    <x v="84"/>
    <n v="859.02"/>
    <s v="Completed"/>
    <x v="0"/>
    <s v="PayPal"/>
  </r>
  <r>
    <n v="3857"/>
    <n v="4684"/>
    <x v="45"/>
    <n v="1376.25"/>
    <s v="Completed"/>
    <x v="1"/>
    <s v="Apple Pay"/>
  </r>
  <r>
    <n v="3858"/>
    <n v="4099"/>
    <x v="106"/>
    <n v="130.96"/>
    <s v="Completed"/>
    <x v="1"/>
    <s v="Credit Card"/>
  </r>
  <r>
    <n v="3859"/>
    <n v="5729"/>
    <x v="9"/>
    <n v="915.42"/>
    <s v="Completed"/>
    <x v="4"/>
    <s v="PayPal"/>
  </r>
  <r>
    <n v="3860"/>
    <n v="4924"/>
    <x v="329"/>
    <n v="1380.11"/>
    <s v="Completed"/>
    <x v="1"/>
    <s v="Debit Card"/>
  </r>
  <r>
    <n v="3861"/>
    <n v="9493"/>
    <x v="211"/>
    <n v="1991.18"/>
    <s v="Completed"/>
    <x v="3"/>
    <s v="PayPal"/>
  </r>
  <r>
    <n v="3862"/>
    <n v="6083"/>
    <x v="167"/>
    <n v="1214.71"/>
    <s v="Completed"/>
    <x v="4"/>
    <s v="Apple Pay"/>
  </r>
  <r>
    <n v="3863"/>
    <n v="7647"/>
    <x v="165"/>
    <n v="1262.3599999999999"/>
    <s v="Completed"/>
    <x v="3"/>
    <s v="PayPal"/>
  </r>
  <r>
    <n v="3864"/>
    <n v="4538"/>
    <x v="110"/>
    <n v="2802.09"/>
    <s v="Completed"/>
    <x v="2"/>
    <s v="Credit Card"/>
  </r>
  <r>
    <n v="3865"/>
    <n v="2431"/>
    <x v="40"/>
    <n v="1645.01"/>
    <s v="Completed"/>
    <x v="2"/>
    <s v="Debit Card"/>
  </r>
  <r>
    <n v="3866"/>
    <n v="303"/>
    <x v="7"/>
    <n v="6149.05"/>
    <s v="Completed"/>
    <x v="0"/>
    <s v="Debit Card"/>
  </r>
  <r>
    <n v="3867"/>
    <n v="8963"/>
    <x v="113"/>
    <n v="1349.51"/>
    <s v="Completed"/>
    <x v="4"/>
    <s v="Apple Pay"/>
  </r>
  <r>
    <n v="3868"/>
    <n v="8428"/>
    <x v="86"/>
    <n v="256.17"/>
    <s v="Completed"/>
    <x v="4"/>
    <s v="Debit Card"/>
  </r>
  <r>
    <n v="3869"/>
    <n v="4928"/>
    <x v="326"/>
    <n v="1266.08"/>
    <s v="Completed"/>
    <x v="4"/>
    <s v="Debit Card"/>
  </r>
  <r>
    <n v="3870"/>
    <n v="4040"/>
    <x v="194"/>
    <n v="884.92"/>
    <s v="Completed"/>
    <x v="1"/>
    <s v="Apple Pay"/>
  </r>
  <r>
    <n v="3871"/>
    <n v="8954"/>
    <x v="200"/>
    <n v="256"/>
    <s v="Completed"/>
    <x v="2"/>
    <s v="Credit Card"/>
  </r>
  <r>
    <n v="3872"/>
    <n v="4923"/>
    <x v="149"/>
    <n v="3323.17"/>
    <s v="Completed"/>
    <x v="1"/>
    <s v="PayPal"/>
  </r>
  <r>
    <n v="3873"/>
    <n v="4014"/>
    <x v="105"/>
    <n v="435.69"/>
    <s v="Completed"/>
    <x v="3"/>
    <s v="Apple Pay"/>
  </r>
  <r>
    <n v="3874"/>
    <n v="3820"/>
    <x v="124"/>
    <n v="3985.34"/>
    <s v="Completed"/>
    <x v="0"/>
    <s v="Credit Card"/>
  </r>
  <r>
    <n v="3875"/>
    <n v="9335"/>
    <x v="103"/>
    <n v="751.38"/>
    <s v="Completed"/>
    <x v="4"/>
    <s v="Apple Pay"/>
  </r>
  <r>
    <n v="3876"/>
    <n v="9262"/>
    <x v="180"/>
    <n v="1581.27"/>
    <s v="Completed"/>
    <x v="0"/>
    <s v="Debit Card"/>
  </r>
  <r>
    <n v="3877"/>
    <n v="7968"/>
    <x v="299"/>
    <n v="890.5"/>
    <s v="Completed"/>
    <x v="2"/>
    <s v="Credit Card"/>
  </r>
  <r>
    <n v="3878"/>
    <n v="4536"/>
    <x v="246"/>
    <n v="4404.05"/>
    <s v="Completed"/>
    <x v="2"/>
    <s v="Apple Pay"/>
  </r>
  <r>
    <n v="3879"/>
    <n v="9748"/>
    <x v="180"/>
    <n v="422.6"/>
    <s v="Completed"/>
    <x v="3"/>
    <s v="Debit Card"/>
  </r>
  <r>
    <n v="3880"/>
    <n v="7699"/>
    <x v="353"/>
    <n v="376.78"/>
    <s v="Completed"/>
    <x v="0"/>
    <s v="Apple Pay"/>
  </r>
  <r>
    <n v="3881"/>
    <n v="9111"/>
    <x v="84"/>
    <n v="1674.72"/>
    <s v="Completed"/>
    <x v="3"/>
    <s v="Debit Card"/>
  </r>
  <r>
    <n v="3882"/>
    <n v="9012"/>
    <x v="173"/>
    <n v="250.59"/>
    <s v="Completed"/>
    <x v="1"/>
    <s v="Apple Pay"/>
  </r>
  <r>
    <n v="3883"/>
    <n v="2854"/>
    <x v="21"/>
    <n v="143.03"/>
    <s v="Completed"/>
    <x v="2"/>
    <s v="PayPal"/>
  </r>
  <r>
    <n v="3884"/>
    <n v="6215"/>
    <x v="203"/>
    <n v="1001.6"/>
    <s v="Completed"/>
    <x v="4"/>
    <s v="PayPal"/>
  </r>
  <r>
    <n v="3885"/>
    <n v="1882"/>
    <x v="135"/>
    <n v="2662.77"/>
    <s v="Completed"/>
    <x v="2"/>
    <s v="Credit Card"/>
  </r>
  <r>
    <n v="3886"/>
    <n v="1941"/>
    <x v="98"/>
    <n v="660.33"/>
    <s v="Completed"/>
    <x v="2"/>
    <s v="Debit Card"/>
  </r>
  <r>
    <n v="3887"/>
    <n v="3619"/>
    <x v="288"/>
    <n v="1954.21"/>
    <s v="Completed"/>
    <x v="4"/>
    <s v="PayPal"/>
  </r>
  <r>
    <n v="3888"/>
    <n v="1312"/>
    <x v="193"/>
    <n v="422.6"/>
    <s v="Completed"/>
    <x v="1"/>
    <s v="Apple Pay"/>
  </r>
  <r>
    <n v="3889"/>
    <n v="606"/>
    <x v="206"/>
    <n v="8913.69"/>
    <s v="Completed"/>
    <x v="3"/>
    <s v="PayPal"/>
  </r>
  <r>
    <n v="3890"/>
    <n v="7108"/>
    <x v="259"/>
    <n v="207.19"/>
    <s v="Completed"/>
    <x v="3"/>
    <s v="Apple Pay"/>
  </r>
  <r>
    <n v="3891"/>
    <n v="7784"/>
    <x v="155"/>
    <n v="2224.5300000000002"/>
    <s v="Completed"/>
    <x v="4"/>
    <s v="Credit Card"/>
  </r>
  <r>
    <n v="3892"/>
    <n v="778"/>
    <x v="97"/>
    <n v="493.21"/>
    <s v="Completed"/>
    <x v="1"/>
    <s v="Apple Pay"/>
  </r>
  <r>
    <n v="3893"/>
    <n v="8015"/>
    <x v="161"/>
    <n v="2793.22"/>
    <s v="Completed"/>
    <x v="2"/>
    <s v="PayPal"/>
  </r>
  <r>
    <n v="3894"/>
    <n v="5802"/>
    <x v="301"/>
    <n v="550.02"/>
    <s v="Completed"/>
    <x v="4"/>
    <s v="Debit Card"/>
  </r>
  <r>
    <n v="3895"/>
    <n v="9713"/>
    <x v="338"/>
    <n v="751.38"/>
    <s v="Completed"/>
    <x v="0"/>
    <s v="PayPal"/>
  </r>
  <r>
    <n v="3896"/>
    <n v="1320"/>
    <x v="7"/>
    <n v="496.71"/>
    <s v="Completed"/>
    <x v="2"/>
    <s v="Apple Pay"/>
  </r>
  <r>
    <n v="3897"/>
    <n v="7001"/>
    <x v="65"/>
    <n v="1993.79"/>
    <s v="Completed"/>
    <x v="2"/>
    <s v="Credit Card"/>
  </r>
  <r>
    <n v="3898"/>
    <n v="4713"/>
    <x v="54"/>
    <n v="346.41"/>
    <s v="Completed"/>
    <x v="4"/>
    <s v="Apple Pay"/>
  </r>
  <r>
    <n v="3899"/>
    <n v="1913"/>
    <x v="139"/>
    <n v="714.26"/>
    <s v="Completed"/>
    <x v="0"/>
    <s v="Credit Card"/>
  </r>
  <r>
    <n v="3900"/>
    <n v="2545"/>
    <x v="91"/>
    <n v="324.77"/>
    <s v="Completed"/>
    <x v="4"/>
    <s v="PayPal"/>
  </r>
  <r>
    <n v="3901"/>
    <n v="1650"/>
    <x v="210"/>
    <n v="748.01"/>
    <s v="Completed"/>
    <x v="3"/>
    <s v="Debit Card"/>
  </r>
  <r>
    <n v="3902"/>
    <n v="5927"/>
    <x v="227"/>
    <n v="2179.41"/>
    <s v="Returned"/>
    <x v="0"/>
    <s v="Apple Pay"/>
  </r>
  <r>
    <n v="3903"/>
    <n v="8828"/>
    <x v="115"/>
    <n v="2731.92"/>
    <s v="Completed"/>
    <x v="0"/>
    <s v="PayPal"/>
  </r>
  <r>
    <n v="3904"/>
    <n v="4684"/>
    <x v="108"/>
    <n v="139.51"/>
    <s v="Cancelled"/>
    <x v="1"/>
    <s v="Debit Card"/>
  </r>
  <r>
    <n v="3905"/>
    <n v="344"/>
    <x v="113"/>
    <n v="4795.8"/>
    <s v="Completed"/>
    <x v="2"/>
    <s v="PayPal"/>
  </r>
  <r>
    <n v="3906"/>
    <n v="1485"/>
    <x v="109"/>
    <n v="426.73"/>
    <s v="Completed"/>
    <x v="0"/>
    <s v="Debit Card"/>
  </r>
  <r>
    <n v="3907"/>
    <n v="2510"/>
    <x v="97"/>
    <n v="2947.25"/>
    <s v="Completed"/>
    <x v="2"/>
    <s v="Credit Card"/>
  </r>
  <r>
    <n v="3908"/>
    <n v="1595"/>
    <x v="223"/>
    <n v="1354.25"/>
    <s v="Completed"/>
    <x v="1"/>
    <s v="Credit Card"/>
  </r>
  <r>
    <n v="3909"/>
    <n v="5905"/>
    <x v="265"/>
    <n v="265.95"/>
    <s v="Completed"/>
    <x v="0"/>
    <s v="Debit Card"/>
  </r>
  <r>
    <n v="3910"/>
    <n v="5374"/>
    <x v="152"/>
    <n v="30.63"/>
    <s v="Completed"/>
    <x v="2"/>
    <s v="Debit Card"/>
  </r>
  <r>
    <n v="3911"/>
    <n v="9192"/>
    <x v="331"/>
    <n v="4813.63"/>
    <s v="Completed"/>
    <x v="4"/>
    <s v="Debit Card"/>
  </r>
  <r>
    <n v="3912"/>
    <n v="8966"/>
    <x v="286"/>
    <n v="2231.7600000000002"/>
    <s v="Completed"/>
    <x v="2"/>
    <s v="Credit Card"/>
  </r>
  <r>
    <n v="3913"/>
    <n v="5703"/>
    <x v="48"/>
    <n v="201.88"/>
    <s v="Completed"/>
    <x v="2"/>
    <s v="Debit Card"/>
  </r>
  <r>
    <n v="3914"/>
    <n v="6710"/>
    <x v="285"/>
    <n v="339.07"/>
    <s v="Completed"/>
    <x v="4"/>
    <s v="Debit Card"/>
  </r>
  <r>
    <n v="3915"/>
    <n v="1225"/>
    <x v="279"/>
    <n v="401.9"/>
    <s v="Cancelled"/>
    <x v="3"/>
    <s v="Credit Card"/>
  </r>
  <r>
    <n v="3916"/>
    <n v="5934"/>
    <x v="315"/>
    <n v="861.98"/>
    <s v="Completed"/>
    <x v="0"/>
    <s v="Apple Pay"/>
  </r>
  <r>
    <n v="3917"/>
    <n v="9584"/>
    <x v="250"/>
    <n v="3126.77"/>
    <s v="Completed"/>
    <x v="2"/>
    <s v="Credit Card"/>
  </r>
  <r>
    <n v="3918"/>
    <n v="8876"/>
    <x v="265"/>
    <n v="361.74"/>
    <s v="Completed"/>
    <x v="2"/>
    <s v="PayPal"/>
  </r>
  <r>
    <n v="3919"/>
    <n v="1899"/>
    <x v="322"/>
    <n v="638.1"/>
    <s v="Completed"/>
    <x v="1"/>
    <s v="Apple Pay"/>
  </r>
  <r>
    <n v="3920"/>
    <n v="6456"/>
    <x v="147"/>
    <n v="201.88"/>
    <s v="Completed"/>
    <x v="4"/>
    <s v="PayPal"/>
  </r>
  <r>
    <n v="3921"/>
    <n v="9349"/>
    <x v="312"/>
    <n v="935.74"/>
    <s v="Completed"/>
    <x v="3"/>
    <s v="Apple Pay"/>
  </r>
  <r>
    <n v="3922"/>
    <n v="7468"/>
    <x v="21"/>
    <n v="2271.86"/>
    <s v="Completed"/>
    <x v="3"/>
    <s v="Credit Card"/>
  </r>
  <r>
    <n v="3923"/>
    <n v="3288"/>
    <x v="103"/>
    <n v="918.24"/>
    <s v="Completed"/>
    <x v="0"/>
    <s v="Credit Card"/>
  </r>
  <r>
    <n v="3924"/>
    <n v="7847"/>
    <x v="197"/>
    <n v="1100.1099999999999"/>
    <s v="Completed"/>
    <x v="0"/>
    <s v="PayPal"/>
  </r>
  <r>
    <n v="3925"/>
    <n v="6238"/>
    <x v="248"/>
    <n v="2167.5"/>
    <s v="Completed"/>
    <x v="5"/>
    <s v="Credit Card"/>
  </r>
  <r>
    <n v="3926"/>
    <n v="2533"/>
    <x v="139"/>
    <n v="2047.63"/>
    <s v="Completed"/>
    <x v="0"/>
    <s v="Credit Card"/>
  </r>
  <r>
    <n v="3927"/>
    <n v="4953"/>
    <x v="87"/>
    <n v="1883.4"/>
    <s v="Completed"/>
    <x v="0"/>
    <s v="Apple Pay"/>
  </r>
  <r>
    <n v="3928"/>
    <n v="3325"/>
    <x v="166"/>
    <n v="1860.2"/>
    <s v="Completed"/>
    <x v="1"/>
    <s v="PayPal"/>
  </r>
  <r>
    <n v="3929"/>
    <n v="5158"/>
    <x v="15"/>
    <n v="496.71"/>
    <s v="Completed"/>
    <x v="3"/>
    <s v="PayPal"/>
  </r>
  <r>
    <n v="3930"/>
    <n v="906"/>
    <x v="360"/>
    <n v="479.1"/>
    <s v="Completed"/>
    <x v="2"/>
    <s v="Debit Card"/>
  </r>
  <r>
    <n v="3931"/>
    <n v="9804"/>
    <x v="221"/>
    <n v="268.33999999999997"/>
    <s v="Completed"/>
    <x v="1"/>
    <s v="PayPal"/>
  </r>
  <r>
    <n v="3932"/>
    <n v="4837"/>
    <x v="176"/>
    <n v="954.65"/>
    <s v="Completed"/>
    <x v="3"/>
    <s v="PayPal"/>
  </r>
  <r>
    <n v="3933"/>
    <n v="9239"/>
    <x v="132"/>
    <n v="1269.42"/>
    <s v="Completed"/>
    <x v="4"/>
    <s v="PayPal"/>
  </r>
  <r>
    <n v="3934"/>
    <n v="3720"/>
    <x v="360"/>
    <n v="531.64"/>
    <s v="Completed"/>
    <x v="0"/>
    <s v="Credit Card"/>
  </r>
  <r>
    <n v="3935"/>
    <n v="2458"/>
    <x v="129"/>
    <n v="2802.01"/>
    <s v="Completed"/>
    <x v="4"/>
    <s v="Debit Card"/>
  </r>
  <r>
    <n v="3936"/>
    <n v="8815"/>
    <x v="166"/>
    <n v="1598.05"/>
    <s v="Completed"/>
    <x v="2"/>
    <s v="Apple Pay"/>
  </r>
  <r>
    <n v="3937"/>
    <n v="7179"/>
    <x v="65"/>
    <n v="276.75"/>
    <s v="Completed"/>
    <x v="1"/>
    <s v="Credit Card"/>
  </r>
  <r>
    <n v="3938"/>
    <n v="2932"/>
    <x v="59"/>
    <n v="787.06"/>
    <s v="Completed"/>
    <x v="3"/>
    <s v="Credit Card"/>
  </r>
  <r>
    <n v="3939"/>
    <n v="2247"/>
    <x v="69"/>
    <n v="3425.86"/>
    <s v="Completed"/>
    <x v="3"/>
    <s v="Apple Pay"/>
  </r>
  <r>
    <n v="3940"/>
    <n v="8543"/>
    <x v="33"/>
    <n v="1553.57"/>
    <s v="Completed"/>
    <x v="3"/>
    <s v="PayPal"/>
  </r>
  <r>
    <n v="3941"/>
    <n v="1597"/>
    <x v="58"/>
    <n v="2017.41"/>
    <s v="Completed"/>
    <x v="2"/>
    <s v="Credit Card"/>
  </r>
  <r>
    <n v="3942"/>
    <n v="3703"/>
    <x v="83"/>
    <n v="5745.62"/>
    <s v="Completed"/>
    <x v="2"/>
    <s v="PayPal"/>
  </r>
  <r>
    <n v="3943"/>
    <n v="7713"/>
    <x v="62"/>
    <n v="183.34"/>
    <s v="Completed"/>
    <x v="4"/>
    <s v="PayPal"/>
  </r>
  <r>
    <n v="3944"/>
    <n v="8722"/>
    <x v="15"/>
    <n v="219.69"/>
    <s v="Completed"/>
    <x v="3"/>
    <s v="Credit Card"/>
  </r>
  <r>
    <n v="3945"/>
    <n v="5450"/>
    <x v="89"/>
    <n v="1095.73"/>
    <s v="Completed"/>
    <x v="4"/>
    <s v="Credit Card"/>
  </r>
  <r>
    <n v="3946"/>
    <n v="9073"/>
    <x v="61"/>
    <n v="412.02"/>
    <s v="Completed"/>
    <x v="2"/>
    <s v="Debit Card"/>
  </r>
  <r>
    <n v="3947"/>
    <n v="2423"/>
    <x v="11"/>
    <n v="1069.5899999999999"/>
    <s v="Completed"/>
    <x v="1"/>
    <s v="Apple Pay"/>
  </r>
  <r>
    <n v="3948"/>
    <n v="9962"/>
    <x v="286"/>
    <n v="1506.33"/>
    <s v="Completed"/>
    <x v="3"/>
    <s v="Debit Card"/>
  </r>
  <r>
    <n v="3949"/>
    <n v="2209"/>
    <x v="308"/>
    <n v="2004.83"/>
    <s v="Completed"/>
    <x v="2"/>
    <s v="Apple Pay"/>
  </r>
  <r>
    <n v="3950"/>
    <n v="7745"/>
    <x v="140"/>
    <n v="9942.18"/>
    <s v="Completed"/>
    <x v="0"/>
    <s v="Apple Pay"/>
  </r>
  <r>
    <n v="3951"/>
    <n v="2707"/>
    <x v="17"/>
    <n v="767.37"/>
    <s v="Completed"/>
    <x v="3"/>
    <s v="Apple Pay"/>
  </r>
  <r>
    <n v="3952"/>
    <n v="4688"/>
    <x v="114"/>
    <n v="313.3"/>
    <s v="Cancelled"/>
    <x v="1"/>
    <s v="Debit Card"/>
  </r>
  <r>
    <n v="3953"/>
    <n v="4669"/>
    <x v="13"/>
    <n v="1146.95"/>
    <s v="Completed"/>
    <x v="4"/>
    <s v="PayPal"/>
  </r>
  <r>
    <n v="3954"/>
    <n v="5550"/>
    <x v="147"/>
    <n v="1828.18"/>
    <s v="Completed"/>
    <x v="0"/>
    <s v="Apple Pay"/>
  </r>
  <r>
    <n v="3955"/>
    <n v="6320"/>
    <x v="157"/>
    <n v="1735.99"/>
    <s v="Completed"/>
    <x v="4"/>
    <s v="Apple Pay"/>
  </r>
  <r>
    <n v="3956"/>
    <n v="3697"/>
    <x v="301"/>
    <n v="408.38"/>
    <s v="Completed"/>
    <x v="0"/>
    <s v="Debit Card"/>
  </r>
  <r>
    <n v="3957"/>
    <n v="4402"/>
    <x v="264"/>
    <n v="1629.76"/>
    <s v="Completed"/>
    <x v="3"/>
    <s v="Credit Card"/>
  </r>
  <r>
    <n v="3958"/>
    <n v="5566"/>
    <x v="58"/>
    <n v="1745.99"/>
    <s v="Completed"/>
    <x v="2"/>
    <s v="Debit Card"/>
  </r>
  <r>
    <n v="3959"/>
    <n v="2917"/>
    <x v="286"/>
    <n v="435.81"/>
    <s v="Completed"/>
    <x v="0"/>
    <s v="PayPal"/>
  </r>
  <r>
    <n v="3960"/>
    <n v="1988"/>
    <x v="271"/>
    <n v="665.6"/>
    <s v="Completed"/>
    <x v="2"/>
    <s v="PayPal"/>
  </r>
  <r>
    <n v="3961"/>
    <n v="424"/>
    <x v="142"/>
    <n v="397.78"/>
    <s v="Completed"/>
    <x v="0"/>
    <s v="Apple Pay"/>
  </r>
  <r>
    <n v="3962"/>
    <n v="8982"/>
    <x v="181"/>
    <n v="869.63"/>
    <s v="Completed"/>
    <x v="2"/>
    <s v="Credit Card"/>
  </r>
  <r>
    <n v="3963"/>
    <n v="4725"/>
    <x v="348"/>
    <n v="3575.65"/>
    <s v="Completed"/>
    <x v="2"/>
    <s v="Credit Card"/>
  </r>
  <r>
    <n v="3964"/>
    <n v="3943"/>
    <x v="10"/>
    <n v="1072.43"/>
    <s v="Completed"/>
    <x v="2"/>
    <s v="PayPal"/>
  </r>
  <r>
    <n v="3965"/>
    <n v="7789"/>
    <x v="236"/>
    <n v="1198.83"/>
    <s v="Returned"/>
    <x v="5"/>
    <s v="PayPal"/>
  </r>
  <r>
    <n v="3966"/>
    <n v="3109"/>
    <x v="85"/>
    <n v="2239.71"/>
    <s v="Completed"/>
    <x v="4"/>
    <s v="Apple Pay"/>
  </r>
  <r>
    <n v="3967"/>
    <n v="2397"/>
    <x v="219"/>
    <n v="2854.53"/>
    <s v="Completed"/>
    <x v="3"/>
    <s v="Credit Card"/>
  </r>
  <r>
    <n v="3968"/>
    <n v="9923"/>
    <x v="352"/>
    <n v="208.24"/>
    <s v="Completed"/>
    <x v="2"/>
    <s v="Credit Card"/>
  </r>
  <r>
    <n v="3969"/>
    <n v="3959"/>
    <x v="283"/>
    <n v="1201.3"/>
    <s v="Completed"/>
    <x v="4"/>
    <s v="Debit Card"/>
  </r>
  <r>
    <n v="3970"/>
    <n v="3102"/>
    <x v="86"/>
    <n v="589.62"/>
    <s v="Completed"/>
    <x v="4"/>
    <s v="Debit Card"/>
  </r>
  <r>
    <n v="3971"/>
    <n v="5466"/>
    <x v="354"/>
    <n v="471.55"/>
    <s v="Completed"/>
    <x v="1"/>
    <s v="Debit Card"/>
  </r>
  <r>
    <n v="3972"/>
    <n v="3554"/>
    <x v="124"/>
    <n v="471.55"/>
    <s v="Completed"/>
    <x v="4"/>
    <s v="Apple Pay"/>
  </r>
  <r>
    <n v="3973"/>
    <n v="7454"/>
    <x v="249"/>
    <n v="3256.47"/>
    <s v="Completed"/>
    <x v="3"/>
    <s v="Apple Pay"/>
  </r>
  <r>
    <n v="3974"/>
    <n v="6758"/>
    <x v="159"/>
    <n v="1300.97"/>
    <s v="Completed"/>
    <x v="2"/>
    <s v="Debit Card"/>
  </r>
  <r>
    <n v="3975"/>
    <n v="7426"/>
    <x v="144"/>
    <n v="3034.04"/>
    <s v="Completed"/>
    <x v="0"/>
    <s v="Apple Pay"/>
  </r>
  <r>
    <n v="3976"/>
    <n v="7717"/>
    <x v="217"/>
    <n v="1491.54"/>
    <s v="Completed"/>
    <x v="1"/>
    <s v="Debit Card"/>
  </r>
  <r>
    <n v="3977"/>
    <n v="3939"/>
    <x v="74"/>
    <n v="530.79999999999995"/>
    <s v="Completed"/>
    <x v="2"/>
    <s v="PayPal"/>
  </r>
  <r>
    <n v="3978"/>
    <n v="8907"/>
    <x v="258"/>
    <n v="2453.04"/>
    <s v="Returned"/>
    <x v="0"/>
    <s v="Apple Pay"/>
  </r>
  <r>
    <n v="3979"/>
    <n v="7165"/>
    <x v="161"/>
    <n v="948.86"/>
    <s v="Completed"/>
    <x v="2"/>
    <s v="Debit Card"/>
  </r>
  <r>
    <n v="3980"/>
    <n v="3078"/>
    <x v="212"/>
    <n v="3733.87"/>
    <s v="Completed"/>
    <x v="4"/>
    <s v="PayPal"/>
  </r>
  <r>
    <n v="3981"/>
    <n v="8647"/>
    <x v="172"/>
    <n v="1216.93"/>
    <s v="Completed"/>
    <x v="3"/>
    <s v="Credit Card"/>
  </r>
  <r>
    <n v="3982"/>
    <n v="9054"/>
    <x v="229"/>
    <n v="200.91"/>
    <s v="Completed"/>
    <x v="4"/>
    <s v="PayPal"/>
  </r>
  <r>
    <n v="3983"/>
    <n v="2146"/>
    <x v="310"/>
    <n v="2816.81"/>
    <s v="Completed"/>
    <x v="1"/>
    <s v="Credit Card"/>
  </r>
  <r>
    <n v="3984"/>
    <n v="4751"/>
    <x v="246"/>
    <n v="1836.52"/>
    <s v="Completed"/>
    <x v="0"/>
    <s v="Debit Card"/>
  </r>
  <r>
    <n v="3985"/>
    <n v="5283"/>
    <x v="250"/>
    <n v="819.79"/>
    <s v="Completed"/>
    <x v="4"/>
    <s v="Apple Pay"/>
  </r>
  <r>
    <n v="3986"/>
    <n v="5240"/>
    <x v="320"/>
    <n v="996.68"/>
    <s v="Completed"/>
    <x v="0"/>
    <s v="Apple Pay"/>
  </r>
  <r>
    <n v="3987"/>
    <n v="3069"/>
    <x v="351"/>
    <n v="1777.25"/>
    <s v="Completed"/>
    <x v="3"/>
    <s v="PayPal"/>
  </r>
  <r>
    <n v="3988"/>
    <n v="2483"/>
    <x v="132"/>
    <n v="496.71"/>
    <s v="Completed"/>
    <x v="0"/>
    <s v="Credit Card"/>
  </r>
  <r>
    <n v="3989"/>
    <n v="7194"/>
    <x v="226"/>
    <n v="4295.3900000000003"/>
    <s v="Completed"/>
    <x v="0"/>
    <s v="Credit Card"/>
  </r>
  <r>
    <n v="3990"/>
    <n v="8072"/>
    <x v="217"/>
    <n v="2972.47"/>
    <s v="Completed"/>
    <x v="1"/>
    <s v="Credit Card"/>
  </r>
  <r>
    <n v="3991"/>
    <n v="1312"/>
    <x v="267"/>
    <n v="284.14"/>
    <s v="Completed"/>
    <x v="1"/>
    <s v="PayPal"/>
  </r>
  <r>
    <n v="3992"/>
    <n v="5846"/>
    <x v="14"/>
    <n v="1356.78"/>
    <s v="Completed"/>
    <x v="0"/>
    <s v="Apple Pay"/>
  </r>
  <r>
    <n v="3993"/>
    <n v="5092"/>
    <x v="44"/>
    <n v="1058.57"/>
    <s v="Completed"/>
    <x v="4"/>
    <s v="Credit Card"/>
  </r>
  <r>
    <n v="3994"/>
    <n v="8336"/>
    <x v="17"/>
    <n v="918.24"/>
    <s v="Completed"/>
    <x v="1"/>
    <s v="Debit Card"/>
  </r>
  <r>
    <n v="3995"/>
    <n v="2640"/>
    <x v="88"/>
    <n v="678.12"/>
    <s v="Completed"/>
    <x v="1"/>
    <s v="Credit Card"/>
  </r>
  <r>
    <n v="3996"/>
    <n v="3439"/>
    <x v="231"/>
    <n v="2482.2600000000002"/>
    <s v="Cancelled"/>
    <x v="1"/>
    <s v="Debit Card"/>
  </r>
  <r>
    <n v="3997"/>
    <n v="6319"/>
    <x v="9"/>
    <n v="641.9"/>
    <s v="Completed"/>
    <x v="2"/>
    <s v="Apple Pay"/>
  </r>
  <r>
    <n v="3998"/>
    <n v="86"/>
    <x v="22"/>
    <n v="340.18"/>
    <s v="Completed"/>
    <x v="4"/>
    <s v="Debit Card"/>
  </r>
  <r>
    <n v="3999"/>
    <n v="4669"/>
    <x v="226"/>
    <n v="112.48"/>
    <s v="Completed"/>
    <x v="4"/>
    <s v="Debit Card"/>
  </r>
  <r>
    <n v="4000"/>
    <n v="1316"/>
    <x v="121"/>
    <n v="3445.74"/>
    <s v="Completed"/>
    <x v="2"/>
    <s v="PayPal"/>
  </r>
  <r>
    <n v="4001"/>
    <n v="8941"/>
    <x v="53"/>
    <n v="2959.71"/>
    <s v="Completed"/>
    <x v="1"/>
    <s v="PayPal"/>
  </r>
  <r>
    <n v="4002"/>
    <n v="1030"/>
    <x v="45"/>
    <n v="189.69"/>
    <s v="Completed"/>
    <x v="1"/>
    <s v="Debit Card"/>
  </r>
  <r>
    <n v="4003"/>
    <n v="5177"/>
    <x v="191"/>
    <n v="1146.95"/>
    <s v="Completed"/>
    <x v="5"/>
    <s v="PayPal"/>
  </r>
  <r>
    <n v="4004"/>
    <n v="2854"/>
    <x v="233"/>
    <n v="3341.48"/>
    <s v="Completed"/>
    <x v="2"/>
    <s v="Debit Card"/>
  </r>
  <r>
    <n v="4005"/>
    <n v="1501"/>
    <x v="204"/>
    <n v="1239.07"/>
    <s v="Completed"/>
    <x v="4"/>
    <s v="PayPal"/>
  </r>
  <r>
    <n v="4006"/>
    <n v="8277"/>
    <x v="72"/>
    <n v="699.02"/>
    <s v="Completed"/>
    <x v="1"/>
    <s v="Apple Pay"/>
  </r>
  <r>
    <n v="4007"/>
    <n v="9623"/>
    <x v="1"/>
    <n v="1631.91"/>
    <s v="Completed"/>
    <x v="0"/>
    <s v="Credit Card"/>
  </r>
  <r>
    <n v="4008"/>
    <n v="7297"/>
    <x v="99"/>
    <n v="952.01"/>
    <s v="Completed"/>
    <x v="3"/>
    <s v="Credit Card"/>
  </r>
  <r>
    <n v="4009"/>
    <n v="1341"/>
    <x v="248"/>
    <n v="1422.76"/>
    <s v="Completed"/>
    <x v="3"/>
    <s v="Apple Pay"/>
  </r>
  <r>
    <n v="4010"/>
    <n v="8425"/>
    <x v="330"/>
    <n v="266.31"/>
    <s v="Completed"/>
    <x v="4"/>
    <s v="Debit Card"/>
  </r>
  <r>
    <n v="4011"/>
    <n v="9743"/>
    <x v="255"/>
    <n v="1099.1600000000001"/>
    <s v="Completed"/>
    <x v="0"/>
    <s v="Apple Pay"/>
  </r>
  <r>
    <n v="4012"/>
    <n v="4451"/>
    <x v="335"/>
    <n v="876.81"/>
    <s v="Completed"/>
    <x v="2"/>
    <s v="PayPal"/>
  </r>
  <r>
    <n v="4013"/>
    <n v="1160"/>
    <x v="4"/>
    <n v="1374.61"/>
    <s v="Completed"/>
    <x v="1"/>
    <s v="Debit Card"/>
  </r>
  <r>
    <n v="4014"/>
    <n v="8991"/>
    <x v="316"/>
    <n v="1532.85"/>
    <s v="Completed"/>
    <x v="3"/>
    <s v="Debit Card"/>
  </r>
  <r>
    <n v="4015"/>
    <n v="6422"/>
    <x v="145"/>
    <n v="1351.19"/>
    <s v="Completed"/>
    <x v="2"/>
    <s v="PayPal"/>
  </r>
  <r>
    <n v="4016"/>
    <n v="5643"/>
    <x v="337"/>
    <n v="719.27"/>
    <s v="Completed"/>
    <x v="0"/>
    <s v="Apple Pay"/>
  </r>
  <r>
    <n v="4017"/>
    <n v="9469"/>
    <x v="150"/>
    <n v="972.84"/>
    <s v="Completed"/>
    <x v="0"/>
    <s v="Debit Card"/>
  </r>
  <r>
    <n v="4018"/>
    <n v="1975"/>
    <x v="299"/>
    <n v="628.59"/>
    <s v="Completed"/>
    <x v="4"/>
    <s v="Apple Pay"/>
  </r>
  <r>
    <n v="4019"/>
    <n v="2145"/>
    <x v="277"/>
    <n v="1339.05"/>
    <s v="Completed"/>
    <x v="3"/>
    <s v="Credit Card"/>
  </r>
  <r>
    <n v="4020"/>
    <n v="7822"/>
    <x v="169"/>
    <n v="2703.33"/>
    <s v="Completed"/>
    <x v="1"/>
    <s v="Debit Card"/>
  </r>
  <r>
    <n v="4021"/>
    <n v="6969"/>
    <x v="178"/>
    <n v="965.83"/>
    <s v="Completed"/>
    <x v="4"/>
    <s v="Credit Card"/>
  </r>
  <r>
    <n v="4022"/>
    <n v="8695"/>
    <x v="124"/>
    <n v="2321.33"/>
    <s v="Completed"/>
    <x v="2"/>
    <s v="Apple Pay"/>
  </r>
  <r>
    <n v="4023"/>
    <n v="5384"/>
    <x v="176"/>
    <n v="1095.6199999999999"/>
    <s v="Completed"/>
    <x v="2"/>
    <s v="PayPal"/>
  </r>
  <r>
    <n v="4024"/>
    <n v="9047"/>
    <x v="341"/>
    <n v="776.21"/>
    <s v="Completed"/>
    <x v="1"/>
    <s v="PayPal"/>
  </r>
  <r>
    <n v="4025"/>
    <n v="8860"/>
    <x v="90"/>
    <n v="442.46"/>
    <s v="Completed"/>
    <x v="4"/>
    <s v="Debit Card"/>
  </r>
  <r>
    <n v="4026"/>
    <n v="8049"/>
    <x v="335"/>
    <n v="1611.99"/>
    <s v="Completed"/>
    <x v="2"/>
    <s v="Debit Card"/>
  </r>
  <r>
    <n v="4027"/>
    <n v="4403"/>
    <x v="39"/>
    <n v="2642.89"/>
    <s v="Completed"/>
    <x v="0"/>
    <s v="PayPal"/>
  </r>
  <r>
    <n v="4028"/>
    <n v="6165"/>
    <x v="250"/>
    <n v="209.84"/>
    <s v="Completed"/>
    <x v="2"/>
    <s v="PayPal"/>
  </r>
  <r>
    <n v="4029"/>
    <n v="8100"/>
    <x v="61"/>
    <n v="4004.41"/>
    <s v="Completed"/>
    <x v="2"/>
    <s v="Credit Card"/>
  </r>
  <r>
    <n v="4030"/>
    <n v="3053"/>
    <x v="115"/>
    <n v="2664.95"/>
    <s v="Completed"/>
    <x v="0"/>
    <s v="Credit Card"/>
  </r>
  <r>
    <n v="4031"/>
    <n v="9752"/>
    <x v="284"/>
    <n v="1043.53"/>
    <s v="Completed"/>
    <x v="0"/>
    <s v="PayPal"/>
  </r>
  <r>
    <n v="4032"/>
    <n v="1129"/>
    <x v="163"/>
    <n v="1047.07"/>
    <s v="Completed"/>
    <x v="1"/>
    <s v="Apple Pay"/>
  </r>
  <r>
    <n v="4033"/>
    <n v="3426"/>
    <x v="252"/>
    <n v="689.11"/>
    <s v="Completed"/>
    <x v="1"/>
    <s v="Credit Card"/>
  </r>
  <r>
    <n v="4034"/>
    <n v="3426"/>
    <x v="323"/>
    <n v="2673.23"/>
    <s v="Completed"/>
    <x v="1"/>
    <s v="Debit Card"/>
  </r>
  <r>
    <n v="4035"/>
    <n v="9183"/>
    <x v="298"/>
    <n v="360.28"/>
    <s v="Completed"/>
    <x v="3"/>
    <s v="Debit Card"/>
  </r>
  <r>
    <n v="4036"/>
    <n v="5162"/>
    <x v="74"/>
    <n v="323.68"/>
    <s v="Completed"/>
    <x v="1"/>
    <s v="Debit Card"/>
  </r>
  <r>
    <n v="4037"/>
    <n v="1274"/>
    <x v="15"/>
    <n v="2208.86"/>
    <s v="Returned"/>
    <x v="0"/>
    <s v="PayPal"/>
  </r>
  <r>
    <n v="4038"/>
    <n v="6691"/>
    <x v="126"/>
    <n v="462.06"/>
    <s v="Completed"/>
    <x v="3"/>
    <s v="Debit Card"/>
  </r>
  <r>
    <n v="4039"/>
    <n v="7544"/>
    <x v="94"/>
    <n v="1205.07"/>
    <s v="Completed"/>
    <x v="0"/>
    <s v="Debit Card"/>
  </r>
  <r>
    <n v="4040"/>
    <n v="2647"/>
    <x v="350"/>
    <n v="486.42"/>
    <s v="Completed"/>
    <x v="0"/>
    <s v="PayPal"/>
  </r>
  <r>
    <n v="4041"/>
    <n v="2269"/>
    <x v="162"/>
    <n v="255.08"/>
    <s v="Completed"/>
    <x v="3"/>
    <s v="PayPal"/>
  </r>
  <r>
    <n v="4042"/>
    <n v="5781"/>
    <x v="41"/>
    <n v="240.57"/>
    <s v="Completed"/>
    <x v="0"/>
    <s v="Apple Pay"/>
  </r>
  <r>
    <n v="4043"/>
    <n v="5815"/>
    <x v="102"/>
    <n v="1883.98"/>
    <s v="Completed"/>
    <x v="2"/>
    <s v="Credit Card"/>
  </r>
  <r>
    <n v="4044"/>
    <n v="2828"/>
    <x v="230"/>
    <n v="2336.06"/>
    <s v="Completed"/>
    <x v="4"/>
    <s v="Credit Card"/>
  </r>
  <r>
    <n v="4045"/>
    <n v="8781"/>
    <x v="171"/>
    <n v="691.55"/>
    <s v="Completed"/>
    <x v="1"/>
    <s v="Apple Pay"/>
  </r>
  <r>
    <n v="4046"/>
    <n v="6591"/>
    <x v="93"/>
    <n v="1300.1400000000001"/>
    <s v="Completed"/>
    <x v="5"/>
    <s v="Apple Pay"/>
  </r>
  <r>
    <n v="4047"/>
    <n v="7360"/>
    <x v="137"/>
    <n v="1995.72"/>
    <s v="Completed"/>
    <x v="1"/>
    <s v="PayPal"/>
  </r>
  <r>
    <n v="4048"/>
    <n v="5336"/>
    <x v="223"/>
    <n v="266.31"/>
    <s v="Completed"/>
    <x v="0"/>
    <s v="Debit Card"/>
  </r>
  <r>
    <n v="4049"/>
    <n v="8373"/>
    <x v="274"/>
    <n v="1629.76"/>
    <s v="Completed"/>
    <x v="3"/>
    <s v="Credit Card"/>
  </r>
  <r>
    <n v="4050"/>
    <n v="4284"/>
    <x v="60"/>
    <n v="1575.79"/>
    <s v="Completed"/>
    <x v="1"/>
    <s v="Debit Card"/>
  </r>
  <r>
    <n v="4051"/>
    <n v="5880"/>
    <x v="80"/>
    <n v="366.68"/>
    <s v="Cancelled"/>
    <x v="3"/>
    <s v="Credit Card"/>
  </r>
  <r>
    <n v="4052"/>
    <n v="487"/>
    <x v="140"/>
    <n v="485.49"/>
    <s v="Completed"/>
    <x v="5"/>
    <s v="Credit Card"/>
  </r>
  <r>
    <n v="4053"/>
    <n v="9301"/>
    <x v="225"/>
    <n v="395.52"/>
    <s v="Cancelled"/>
    <x v="3"/>
    <s v="PayPal"/>
  </r>
  <r>
    <n v="4054"/>
    <n v="6369"/>
    <x v="237"/>
    <n v="159.37"/>
    <s v="Completed"/>
    <x v="3"/>
    <s v="Debit Card"/>
  </r>
  <r>
    <n v="4055"/>
    <n v="7218"/>
    <x v="219"/>
    <n v="1090.92"/>
    <s v="Completed"/>
    <x v="0"/>
    <s v="Debit Card"/>
  </r>
  <r>
    <n v="4056"/>
    <n v="2579"/>
    <x v="207"/>
    <n v="1539.2"/>
    <s v="Completed"/>
    <x v="4"/>
    <s v="Apple Pay"/>
  </r>
  <r>
    <n v="4057"/>
    <n v="8292"/>
    <x v="47"/>
    <n v="1952.94"/>
    <s v="Completed"/>
    <x v="4"/>
    <s v="Apple Pay"/>
  </r>
  <r>
    <n v="4058"/>
    <n v="2295"/>
    <x v="6"/>
    <n v="3219.11"/>
    <s v="Returned"/>
    <x v="0"/>
    <s v="PayPal"/>
  </r>
  <r>
    <n v="4059"/>
    <n v="846"/>
    <x v="5"/>
    <n v="2675.33"/>
    <s v="Completed"/>
    <x v="3"/>
    <s v="Credit Card"/>
  </r>
  <r>
    <n v="4060"/>
    <n v="4402"/>
    <x v="155"/>
    <n v="1240.94"/>
    <s v="Completed"/>
    <x v="3"/>
    <s v="Apple Pay"/>
  </r>
  <r>
    <n v="4061"/>
    <n v="229"/>
    <x v="353"/>
    <n v="702.39"/>
    <s v="Completed"/>
    <x v="4"/>
    <s v="Debit Card"/>
  </r>
  <r>
    <n v="4062"/>
    <n v="5993"/>
    <x v="28"/>
    <n v="570.83000000000004"/>
    <s v="Completed"/>
    <x v="0"/>
    <s v="PayPal"/>
  </r>
  <r>
    <n v="4063"/>
    <n v="839"/>
    <x v="222"/>
    <n v="735.1"/>
    <s v="Completed"/>
    <x v="3"/>
    <s v="Debit Card"/>
  </r>
  <r>
    <n v="4064"/>
    <n v="5771"/>
    <x v="212"/>
    <n v="1056.52"/>
    <s v="Returned"/>
    <x v="2"/>
    <s v="Credit Card"/>
  </r>
  <r>
    <n v="4065"/>
    <n v="9802"/>
    <x v="31"/>
    <n v="120.27"/>
    <s v="Completed"/>
    <x v="2"/>
    <s v="PayPal"/>
  </r>
  <r>
    <n v="4066"/>
    <n v="3371"/>
    <x v="34"/>
    <n v="208.24"/>
    <s v="Completed"/>
    <x v="3"/>
    <s v="PayPal"/>
  </r>
  <r>
    <n v="4067"/>
    <n v="4801"/>
    <x v="91"/>
    <n v="1493.99"/>
    <s v="Completed"/>
    <x v="3"/>
    <s v="PayPal"/>
  </r>
  <r>
    <n v="4068"/>
    <n v="1727"/>
    <x v="269"/>
    <n v="2116.06"/>
    <s v="Completed"/>
    <x v="4"/>
    <s v="PayPal"/>
  </r>
  <r>
    <n v="4069"/>
    <n v="7968"/>
    <x v="172"/>
    <n v="1391.36"/>
    <s v="Completed"/>
    <x v="2"/>
    <s v="Debit Card"/>
  </r>
  <r>
    <n v="4070"/>
    <n v="6169"/>
    <x v="42"/>
    <n v="745.01"/>
    <s v="Completed"/>
    <x v="3"/>
    <s v="PayPal"/>
  </r>
  <r>
    <n v="4071"/>
    <n v="8798"/>
    <x v="117"/>
    <n v="278.20999999999998"/>
    <s v="Returned"/>
    <x v="2"/>
    <s v="Credit Card"/>
  </r>
  <r>
    <n v="4072"/>
    <n v="5852"/>
    <x v="25"/>
    <n v="1860.2"/>
    <s v="Completed"/>
    <x v="3"/>
    <s v="PayPal"/>
  </r>
  <r>
    <n v="4073"/>
    <n v="8889"/>
    <x v="116"/>
    <n v="2914.3"/>
    <s v="Completed"/>
    <x v="1"/>
    <s v="Credit Card"/>
  </r>
  <r>
    <n v="4074"/>
    <n v="690"/>
    <x v="270"/>
    <n v="1071.23"/>
    <s v="Cancelled"/>
    <x v="3"/>
    <s v="PayPal"/>
  </r>
  <r>
    <n v="4075"/>
    <n v="4460"/>
    <x v="216"/>
    <n v="266.31"/>
    <s v="Completed"/>
    <x v="0"/>
    <s v="Apple Pay"/>
  </r>
  <r>
    <n v="4076"/>
    <n v="3251"/>
    <x v="111"/>
    <n v="1214.8"/>
    <s v="Completed"/>
    <x v="4"/>
    <s v="PayPal"/>
  </r>
  <r>
    <n v="4077"/>
    <n v="4099"/>
    <x v="188"/>
    <n v="132.22999999999999"/>
    <s v="Completed"/>
    <x v="1"/>
    <s v="PayPal"/>
  </r>
  <r>
    <n v="4078"/>
    <n v="4924"/>
    <x v="216"/>
    <n v="493.21"/>
    <s v="Completed"/>
    <x v="1"/>
    <s v="Credit Card"/>
  </r>
  <r>
    <n v="4079"/>
    <n v="5120"/>
    <x v="309"/>
    <n v="2031.46"/>
    <s v="Completed"/>
    <x v="5"/>
    <s v="PayPal"/>
  </r>
  <r>
    <n v="4080"/>
    <n v="7997"/>
    <x v="201"/>
    <n v="1128.9100000000001"/>
    <s v="Completed"/>
    <x v="3"/>
    <s v="Apple Pay"/>
  </r>
  <r>
    <n v="4081"/>
    <n v="3575"/>
    <x v="89"/>
    <n v="1064.6500000000001"/>
    <s v="Completed"/>
    <x v="0"/>
    <s v="PayPal"/>
  </r>
  <r>
    <n v="4082"/>
    <n v="3678"/>
    <x v="307"/>
    <n v="1841.33"/>
    <s v="Completed"/>
    <x v="0"/>
    <s v="Credit Card"/>
  </r>
  <r>
    <n v="4083"/>
    <n v="323"/>
    <x v="115"/>
    <n v="479.1"/>
    <s v="Completed"/>
    <x v="0"/>
    <s v="Credit Card"/>
  </r>
  <r>
    <n v="4084"/>
    <n v="4661"/>
    <x v="339"/>
    <n v="1247.76"/>
    <s v="Completed"/>
    <x v="1"/>
    <s v="Debit Card"/>
  </r>
  <r>
    <n v="4085"/>
    <n v="9203"/>
    <x v="63"/>
    <n v="2456.2600000000002"/>
    <s v="Returned"/>
    <x v="4"/>
    <s v="Credit Card"/>
  </r>
  <r>
    <n v="4086"/>
    <n v="2910"/>
    <x v="298"/>
    <n v="154.28"/>
    <s v="Completed"/>
    <x v="3"/>
    <s v="Credit Card"/>
  </r>
  <r>
    <n v="4087"/>
    <n v="8600"/>
    <x v="197"/>
    <n v="1576.09"/>
    <s v="Completed"/>
    <x v="3"/>
    <s v="PayPal"/>
  </r>
  <r>
    <n v="4088"/>
    <n v="7360"/>
    <x v="274"/>
    <n v="2432.9699999999998"/>
    <s v="Completed"/>
    <x v="1"/>
    <s v="Debit Card"/>
  </r>
  <r>
    <n v="4089"/>
    <n v="3312"/>
    <x v="169"/>
    <n v="899.62"/>
    <s v="Completed"/>
    <x v="2"/>
    <s v="Credit Card"/>
  </r>
  <r>
    <n v="4090"/>
    <n v="9235"/>
    <x v="128"/>
    <n v="2729.27"/>
    <s v="Completed"/>
    <x v="0"/>
    <s v="Debit Card"/>
  </r>
  <r>
    <n v="4091"/>
    <n v="1480"/>
    <x v="78"/>
    <n v="265.95"/>
    <s v="Completed"/>
    <x v="2"/>
    <s v="PayPal"/>
  </r>
  <r>
    <n v="4092"/>
    <n v="5125"/>
    <x v="269"/>
    <n v="124.93"/>
    <s v="Completed"/>
    <x v="2"/>
    <s v="Apple Pay"/>
  </r>
  <r>
    <n v="4093"/>
    <n v="1701"/>
    <x v="190"/>
    <n v="1255.21"/>
    <s v="Completed"/>
    <x v="0"/>
    <s v="Debit Card"/>
  </r>
  <r>
    <n v="4094"/>
    <n v="2926"/>
    <x v="226"/>
    <n v="2497.77"/>
    <s v="Completed"/>
    <x v="3"/>
    <s v="Debit Card"/>
  </r>
  <r>
    <n v="4095"/>
    <n v="7621"/>
    <x v="200"/>
    <n v="1145.8900000000001"/>
    <s v="Completed"/>
    <x v="2"/>
    <s v="Credit Card"/>
  </r>
  <r>
    <n v="4096"/>
    <n v="5990"/>
    <x v="161"/>
    <n v="1526.33"/>
    <s v="Completed"/>
    <x v="3"/>
    <s v="Credit Card"/>
  </r>
  <r>
    <n v="4097"/>
    <n v="6136"/>
    <x v="193"/>
    <n v="814.25"/>
    <s v="Completed"/>
    <x v="1"/>
    <s v="Apple Pay"/>
  </r>
  <r>
    <n v="4098"/>
    <n v="1605"/>
    <x v="160"/>
    <n v="1870.48"/>
    <s v="Completed"/>
    <x v="1"/>
    <s v="Credit Card"/>
  </r>
  <r>
    <n v="4099"/>
    <n v="5760"/>
    <x v="151"/>
    <n v="788.84"/>
    <s v="Completed"/>
    <x v="4"/>
    <s v="Debit Card"/>
  </r>
  <r>
    <n v="4100"/>
    <n v="7157"/>
    <x v="190"/>
    <n v="1851.93"/>
    <s v="Completed"/>
    <x v="2"/>
    <s v="PayPal"/>
  </r>
  <r>
    <n v="4101"/>
    <n v="2452"/>
    <x v="80"/>
    <n v="308.04000000000002"/>
    <s v="Returned"/>
    <x v="4"/>
    <s v="Credit Card"/>
  </r>
  <r>
    <n v="4102"/>
    <n v="154"/>
    <x v="303"/>
    <n v="503.24"/>
    <s v="Completed"/>
    <x v="0"/>
    <s v="Credit Card"/>
  </r>
  <r>
    <n v="4103"/>
    <n v="4713"/>
    <x v="183"/>
    <n v="2162.63"/>
    <s v="Completed"/>
    <x v="4"/>
    <s v="Credit Card"/>
  </r>
  <r>
    <n v="4104"/>
    <n v="849"/>
    <x v="28"/>
    <n v="1435.48"/>
    <s v="Completed"/>
    <x v="1"/>
    <s v="Debit Card"/>
  </r>
  <r>
    <n v="4105"/>
    <n v="1892"/>
    <x v="251"/>
    <n v="4279.97"/>
    <s v="Completed"/>
    <x v="3"/>
    <s v="Debit Card"/>
  </r>
  <r>
    <n v="4106"/>
    <n v="9091"/>
    <x v="87"/>
    <n v="943.87"/>
    <s v="Completed"/>
    <x v="1"/>
    <s v="Debit Card"/>
  </r>
  <r>
    <n v="4107"/>
    <n v="5969"/>
    <x v="203"/>
    <n v="359.28"/>
    <s v="Completed"/>
    <x v="3"/>
    <s v="Credit Card"/>
  </r>
  <r>
    <n v="4108"/>
    <n v="7707"/>
    <x v="219"/>
    <n v="691.55"/>
    <s v="Completed"/>
    <x v="1"/>
    <s v="Credit Card"/>
  </r>
  <r>
    <n v="4109"/>
    <n v="455"/>
    <x v="148"/>
    <n v="5988.8"/>
    <s v="Completed"/>
    <x v="5"/>
    <s v="PayPal"/>
  </r>
  <r>
    <n v="4110"/>
    <n v="1257"/>
    <x v="181"/>
    <n v="3756.71"/>
    <s v="Completed"/>
    <x v="1"/>
    <s v="Debit Card"/>
  </r>
  <r>
    <n v="4111"/>
    <n v="3824"/>
    <x v="278"/>
    <n v="1435.96"/>
    <s v="Completed"/>
    <x v="0"/>
    <s v="Credit Card"/>
  </r>
  <r>
    <n v="4112"/>
    <n v="510"/>
    <x v="239"/>
    <n v="3350.5"/>
    <s v="Completed"/>
    <x v="4"/>
    <s v="Credit Card"/>
  </r>
  <r>
    <n v="4113"/>
    <n v="9534"/>
    <x v="291"/>
    <n v="1530.22"/>
    <s v="Completed"/>
    <x v="4"/>
    <s v="Debit Card"/>
  </r>
  <r>
    <n v="4114"/>
    <n v="5578"/>
    <x v="188"/>
    <n v="1052.4000000000001"/>
    <s v="Completed"/>
    <x v="0"/>
    <s v="PayPal"/>
  </r>
  <r>
    <n v="4115"/>
    <n v="7739"/>
    <x v="36"/>
    <n v="1330.34"/>
    <s v="Completed"/>
    <x v="0"/>
    <s v="Apple Pay"/>
  </r>
  <r>
    <n v="4116"/>
    <n v="416"/>
    <x v="188"/>
    <n v="187.89"/>
    <s v="Completed"/>
    <x v="2"/>
    <s v="Credit Card"/>
  </r>
  <r>
    <n v="4117"/>
    <n v="9865"/>
    <x v="100"/>
    <n v="1538.58"/>
    <s v="Completed"/>
    <x v="1"/>
    <s v="Apple Pay"/>
  </r>
  <r>
    <n v="4118"/>
    <n v="9760"/>
    <x v="27"/>
    <n v="1169"/>
    <s v="Completed"/>
    <x v="1"/>
    <s v="Credit Card"/>
  </r>
  <r>
    <n v="4119"/>
    <n v="9499"/>
    <x v="17"/>
    <n v="2298.35"/>
    <s v="Completed"/>
    <x v="0"/>
    <s v="Credit Card"/>
  </r>
  <r>
    <n v="4120"/>
    <n v="3946"/>
    <x v="181"/>
    <n v="815.03"/>
    <s v="Completed"/>
    <x v="3"/>
    <s v="PayPal"/>
  </r>
  <r>
    <n v="4121"/>
    <n v="9451"/>
    <x v="236"/>
    <n v="3313.28"/>
    <s v="Completed"/>
    <x v="2"/>
    <s v="Apple Pay"/>
  </r>
  <r>
    <n v="4122"/>
    <n v="987"/>
    <x v="246"/>
    <n v="183.34"/>
    <s v="Completed"/>
    <x v="0"/>
    <s v="Credit Card"/>
  </r>
  <r>
    <n v="4123"/>
    <n v="7337"/>
    <x v="61"/>
    <n v="327.39"/>
    <s v="Completed"/>
    <x v="0"/>
    <s v="Credit Card"/>
  </r>
  <r>
    <n v="4124"/>
    <n v="1126"/>
    <x v="348"/>
    <n v="3341.15"/>
    <s v="Completed"/>
    <x v="0"/>
    <s v="Credit Card"/>
  </r>
  <r>
    <n v="4125"/>
    <n v="5967"/>
    <x v="148"/>
    <n v="1127.32"/>
    <s v="Completed"/>
    <x v="3"/>
    <s v="PayPal"/>
  </r>
  <r>
    <n v="4126"/>
    <n v="7773"/>
    <x v="122"/>
    <n v="352.84"/>
    <s v="Completed"/>
    <x v="1"/>
    <s v="Credit Card"/>
  </r>
  <r>
    <n v="4127"/>
    <n v="1337"/>
    <x v="250"/>
    <n v="2462.14"/>
    <s v="Completed"/>
    <x v="0"/>
    <s v="PayPal"/>
  </r>
  <r>
    <n v="4128"/>
    <n v="3606"/>
    <x v="347"/>
    <n v="1382.04"/>
    <s v="Completed"/>
    <x v="3"/>
    <s v="Apple Pay"/>
  </r>
  <r>
    <n v="4129"/>
    <n v="6195"/>
    <x v="109"/>
    <n v="84.52"/>
    <s v="Completed"/>
    <x v="0"/>
    <s v="Credit Card"/>
  </r>
  <r>
    <n v="4130"/>
    <n v="7712"/>
    <x v="51"/>
    <n v="866.33"/>
    <s v="Completed"/>
    <x v="3"/>
    <s v="Credit Card"/>
  </r>
  <r>
    <n v="4131"/>
    <n v="5903"/>
    <x v="21"/>
    <n v="278.93"/>
    <s v="Completed"/>
    <x v="5"/>
    <s v="PayPal"/>
  </r>
  <r>
    <n v="4132"/>
    <n v="1116"/>
    <x v="302"/>
    <n v="766.48"/>
    <s v="Completed"/>
    <x v="4"/>
    <s v="Credit Card"/>
  </r>
  <r>
    <n v="4133"/>
    <n v="6907"/>
    <x v="258"/>
    <n v="282.13"/>
    <s v="Completed"/>
    <x v="2"/>
    <s v="Credit Card"/>
  </r>
  <r>
    <n v="4134"/>
    <n v="3657"/>
    <x v="245"/>
    <n v="1025.6300000000001"/>
    <s v="Completed"/>
    <x v="1"/>
    <s v="Apple Pay"/>
  </r>
  <r>
    <n v="4135"/>
    <n v="2558"/>
    <x v="184"/>
    <n v="1763.74"/>
    <s v="Completed"/>
    <x v="3"/>
    <s v="Credit Card"/>
  </r>
  <r>
    <n v="4136"/>
    <n v="1258"/>
    <x v="268"/>
    <n v="907.76"/>
    <s v="Completed"/>
    <x v="4"/>
    <s v="PayPal"/>
  </r>
  <r>
    <n v="4137"/>
    <n v="6940"/>
    <x v="23"/>
    <n v="360.28"/>
    <s v="Completed"/>
    <x v="3"/>
    <s v="Credit Card"/>
  </r>
  <r>
    <n v="4138"/>
    <n v="5458"/>
    <x v="28"/>
    <n v="1431.05"/>
    <s v="Completed"/>
    <x v="3"/>
    <s v="Debit Card"/>
  </r>
  <r>
    <n v="4139"/>
    <n v="8108"/>
    <x v="177"/>
    <n v="1084.1600000000001"/>
    <s v="Completed"/>
    <x v="4"/>
    <s v="Credit Card"/>
  </r>
  <r>
    <n v="4140"/>
    <n v="8630"/>
    <x v="228"/>
    <n v="1063.4000000000001"/>
    <s v="Cancelled"/>
    <x v="4"/>
    <s v="Credit Card"/>
  </r>
  <r>
    <n v="4141"/>
    <n v="9823"/>
    <x v="182"/>
    <n v="1246.02"/>
    <s v="Completed"/>
    <x v="3"/>
    <s v="PayPal"/>
  </r>
  <r>
    <n v="4142"/>
    <n v="9488"/>
    <x v="125"/>
    <n v="4301.9799999999996"/>
    <s v="Completed"/>
    <x v="4"/>
    <s v="Debit Card"/>
  </r>
  <r>
    <n v="4143"/>
    <n v="5400"/>
    <x v="88"/>
    <n v="1325.76"/>
    <s v="Completed"/>
    <x v="3"/>
    <s v="Credit Card"/>
  </r>
  <r>
    <n v="4144"/>
    <n v="5170"/>
    <x v="173"/>
    <n v="479.1"/>
    <s v="Returned"/>
    <x v="2"/>
    <s v="Apple Pay"/>
  </r>
  <r>
    <n v="4145"/>
    <n v="7875"/>
    <x v="211"/>
    <n v="935.74"/>
    <s v="Completed"/>
    <x v="2"/>
    <s v="Credit Card"/>
  </r>
  <r>
    <n v="4146"/>
    <n v="9437"/>
    <x v="69"/>
    <n v="665.18"/>
    <s v="Completed"/>
    <x v="4"/>
    <s v="Credit Card"/>
  </r>
  <r>
    <n v="4147"/>
    <n v="5070"/>
    <x v="78"/>
    <n v="291.25"/>
    <s v="Completed"/>
    <x v="0"/>
    <s v="PayPal"/>
  </r>
  <r>
    <n v="4148"/>
    <n v="6062"/>
    <x v="142"/>
    <n v="276.75"/>
    <s v="Completed"/>
    <x v="3"/>
    <s v="Credit Card"/>
  </r>
  <r>
    <n v="4149"/>
    <n v="4860"/>
    <x v="285"/>
    <n v="832.07"/>
    <s v="Completed"/>
    <x v="4"/>
    <s v="PayPal"/>
  </r>
  <r>
    <n v="4150"/>
    <n v="9731"/>
    <x v="93"/>
    <n v="112.48"/>
    <s v="Completed"/>
    <x v="4"/>
    <s v="Apple Pay"/>
  </r>
  <r>
    <n v="4151"/>
    <n v="783"/>
    <x v="48"/>
    <n v="1227.71"/>
    <s v="Completed"/>
    <x v="3"/>
    <s v="Apple Pay"/>
  </r>
  <r>
    <n v="4152"/>
    <n v="6010"/>
    <x v="327"/>
    <n v="448.19"/>
    <s v="Completed"/>
    <x v="2"/>
    <s v="Credit Card"/>
  </r>
  <r>
    <n v="4153"/>
    <n v="1182"/>
    <x v="261"/>
    <n v="740.8"/>
    <s v="Completed"/>
    <x v="2"/>
    <s v="PayPal"/>
  </r>
  <r>
    <n v="4154"/>
    <n v="4613"/>
    <x v="313"/>
    <n v="791.3"/>
    <s v="Completed"/>
    <x v="0"/>
    <s v="Apple Pay"/>
  </r>
  <r>
    <n v="4155"/>
    <n v="4280"/>
    <x v="9"/>
    <n v="733.26"/>
    <s v="Completed"/>
    <x v="4"/>
    <s v="Debit Card"/>
  </r>
  <r>
    <n v="4156"/>
    <n v="548"/>
    <x v="193"/>
    <n v="235.13"/>
    <s v="Completed"/>
    <x v="2"/>
    <s v="Apple Pay"/>
  </r>
  <r>
    <n v="4157"/>
    <n v="6690"/>
    <x v="293"/>
    <n v="599.12"/>
    <s v="Completed"/>
    <x v="4"/>
    <s v="Credit Card"/>
  </r>
  <r>
    <n v="4158"/>
    <n v="4170"/>
    <x v="278"/>
    <n v="558.07000000000005"/>
    <s v="Completed"/>
    <x v="0"/>
    <s v="Apple Pay"/>
  </r>
  <r>
    <n v="4159"/>
    <n v="8999"/>
    <x v="217"/>
    <n v="1670.4"/>
    <s v="Completed"/>
    <x v="4"/>
    <s v="Credit Card"/>
  </r>
  <r>
    <n v="4160"/>
    <n v="1695"/>
    <x v="265"/>
    <n v="2215.12"/>
    <s v="Completed"/>
    <x v="2"/>
    <s v="PayPal"/>
  </r>
  <r>
    <n v="4161"/>
    <n v="2295"/>
    <x v="54"/>
    <n v="4894.8500000000004"/>
    <s v="Completed"/>
    <x v="0"/>
    <s v="PayPal"/>
  </r>
  <r>
    <n v="4162"/>
    <n v="4695"/>
    <x v="29"/>
    <n v="1442.77"/>
    <s v="Completed"/>
    <x v="3"/>
    <s v="Debit Card"/>
  </r>
  <r>
    <n v="4163"/>
    <n v="9729"/>
    <x v="35"/>
    <n v="1438.06"/>
    <s v="Completed"/>
    <x v="4"/>
    <s v="Apple Pay"/>
  </r>
  <r>
    <n v="4164"/>
    <n v="7589"/>
    <x v="46"/>
    <n v="3484.34"/>
    <s v="Completed"/>
    <x v="0"/>
    <s v="Apple Pay"/>
  </r>
  <r>
    <n v="4165"/>
    <n v="6796"/>
    <x v="128"/>
    <n v="1050.1199999999999"/>
    <s v="Completed"/>
    <x v="2"/>
    <s v="PayPal"/>
  </r>
  <r>
    <n v="4166"/>
    <n v="6828"/>
    <x v="8"/>
    <n v="367.55"/>
    <s v="Completed"/>
    <x v="2"/>
    <s v="Apple Pay"/>
  </r>
  <r>
    <n v="4167"/>
    <n v="6219"/>
    <x v="344"/>
    <n v="2967.29"/>
    <s v="Completed"/>
    <x v="4"/>
    <s v="PayPal"/>
  </r>
  <r>
    <n v="4168"/>
    <n v="7491"/>
    <x v="172"/>
    <n v="748.01"/>
    <s v="Completed"/>
    <x v="1"/>
    <s v="PayPal"/>
  </r>
  <r>
    <n v="4169"/>
    <n v="9707"/>
    <x v="130"/>
    <n v="1878.6"/>
    <s v="Completed"/>
    <x v="3"/>
    <s v="Apple Pay"/>
  </r>
  <r>
    <n v="4170"/>
    <n v="2339"/>
    <x v="150"/>
    <n v="601.36"/>
    <s v="Completed"/>
    <x v="1"/>
    <s v="Apple Pay"/>
  </r>
  <r>
    <n v="4171"/>
    <n v="643"/>
    <x v="139"/>
    <n v="1579.13"/>
    <s v="Completed"/>
    <x v="0"/>
    <s v="PayPal"/>
  </r>
  <r>
    <n v="4172"/>
    <n v="4626"/>
    <x v="190"/>
    <n v="142.43"/>
    <s v="Completed"/>
    <x v="1"/>
    <s v="Credit Card"/>
  </r>
  <r>
    <n v="4173"/>
    <n v="1146"/>
    <x v="114"/>
    <n v="530.5"/>
    <s v="Returned"/>
    <x v="2"/>
    <s v="Debit Card"/>
  </r>
  <r>
    <n v="4174"/>
    <n v="1771"/>
    <x v="142"/>
    <n v="2628.46"/>
    <s v="Completed"/>
    <x v="2"/>
    <s v="Credit Card"/>
  </r>
  <r>
    <n v="4175"/>
    <n v="4086"/>
    <x v="358"/>
    <n v="2120.66"/>
    <s v="Completed"/>
    <x v="4"/>
    <s v="Credit Card"/>
  </r>
  <r>
    <n v="4176"/>
    <n v="333"/>
    <x v="260"/>
    <n v="1777.25"/>
    <s v="Completed"/>
    <x v="5"/>
    <s v="Apple Pay"/>
  </r>
  <r>
    <n v="4177"/>
    <n v="2469"/>
    <x v="252"/>
    <n v="367.55"/>
    <s v="Cancelled"/>
    <x v="0"/>
    <s v="Credit Card"/>
  </r>
  <r>
    <n v="4178"/>
    <n v="3733"/>
    <x v="283"/>
    <n v="1239.1500000000001"/>
    <s v="Completed"/>
    <x v="1"/>
    <s v="Apple Pay"/>
  </r>
  <r>
    <n v="4179"/>
    <n v="5970"/>
    <x v="125"/>
    <n v="2803.18"/>
    <s v="Completed"/>
    <x v="0"/>
    <s v="PayPal"/>
  </r>
  <r>
    <n v="4180"/>
    <n v="163"/>
    <x v="203"/>
    <n v="313.64999999999998"/>
    <s v="Completed"/>
    <x v="0"/>
    <s v="PayPal"/>
  </r>
  <r>
    <n v="4181"/>
    <n v="642"/>
    <x v="354"/>
    <n v="762.61"/>
    <s v="Completed"/>
    <x v="5"/>
    <s v="PayPal"/>
  </r>
  <r>
    <n v="4182"/>
    <n v="2165"/>
    <x v="21"/>
    <n v="2194.33"/>
    <s v="Completed"/>
    <x v="4"/>
    <s v="Debit Card"/>
  </r>
  <r>
    <n v="4183"/>
    <n v="163"/>
    <x v="302"/>
    <n v="2110.3200000000002"/>
    <s v="Completed"/>
    <x v="0"/>
    <s v="Apple Pay"/>
  </r>
  <r>
    <n v="4184"/>
    <n v="8314"/>
    <x v="60"/>
    <n v="1439.25"/>
    <s v="Completed"/>
    <x v="3"/>
    <s v="Credit Card"/>
  </r>
  <r>
    <n v="4185"/>
    <n v="9950"/>
    <x v="225"/>
    <n v="5216.12"/>
    <s v="Completed"/>
    <x v="2"/>
    <s v="Debit Card"/>
  </r>
  <r>
    <n v="4186"/>
    <n v="3034"/>
    <x v="85"/>
    <n v="1008.02"/>
    <s v="Completed"/>
    <x v="3"/>
    <s v="Apple Pay"/>
  </r>
  <r>
    <n v="4187"/>
    <n v="71"/>
    <x v="38"/>
    <n v="3193.95"/>
    <s v="Completed"/>
    <x v="2"/>
    <s v="Apple Pay"/>
  </r>
  <r>
    <n v="4188"/>
    <n v="4613"/>
    <x v="276"/>
    <n v="872.98"/>
    <s v="Completed"/>
    <x v="0"/>
    <s v="Debit Card"/>
  </r>
  <r>
    <n v="4189"/>
    <n v="7986"/>
    <x v="29"/>
    <n v="719.27"/>
    <s v="Completed"/>
    <x v="4"/>
    <s v="Debit Card"/>
  </r>
  <r>
    <n v="4190"/>
    <n v="5343"/>
    <x v="351"/>
    <n v="1786.27"/>
    <s v="Completed"/>
    <x v="1"/>
    <s v="Apple Pay"/>
  </r>
  <r>
    <n v="4191"/>
    <n v="5791"/>
    <x v="83"/>
    <n v="5022.13"/>
    <s v="Completed"/>
    <x v="1"/>
    <s v="Credit Card"/>
  </r>
  <r>
    <n v="4192"/>
    <n v="8542"/>
    <x v="55"/>
    <n v="1224.1300000000001"/>
    <s v="Completed"/>
    <x v="4"/>
    <s v="PayPal"/>
  </r>
  <r>
    <n v="4193"/>
    <n v="8828"/>
    <x v="351"/>
    <n v="2366.98"/>
    <s v="Completed"/>
    <x v="0"/>
    <s v="PayPal"/>
  </r>
  <r>
    <n v="4194"/>
    <n v="6515"/>
    <x v="333"/>
    <n v="538.64"/>
    <s v="Completed"/>
    <x v="2"/>
    <s v="Credit Card"/>
  </r>
  <r>
    <n v="4195"/>
    <n v="3899"/>
    <x v="355"/>
    <n v="1928.04"/>
    <s v="Completed"/>
    <x v="3"/>
    <s v="Credit Card"/>
  </r>
  <r>
    <n v="4196"/>
    <n v="962"/>
    <x v="321"/>
    <n v="549.86"/>
    <s v="Completed"/>
    <x v="4"/>
    <s v="Apple Pay"/>
  </r>
  <r>
    <n v="4197"/>
    <n v="5921"/>
    <x v="227"/>
    <n v="2410.81"/>
    <s v="Completed"/>
    <x v="1"/>
    <s v="PayPal"/>
  </r>
  <r>
    <n v="4198"/>
    <n v="1207"/>
    <x v="272"/>
    <n v="1213.1600000000001"/>
    <s v="Completed"/>
    <x v="4"/>
    <s v="Credit Card"/>
  </r>
  <r>
    <n v="4199"/>
    <n v="4685"/>
    <x v="216"/>
    <n v="1554.74"/>
    <s v="Completed"/>
    <x v="2"/>
    <s v="Apple Pay"/>
  </r>
  <r>
    <n v="4200"/>
    <n v="9292"/>
    <x v="18"/>
    <n v="413.05"/>
    <s v="Completed"/>
    <x v="1"/>
    <s v="Debit Card"/>
  </r>
  <r>
    <n v="4201"/>
    <n v="3592"/>
    <x v="36"/>
    <n v="587.66"/>
    <s v="Completed"/>
    <x v="4"/>
    <s v="Debit Card"/>
  </r>
  <r>
    <n v="4202"/>
    <n v="2255"/>
    <x v="176"/>
    <n v="727.33"/>
    <s v="Completed"/>
    <x v="4"/>
    <s v="Debit Card"/>
  </r>
  <r>
    <n v="4203"/>
    <n v="1225"/>
    <x v="215"/>
    <n v="1440.61"/>
    <s v="Completed"/>
    <x v="3"/>
    <s v="PayPal"/>
  </r>
  <r>
    <n v="4204"/>
    <n v="3026"/>
    <x v="103"/>
    <n v="159.37"/>
    <s v="Completed"/>
    <x v="0"/>
    <s v="Debit Card"/>
  </r>
  <r>
    <n v="4205"/>
    <n v="6585"/>
    <x v="211"/>
    <n v="759.97"/>
    <s v="Completed"/>
    <x v="0"/>
    <s v="Debit Card"/>
  </r>
  <r>
    <n v="4206"/>
    <n v="4090"/>
    <x v="150"/>
    <n v="232.22"/>
    <s v="Completed"/>
    <x v="3"/>
    <s v="PayPal"/>
  </r>
  <r>
    <n v="4207"/>
    <n v="7930"/>
    <x v="316"/>
    <n v="1033.01"/>
    <s v="Completed"/>
    <x v="2"/>
    <s v="PayPal"/>
  </r>
  <r>
    <n v="4208"/>
    <n v="5795"/>
    <x v="286"/>
    <n v="1036.22"/>
    <s v="Completed"/>
    <x v="5"/>
    <s v="Credit Card"/>
  </r>
  <r>
    <n v="4209"/>
    <n v="9300"/>
    <x v="300"/>
    <n v="652.72"/>
    <s v="Completed"/>
    <x v="0"/>
    <s v="Debit Card"/>
  </r>
  <r>
    <n v="4210"/>
    <n v="4672"/>
    <x v="333"/>
    <n v="890.09"/>
    <s v="Completed"/>
    <x v="4"/>
    <s v="Credit Card"/>
  </r>
  <r>
    <n v="4211"/>
    <n v="9169"/>
    <x v="151"/>
    <n v="3082.5"/>
    <s v="Completed"/>
    <x v="1"/>
    <s v="Apple Pay"/>
  </r>
  <r>
    <n v="4212"/>
    <n v="7524"/>
    <x v="6"/>
    <n v="1186.93"/>
    <s v="Completed"/>
    <x v="4"/>
    <s v="Apple Pay"/>
  </r>
  <r>
    <n v="4213"/>
    <n v="6158"/>
    <x v="244"/>
    <n v="965.83"/>
    <s v="Completed"/>
    <x v="3"/>
    <s v="Debit Card"/>
  </r>
  <r>
    <n v="4214"/>
    <n v="1908"/>
    <x v="347"/>
    <n v="1362.91"/>
    <s v="Completed"/>
    <x v="1"/>
    <s v="PayPal"/>
  </r>
  <r>
    <n v="4215"/>
    <n v="8298"/>
    <x v="134"/>
    <n v="189.69"/>
    <s v="Completed"/>
    <x v="0"/>
    <s v="PayPal"/>
  </r>
  <r>
    <n v="4216"/>
    <n v="8212"/>
    <x v="280"/>
    <n v="1201.51"/>
    <s v="Completed"/>
    <x v="0"/>
    <s v="Apple Pay"/>
  </r>
  <r>
    <n v="4217"/>
    <n v="3731"/>
    <x v="10"/>
    <n v="3179.05"/>
    <s v="Completed"/>
    <x v="0"/>
    <s v="Debit Card"/>
  </r>
  <r>
    <n v="4218"/>
    <n v="7070"/>
    <x v="115"/>
    <n v="1273.3699999999999"/>
    <s v="Completed"/>
    <x v="3"/>
    <s v="Debit Card"/>
  </r>
  <r>
    <n v="4219"/>
    <n v="5676"/>
    <x v="198"/>
    <n v="1201.22"/>
    <s v="Completed"/>
    <x v="2"/>
    <s v="PayPal"/>
  </r>
  <r>
    <n v="4220"/>
    <n v="7284"/>
    <x v="1"/>
    <n v="2156.2199999999998"/>
    <s v="Completed"/>
    <x v="0"/>
    <s v="Credit Card"/>
  </r>
  <r>
    <n v="4221"/>
    <n v="1903"/>
    <x v="149"/>
    <n v="2456.1999999999998"/>
    <s v="Completed"/>
    <x v="1"/>
    <s v="Apple Pay"/>
  </r>
  <r>
    <n v="4222"/>
    <n v="5220"/>
    <x v="128"/>
    <n v="3040.85"/>
    <s v="Completed"/>
    <x v="3"/>
    <s v="Apple Pay"/>
  </r>
  <r>
    <n v="4223"/>
    <n v="7226"/>
    <x v="145"/>
    <n v="2127.9499999999998"/>
    <s v="Completed"/>
    <x v="4"/>
    <s v="Debit Card"/>
  </r>
  <r>
    <n v="4224"/>
    <n v="3241"/>
    <x v="262"/>
    <n v="737.86"/>
    <s v="Completed"/>
    <x v="4"/>
    <s v="PayPal"/>
  </r>
  <r>
    <n v="4225"/>
    <n v="7310"/>
    <x v="323"/>
    <n v="8497.42"/>
    <s v="Completed"/>
    <x v="2"/>
    <s v="Credit Card"/>
  </r>
  <r>
    <n v="4226"/>
    <n v="7589"/>
    <x v="201"/>
    <n v="806.82"/>
    <s v="Completed"/>
    <x v="0"/>
    <s v="Debit Card"/>
  </r>
  <r>
    <n v="4227"/>
    <n v="6568"/>
    <x v="96"/>
    <n v="2150.8200000000002"/>
    <s v="Completed"/>
    <x v="4"/>
    <s v="Debit Card"/>
  </r>
  <r>
    <n v="4228"/>
    <n v="7954"/>
    <x v="116"/>
    <n v="1188.26"/>
    <s v="Completed"/>
    <x v="4"/>
    <s v="PayPal"/>
  </r>
  <r>
    <n v="4229"/>
    <n v="1398"/>
    <x v="74"/>
    <n v="447.18"/>
    <s v="Cancelled"/>
    <x v="1"/>
    <s v="Credit Card"/>
  </r>
  <r>
    <n v="4230"/>
    <n v="3553"/>
    <x v="145"/>
    <n v="2635.27"/>
    <s v="Completed"/>
    <x v="0"/>
    <s v="Credit Card"/>
  </r>
  <r>
    <n v="4231"/>
    <n v="6914"/>
    <x v="140"/>
    <n v="1703.3"/>
    <s v="Completed"/>
    <x v="4"/>
    <s v="Credit Card"/>
  </r>
  <r>
    <n v="4232"/>
    <n v="3009"/>
    <x v="290"/>
    <n v="1816.72"/>
    <s v="Completed"/>
    <x v="1"/>
    <s v="Apple Pay"/>
  </r>
  <r>
    <n v="4233"/>
    <n v="9494"/>
    <x v="222"/>
    <n v="6353.47"/>
    <s v="Completed"/>
    <x v="0"/>
    <s v="Credit Card"/>
  </r>
  <r>
    <n v="4234"/>
    <n v="2591"/>
    <x v="279"/>
    <n v="6446.28"/>
    <s v="Completed"/>
    <x v="0"/>
    <s v="Credit Card"/>
  </r>
  <r>
    <n v="4235"/>
    <n v="1090"/>
    <x v="267"/>
    <n v="907.35"/>
    <s v="Completed"/>
    <x v="1"/>
    <s v="Debit Card"/>
  </r>
  <r>
    <n v="4236"/>
    <n v="4044"/>
    <x v="131"/>
    <n v="2951.7"/>
    <s v="Completed"/>
    <x v="1"/>
    <s v="Credit Card"/>
  </r>
  <r>
    <n v="4237"/>
    <n v="7080"/>
    <x v="252"/>
    <n v="1658.45"/>
    <s v="Completed"/>
    <x v="0"/>
    <s v="Credit Card"/>
  </r>
  <r>
    <n v="4238"/>
    <n v="1637"/>
    <x v="325"/>
    <n v="2368.58"/>
    <s v="Completed"/>
    <x v="3"/>
    <s v="PayPal"/>
  </r>
  <r>
    <n v="4239"/>
    <n v="1026"/>
    <x v="175"/>
    <n v="580"/>
    <s v="Completed"/>
    <x v="3"/>
    <s v="PayPal"/>
  </r>
  <r>
    <n v="4240"/>
    <n v="9970"/>
    <x v="48"/>
    <n v="628.59"/>
    <s v="Completed"/>
    <x v="5"/>
    <s v="PayPal"/>
  </r>
  <r>
    <n v="4241"/>
    <n v="9766"/>
    <x v="116"/>
    <n v="3662.39"/>
    <s v="Completed"/>
    <x v="3"/>
    <s v="PayPal"/>
  </r>
  <r>
    <n v="4242"/>
    <n v="8706"/>
    <x v="133"/>
    <n v="759.15"/>
    <s v="Completed"/>
    <x v="0"/>
    <s v="Debit Card"/>
  </r>
  <r>
    <n v="4243"/>
    <n v="8061"/>
    <x v="88"/>
    <n v="1068.75"/>
    <s v="Completed"/>
    <x v="3"/>
    <s v="Debit Card"/>
  </r>
  <r>
    <n v="4244"/>
    <n v="4924"/>
    <x v="125"/>
    <n v="2400.5500000000002"/>
    <s v="Completed"/>
    <x v="1"/>
    <s v="PayPal"/>
  </r>
  <r>
    <n v="4245"/>
    <n v="5978"/>
    <x v="171"/>
    <n v="1951.64"/>
    <s v="Completed"/>
    <x v="5"/>
    <s v="PayPal"/>
  </r>
  <r>
    <n v="4246"/>
    <n v="1485"/>
    <x v="272"/>
    <n v="3806.01"/>
    <s v="Completed"/>
    <x v="0"/>
    <s v="PayPal"/>
  </r>
  <r>
    <n v="4247"/>
    <n v="4532"/>
    <x v="111"/>
    <n v="1468.67"/>
    <s v="Completed"/>
    <x v="0"/>
    <s v="Credit Card"/>
  </r>
  <r>
    <n v="4248"/>
    <n v="140"/>
    <x v="90"/>
    <n v="2853.05"/>
    <s v="Completed"/>
    <x v="1"/>
    <s v="Credit Card"/>
  </r>
  <r>
    <n v="4249"/>
    <n v="1910"/>
    <x v="209"/>
    <n v="266.31"/>
    <s v="Completed"/>
    <x v="2"/>
    <s v="Apple Pay"/>
  </r>
  <r>
    <n v="4250"/>
    <n v="6065"/>
    <x v="358"/>
    <n v="2210.89"/>
    <s v="Completed"/>
    <x v="1"/>
    <s v="Credit Card"/>
  </r>
  <r>
    <n v="4251"/>
    <n v="9036"/>
    <x v="149"/>
    <n v="871.69"/>
    <s v="Completed"/>
    <x v="0"/>
    <s v="PayPal"/>
  </r>
  <r>
    <n v="4252"/>
    <n v="9304"/>
    <x v="167"/>
    <n v="570.89"/>
    <s v="Completed"/>
    <x v="3"/>
    <s v="Apple Pay"/>
  </r>
  <r>
    <n v="4253"/>
    <n v="1221"/>
    <x v="251"/>
    <n v="864.86"/>
    <s v="Completed"/>
    <x v="1"/>
    <s v="Debit Card"/>
  </r>
  <r>
    <n v="4254"/>
    <n v="3156"/>
    <x v="268"/>
    <n v="6697.53"/>
    <s v="Completed"/>
    <x v="1"/>
    <s v="PayPal"/>
  </r>
  <r>
    <n v="4255"/>
    <n v="1128"/>
    <x v="315"/>
    <n v="1009.02"/>
    <s v="Completed"/>
    <x v="2"/>
    <s v="Debit Card"/>
  </r>
  <r>
    <n v="4256"/>
    <n v="1759"/>
    <x v="312"/>
    <n v="1995.72"/>
    <s v="Completed"/>
    <x v="3"/>
    <s v="Debit Card"/>
  </r>
  <r>
    <n v="4257"/>
    <n v="5898"/>
    <x v="24"/>
    <n v="2057.5100000000002"/>
    <s v="Completed"/>
    <x v="2"/>
    <s v="Debit Card"/>
  </r>
  <r>
    <n v="4258"/>
    <n v="8829"/>
    <x v="50"/>
    <n v="899.62"/>
    <s v="Completed"/>
    <x v="0"/>
    <s v="PayPal"/>
  </r>
  <r>
    <n v="4259"/>
    <n v="2076"/>
    <x v="226"/>
    <n v="602.71"/>
    <s v="Completed"/>
    <x v="1"/>
    <s v="Credit Card"/>
  </r>
  <r>
    <n v="4260"/>
    <n v="5630"/>
    <x v="305"/>
    <n v="914.09"/>
    <s v="Completed"/>
    <x v="0"/>
    <s v="Debit Card"/>
  </r>
  <r>
    <n v="4261"/>
    <n v="3569"/>
    <x v="90"/>
    <n v="808.43"/>
    <s v="Completed"/>
    <x v="5"/>
    <s v="Credit Card"/>
  </r>
  <r>
    <n v="4262"/>
    <n v="8213"/>
    <x v="73"/>
    <n v="485.49"/>
    <s v="Completed"/>
    <x v="3"/>
    <s v="Apple Pay"/>
  </r>
  <r>
    <n v="4263"/>
    <n v="4581"/>
    <x v="2"/>
    <n v="313.64999999999998"/>
    <s v="Completed"/>
    <x v="5"/>
    <s v="Credit Card"/>
  </r>
  <r>
    <n v="4264"/>
    <n v="9755"/>
    <x v="316"/>
    <n v="921.42"/>
    <s v="Completed"/>
    <x v="0"/>
    <s v="PayPal"/>
  </r>
  <r>
    <n v="4265"/>
    <n v="3057"/>
    <x v="6"/>
    <n v="484.59"/>
    <s v="Completed"/>
    <x v="1"/>
    <s v="Debit Card"/>
  </r>
  <r>
    <n v="4266"/>
    <n v="7899"/>
    <x v="283"/>
    <n v="1007.61"/>
    <s v="Completed"/>
    <x v="0"/>
    <s v="Apple Pay"/>
  </r>
  <r>
    <n v="4267"/>
    <n v="5389"/>
    <x v="252"/>
    <n v="84.52"/>
    <s v="Completed"/>
    <x v="3"/>
    <s v="Apple Pay"/>
  </r>
  <r>
    <n v="4268"/>
    <n v="757"/>
    <x v="88"/>
    <n v="1169"/>
    <s v="Completed"/>
    <x v="3"/>
    <s v="Apple Pay"/>
  </r>
  <r>
    <n v="4269"/>
    <n v="3079"/>
    <x v="363"/>
    <n v="447.46"/>
    <s v="Completed"/>
    <x v="4"/>
    <s v="PayPal"/>
  </r>
  <r>
    <n v="4270"/>
    <n v="5833"/>
    <x v="346"/>
    <n v="818.94"/>
    <s v="Completed"/>
    <x v="2"/>
    <s v="PayPal"/>
  </r>
  <r>
    <n v="4271"/>
    <n v="9868"/>
    <x v="4"/>
    <n v="535.99"/>
    <s v="Completed"/>
    <x v="2"/>
    <s v="Apple Pay"/>
  </r>
  <r>
    <n v="4272"/>
    <n v="908"/>
    <x v="111"/>
    <n v="496.01"/>
    <s v="Completed"/>
    <x v="2"/>
    <s v="Apple Pay"/>
  </r>
  <r>
    <n v="4273"/>
    <n v="8926"/>
    <x v="332"/>
    <n v="759.97"/>
    <s v="Completed"/>
    <x v="4"/>
    <s v="PayPal"/>
  </r>
  <r>
    <n v="4274"/>
    <n v="5478"/>
    <x v="44"/>
    <n v="971.78"/>
    <s v="Completed"/>
    <x v="0"/>
    <s v="PayPal"/>
  </r>
  <r>
    <n v="4275"/>
    <n v="8026"/>
    <x v="106"/>
    <n v="815.03"/>
    <s v="Completed"/>
    <x v="0"/>
    <s v="Apple Pay"/>
  </r>
  <r>
    <n v="4276"/>
    <n v="1954"/>
    <x v="166"/>
    <n v="374.8"/>
    <s v="Cancelled"/>
    <x v="3"/>
    <s v="Debit Card"/>
  </r>
  <r>
    <n v="4277"/>
    <n v="3122"/>
    <x v="70"/>
    <n v="3697.74"/>
    <s v="Completed"/>
    <x v="2"/>
    <s v="Apple Pay"/>
  </r>
  <r>
    <n v="4278"/>
    <n v="1583"/>
    <x v="323"/>
    <n v="644.54999999999995"/>
    <s v="Completed"/>
    <x v="3"/>
    <s v="Credit Card"/>
  </r>
  <r>
    <n v="4279"/>
    <n v="6281"/>
    <x v="133"/>
    <n v="2148.08"/>
    <s v="Completed"/>
    <x v="4"/>
    <s v="Apple Pay"/>
  </r>
  <r>
    <n v="4280"/>
    <n v="3493"/>
    <x v="144"/>
    <n v="96.07"/>
    <s v="Completed"/>
    <x v="0"/>
    <s v="PayPal"/>
  </r>
  <r>
    <n v="4281"/>
    <n v="3477"/>
    <x v="210"/>
    <n v="96.07"/>
    <s v="Completed"/>
    <x v="1"/>
    <s v="PayPal"/>
  </r>
  <r>
    <n v="4282"/>
    <n v="2647"/>
    <x v="351"/>
    <n v="1293.47"/>
    <s v="Completed"/>
    <x v="0"/>
    <s v="Credit Card"/>
  </r>
  <r>
    <n v="4283"/>
    <n v="7710"/>
    <x v="328"/>
    <n v="339.07"/>
    <s v="Completed"/>
    <x v="3"/>
    <s v="Credit Card"/>
  </r>
  <r>
    <n v="4284"/>
    <n v="4466"/>
    <x v="180"/>
    <n v="1605.62"/>
    <s v="Completed"/>
    <x v="1"/>
    <s v="PayPal"/>
  </r>
  <r>
    <n v="4285"/>
    <n v="4384"/>
    <x v="244"/>
    <n v="2929.53"/>
    <s v="Completed"/>
    <x v="0"/>
    <s v="Debit Card"/>
  </r>
  <r>
    <n v="4286"/>
    <n v="9061"/>
    <x v="292"/>
    <n v="3263.15"/>
    <s v="Completed"/>
    <x v="4"/>
    <s v="Credit Card"/>
  </r>
  <r>
    <n v="4287"/>
    <n v="3010"/>
    <x v="88"/>
    <n v="623.01"/>
    <s v="Completed"/>
    <x v="2"/>
    <s v="Credit Card"/>
  </r>
  <r>
    <n v="4288"/>
    <n v="4247"/>
    <x v="112"/>
    <n v="1326.72"/>
    <s v="Completed"/>
    <x v="4"/>
    <s v="Debit Card"/>
  </r>
  <r>
    <n v="4289"/>
    <n v="9180"/>
    <x v="12"/>
    <n v="3673.04"/>
    <s v="Completed"/>
    <x v="0"/>
    <s v="PayPal"/>
  </r>
  <r>
    <n v="4290"/>
    <n v="2106"/>
    <x v="43"/>
    <n v="439.45"/>
    <s v="Completed"/>
    <x v="2"/>
    <s v="PayPal"/>
  </r>
  <r>
    <n v="4291"/>
    <n v="7030"/>
    <x v="258"/>
    <n v="629.85"/>
    <s v="Completed"/>
    <x v="0"/>
    <s v="Apple Pay"/>
  </r>
  <r>
    <n v="4292"/>
    <n v="4236"/>
    <x v="26"/>
    <n v="1042.44"/>
    <s v="Completed"/>
    <x v="1"/>
    <s v="PayPal"/>
  </r>
  <r>
    <n v="4293"/>
    <n v="5155"/>
    <x v="117"/>
    <n v="360.28"/>
    <s v="Completed"/>
    <x v="1"/>
    <s v="Debit Card"/>
  </r>
  <r>
    <n v="4294"/>
    <n v="6142"/>
    <x v="283"/>
    <n v="1193.21"/>
    <s v="Completed"/>
    <x v="2"/>
    <s v="PayPal"/>
  </r>
  <r>
    <n v="4295"/>
    <n v="3243"/>
    <x v="97"/>
    <n v="5137.04"/>
    <s v="Completed"/>
    <x v="1"/>
    <s v="Credit Card"/>
  </r>
  <r>
    <n v="4296"/>
    <n v="6540"/>
    <x v="338"/>
    <n v="467.31"/>
    <s v="Completed"/>
    <x v="4"/>
    <s v="PayPal"/>
  </r>
  <r>
    <n v="4297"/>
    <n v="8978"/>
    <x v="157"/>
    <n v="1257.75"/>
    <s v="Completed"/>
    <x v="4"/>
    <s v="Debit Card"/>
  </r>
  <r>
    <n v="4298"/>
    <n v="702"/>
    <x v="6"/>
    <n v="1219.32"/>
    <s v="Completed"/>
    <x v="1"/>
    <s v="PayPal"/>
  </r>
  <r>
    <n v="4299"/>
    <n v="1455"/>
    <x v="20"/>
    <n v="5984.34"/>
    <s v="Completed"/>
    <x v="4"/>
    <s v="PayPal"/>
  </r>
  <r>
    <n v="4300"/>
    <n v="369"/>
    <x v="114"/>
    <n v="344.53"/>
    <s v="Completed"/>
    <x v="2"/>
    <s v="Debit Card"/>
  </r>
  <r>
    <n v="4301"/>
    <n v="7597"/>
    <x v="58"/>
    <n v="3166.31"/>
    <s v="Cancelled"/>
    <x v="3"/>
    <s v="Credit Card"/>
  </r>
  <r>
    <n v="4302"/>
    <n v="6036"/>
    <x v="3"/>
    <n v="1502.76"/>
    <s v="Completed"/>
    <x v="0"/>
    <s v="PayPal"/>
  </r>
  <r>
    <n v="4303"/>
    <n v="5621"/>
    <x v="104"/>
    <n v="531.36"/>
    <s v="Completed"/>
    <x v="1"/>
    <s v="Apple Pay"/>
  </r>
  <r>
    <n v="4304"/>
    <n v="6270"/>
    <x v="69"/>
    <n v="880.04"/>
    <s v="Completed"/>
    <x v="2"/>
    <s v="Apple Pay"/>
  </r>
  <r>
    <n v="4305"/>
    <n v="6478"/>
    <x v="155"/>
    <n v="718.97"/>
    <s v="Completed"/>
    <x v="1"/>
    <s v="PayPal"/>
  </r>
  <r>
    <n v="4306"/>
    <n v="7024"/>
    <x v="51"/>
    <n v="396.55"/>
    <s v="Completed"/>
    <x v="4"/>
    <s v="Apple Pay"/>
  </r>
  <r>
    <n v="4307"/>
    <n v="5280"/>
    <x v="80"/>
    <n v="832.08"/>
    <s v="Completed"/>
    <x v="2"/>
    <s v="PayPal"/>
  </r>
  <r>
    <n v="4308"/>
    <n v="6026"/>
    <x v="162"/>
    <n v="1132.74"/>
    <s v="Cancelled"/>
    <x v="1"/>
    <s v="PayPal"/>
  </r>
  <r>
    <n v="4309"/>
    <n v="3312"/>
    <x v="199"/>
    <n v="142.43"/>
    <s v="Completed"/>
    <x v="2"/>
    <s v="Apple Pay"/>
  </r>
  <r>
    <n v="4310"/>
    <n v="8993"/>
    <x v="216"/>
    <n v="332.91"/>
    <s v="Completed"/>
    <x v="1"/>
    <s v="Apple Pay"/>
  </r>
  <r>
    <n v="4311"/>
    <n v="6019"/>
    <x v="98"/>
    <n v="3538.34"/>
    <s v="Completed"/>
    <x v="1"/>
    <s v="PayPal"/>
  </r>
  <r>
    <n v="4312"/>
    <n v="5454"/>
    <x v="41"/>
    <n v="1984.54"/>
    <s v="Completed"/>
    <x v="2"/>
    <s v="Credit Card"/>
  </r>
  <r>
    <n v="4313"/>
    <n v="4341"/>
    <x v="246"/>
    <n v="3473.41"/>
    <s v="Completed"/>
    <x v="0"/>
    <s v="Debit Card"/>
  </r>
  <r>
    <n v="4314"/>
    <n v="785"/>
    <x v="133"/>
    <n v="399.61"/>
    <s v="Completed"/>
    <x v="4"/>
    <s v="Apple Pay"/>
  </r>
  <r>
    <n v="4315"/>
    <n v="5705"/>
    <x v="152"/>
    <n v="1672.96"/>
    <s v="Completed"/>
    <x v="1"/>
    <s v="Debit Card"/>
  </r>
  <r>
    <n v="4316"/>
    <n v="1276"/>
    <x v="169"/>
    <n v="1246.52"/>
    <s v="Completed"/>
    <x v="4"/>
    <s v="Credit Card"/>
  </r>
  <r>
    <n v="4317"/>
    <n v="1376"/>
    <x v="121"/>
    <n v="3972.98"/>
    <s v="Cancelled"/>
    <x v="0"/>
    <s v="Debit Card"/>
  </r>
  <r>
    <n v="4318"/>
    <n v="7264"/>
    <x v="318"/>
    <n v="1836.33"/>
    <s v="Completed"/>
    <x v="3"/>
    <s v="Debit Card"/>
  </r>
  <r>
    <n v="4319"/>
    <n v="187"/>
    <x v="316"/>
    <n v="1182.51"/>
    <s v="Completed"/>
    <x v="4"/>
    <s v="Apple Pay"/>
  </r>
  <r>
    <n v="4320"/>
    <n v="5095"/>
    <x v="173"/>
    <n v="1146.95"/>
    <s v="Completed"/>
    <x v="1"/>
    <s v="Debit Card"/>
  </r>
  <r>
    <n v="4321"/>
    <n v="4623"/>
    <x v="255"/>
    <n v="2224.0500000000002"/>
    <s v="Completed"/>
    <x v="3"/>
    <s v="Debit Card"/>
  </r>
  <r>
    <n v="4322"/>
    <n v="1985"/>
    <x v="3"/>
    <n v="2014.32"/>
    <s v="Completed"/>
    <x v="5"/>
    <s v="Apple Pay"/>
  </r>
  <r>
    <n v="4323"/>
    <n v="5964"/>
    <x v="19"/>
    <n v="1153.5"/>
    <s v="Completed"/>
    <x v="1"/>
    <s v="PayPal"/>
  </r>
  <r>
    <n v="4324"/>
    <n v="87"/>
    <x v="21"/>
    <n v="290.79000000000002"/>
    <s v="Completed"/>
    <x v="1"/>
    <s v="Credit Card"/>
  </r>
  <r>
    <n v="4325"/>
    <n v="7087"/>
    <x v="113"/>
    <n v="296.31"/>
    <s v="Completed"/>
    <x v="1"/>
    <s v="Credit Card"/>
  </r>
  <r>
    <n v="4326"/>
    <n v="5921"/>
    <x v="161"/>
    <n v="2288.58"/>
    <s v="Completed"/>
    <x v="1"/>
    <s v="PayPal"/>
  </r>
  <r>
    <n v="4327"/>
    <n v="3493"/>
    <x v="360"/>
    <n v="284.14"/>
    <s v="Completed"/>
    <x v="5"/>
    <s v="Debit Card"/>
  </r>
  <r>
    <n v="4328"/>
    <n v="2523"/>
    <x v="20"/>
    <n v="2447.5500000000002"/>
    <s v="Completed"/>
    <x v="0"/>
    <s v="Credit Card"/>
  </r>
  <r>
    <n v="4329"/>
    <n v="5878"/>
    <x v="199"/>
    <n v="2088.4499999999998"/>
    <s v="Completed"/>
    <x v="1"/>
    <s v="Apple Pay"/>
  </r>
  <r>
    <n v="4330"/>
    <n v="1069"/>
    <x v="293"/>
    <n v="374.8"/>
    <s v="Returned"/>
    <x v="2"/>
    <s v="Apple Pay"/>
  </r>
  <r>
    <n v="4331"/>
    <n v="5405"/>
    <x v="237"/>
    <n v="886.36"/>
    <s v="Completed"/>
    <x v="0"/>
    <s v="Apple Pay"/>
  </r>
  <r>
    <n v="4332"/>
    <n v="1417"/>
    <x v="103"/>
    <n v="667.26"/>
    <s v="Completed"/>
    <x v="0"/>
    <s v="PayPal"/>
  </r>
  <r>
    <n v="4333"/>
    <n v="5410"/>
    <x v="11"/>
    <n v="2128.92"/>
    <s v="Completed"/>
    <x v="3"/>
    <s v="Apple Pay"/>
  </r>
  <r>
    <n v="4334"/>
    <n v="8737"/>
    <x v="117"/>
    <n v="1007.5"/>
    <s v="Cancelled"/>
    <x v="3"/>
    <s v="Credit Card"/>
  </r>
  <r>
    <n v="4335"/>
    <n v="5552"/>
    <x v="276"/>
    <n v="1122.48"/>
    <s v="Completed"/>
    <x v="1"/>
    <s v="Debit Card"/>
  </r>
  <r>
    <n v="4336"/>
    <n v="5872"/>
    <x v="312"/>
    <n v="1996.26"/>
    <s v="Completed"/>
    <x v="3"/>
    <s v="Debit Card"/>
  </r>
  <r>
    <n v="4337"/>
    <n v="9077"/>
    <x v="75"/>
    <n v="164.87"/>
    <s v="Completed"/>
    <x v="3"/>
    <s v="Apple Pay"/>
  </r>
  <r>
    <n v="4338"/>
    <n v="3547"/>
    <x v="131"/>
    <n v="612.17999999999995"/>
    <s v="Completed"/>
    <x v="3"/>
    <s v="PayPal"/>
  </r>
  <r>
    <n v="4339"/>
    <n v="9005"/>
    <x v="157"/>
    <n v="3365.04"/>
    <s v="Completed"/>
    <x v="1"/>
    <s v="Debit Card"/>
  </r>
  <r>
    <n v="4340"/>
    <n v="7447"/>
    <x v="129"/>
    <n v="258.66000000000003"/>
    <s v="Completed"/>
    <x v="4"/>
    <s v="Credit Card"/>
  </r>
  <r>
    <n v="4341"/>
    <n v="8004"/>
    <x v="210"/>
    <n v="798.94"/>
    <s v="Completed"/>
    <x v="3"/>
    <s v="Debit Card"/>
  </r>
  <r>
    <n v="4342"/>
    <n v="3331"/>
    <x v="9"/>
    <n v="579.6"/>
    <s v="Completed"/>
    <x v="1"/>
    <s v="Apple Pay"/>
  </r>
  <r>
    <n v="4343"/>
    <n v="5029"/>
    <x v="248"/>
    <n v="1527.45"/>
    <s v="Completed"/>
    <x v="3"/>
    <s v="PayPal"/>
  </r>
  <r>
    <n v="4344"/>
    <n v="8652"/>
    <x v="128"/>
    <n v="2383.4699999999998"/>
    <s v="Completed"/>
    <x v="3"/>
    <s v="Apple Pay"/>
  </r>
  <r>
    <n v="4345"/>
    <n v="9727"/>
    <x v="194"/>
    <n v="159.37"/>
    <s v="Completed"/>
    <x v="2"/>
    <s v="Debit Card"/>
  </r>
  <r>
    <n v="4346"/>
    <n v="1008"/>
    <x v="119"/>
    <n v="2420.13"/>
    <s v="Cancelled"/>
    <x v="2"/>
    <s v="Credit Card"/>
  </r>
  <r>
    <n v="4347"/>
    <n v="2431"/>
    <x v="180"/>
    <n v="142.43"/>
    <s v="Completed"/>
    <x v="2"/>
    <s v="Debit Card"/>
  </r>
  <r>
    <n v="4348"/>
    <n v="4847"/>
    <x v="44"/>
    <n v="639.26"/>
    <s v="Completed"/>
    <x v="2"/>
    <s v="Debit Card"/>
  </r>
  <r>
    <n v="4349"/>
    <n v="9305"/>
    <x v="331"/>
    <n v="277.47000000000003"/>
    <s v="Completed"/>
    <x v="5"/>
    <s v="Apple Pay"/>
  </r>
  <r>
    <n v="4350"/>
    <n v="1084"/>
    <x v="276"/>
    <n v="30.63"/>
    <s v="Completed"/>
    <x v="0"/>
    <s v="PayPal"/>
  </r>
  <r>
    <n v="4351"/>
    <n v="6861"/>
    <x v="21"/>
    <n v="2109.38"/>
    <s v="Completed"/>
    <x v="4"/>
    <s v="PayPal"/>
  </r>
  <r>
    <n v="4352"/>
    <n v="4923"/>
    <x v="48"/>
    <n v="1802.19"/>
    <s v="Completed"/>
    <x v="1"/>
    <s v="Apple Pay"/>
  </r>
  <r>
    <n v="4353"/>
    <n v="5692"/>
    <x v="60"/>
    <n v="449.48"/>
    <s v="Completed"/>
    <x v="1"/>
    <s v="Debit Card"/>
  </r>
  <r>
    <n v="4354"/>
    <n v="4244"/>
    <x v="47"/>
    <n v="1586.99"/>
    <s v="Completed"/>
    <x v="2"/>
    <s v="PayPal"/>
  </r>
  <r>
    <n v="4355"/>
    <n v="6665"/>
    <x v="325"/>
    <n v="3496.24"/>
    <s v="Cancelled"/>
    <x v="3"/>
    <s v="Apple Pay"/>
  </r>
  <r>
    <n v="4356"/>
    <n v="28"/>
    <x v="201"/>
    <n v="1595.61"/>
    <s v="Completed"/>
    <x v="0"/>
    <s v="Credit Card"/>
  </r>
  <r>
    <n v="4357"/>
    <n v="2997"/>
    <x v="116"/>
    <n v="4291.84"/>
    <s v="Completed"/>
    <x v="0"/>
    <s v="Debit Card"/>
  </r>
  <r>
    <n v="4358"/>
    <n v="3713"/>
    <x v="7"/>
    <n v="399.61"/>
    <s v="Completed"/>
    <x v="2"/>
    <s v="Apple Pay"/>
  </r>
  <r>
    <n v="4359"/>
    <n v="9270"/>
    <x v="108"/>
    <n v="154.02000000000001"/>
    <s v="Completed"/>
    <x v="0"/>
    <s v="Credit Card"/>
  </r>
  <r>
    <n v="4360"/>
    <n v="6910"/>
    <x v="79"/>
    <n v="189.69"/>
    <s v="Completed"/>
    <x v="4"/>
    <s v="Credit Card"/>
  </r>
  <r>
    <n v="4361"/>
    <n v="5214"/>
    <x v="321"/>
    <n v="2608.37"/>
    <s v="Completed"/>
    <x v="0"/>
    <s v="Apple Pay"/>
  </r>
  <r>
    <n v="4362"/>
    <n v="5961"/>
    <x v="344"/>
    <n v="2346.98"/>
    <s v="Completed"/>
    <x v="0"/>
    <s v="Apple Pay"/>
  </r>
  <r>
    <n v="4363"/>
    <n v="4743"/>
    <x v="48"/>
    <n v="1334.58"/>
    <s v="Completed"/>
    <x v="4"/>
    <s v="PayPal"/>
  </r>
  <r>
    <n v="4364"/>
    <n v="7271"/>
    <x v="268"/>
    <n v="701.39"/>
    <s v="Completed"/>
    <x v="0"/>
    <s v="PayPal"/>
  </r>
  <r>
    <n v="4365"/>
    <n v="6726"/>
    <x v="70"/>
    <n v="1081.22"/>
    <s v="Completed"/>
    <x v="0"/>
    <s v="PayPal"/>
  </r>
  <r>
    <n v="4366"/>
    <n v="9749"/>
    <x v="236"/>
    <n v="1099.55"/>
    <s v="Completed"/>
    <x v="3"/>
    <s v="Credit Card"/>
  </r>
  <r>
    <n v="4367"/>
    <n v="6485"/>
    <x v="153"/>
    <n v="336.89"/>
    <s v="Completed"/>
    <x v="1"/>
    <s v="Credit Card"/>
  </r>
  <r>
    <n v="4368"/>
    <n v="4249"/>
    <x v="28"/>
    <n v="966.66"/>
    <s v="Completed"/>
    <x v="3"/>
    <s v="Apple Pay"/>
  </r>
  <r>
    <n v="4369"/>
    <n v="9927"/>
    <x v="354"/>
    <n v="680.29"/>
    <s v="Completed"/>
    <x v="0"/>
    <s v="Debit Card"/>
  </r>
  <r>
    <n v="4370"/>
    <n v="7886"/>
    <x v="97"/>
    <n v="1229.56"/>
    <s v="Completed"/>
    <x v="0"/>
    <s v="PayPal"/>
  </r>
  <r>
    <n v="4371"/>
    <n v="5118"/>
    <x v="347"/>
    <n v="1717.93"/>
    <s v="Completed"/>
    <x v="4"/>
    <s v="Debit Card"/>
  </r>
  <r>
    <n v="4372"/>
    <n v="8711"/>
    <x v="236"/>
    <n v="1417.1"/>
    <s v="Completed"/>
    <x v="1"/>
    <s v="Apple Pay"/>
  </r>
  <r>
    <n v="4373"/>
    <n v="7024"/>
    <x v="193"/>
    <n v="3416.07"/>
    <s v="Completed"/>
    <x v="4"/>
    <s v="Credit Card"/>
  </r>
  <r>
    <n v="4374"/>
    <n v="3200"/>
    <x v="67"/>
    <n v="1028.2"/>
    <s v="Completed"/>
    <x v="1"/>
    <s v="Debit Card"/>
  </r>
  <r>
    <n v="4375"/>
    <n v="9804"/>
    <x v="45"/>
    <n v="1828.18"/>
    <s v="Completed"/>
    <x v="1"/>
    <s v="Apple Pay"/>
  </r>
  <r>
    <n v="4376"/>
    <n v="3986"/>
    <x v="11"/>
    <n v="2327.4899999999998"/>
    <s v="Completed"/>
    <x v="4"/>
    <s v="Apple Pay"/>
  </r>
  <r>
    <n v="4377"/>
    <n v="7117"/>
    <x v="113"/>
    <n v="255.79"/>
    <s v="Completed"/>
    <x v="3"/>
    <s v="Apple Pay"/>
  </r>
  <r>
    <n v="4378"/>
    <n v="8505"/>
    <x v="127"/>
    <n v="1489"/>
    <s v="Completed"/>
    <x v="4"/>
    <s v="Debit Card"/>
  </r>
  <r>
    <n v="4379"/>
    <n v="4653"/>
    <x v="188"/>
    <n v="219.69"/>
    <s v="Completed"/>
    <x v="2"/>
    <s v="PayPal"/>
  </r>
  <r>
    <n v="4380"/>
    <n v="6756"/>
    <x v="13"/>
    <n v="181.48"/>
    <s v="Completed"/>
    <x v="3"/>
    <s v="Credit Card"/>
  </r>
  <r>
    <n v="4381"/>
    <n v="9673"/>
    <x v="174"/>
    <n v="1442.57"/>
    <s v="Completed"/>
    <x v="2"/>
    <s v="PayPal"/>
  </r>
  <r>
    <n v="4382"/>
    <n v="1929"/>
    <x v="78"/>
    <n v="442.46"/>
    <s v="Completed"/>
    <x v="2"/>
    <s v="Debit Card"/>
  </r>
  <r>
    <n v="4383"/>
    <n v="9853"/>
    <x v="191"/>
    <n v="438.74"/>
    <s v="Completed"/>
    <x v="3"/>
    <s v="Debit Card"/>
  </r>
  <r>
    <n v="4384"/>
    <n v="2726"/>
    <x v="178"/>
    <n v="173.45"/>
    <s v="Completed"/>
    <x v="4"/>
    <s v="Credit Card"/>
  </r>
  <r>
    <n v="4385"/>
    <n v="8331"/>
    <x v="360"/>
    <n v="1522.19"/>
    <s v="Completed"/>
    <x v="4"/>
    <s v="PayPal"/>
  </r>
  <r>
    <n v="4386"/>
    <n v="4300"/>
    <x v="352"/>
    <n v="2369.38"/>
    <s v="Completed"/>
    <x v="0"/>
    <s v="Debit Card"/>
  </r>
  <r>
    <n v="4387"/>
    <n v="7722"/>
    <x v="116"/>
    <n v="729.22"/>
    <s v="Completed"/>
    <x v="0"/>
    <s v="Debit Card"/>
  </r>
  <r>
    <n v="4388"/>
    <n v="5170"/>
    <x v="285"/>
    <n v="105.06"/>
    <s v="Completed"/>
    <x v="2"/>
    <s v="Debit Card"/>
  </r>
  <r>
    <n v="4389"/>
    <n v="2240"/>
    <x v="220"/>
    <n v="1205.27"/>
    <s v="Completed"/>
    <x v="4"/>
    <s v="PayPal"/>
  </r>
  <r>
    <n v="4390"/>
    <n v="6151"/>
    <x v="202"/>
    <n v="1329.85"/>
    <s v="Completed"/>
    <x v="3"/>
    <s v="Apple Pay"/>
  </r>
  <r>
    <n v="4391"/>
    <n v="6378"/>
    <x v="88"/>
    <n v="156.65"/>
    <s v="Completed"/>
    <x v="1"/>
    <s v="Debit Card"/>
  </r>
  <r>
    <n v="4392"/>
    <n v="3173"/>
    <x v="185"/>
    <n v="1645.54"/>
    <s v="Completed"/>
    <x v="0"/>
    <s v="Credit Card"/>
  </r>
  <r>
    <n v="4393"/>
    <n v="9493"/>
    <x v="88"/>
    <n v="968.43"/>
    <s v="Completed"/>
    <x v="3"/>
    <s v="Debit Card"/>
  </r>
  <r>
    <n v="4394"/>
    <n v="4823"/>
    <x v="239"/>
    <n v="448.66"/>
    <s v="Completed"/>
    <x v="5"/>
    <s v="Credit Card"/>
  </r>
  <r>
    <n v="4395"/>
    <n v="8269"/>
    <x v="347"/>
    <n v="680.22"/>
    <s v="Completed"/>
    <x v="1"/>
    <s v="Debit Card"/>
  </r>
  <r>
    <n v="4396"/>
    <n v="1103"/>
    <x v="281"/>
    <n v="494.16"/>
    <s v="Completed"/>
    <x v="2"/>
    <s v="PayPal"/>
  </r>
  <r>
    <n v="4397"/>
    <n v="6210"/>
    <x v="259"/>
    <n v="776.8"/>
    <s v="Completed"/>
    <x v="3"/>
    <s v="Apple Pay"/>
  </r>
  <r>
    <n v="4398"/>
    <n v="2633"/>
    <x v="226"/>
    <n v="1369.57"/>
    <s v="Completed"/>
    <x v="1"/>
    <s v="Credit Card"/>
  </r>
  <r>
    <n v="4399"/>
    <n v="510"/>
    <x v="17"/>
    <n v="270.67"/>
    <s v="Completed"/>
    <x v="4"/>
    <s v="Apple Pay"/>
  </r>
  <r>
    <n v="4400"/>
    <n v="1539"/>
    <x v="51"/>
    <n v="2220.02"/>
    <s v="Completed"/>
    <x v="1"/>
    <s v="Debit Card"/>
  </r>
  <r>
    <n v="4401"/>
    <n v="4161"/>
    <x v="268"/>
    <n v="1671.84"/>
    <s v="Completed"/>
    <x v="1"/>
    <s v="Credit Card"/>
  </r>
  <r>
    <n v="4402"/>
    <n v="2661"/>
    <x v="341"/>
    <n v="2650.24"/>
    <s v="Completed"/>
    <x v="3"/>
    <s v="Credit Card"/>
  </r>
  <r>
    <n v="4403"/>
    <n v="3927"/>
    <x v="30"/>
    <n v="416.48"/>
    <s v="Completed"/>
    <x v="4"/>
    <s v="Debit Card"/>
  </r>
  <r>
    <n v="4404"/>
    <n v="5936"/>
    <x v="89"/>
    <n v="1239.78"/>
    <s v="Completed"/>
    <x v="4"/>
    <s v="Credit Card"/>
  </r>
  <r>
    <n v="4405"/>
    <n v="2122"/>
    <x v="247"/>
    <n v="96.07"/>
    <s v="Completed"/>
    <x v="3"/>
    <s v="Debit Card"/>
  </r>
  <r>
    <n v="4406"/>
    <n v="2782"/>
    <x v="84"/>
    <n v="3503.64"/>
    <s v="Completed"/>
    <x v="3"/>
    <s v="PayPal"/>
  </r>
  <r>
    <n v="4407"/>
    <n v="1059"/>
    <x v="202"/>
    <n v="1072.43"/>
    <s v="Completed"/>
    <x v="4"/>
    <s v="Credit Card"/>
  </r>
  <r>
    <n v="4408"/>
    <n v="5442"/>
    <x v="105"/>
    <n v="1051.31"/>
    <s v="Completed"/>
    <x v="2"/>
    <s v="PayPal"/>
  </r>
  <r>
    <n v="4409"/>
    <n v="5832"/>
    <x v="41"/>
    <n v="2114.7399999999998"/>
    <s v="Completed"/>
    <x v="3"/>
    <s v="PayPal"/>
  </r>
  <r>
    <n v="4410"/>
    <n v="1321"/>
    <x v="334"/>
    <n v="966.66"/>
    <s v="Completed"/>
    <x v="2"/>
    <s v="Apple Pay"/>
  </r>
  <r>
    <n v="4411"/>
    <n v="9933"/>
    <x v="61"/>
    <n v="30.63"/>
    <s v="Completed"/>
    <x v="0"/>
    <s v="PayPal"/>
  </r>
  <r>
    <n v="4412"/>
    <n v="8438"/>
    <x v="10"/>
    <n v="299.56"/>
    <s v="Completed"/>
    <x v="1"/>
    <s v="Apple Pay"/>
  </r>
  <r>
    <n v="4413"/>
    <n v="8804"/>
    <x v="275"/>
    <n v="753.56"/>
    <s v="Completed"/>
    <x v="4"/>
    <s v="Credit Card"/>
  </r>
  <r>
    <n v="4414"/>
    <n v="962"/>
    <x v="21"/>
    <n v="1010.56"/>
    <s v="Completed"/>
    <x v="4"/>
    <s v="Apple Pay"/>
  </r>
  <r>
    <n v="4415"/>
    <n v="5956"/>
    <x v="179"/>
    <n v="299.56"/>
    <s v="Completed"/>
    <x v="4"/>
    <s v="Apple Pay"/>
  </r>
  <r>
    <n v="4416"/>
    <n v="858"/>
    <x v="203"/>
    <n v="1492.99"/>
    <s v="Completed"/>
    <x v="4"/>
    <s v="PayPal"/>
  </r>
  <r>
    <n v="4417"/>
    <n v="1011"/>
    <x v="127"/>
    <n v="189.69"/>
    <s v="Completed"/>
    <x v="3"/>
    <s v="Debit Card"/>
  </r>
  <r>
    <n v="4418"/>
    <n v="2278"/>
    <x v="186"/>
    <n v="638.1"/>
    <s v="Completed"/>
    <x v="3"/>
    <s v="Apple Pay"/>
  </r>
  <r>
    <n v="4419"/>
    <n v="8656"/>
    <x v="136"/>
    <n v="1380.73"/>
    <s v="Completed"/>
    <x v="0"/>
    <s v="PayPal"/>
  </r>
  <r>
    <n v="4420"/>
    <n v="9796"/>
    <x v="108"/>
    <n v="270.86"/>
    <s v="Completed"/>
    <x v="4"/>
    <s v="Apple Pay"/>
  </r>
  <r>
    <n v="4421"/>
    <n v="7279"/>
    <x v="88"/>
    <n v="3386.73"/>
    <s v="Completed"/>
    <x v="4"/>
    <s v="Credit Card"/>
  </r>
  <r>
    <n v="4422"/>
    <n v="4450"/>
    <x v="45"/>
    <n v="545.46"/>
    <s v="Completed"/>
    <x v="3"/>
    <s v="Debit Card"/>
  </r>
  <r>
    <n v="4423"/>
    <n v="2934"/>
    <x v="26"/>
    <n v="290.79000000000002"/>
    <s v="Completed"/>
    <x v="3"/>
    <s v="PayPal"/>
  </r>
  <r>
    <n v="4424"/>
    <n v="9885"/>
    <x v="188"/>
    <n v="1769.19"/>
    <s v="Completed"/>
    <x v="4"/>
    <s v="PayPal"/>
  </r>
  <r>
    <n v="4425"/>
    <n v="8878"/>
    <x v="289"/>
    <n v="683.28"/>
    <s v="Completed"/>
    <x v="4"/>
    <s v="PayPal"/>
  </r>
  <r>
    <n v="4426"/>
    <n v="6843"/>
    <x v="102"/>
    <n v="818.03"/>
    <s v="Completed"/>
    <x v="1"/>
    <s v="Credit Card"/>
  </r>
  <r>
    <n v="4427"/>
    <n v="3327"/>
    <x v="348"/>
    <n v="240.73"/>
    <s v="Completed"/>
    <x v="3"/>
    <s v="Credit Card"/>
  </r>
  <r>
    <n v="4428"/>
    <n v="4291"/>
    <x v="328"/>
    <n v="2337.56"/>
    <s v="Completed"/>
    <x v="0"/>
    <s v="Apple Pay"/>
  </r>
  <r>
    <n v="4429"/>
    <n v="7977"/>
    <x v="45"/>
    <n v="1231.5999999999999"/>
    <s v="Completed"/>
    <x v="2"/>
    <s v="Credit Card"/>
  </r>
  <r>
    <n v="4430"/>
    <n v="7686"/>
    <x v="227"/>
    <n v="2169.11"/>
    <s v="Completed"/>
    <x v="4"/>
    <s v="Apple Pay"/>
  </r>
  <r>
    <n v="4431"/>
    <n v="5358"/>
    <x v="86"/>
    <n v="1151.55"/>
    <s v="Completed"/>
    <x v="0"/>
    <s v="Apple Pay"/>
  </r>
  <r>
    <n v="4432"/>
    <n v="4816"/>
    <x v="322"/>
    <n v="1604.65"/>
    <s v="Completed"/>
    <x v="0"/>
    <s v="Credit Card"/>
  </r>
  <r>
    <n v="4433"/>
    <n v="7504"/>
    <x v="331"/>
    <n v="4553.08"/>
    <s v="Completed"/>
    <x v="3"/>
    <s v="Debit Card"/>
  </r>
  <r>
    <n v="4434"/>
    <n v="8327"/>
    <x v="344"/>
    <n v="479.1"/>
    <s v="Completed"/>
    <x v="2"/>
    <s v="Debit Card"/>
  </r>
  <r>
    <n v="4435"/>
    <n v="5712"/>
    <x v="88"/>
    <n v="748.3"/>
    <s v="Completed"/>
    <x v="1"/>
    <s v="Debit Card"/>
  </r>
  <r>
    <n v="4436"/>
    <n v="2288"/>
    <x v="294"/>
    <n v="983.11"/>
    <s v="Completed"/>
    <x v="2"/>
    <s v="Debit Card"/>
  </r>
  <r>
    <n v="4437"/>
    <n v="326"/>
    <x v="219"/>
    <n v="833.52"/>
    <s v="Completed"/>
    <x v="0"/>
    <s v="PayPal"/>
  </r>
  <r>
    <n v="4438"/>
    <n v="3899"/>
    <x v="36"/>
    <n v="240.57"/>
    <s v="Completed"/>
    <x v="3"/>
    <s v="Credit Card"/>
  </r>
  <r>
    <n v="4439"/>
    <n v="4589"/>
    <x v="58"/>
    <n v="1146.95"/>
    <s v="Completed"/>
    <x v="2"/>
    <s v="PayPal"/>
  </r>
  <r>
    <n v="4440"/>
    <n v="6062"/>
    <x v="4"/>
    <n v="363.06"/>
    <s v="Completed"/>
    <x v="3"/>
    <s v="Apple Pay"/>
  </r>
  <r>
    <n v="4441"/>
    <n v="7348"/>
    <x v="22"/>
    <n v="700.62"/>
    <s v="Completed"/>
    <x v="1"/>
    <s v="Apple Pay"/>
  </r>
  <r>
    <n v="4442"/>
    <n v="7336"/>
    <x v="349"/>
    <n v="510.56"/>
    <s v="Completed"/>
    <x v="0"/>
    <s v="PayPal"/>
  </r>
  <r>
    <n v="4443"/>
    <n v="1776"/>
    <x v="18"/>
    <n v="1700.45"/>
    <s v="Completed"/>
    <x v="2"/>
    <s v="Credit Card"/>
  </r>
  <r>
    <n v="4444"/>
    <n v="2772"/>
    <x v="43"/>
    <n v="399.61"/>
    <s v="Completed"/>
    <x v="4"/>
    <s v="Credit Card"/>
  </r>
  <r>
    <n v="4445"/>
    <n v="3802"/>
    <x v="276"/>
    <n v="355.4"/>
    <s v="Completed"/>
    <x v="1"/>
    <s v="Credit Card"/>
  </r>
  <r>
    <n v="4446"/>
    <n v="7948"/>
    <x v="156"/>
    <n v="1531.7"/>
    <s v="Completed"/>
    <x v="3"/>
    <s v="Apple Pay"/>
  </r>
  <r>
    <n v="4447"/>
    <n v="7511"/>
    <x v="57"/>
    <n v="4492.8100000000004"/>
    <s v="Completed"/>
    <x v="4"/>
    <s v="Apple Pay"/>
  </r>
  <r>
    <n v="4448"/>
    <n v="5259"/>
    <x v="190"/>
    <n v="3986.22"/>
    <s v="Completed"/>
    <x v="3"/>
    <s v="Credit Card"/>
  </r>
  <r>
    <n v="4449"/>
    <n v="9933"/>
    <x v="110"/>
    <n v="638.1"/>
    <s v="Completed"/>
    <x v="0"/>
    <s v="Credit Card"/>
  </r>
  <r>
    <n v="4450"/>
    <n v="9258"/>
    <x v="106"/>
    <n v="201.88"/>
    <s v="Completed"/>
    <x v="3"/>
    <s v="Apple Pay"/>
  </r>
  <r>
    <n v="4451"/>
    <n v="4466"/>
    <x v="357"/>
    <n v="667.02"/>
    <s v="Completed"/>
    <x v="1"/>
    <s v="Credit Card"/>
  </r>
  <r>
    <n v="4452"/>
    <n v="6856"/>
    <x v="242"/>
    <n v="636.03"/>
    <s v="Completed"/>
    <x v="2"/>
    <s v="Credit Card"/>
  </r>
  <r>
    <n v="4453"/>
    <n v="523"/>
    <x v="348"/>
    <n v="479.1"/>
    <s v="Completed"/>
    <x v="3"/>
    <s v="Apple Pay"/>
  </r>
  <r>
    <n v="4454"/>
    <n v="9946"/>
    <x v="84"/>
    <n v="1364.83"/>
    <s v="Completed"/>
    <x v="4"/>
    <s v="PayPal"/>
  </r>
  <r>
    <n v="4455"/>
    <n v="1079"/>
    <x v="305"/>
    <n v="260.14999999999998"/>
    <s v="Completed"/>
    <x v="4"/>
    <s v="Debit Card"/>
  </r>
  <r>
    <n v="4456"/>
    <n v="1433"/>
    <x v="285"/>
    <n v="366.31"/>
    <s v="Completed"/>
    <x v="0"/>
    <s v="Debit Card"/>
  </r>
  <r>
    <n v="4457"/>
    <n v="8207"/>
    <x v="111"/>
    <n v="187.47"/>
    <s v="Completed"/>
    <x v="3"/>
    <s v="Credit Card"/>
  </r>
  <r>
    <n v="4458"/>
    <n v="6341"/>
    <x v="96"/>
    <n v="1729.21"/>
    <s v="Completed"/>
    <x v="2"/>
    <s v="PayPal"/>
  </r>
  <r>
    <n v="4459"/>
    <n v="3193"/>
    <x v="136"/>
    <n v="1490.74"/>
    <s v="Completed"/>
    <x v="2"/>
    <s v="Apple Pay"/>
  </r>
  <r>
    <n v="4460"/>
    <n v="5220"/>
    <x v="158"/>
    <n v="376.79"/>
    <s v="Completed"/>
    <x v="3"/>
    <s v="Credit Card"/>
  </r>
  <r>
    <n v="4461"/>
    <n v="1515"/>
    <x v="89"/>
    <n v="1317.74"/>
    <s v="Completed"/>
    <x v="2"/>
    <s v="Debit Card"/>
  </r>
  <r>
    <n v="4462"/>
    <n v="2038"/>
    <x v="154"/>
    <n v="418.6"/>
    <s v="Completed"/>
    <x v="4"/>
    <s v="Debit Card"/>
  </r>
  <r>
    <n v="4463"/>
    <n v="2049"/>
    <x v="361"/>
    <n v="1817.53"/>
    <s v="Completed"/>
    <x v="4"/>
    <s v="Credit Card"/>
  </r>
  <r>
    <n v="4464"/>
    <n v="9392"/>
    <x v="55"/>
    <n v="1262.3599999999999"/>
    <s v="Completed"/>
    <x v="1"/>
    <s v="Apple Pay"/>
  </r>
  <r>
    <n v="4465"/>
    <n v="9558"/>
    <x v="208"/>
    <n v="282.13"/>
    <s v="Completed"/>
    <x v="3"/>
    <s v="Apple Pay"/>
  </r>
  <r>
    <n v="4466"/>
    <n v="5174"/>
    <x v="161"/>
    <n v="382.56"/>
    <s v="Completed"/>
    <x v="0"/>
    <s v="Debit Card"/>
  </r>
  <r>
    <n v="4467"/>
    <n v="6755"/>
    <x v="84"/>
    <n v="1342.87"/>
    <s v="Completed"/>
    <x v="0"/>
    <s v="PayPal"/>
  </r>
  <r>
    <n v="4468"/>
    <n v="6345"/>
    <x v="82"/>
    <n v="2157.79"/>
    <s v="Completed"/>
    <x v="4"/>
    <s v="Credit Card"/>
  </r>
  <r>
    <n v="4469"/>
    <n v="2431"/>
    <x v="37"/>
    <n v="212.42"/>
    <s v="Completed"/>
    <x v="2"/>
    <s v="Debit Card"/>
  </r>
  <r>
    <n v="4470"/>
    <n v="3056"/>
    <x v="186"/>
    <n v="1159.2"/>
    <s v="Completed"/>
    <x v="0"/>
    <s v="Credit Card"/>
  </r>
  <r>
    <n v="4471"/>
    <n v="1636"/>
    <x v="277"/>
    <n v="1836.52"/>
    <s v="Completed"/>
    <x v="2"/>
    <s v="Debit Card"/>
  </r>
  <r>
    <n v="4472"/>
    <n v="9073"/>
    <x v="184"/>
    <n v="629.96"/>
    <s v="Completed"/>
    <x v="2"/>
    <s v="Credit Card"/>
  </r>
  <r>
    <n v="4473"/>
    <n v="5649"/>
    <x v="114"/>
    <n v="3142.56"/>
    <s v="Completed"/>
    <x v="2"/>
    <s v="PayPal"/>
  </r>
  <r>
    <n v="4474"/>
    <n v="4326"/>
    <x v="357"/>
    <n v="570.94000000000005"/>
    <s v="Completed"/>
    <x v="3"/>
    <s v="Debit Card"/>
  </r>
  <r>
    <n v="4475"/>
    <n v="1289"/>
    <x v="248"/>
    <n v="698.36"/>
    <s v="Completed"/>
    <x v="3"/>
    <s v="PayPal"/>
  </r>
  <r>
    <n v="4476"/>
    <n v="6726"/>
    <x v="57"/>
    <n v="1589.35"/>
    <s v="Completed"/>
    <x v="0"/>
    <s v="PayPal"/>
  </r>
  <r>
    <n v="4477"/>
    <n v="2720"/>
    <x v="272"/>
    <n v="3356.12"/>
    <s v="Cancelled"/>
    <x v="3"/>
    <s v="Debit Card"/>
  </r>
  <r>
    <n v="4478"/>
    <n v="8361"/>
    <x v="286"/>
    <n v="1541.54"/>
    <s v="Completed"/>
    <x v="1"/>
    <s v="Credit Card"/>
  </r>
  <r>
    <n v="4479"/>
    <n v="6866"/>
    <x v="18"/>
    <n v="140.76"/>
    <s v="Completed"/>
    <x v="3"/>
    <s v="Credit Card"/>
  </r>
  <r>
    <n v="4480"/>
    <n v="2255"/>
    <x v="35"/>
    <n v="1094.3599999999999"/>
    <s v="Completed"/>
    <x v="4"/>
    <s v="Debit Card"/>
  </r>
  <r>
    <n v="4481"/>
    <n v="7097"/>
    <x v="100"/>
    <n v="3009.81"/>
    <s v="Completed"/>
    <x v="4"/>
    <s v="PayPal"/>
  </r>
  <r>
    <n v="4482"/>
    <n v="2403"/>
    <x v="48"/>
    <n v="714.98"/>
    <s v="Completed"/>
    <x v="0"/>
    <s v="Debit Card"/>
  </r>
  <r>
    <n v="4483"/>
    <n v="7409"/>
    <x v="107"/>
    <n v="2172.65"/>
    <s v="Completed"/>
    <x v="3"/>
    <s v="Apple Pay"/>
  </r>
  <r>
    <n v="4484"/>
    <n v="4164"/>
    <x v="77"/>
    <n v="146.63"/>
    <s v="Completed"/>
    <x v="1"/>
    <s v="Debit Card"/>
  </r>
  <r>
    <n v="4485"/>
    <n v="4745"/>
    <x v="219"/>
    <n v="5236.2299999999996"/>
    <s v="Completed"/>
    <x v="1"/>
    <s v="Apple Pay"/>
  </r>
  <r>
    <n v="4486"/>
    <n v="2699"/>
    <x v="29"/>
    <n v="1696.2"/>
    <s v="Completed"/>
    <x v="2"/>
    <s v="Apple Pay"/>
  </r>
  <r>
    <n v="4487"/>
    <n v="7439"/>
    <x v="63"/>
    <n v="932.03"/>
    <s v="Completed"/>
    <x v="0"/>
    <s v="Apple Pay"/>
  </r>
  <r>
    <n v="4488"/>
    <n v="8084"/>
    <x v="270"/>
    <n v="644.44000000000005"/>
    <s v="Completed"/>
    <x v="4"/>
    <s v="Apple Pay"/>
  </r>
  <r>
    <n v="4489"/>
    <n v="4837"/>
    <x v="229"/>
    <n v="643.53"/>
    <s v="Completed"/>
    <x v="3"/>
    <s v="PayPal"/>
  </r>
  <r>
    <n v="4490"/>
    <n v="7095"/>
    <x v="127"/>
    <n v="3104.48"/>
    <s v="Completed"/>
    <x v="0"/>
    <s v="Apple Pay"/>
  </r>
  <r>
    <n v="4491"/>
    <n v="2666"/>
    <x v="162"/>
    <n v="548.66"/>
    <s v="Completed"/>
    <x v="4"/>
    <s v="PayPal"/>
  </r>
  <r>
    <n v="4492"/>
    <n v="9665"/>
    <x v="303"/>
    <n v="1021.87"/>
    <s v="Completed"/>
    <x v="4"/>
    <s v="Debit Card"/>
  </r>
  <r>
    <n v="4493"/>
    <n v="2626"/>
    <x v="77"/>
    <n v="912.95"/>
    <s v="Completed"/>
    <x v="3"/>
    <s v="Apple Pay"/>
  </r>
  <r>
    <n v="4494"/>
    <n v="7517"/>
    <x v="120"/>
    <n v="4203.5600000000004"/>
    <s v="Completed"/>
    <x v="2"/>
    <s v="Debit Card"/>
  </r>
  <r>
    <n v="4495"/>
    <n v="5692"/>
    <x v="257"/>
    <n v="274.33"/>
    <s v="Completed"/>
    <x v="1"/>
    <s v="PayPal"/>
  </r>
  <r>
    <n v="4496"/>
    <n v="9520"/>
    <x v="178"/>
    <n v="258.66000000000003"/>
    <s v="Completed"/>
    <x v="4"/>
    <s v="Apple Pay"/>
  </r>
  <r>
    <n v="4497"/>
    <n v="9586"/>
    <x v="159"/>
    <n v="981.96"/>
    <s v="Completed"/>
    <x v="0"/>
    <s v="Credit Card"/>
  </r>
  <r>
    <n v="4498"/>
    <n v="9317"/>
    <x v="99"/>
    <n v="100.33"/>
    <s v="Completed"/>
    <x v="1"/>
    <s v="Apple Pay"/>
  </r>
  <r>
    <n v="4499"/>
    <n v="6722"/>
    <x v="290"/>
    <n v="256.68"/>
    <s v="Completed"/>
    <x v="4"/>
    <s v="Credit Card"/>
  </r>
  <r>
    <n v="4500"/>
    <n v="8109"/>
    <x v="6"/>
    <n v="2054"/>
    <s v="Completed"/>
    <x v="4"/>
    <s v="Apple Pay"/>
  </r>
  <r>
    <n v="4501"/>
    <n v="6907"/>
    <x v="207"/>
    <n v="2956.03"/>
    <s v="Completed"/>
    <x v="2"/>
    <s v="Apple Pay"/>
  </r>
  <r>
    <n v="4502"/>
    <n v="2194"/>
    <x v="187"/>
    <n v="1093.83"/>
    <s v="Completed"/>
    <x v="3"/>
    <s v="Credit Card"/>
  </r>
  <r>
    <n v="4503"/>
    <n v="5499"/>
    <x v="265"/>
    <n v="1113.58"/>
    <s v="Cancelled"/>
    <x v="0"/>
    <s v="PayPal"/>
  </r>
  <r>
    <n v="4504"/>
    <n v="2608"/>
    <x v="318"/>
    <n v="315.29000000000002"/>
    <s v="Completed"/>
    <x v="1"/>
    <s v="Debit Card"/>
  </r>
  <r>
    <n v="4505"/>
    <n v="2908"/>
    <x v="226"/>
    <n v="1188.82"/>
    <s v="Completed"/>
    <x v="4"/>
    <s v="PayPal"/>
  </r>
  <r>
    <n v="4506"/>
    <n v="8999"/>
    <x v="224"/>
    <n v="132.47999999999999"/>
    <s v="Completed"/>
    <x v="4"/>
    <s v="Credit Card"/>
  </r>
  <r>
    <n v="4507"/>
    <n v="9732"/>
    <x v="176"/>
    <n v="1327.05"/>
    <s v="Completed"/>
    <x v="0"/>
    <s v="Apple Pay"/>
  </r>
  <r>
    <n v="4508"/>
    <n v="2209"/>
    <x v="53"/>
    <n v="1668.06"/>
    <s v="Completed"/>
    <x v="2"/>
    <s v="Credit Card"/>
  </r>
  <r>
    <n v="4509"/>
    <n v="8308"/>
    <x v="363"/>
    <n v="884.91"/>
    <s v="Completed"/>
    <x v="4"/>
    <s v="Debit Card"/>
  </r>
  <r>
    <n v="4510"/>
    <n v="8980"/>
    <x v="327"/>
    <n v="1363.73"/>
    <s v="Completed"/>
    <x v="0"/>
    <s v="Apple Pay"/>
  </r>
  <r>
    <n v="4511"/>
    <n v="9597"/>
    <x v="14"/>
    <n v="439.38"/>
    <s v="Completed"/>
    <x v="0"/>
    <s v="Credit Card"/>
  </r>
  <r>
    <n v="4512"/>
    <n v="8081"/>
    <x v="31"/>
    <n v="735.27"/>
    <s v="Completed"/>
    <x v="0"/>
    <s v="Apple Pay"/>
  </r>
  <r>
    <n v="4513"/>
    <n v="5518"/>
    <x v="323"/>
    <n v="266.31"/>
    <s v="Completed"/>
    <x v="1"/>
    <s v="PayPal"/>
  </r>
  <r>
    <n v="4514"/>
    <n v="1079"/>
    <x v="345"/>
    <n v="428.94"/>
    <s v="Completed"/>
    <x v="4"/>
    <s v="Apple Pay"/>
  </r>
  <r>
    <n v="4515"/>
    <n v="1262"/>
    <x v="206"/>
    <n v="4297.6000000000004"/>
    <s v="Completed"/>
    <x v="1"/>
    <s v="Apple Pay"/>
  </r>
  <r>
    <n v="4516"/>
    <n v="4370"/>
    <x v="256"/>
    <n v="417.8"/>
    <s v="Completed"/>
    <x v="2"/>
    <s v="Credit Card"/>
  </r>
  <r>
    <n v="4517"/>
    <n v="1709"/>
    <x v="219"/>
    <n v="295.79000000000002"/>
    <s v="Cancelled"/>
    <x v="3"/>
    <s v="Apple Pay"/>
  </r>
  <r>
    <n v="4518"/>
    <n v="3400"/>
    <x v="268"/>
    <n v="44.16"/>
    <s v="Completed"/>
    <x v="2"/>
    <s v="PayPal"/>
  </r>
  <r>
    <n v="4519"/>
    <n v="9197"/>
    <x v="58"/>
    <n v="1817.07"/>
    <s v="Completed"/>
    <x v="0"/>
    <s v="Debit Card"/>
  </r>
  <r>
    <n v="4520"/>
    <n v="8684"/>
    <x v="1"/>
    <n v="1636.91"/>
    <s v="Completed"/>
    <x v="3"/>
    <s v="Debit Card"/>
  </r>
  <r>
    <n v="4521"/>
    <n v="1685"/>
    <x v="158"/>
    <n v="1494.89"/>
    <s v="Completed"/>
    <x v="0"/>
    <s v="Credit Card"/>
  </r>
  <r>
    <n v="4522"/>
    <n v="7520"/>
    <x v="322"/>
    <n v="1077.28"/>
    <s v="Completed"/>
    <x v="0"/>
    <s v="PayPal"/>
  </r>
  <r>
    <n v="4523"/>
    <n v="2456"/>
    <x v="356"/>
    <n v="1490.74"/>
    <s v="Completed"/>
    <x v="3"/>
    <s v="Debit Card"/>
  </r>
  <r>
    <n v="4524"/>
    <n v="668"/>
    <x v="271"/>
    <n v="1472.77"/>
    <s v="Completed"/>
    <x v="4"/>
    <s v="PayPal"/>
  </r>
  <r>
    <n v="4525"/>
    <n v="6051"/>
    <x v="22"/>
    <n v="300.98"/>
    <s v="Completed"/>
    <x v="3"/>
    <s v="Apple Pay"/>
  </r>
  <r>
    <n v="4526"/>
    <n v="4074"/>
    <x v="173"/>
    <n v="1146.8499999999999"/>
    <s v="Returned"/>
    <x v="3"/>
    <s v="Debit Card"/>
  </r>
  <r>
    <n v="4527"/>
    <n v="1901"/>
    <x v="286"/>
    <n v="84.52"/>
    <s v="Completed"/>
    <x v="4"/>
    <s v="Credit Card"/>
  </r>
  <r>
    <n v="4528"/>
    <n v="2314"/>
    <x v="321"/>
    <n v="1798.4"/>
    <s v="Completed"/>
    <x v="3"/>
    <s v="PayPal"/>
  </r>
  <r>
    <n v="4529"/>
    <n v="5399"/>
    <x v="3"/>
    <n v="375.78"/>
    <s v="Completed"/>
    <x v="5"/>
    <s v="PayPal"/>
  </r>
  <r>
    <n v="4530"/>
    <n v="8515"/>
    <x v="147"/>
    <n v="830.06"/>
    <s v="Completed"/>
    <x v="3"/>
    <s v="Debit Card"/>
  </r>
  <r>
    <n v="4531"/>
    <n v="6185"/>
    <x v="145"/>
    <n v="716.89"/>
    <s v="Completed"/>
    <x v="1"/>
    <s v="Credit Card"/>
  </r>
  <r>
    <n v="4532"/>
    <n v="6270"/>
    <x v="7"/>
    <n v="1146.8499999999999"/>
    <s v="Completed"/>
    <x v="2"/>
    <s v="PayPal"/>
  </r>
  <r>
    <n v="4533"/>
    <n v="9751"/>
    <x v="75"/>
    <n v="2269.61"/>
    <s v="Completed"/>
    <x v="1"/>
    <s v="Debit Card"/>
  </r>
  <r>
    <n v="4534"/>
    <n v="6277"/>
    <x v="162"/>
    <n v="580"/>
    <s v="Completed"/>
    <x v="3"/>
    <s v="Debit Card"/>
  </r>
  <r>
    <n v="4535"/>
    <n v="8667"/>
    <x v="250"/>
    <n v="1066.3699999999999"/>
    <s v="Completed"/>
    <x v="1"/>
    <s v="Credit Card"/>
  </r>
  <r>
    <n v="4536"/>
    <n v="5054"/>
    <x v="302"/>
    <n v="140.76"/>
    <s v="Completed"/>
    <x v="0"/>
    <s v="Apple Pay"/>
  </r>
  <r>
    <n v="4537"/>
    <n v="3553"/>
    <x v="311"/>
    <n v="2273.0500000000002"/>
    <s v="Completed"/>
    <x v="0"/>
    <s v="Apple Pay"/>
  </r>
  <r>
    <n v="4538"/>
    <n v="9164"/>
    <x v="176"/>
    <n v="408.12"/>
    <s v="Completed"/>
    <x v="4"/>
    <s v="PayPal"/>
  </r>
  <r>
    <n v="4539"/>
    <n v="2884"/>
    <x v="54"/>
    <n v="925.77"/>
    <s v="Completed"/>
    <x v="4"/>
    <s v="Credit Card"/>
  </r>
  <r>
    <n v="4540"/>
    <n v="3712"/>
    <x v="346"/>
    <n v="1429.65"/>
    <s v="Completed"/>
    <x v="2"/>
    <s v="Debit Card"/>
  </r>
  <r>
    <n v="4541"/>
    <n v="5166"/>
    <x v="174"/>
    <n v="511.58"/>
    <s v="Completed"/>
    <x v="2"/>
    <s v="Debit Card"/>
  </r>
  <r>
    <n v="4542"/>
    <n v="4482"/>
    <x v="293"/>
    <n v="1373.3"/>
    <s v="Completed"/>
    <x v="0"/>
    <s v="Credit Card"/>
  </r>
  <r>
    <n v="4543"/>
    <n v="4690"/>
    <x v="364"/>
    <n v="30.63"/>
    <s v="Completed"/>
    <x v="3"/>
    <s v="Apple Pay"/>
  </r>
  <r>
    <n v="4544"/>
    <n v="7349"/>
    <x v="2"/>
    <n v="485.89"/>
    <s v="Cancelled"/>
    <x v="3"/>
    <s v="Debit Card"/>
  </r>
  <r>
    <n v="4545"/>
    <n v="3862"/>
    <x v="220"/>
    <n v="394.17"/>
    <s v="Completed"/>
    <x v="1"/>
    <s v="PayPal"/>
  </r>
  <r>
    <n v="4546"/>
    <n v="5368"/>
    <x v="246"/>
    <n v="401.39"/>
    <s v="Completed"/>
    <x v="4"/>
    <s v="Credit Card"/>
  </r>
  <r>
    <n v="4547"/>
    <n v="1845"/>
    <x v="236"/>
    <n v="1301.32"/>
    <s v="Completed"/>
    <x v="1"/>
    <s v="PayPal"/>
  </r>
  <r>
    <n v="4548"/>
    <n v="8315"/>
    <x v="200"/>
    <n v="943.33"/>
    <s v="Completed"/>
    <x v="2"/>
    <s v="Debit Card"/>
  </r>
  <r>
    <n v="4549"/>
    <n v="1028"/>
    <x v="228"/>
    <n v="150.49"/>
    <s v="Completed"/>
    <x v="1"/>
    <s v="Apple Pay"/>
  </r>
  <r>
    <n v="4550"/>
    <n v="2957"/>
    <x v="64"/>
    <n v="448.66"/>
    <s v="Completed"/>
    <x v="1"/>
    <s v="Apple Pay"/>
  </r>
  <r>
    <n v="4551"/>
    <n v="2134"/>
    <x v="74"/>
    <n v="940.13"/>
    <s v="Completed"/>
    <x v="3"/>
    <s v="PayPal"/>
  </r>
  <r>
    <n v="4552"/>
    <n v="129"/>
    <x v="159"/>
    <n v="766.48"/>
    <s v="Completed"/>
    <x v="4"/>
    <s v="Debit Card"/>
  </r>
  <r>
    <n v="4553"/>
    <n v="5389"/>
    <x v="19"/>
    <n v="222.58"/>
    <s v="Completed"/>
    <x v="3"/>
    <s v="Debit Card"/>
  </r>
  <r>
    <n v="4554"/>
    <n v="9163"/>
    <x v="88"/>
    <n v="869.14"/>
    <s v="Completed"/>
    <x v="2"/>
    <s v="Debit Card"/>
  </r>
  <r>
    <n v="4555"/>
    <n v="6172"/>
    <x v="15"/>
    <n v="1644.76"/>
    <s v="Completed"/>
    <x v="2"/>
    <s v="PayPal"/>
  </r>
  <r>
    <n v="4556"/>
    <n v="4493"/>
    <x v="104"/>
    <n v="2083.34"/>
    <s v="Completed"/>
    <x v="5"/>
    <s v="Apple Pay"/>
  </r>
  <r>
    <n v="4557"/>
    <n v="1765"/>
    <x v="149"/>
    <n v="435.69"/>
    <s v="Completed"/>
    <x v="4"/>
    <s v="Credit Card"/>
  </r>
  <r>
    <n v="4558"/>
    <n v="6195"/>
    <x v="171"/>
    <n v="209.84"/>
    <s v="Completed"/>
    <x v="0"/>
    <s v="Credit Card"/>
  </r>
  <r>
    <n v="4559"/>
    <n v="5314"/>
    <x v="45"/>
    <n v="823.74"/>
    <s v="Completed"/>
    <x v="4"/>
    <s v="Debit Card"/>
  </r>
  <r>
    <n v="4560"/>
    <n v="1934"/>
    <x v="347"/>
    <n v="394.17"/>
    <s v="Completed"/>
    <x v="0"/>
    <s v="Debit Card"/>
  </r>
  <r>
    <n v="4561"/>
    <n v="4625"/>
    <x v="172"/>
    <n v="198.89"/>
    <s v="Completed"/>
    <x v="2"/>
    <s v="Credit Card"/>
  </r>
  <r>
    <n v="4562"/>
    <n v="2673"/>
    <x v="122"/>
    <n v="3259.52"/>
    <s v="Completed"/>
    <x v="4"/>
    <s v="Debit Card"/>
  </r>
  <r>
    <n v="4563"/>
    <n v="8516"/>
    <x v="99"/>
    <n v="3115.81"/>
    <s v="Completed"/>
    <x v="4"/>
    <s v="Credit Card"/>
  </r>
  <r>
    <n v="4564"/>
    <n v="4440"/>
    <x v="59"/>
    <n v="901.51"/>
    <s v="Completed"/>
    <x v="2"/>
    <s v="PayPal"/>
  </r>
  <r>
    <n v="4565"/>
    <n v="6185"/>
    <x v="48"/>
    <n v="2625.84"/>
    <s v="Completed"/>
    <x v="1"/>
    <s v="Apple Pay"/>
  </r>
  <r>
    <n v="4566"/>
    <n v="9300"/>
    <x v="247"/>
    <n v="1085.9100000000001"/>
    <s v="Completed"/>
    <x v="0"/>
    <s v="PayPal"/>
  </r>
  <r>
    <n v="4567"/>
    <n v="4445"/>
    <x v="132"/>
    <n v="4051.21"/>
    <s v="Completed"/>
    <x v="2"/>
    <s v="PayPal"/>
  </r>
  <r>
    <n v="4568"/>
    <n v="5608"/>
    <x v="211"/>
    <n v="788.31"/>
    <s v="Completed"/>
    <x v="0"/>
    <s v="Apple Pay"/>
  </r>
  <r>
    <n v="4569"/>
    <n v="2698"/>
    <x v="44"/>
    <n v="260.61"/>
    <s v="Completed"/>
    <x v="4"/>
    <s v="Credit Card"/>
  </r>
  <r>
    <n v="4570"/>
    <n v="7461"/>
    <x v="131"/>
    <n v="1365.22"/>
    <s v="Completed"/>
    <x v="4"/>
    <s v="PayPal"/>
  </r>
  <r>
    <n v="4571"/>
    <n v="9968"/>
    <x v="139"/>
    <n v="224.96"/>
    <s v="Completed"/>
    <x v="3"/>
    <s v="Apple Pay"/>
  </r>
  <r>
    <n v="4572"/>
    <n v="2223"/>
    <x v="193"/>
    <n v="305.06"/>
    <s v="Completed"/>
    <x v="0"/>
    <s v="Apple Pay"/>
  </r>
  <r>
    <n v="4573"/>
    <n v="6834"/>
    <x v="263"/>
    <n v="2742.27"/>
    <s v="Completed"/>
    <x v="1"/>
    <s v="Apple Pay"/>
  </r>
  <r>
    <n v="4574"/>
    <n v="783"/>
    <x v="188"/>
    <n v="449.81"/>
    <s v="Completed"/>
    <x v="3"/>
    <s v="PayPal"/>
  </r>
  <r>
    <n v="4575"/>
    <n v="4211"/>
    <x v="80"/>
    <n v="3526.32"/>
    <s v="Completed"/>
    <x v="2"/>
    <s v="Apple Pay"/>
  </r>
  <r>
    <n v="4576"/>
    <n v="3170"/>
    <x v="261"/>
    <n v="4092.05"/>
    <s v="Completed"/>
    <x v="2"/>
    <s v="PayPal"/>
  </r>
  <r>
    <n v="4577"/>
    <n v="7424"/>
    <x v="312"/>
    <n v="1118.1199999999999"/>
    <s v="Completed"/>
    <x v="0"/>
    <s v="PayPal"/>
  </r>
  <r>
    <n v="4578"/>
    <n v="7356"/>
    <x v="162"/>
    <n v="1397.62"/>
    <s v="Completed"/>
    <x v="1"/>
    <s v="Apple Pay"/>
  </r>
  <r>
    <n v="4579"/>
    <n v="2519"/>
    <x v="4"/>
    <n v="3626.26"/>
    <s v="Completed"/>
    <x v="4"/>
    <s v="PayPal"/>
  </r>
  <r>
    <n v="4580"/>
    <n v="6448"/>
    <x v="277"/>
    <n v="245.09"/>
    <s v="Completed"/>
    <x v="3"/>
    <s v="Debit Card"/>
  </r>
  <r>
    <n v="4581"/>
    <n v="7408"/>
    <x v="197"/>
    <n v="3674.57"/>
    <s v="Completed"/>
    <x v="1"/>
    <s v="Credit Card"/>
  </r>
  <r>
    <n v="4582"/>
    <n v="2702"/>
    <x v="305"/>
    <n v="230.74"/>
    <s v="Completed"/>
    <x v="2"/>
    <s v="PayPal"/>
  </r>
  <r>
    <n v="4583"/>
    <n v="426"/>
    <x v="120"/>
    <n v="2373.3000000000002"/>
    <s v="Completed"/>
    <x v="3"/>
    <s v="Apple Pay"/>
  </r>
  <r>
    <n v="4584"/>
    <n v="3567"/>
    <x v="89"/>
    <n v="2642.42"/>
    <s v="Completed"/>
    <x v="2"/>
    <s v="Apple Pay"/>
  </r>
  <r>
    <n v="4585"/>
    <n v="6316"/>
    <x v="255"/>
    <n v="2466.2800000000002"/>
    <s v="Completed"/>
    <x v="3"/>
    <s v="Apple Pay"/>
  </r>
  <r>
    <n v="4586"/>
    <n v="8703"/>
    <x v="117"/>
    <n v="1320.02"/>
    <s v="Completed"/>
    <x v="3"/>
    <s v="Credit Card"/>
  </r>
  <r>
    <n v="4587"/>
    <n v="1784"/>
    <x v="338"/>
    <n v="861.87"/>
    <s v="Completed"/>
    <x v="3"/>
    <s v="Credit Card"/>
  </r>
  <r>
    <n v="4588"/>
    <n v="6172"/>
    <x v="225"/>
    <n v="2470.4499999999998"/>
    <s v="Completed"/>
    <x v="2"/>
    <s v="Credit Card"/>
  </r>
  <r>
    <n v="4589"/>
    <n v="6080"/>
    <x v="61"/>
    <n v="142.86000000000001"/>
    <s v="Completed"/>
    <x v="3"/>
    <s v="Credit Card"/>
  </r>
  <r>
    <n v="4590"/>
    <n v="9028"/>
    <x v="268"/>
    <n v="1695.09"/>
    <s v="Completed"/>
    <x v="1"/>
    <s v="PayPal"/>
  </r>
  <r>
    <n v="4591"/>
    <n v="6815"/>
    <x v="177"/>
    <n v="1679.42"/>
    <s v="Completed"/>
    <x v="1"/>
    <s v="Apple Pay"/>
  </r>
  <r>
    <n v="4592"/>
    <n v="2772"/>
    <x v="83"/>
    <n v="861.87"/>
    <s v="Completed"/>
    <x v="4"/>
    <s v="Credit Card"/>
  </r>
  <r>
    <n v="4593"/>
    <n v="159"/>
    <x v="62"/>
    <n v="744.5"/>
    <s v="Completed"/>
    <x v="1"/>
    <s v="PayPal"/>
  </r>
  <r>
    <n v="4594"/>
    <n v="5644"/>
    <x v="191"/>
    <n v="1527.85"/>
    <s v="Completed"/>
    <x v="4"/>
    <s v="Debit Card"/>
  </r>
  <r>
    <n v="4595"/>
    <n v="1365"/>
    <x v="91"/>
    <n v="4691.49"/>
    <s v="Completed"/>
    <x v="0"/>
    <s v="Apple Pay"/>
  </r>
  <r>
    <n v="4596"/>
    <n v="6632"/>
    <x v="276"/>
    <n v="3365.64"/>
    <s v="Completed"/>
    <x v="0"/>
    <s v="Debit Card"/>
  </r>
  <r>
    <n v="4597"/>
    <n v="9954"/>
    <x v="103"/>
    <n v="449.81"/>
    <s v="Completed"/>
    <x v="3"/>
    <s v="PayPal"/>
  </r>
  <r>
    <n v="4598"/>
    <n v="8630"/>
    <x v="197"/>
    <n v="6887.46"/>
    <s v="Completed"/>
    <x v="4"/>
    <s v="Apple Pay"/>
  </r>
  <r>
    <n v="4599"/>
    <n v="9052"/>
    <x v="223"/>
    <n v="1334.28"/>
    <s v="Completed"/>
    <x v="4"/>
    <s v="Credit Card"/>
  </r>
  <r>
    <n v="4600"/>
    <n v="8644"/>
    <x v="227"/>
    <n v="361.61"/>
    <s v="Completed"/>
    <x v="0"/>
    <s v="Apple Pay"/>
  </r>
  <r>
    <n v="4601"/>
    <n v="9793"/>
    <x v="287"/>
    <n v="4339.59"/>
    <s v="Completed"/>
    <x v="4"/>
    <s v="Debit Card"/>
  </r>
  <r>
    <n v="4602"/>
    <n v="8387"/>
    <x v="79"/>
    <n v="768.45"/>
    <s v="Completed"/>
    <x v="2"/>
    <s v="PayPal"/>
  </r>
  <r>
    <n v="4603"/>
    <n v="8430"/>
    <x v="361"/>
    <n v="1518.53"/>
    <s v="Completed"/>
    <x v="3"/>
    <s v="Apple Pay"/>
  </r>
  <r>
    <n v="4604"/>
    <n v="6346"/>
    <x v="65"/>
    <n v="931.48"/>
    <s v="Completed"/>
    <x v="3"/>
    <s v="Credit Card"/>
  </r>
  <r>
    <n v="4605"/>
    <n v="7355"/>
    <x v="42"/>
    <n v="394.17"/>
    <s v="Completed"/>
    <x v="1"/>
    <s v="Credit Card"/>
  </r>
  <r>
    <n v="4606"/>
    <n v="3537"/>
    <x v="45"/>
    <n v="1236.06"/>
    <s v="Completed"/>
    <x v="0"/>
    <s v="Credit Card"/>
  </r>
  <r>
    <n v="4607"/>
    <n v="1798"/>
    <x v="308"/>
    <n v="514.21"/>
    <s v="Completed"/>
    <x v="2"/>
    <s v="PayPal"/>
  </r>
  <r>
    <n v="4608"/>
    <n v="4672"/>
    <x v="236"/>
    <n v="1146.8499999999999"/>
    <s v="Completed"/>
    <x v="4"/>
    <s v="PayPal"/>
  </r>
  <r>
    <n v="4609"/>
    <n v="3035"/>
    <x v="252"/>
    <n v="6597.68"/>
    <s v="Completed"/>
    <x v="4"/>
    <s v="Debit Card"/>
  </r>
  <r>
    <n v="4610"/>
    <n v="2072"/>
    <x v="14"/>
    <n v="189.69"/>
    <s v="Completed"/>
    <x v="2"/>
    <s v="Credit Card"/>
  </r>
  <r>
    <n v="4611"/>
    <n v="7034"/>
    <x v="96"/>
    <n v="477.63"/>
    <s v="Completed"/>
    <x v="0"/>
    <s v="Debit Card"/>
  </r>
  <r>
    <n v="4612"/>
    <n v="3380"/>
    <x v="2"/>
    <n v="2224.4299999999998"/>
    <s v="Completed"/>
    <x v="0"/>
    <s v="PayPal"/>
  </r>
  <r>
    <n v="4613"/>
    <n v="210"/>
    <x v="168"/>
    <n v="552.13"/>
    <s v="Completed"/>
    <x v="1"/>
    <s v="Debit Card"/>
  </r>
  <r>
    <n v="4614"/>
    <n v="1988"/>
    <x v="55"/>
    <n v="4297.68"/>
    <s v="Completed"/>
    <x v="2"/>
    <s v="Debit Card"/>
  </r>
  <r>
    <n v="4615"/>
    <n v="9177"/>
    <x v="91"/>
    <n v="2328.2800000000002"/>
    <s v="Completed"/>
    <x v="3"/>
    <s v="Debit Card"/>
  </r>
  <r>
    <n v="4616"/>
    <n v="1245"/>
    <x v="316"/>
    <n v="528.58000000000004"/>
    <s v="Cancelled"/>
    <x v="0"/>
    <s v="Credit Card"/>
  </r>
  <r>
    <n v="4617"/>
    <n v="2574"/>
    <x v="18"/>
    <n v="1907.22"/>
    <s v="Completed"/>
    <x v="0"/>
    <s v="Apple Pay"/>
  </r>
  <r>
    <n v="4618"/>
    <n v="3035"/>
    <x v="168"/>
    <n v="5978.22"/>
    <s v="Completed"/>
    <x v="4"/>
    <s v="Apple Pay"/>
  </r>
  <r>
    <n v="4619"/>
    <n v="5651"/>
    <x v="91"/>
    <n v="1836.52"/>
    <s v="Completed"/>
    <x v="4"/>
    <s v="PayPal"/>
  </r>
  <r>
    <n v="4620"/>
    <n v="5990"/>
    <x v="304"/>
    <n v="1272.76"/>
    <s v="Completed"/>
    <x v="3"/>
    <s v="Credit Card"/>
  </r>
  <r>
    <n v="4621"/>
    <n v="9927"/>
    <x v="267"/>
    <n v="1932"/>
    <s v="Cancelled"/>
    <x v="0"/>
    <s v="Credit Card"/>
  </r>
  <r>
    <n v="4622"/>
    <n v="373"/>
    <x v="129"/>
    <n v="770.04"/>
    <s v="Completed"/>
    <x v="2"/>
    <s v="Apple Pay"/>
  </r>
  <r>
    <n v="4623"/>
    <n v="7825"/>
    <x v="160"/>
    <n v="2239.88"/>
    <s v="Completed"/>
    <x v="4"/>
    <s v="PayPal"/>
  </r>
  <r>
    <n v="4624"/>
    <n v="9454"/>
    <x v="14"/>
    <n v="1169"/>
    <s v="Completed"/>
    <x v="1"/>
    <s v="Credit Card"/>
  </r>
  <r>
    <n v="4625"/>
    <n v="6344"/>
    <x v="172"/>
    <n v="228.45"/>
    <s v="Completed"/>
    <x v="4"/>
    <s v="Apple Pay"/>
  </r>
  <r>
    <n v="4626"/>
    <n v="1903"/>
    <x v="28"/>
    <n v="1335.47"/>
    <s v="Completed"/>
    <x v="1"/>
    <s v="Apple Pay"/>
  </r>
  <r>
    <n v="4627"/>
    <n v="8152"/>
    <x v="102"/>
    <n v="333.14"/>
    <s v="Completed"/>
    <x v="2"/>
    <s v="Apple Pay"/>
  </r>
  <r>
    <n v="4628"/>
    <n v="1716"/>
    <x v="37"/>
    <n v="2688.94"/>
    <s v="Completed"/>
    <x v="4"/>
    <s v="Debit Card"/>
  </r>
  <r>
    <n v="4629"/>
    <n v="9927"/>
    <x v="16"/>
    <n v="2853.45"/>
    <s v="Completed"/>
    <x v="0"/>
    <s v="Apple Pay"/>
  </r>
  <r>
    <n v="4630"/>
    <n v="5285"/>
    <x v="216"/>
    <n v="198.89"/>
    <s v="Completed"/>
    <x v="3"/>
    <s v="Apple Pay"/>
  </r>
  <r>
    <n v="4631"/>
    <n v="8320"/>
    <x v="115"/>
    <n v="872.37"/>
    <s v="Completed"/>
    <x v="3"/>
    <s v="Apple Pay"/>
  </r>
  <r>
    <n v="4632"/>
    <n v="9911"/>
    <x v="24"/>
    <n v="395.52"/>
    <s v="Completed"/>
    <x v="3"/>
    <s v="Apple Pay"/>
  </r>
  <r>
    <n v="4633"/>
    <n v="923"/>
    <x v="210"/>
    <n v="965.83"/>
    <s v="Completed"/>
    <x v="1"/>
    <s v="Debit Card"/>
  </r>
  <r>
    <n v="4634"/>
    <n v="4501"/>
    <x v="149"/>
    <n v="2711.11"/>
    <s v="Completed"/>
    <x v="4"/>
    <s v="Apple Pay"/>
  </r>
  <r>
    <n v="4635"/>
    <n v="1515"/>
    <x v="163"/>
    <n v="1354.25"/>
    <s v="Completed"/>
    <x v="2"/>
    <s v="Apple Pay"/>
  </r>
  <r>
    <n v="4636"/>
    <n v="1192"/>
    <x v="187"/>
    <n v="836.25"/>
    <s v="Completed"/>
    <x v="1"/>
    <s v="Credit Card"/>
  </r>
  <r>
    <n v="4637"/>
    <n v="4841"/>
    <x v="239"/>
    <n v="211.3"/>
    <s v="Completed"/>
    <x v="5"/>
    <s v="PayPal"/>
  </r>
  <r>
    <n v="4638"/>
    <n v="6431"/>
    <x v="69"/>
    <n v="2122.23"/>
    <s v="Completed"/>
    <x v="0"/>
    <s v="Debit Card"/>
  </r>
  <r>
    <n v="4639"/>
    <n v="6485"/>
    <x v="179"/>
    <n v="525.28"/>
    <s v="Completed"/>
    <x v="1"/>
    <s v="Apple Pay"/>
  </r>
  <r>
    <n v="4640"/>
    <n v="1746"/>
    <x v="246"/>
    <n v="579.6"/>
    <s v="Completed"/>
    <x v="3"/>
    <s v="Apple Pay"/>
  </r>
  <r>
    <n v="4641"/>
    <n v="9281"/>
    <x v="84"/>
    <n v="1655.87"/>
    <s v="Completed"/>
    <x v="2"/>
    <s v="Apple Pay"/>
  </r>
  <r>
    <n v="4642"/>
    <n v="5360"/>
    <x v="342"/>
    <n v="1883.98"/>
    <s v="Completed"/>
    <x v="4"/>
    <s v="PayPal"/>
  </r>
  <r>
    <n v="4643"/>
    <n v="1494"/>
    <x v="43"/>
    <n v="183.34"/>
    <s v="Completed"/>
    <x v="1"/>
    <s v="Debit Card"/>
  </r>
  <r>
    <n v="4644"/>
    <n v="6137"/>
    <x v="156"/>
    <n v="315.29000000000002"/>
    <s v="Completed"/>
    <x v="4"/>
    <s v="Apple Pay"/>
  </r>
  <r>
    <n v="4645"/>
    <n v="2321"/>
    <x v="1"/>
    <n v="689.2"/>
    <s v="Completed"/>
    <x v="0"/>
    <s v="Apple Pay"/>
  </r>
  <r>
    <n v="4646"/>
    <n v="8795"/>
    <x v="180"/>
    <n v="3467.7"/>
    <s v="Completed"/>
    <x v="2"/>
    <s v="Credit Card"/>
  </r>
  <r>
    <n v="4647"/>
    <n v="8801"/>
    <x v="251"/>
    <n v="448.66"/>
    <s v="Cancelled"/>
    <x v="3"/>
    <s v="Credit Card"/>
  </r>
  <r>
    <n v="4648"/>
    <n v="4127"/>
    <x v="207"/>
    <n v="195.62"/>
    <s v="Completed"/>
    <x v="0"/>
    <s v="PayPal"/>
  </r>
  <r>
    <n v="4649"/>
    <n v="839"/>
    <x v="154"/>
    <n v="539.1"/>
    <s v="Completed"/>
    <x v="3"/>
    <s v="PayPal"/>
  </r>
  <r>
    <n v="4650"/>
    <n v="5139"/>
    <x v="316"/>
    <n v="3880.45"/>
    <s v="Completed"/>
    <x v="1"/>
    <s v="PayPal"/>
  </r>
  <r>
    <n v="4651"/>
    <n v="8510"/>
    <x v="263"/>
    <n v="377.58"/>
    <s v="Completed"/>
    <x v="2"/>
    <s v="PayPal"/>
  </r>
  <r>
    <n v="4652"/>
    <n v="6820"/>
    <x v="232"/>
    <n v="290.79000000000002"/>
    <s v="Completed"/>
    <x v="1"/>
    <s v="Apple Pay"/>
  </r>
  <r>
    <n v="4653"/>
    <n v="7692"/>
    <x v="37"/>
    <n v="1128.9100000000001"/>
    <s v="Completed"/>
    <x v="3"/>
    <s v="Debit Card"/>
  </r>
  <r>
    <n v="4654"/>
    <n v="7886"/>
    <x v="22"/>
    <n v="1525.5"/>
    <s v="Completed"/>
    <x v="0"/>
    <s v="PayPal"/>
  </r>
  <r>
    <n v="4655"/>
    <n v="5646"/>
    <x v="67"/>
    <n v="1516.11"/>
    <s v="Completed"/>
    <x v="4"/>
    <s v="Credit Card"/>
  </r>
  <r>
    <n v="4656"/>
    <n v="4945"/>
    <x v="191"/>
    <n v="1071.23"/>
    <s v="Completed"/>
    <x v="1"/>
    <s v="Debit Card"/>
  </r>
  <r>
    <n v="4657"/>
    <n v="1141"/>
    <x v="236"/>
    <n v="3487.49"/>
    <s v="Completed"/>
    <x v="2"/>
    <s v="PayPal"/>
  </r>
  <r>
    <n v="4658"/>
    <n v="5073"/>
    <x v="238"/>
    <n v="2902.06"/>
    <s v="Completed"/>
    <x v="4"/>
    <s v="PayPal"/>
  </r>
  <r>
    <n v="4659"/>
    <n v="8"/>
    <x v="222"/>
    <n v="1803.02"/>
    <s v="Completed"/>
    <x v="3"/>
    <s v="Apple Pay"/>
  </r>
  <r>
    <n v="4660"/>
    <n v="7508"/>
    <x v="233"/>
    <n v="375.31"/>
    <s v="Completed"/>
    <x v="1"/>
    <s v="PayPal"/>
  </r>
  <r>
    <n v="4661"/>
    <n v="3548"/>
    <x v="143"/>
    <n v="258.66000000000003"/>
    <s v="Completed"/>
    <x v="3"/>
    <s v="Apple Pay"/>
  </r>
  <r>
    <n v="4662"/>
    <n v="4131"/>
    <x v="154"/>
    <n v="884.91"/>
    <s v="Completed"/>
    <x v="2"/>
    <s v="Debit Card"/>
  </r>
  <r>
    <n v="4663"/>
    <n v="5781"/>
    <x v="87"/>
    <n v="1360.68"/>
    <s v="Completed"/>
    <x v="0"/>
    <s v="Credit Card"/>
  </r>
  <r>
    <n v="4664"/>
    <n v="3490"/>
    <x v="132"/>
    <n v="105.06"/>
    <s v="Completed"/>
    <x v="0"/>
    <s v="PayPal"/>
  </r>
  <r>
    <n v="4665"/>
    <n v="190"/>
    <x v="70"/>
    <n v="1335.82"/>
    <s v="Completed"/>
    <x v="0"/>
    <s v="Apple Pay"/>
  </r>
  <r>
    <n v="4666"/>
    <n v="748"/>
    <x v="123"/>
    <n v="461.48"/>
    <s v="Completed"/>
    <x v="3"/>
    <s v="PayPal"/>
  </r>
  <r>
    <n v="4667"/>
    <n v="5769"/>
    <x v="330"/>
    <n v="1071.23"/>
    <s v="Completed"/>
    <x v="0"/>
    <s v="Apple Pay"/>
  </r>
  <r>
    <n v="4668"/>
    <n v="591"/>
    <x v="15"/>
    <n v="240.57"/>
    <s v="Completed"/>
    <x v="0"/>
    <s v="Credit Card"/>
  </r>
  <r>
    <n v="4669"/>
    <n v="1078"/>
    <x v="246"/>
    <n v="1086.72"/>
    <s v="Completed"/>
    <x v="0"/>
    <s v="Credit Card"/>
  </r>
  <r>
    <n v="4670"/>
    <n v="2626"/>
    <x v="108"/>
    <n v="901.51"/>
    <s v="Completed"/>
    <x v="3"/>
    <s v="Debit Card"/>
  </r>
  <r>
    <n v="4671"/>
    <n v="7139"/>
    <x v="87"/>
    <n v="4620.96"/>
    <s v="Completed"/>
    <x v="4"/>
    <s v="Apple Pay"/>
  </r>
  <r>
    <n v="4672"/>
    <n v="628"/>
    <x v="267"/>
    <n v="3604.38"/>
    <s v="Completed"/>
    <x v="3"/>
    <s v="Credit Card"/>
  </r>
  <r>
    <n v="4673"/>
    <n v="426"/>
    <x v="277"/>
    <n v="1695.09"/>
    <s v="Completed"/>
    <x v="3"/>
    <s v="Apple Pay"/>
  </r>
  <r>
    <n v="4674"/>
    <n v="8017"/>
    <x v="199"/>
    <n v="1955.92"/>
    <s v="Completed"/>
    <x v="2"/>
    <s v="Debit Card"/>
  </r>
  <r>
    <n v="4675"/>
    <n v="2437"/>
    <x v="228"/>
    <n v="976.15"/>
    <s v="Completed"/>
    <x v="2"/>
    <s v="PayPal"/>
  </r>
  <r>
    <n v="4676"/>
    <n v="1136"/>
    <x v="297"/>
    <n v="2905.14"/>
    <s v="Completed"/>
    <x v="2"/>
    <s v="Credit Card"/>
  </r>
  <r>
    <n v="4677"/>
    <n v="1083"/>
    <x v="341"/>
    <n v="1312.52"/>
    <s v="Completed"/>
    <x v="2"/>
    <s v="Credit Card"/>
  </r>
  <r>
    <n v="4678"/>
    <n v="1685"/>
    <x v="263"/>
    <n v="796.19"/>
    <s v="Completed"/>
    <x v="0"/>
    <s v="PayPal"/>
  </r>
  <r>
    <n v="4679"/>
    <n v="1662"/>
    <x v="62"/>
    <n v="336.84"/>
    <s v="Completed"/>
    <x v="1"/>
    <s v="Debit Card"/>
  </r>
  <r>
    <n v="4680"/>
    <n v="778"/>
    <x v="145"/>
    <n v="767.37"/>
    <s v="Completed"/>
    <x v="1"/>
    <s v="PayPal"/>
  </r>
  <r>
    <n v="4681"/>
    <n v="1196"/>
    <x v="100"/>
    <n v="211.3"/>
    <s v="Completed"/>
    <x v="2"/>
    <s v="PayPal"/>
  </r>
  <r>
    <n v="4682"/>
    <n v="157"/>
    <x v="74"/>
    <n v="406.76"/>
    <s v="Completed"/>
    <x v="4"/>
    <s v="Credit Card"/>
  </r>
  <r>
    <n v="4683"/>
    <n v="9477"/>
    <x v="304"/>
    <n v="1149.8800000000001"/>
    <s v="Completed"/>
    <x v="0"/>
    <s v="Credit Card"/>
  </r>
  <r>
    <n v="4684"/>
    <n v="3134"/>
    <x v="218"/>
    <n v="4439.75"/>
    <s v="Completed"/>
    <x v="4"/>
    <s v="Apple Pay"/>
  </r>
  <r>
    <n v="4685"/>
    <n v="6515"/>
    <x v="6"/>
    <n v="1068.58"/>
    <s v="Completed"/>
    <x v="5"/>
    <s v="Credit Card"/>
  </r>
  <r>
    <n v="4686"/>
    <n v="5946"/>
    <x v="211"/>
    <n v="1816.72"/>
    <s v="Completed"/>
    <x v="3"/>
    <s v="Apple Pay"/>
  </r>
  <r>
    <n v="4687"/>
    <n v="7310"/>
    <x v="61"/>
    <n v="278.93"/>
    <s v="Cancelled"/>
    <x v="2"/>
    <s v="Apple Pay"/>
  </r>
  <r>
    <n v="4688"/>
    <n v="3775"/>
    <x v="52"/>
    <n v="1802.19"/>
    <s v="Completed"/>
    <x v="0"/>
    <s v="PayPal"/>
  </r>
  <r>
    <n v="4689"/>
    <n v="2285"/>
    <x v="95"/>
    <n v="878.41"/>
    <s v="Completed"/>
    <x v="0"/>
    <s v="PayPal"/>
  </r>
  <r>
    <n v="4690"/>
    <n v="4676"/>
    <x v="60"/>
    <n v="1856.7"/>
    <s v="Completed"/>
    <x v="4"/>
    <s v="Credit Card"/>
  </r>
  <r>
    <n v="4691"/>
    <n v="6078"/>
    <x v="166"/>
    <n v="1816.72"/>
    <s v="Completed"/>
    <x v="1"/>
    <s v="PayPal"/>
  </r>
  <r>
    <n v="4692"/>
    <n v="7457"/>
    <x v="216"/>
    <n v="1866.51"/>
    <s v="Completed"/>
    <x v="1"/>
    <s v="Apple Pay"/>
  </r>
  <r>
    <n v="4693"/>
    <n v="4340"/>
    <x v="246"/>
    <n v="447.27"/>
    <s v="Completed"/>
    <x v="0"/>
    <s v="PayPal"/>
  </r>
  <r>
    <n v="4694"/>
    <n v="7943"/>
    <x v="26"/>
    <n v="751.38"/>
    <s v="Completed"/>
    <x v="2"/>
    <s v="Debit Card"/>
  </r>
  <r>
    <n v="4695"/>
    <n v="3868"/>
    <x v="100"/>
    <n v="2282.2399999999998"/>
    <s v="Completed"/>
    <x v="1"/>
    <s v="PayPal"/>
  </r>
  <r>
    <n v="4696"/>
    <n v="5533"/>
    <x v="189"/>
    <n v="743.71"/>
    <s v="Completed"/>
    <x v="1"/>
    <s v="Credit Card"/>
  </r>
  <r>
    <n v="4697"/>
    <n v="3078"/>
    <x v="107"/>
    <n v="1836.02"/>
    <s v="Completed"/>
    <x v="4"/>
    <s v="Apple Pay"/>
  </r>
  <r>
    <n v="4698"/>
    <n v="5120"/>
    <x v="353"/>
    <n v="580"/>
    <s v="Completed"/>
    <x v="0"/>
    <s v="Credit Card"/>
  </r>
  <r>
    <n v="4699"/>
    <n v="6460"/>
    <x v="328"/>
    <n v="904.67"/>
    <s v="Completed"/>
    <x v="1"/>
    <s v="Credit Card"/>
  </r>
  <r>
    <n v="4700"/>
    <n v="4580"/>
    <x v="88"/>
    <n v="1573.55"/>
    <s v="Completed"/>
    <x v="4"/>
    <s v="Credit Card"/>
  </r>
  <r>
    <n v="4701"/>
    <n v="1258"/>
    <x v="202"/>
    <n v="100.33"/>
    <s v="Completed"/>
    <x v="4"/>
    <s v="Credit Card"/>
  </r>
  <r>
    <n v="4702"/>
    <n v="1784"/>
    <x v="10"/>
    <n v="623.01"/>
    <s v="Completed"/>
    <x v="3"/>
    <s v="PayPal"/>
  </r>
  <r>
    <n v="4703"/>
    <n v="2876"/>
    <x v="329"/>
    <n v="1020.73"/>
    <s v="Completed"/>
    <x v="0"/>
    <s v="Debit Card"/>
  </r>
  <r>
    <n v="4704"/>
    <n v="6588"/>
    <x v="195"/>
    <n v="1196.2"/>
    <s v="Completed"/>
    <x v="4"/>
    <s v="PayPal"/>
  </r>
  <r>
    <n v="4705"/>
    <n v="9833"/>
    <x v="29"/>
    <n v="2966.3"/>
    <s v="Completed"/>
    <x v="1"/>
    <s v="Credit Card"/>
  </r>
  <r>
    <n v="4706"/>
    <n v="7502"/>
    <x v="42"/>
    <n v="2923.86"/>
    <s v="Completed"/>
    <x v="1"/>
    <s v="PayPal"/>
  </r>
  <r>
    <n v="4707"/>
    <n v="6812"/>
    <x v="153"/>
    <n v="2083.7199999999998"/>
    <s v="Completed"/>
    <x v="2"/>
    <s v="Apple Pay"/>
  </r>
  <r>
    <n v="4708"/>
    <n v="2245"/>
    <x v="319"/>
    <n v="256.17"/>
    <s v="Completed"/>
    <x v="0"/>
    <s v="Debit Card"/>
  </r>
  <r>
    <n v="4709"/>
    <n v="8890"/>
    <x v="63"/>
    <n v="1128.9100000000001"/>
    <s v="Returned"/>
    <x v="5"/>
    <s v="Debit Card"/>
  </r>
  <r>
    <n v="4710"/>
    <n v="4682"/>
    <x v="88"/>
    <n v="1684.42"/>
    <s v="Completed"/>
    <x v="4"/>
    <s v="Debit Card"/>
  </r>
  <r>
    <n v="4711"/>
    <n v="8630"/>
    <x v="193"/>
    <n v="897.32"/>
    <s v="Completed"/>
    <x v="4"/>
    <s v="PayPal"/>
  </r>
  <r>
    <n v="4712"/>
    <n v="3078"/>
    <x v="74"/>
    <n v="2228.92"/>
    <s v="Returned"/>
    <x v="4"/>
    <s v="Apple Pay"/>
  </r>
  <r>
    <n v="4713"/>
    <n v="6418"/>
    <x v="245"/>
    <n v="4660.7299999999996"/>
    <s v="Cancelled"/>
    <x v="0"/>
    <s v="Debit Card"/>
  </r>
  <r>
    <n v="4714"/>
    <n v="7681"/>
    <x v="159"/>
    <n v="435.69"/>
    <s v="Completed"/>
    <x v="3"/>
    <s v="Apple Pay"/>
  </r>
  <r>
    <n v="4715"/>
    <n v="47"/>
    <x v="23"/>
    <n v="318.02"/>
    <s v="Completed"/>
    <x v="3"/>
    <s v="PayPal"/>
  </r>
  <r>
    <n v="4716"/>
    <n v="5956"/>
    <x v="116"/>
    <n v="1766.46"/>
    <s v="Completed"/>
    <x v="4"/>
    <s v="Credit Card"/>
  </r>
  <r>
    <n v="4717"/>
    <n v="8560"/>
    <x v="219"/>
    <n v="2934.73"/>
    <s v="Completed"/>
    <x v="4"/>
    <s v="PayPal"/>
  </r>
  <r>
    <n v="4718"/>
    <n v="8683"/>
    <x v="68"/>
    <n v="4117.8900000000003"/>
    <s v="Completed"/>
    <x v="2"/>
    <s v="Credit Card"/>
  </r>
  <r>
    <n v="4719"/>
    <n v="1201"/>
    <x v="33"/>
    <n v="443.48"/>
    <s v="Completed"/>
    <x v="0"/>
    <s v="Apple Pay"/>
  </r>
  <r>
    <n v="4720"/>
    <n v="1257"/>
    <x v="169"/>
    <n v="2356.41"/>
    <s v="Completed"/>
    <x v="1"/>
    <s v="Debit Card"/>
  </r>
  <r>
    <n v="4721"/>
    <n v="5027"/>
    <x v="110"/>
    <n v="556.62"/>
    <s v="Completed"/>
    <x v="4"/>
    <s v="Debit Card"/>
  </r>
  <r>
    <n v="4722"/>
    <n v="6379"/>
    <x v="49"/>
    <n v="643.49"/>
    <s v="Completed"/>
    <x v="1"/>
    <s v="Credit Card"/>
  </r>
  <r>
    <n v="4723"/>
    <n v="1759"/>
    <x v="60"/>
    <n v="1501.51"/>
    <s v="Completed"/>
    <x v="3"/>
    <s v="Debit Card"/>
  </r>
  <r>
    <n v="4724"/>
    <n v="4602"/>
    <x v="74"/>
    <n v="899.2"/>
    <s v="Completed"/>
    <x v="2"/>
    <s v="Debit Card"/>
  </r>
  <r>
    <n v="4725"/>
    <n v="2240"/>
    <x v="187"/>
    <n v="555"/>
    <s v="Completed"/>
    <x v="4"/>
    <s v="Credit Card"/>
  </r>
  <r>
    <n v="4726"/>
    <n v="6325"/>
    <x v="309"/>
    <n v="1408.55"/>
    <s v="Completed"/>
    <x v="2"/>
    <s v="Credit Card"/>
  </r>
  <r>
    <n v="4727"/>
    <n v="775"/>
    <x v="6"/>
    <n v="2783.86"/>
    <s v="Completed"/>
    <x v="3"/>
    <s v="Apple Pay"/>
  </r>
  <r>
    <n v="4728"/>
    <n v="5841"/>
    <x v="242"/>
    <n v="1883.19"/>
    <s v="Completed"/>
    <x v="3"/>
    <s v="PayPal"/>
  </r>
  <r>
    <n v="4729"/>
    <n v="2955"/>
    <x v="361"/>
    <n v="994.9"/>
    <s v="Completed"/>
    <x v="2"/>
    <s v="Credit Card"/>
  </r>
  <r>
    <n v="4730"/>
    <n v="1119"/>
    <x v="303"/>
    <n v="428.94"/>
    <s v="Completed"/>
    <x v="1"/>
    <s v="PayPal"/>
  </r>
  <r>
    <n v="4731"/>
    <n v="2782"/>
    <x v="174"/>
    <n v="2973.98"/>
    <s v="Completed"/>
    <x v="3"/>
    <s v="Credit Card"/>
  </r>
  <r>
    <n v="4732"/>
    <n v="2132"/>
    <x v="85"/>
    <n v="1816.72"/>
    <s v="Completed"/>
    <x v="3"/>
    <s v="Credit Card"/>
  </r>
  <r>
    <n v="4733"/>
    <n v="5091"/>
    <x v="84"/>
    <n v="974.74"/>
    <s v="Completed"/>
    <x v="3"/>
    <s v="Debit Card"/>
  </r>
  <r>
    <n v="4734"/>
    <n v="2342"/>
    <x v="256"/>
    <n v="384.94"/>
    <s v="Completed"/>
    <x v="3"/>
    <s v="PayPal"/>
  </r>
  <r>
    <n v="4735"/>
    <n v="9467"/>
    <x v="3"/>
    <n v="1366.64"/>
    <s v="Completed"/>
    <x v="4"/>
    <s v="Apple Pay"/>
  </r>
  <r>
    <n v="4736"/>
    <n v="6170"/>
    <x v="266"/>
    <n v="539.1"/>
    <s v="Completed"/>
    <x v="3"/>
    <s v="Credit Card"/>
  </r>
  <r>
    <n v="4737"/>
    <n v="8053"/>
    <x v="32"/>
    <n v="800.8"/>
    <s v="Completed"/>
    <x v="2"/>
    <s v="PayPal"/>
  </r>
  <r>
    <n v="4738"/>
    <n v="4055"/>
    <x v="291"/>
    <n v="996.68"/>
    <s v="Completed"/>
    <x v="0"/>
    <s v="PayPal"/>
  </r>
  <r>
    <n v="4739"/>
    <n v="220"/>
    <x v="159"/>
    <n v="1909.72"/>
    <s v="Completed"/>
    <x v="1"/>
    <s v="Apple Pay"/>
  </r>
  <r>
    <n v="4740"/>
    <n v="4197"/>
    <x v="333"/>
    <n v="824.04"/>
    <s v="Completed"/>
    <x v="0"/>
    <s v="PayPal"/>
  </r>
  <r>
    <n v="4741"/>
    <n v="9688"/>
    <x v="278"/>
    <n v="2364.9299999999998"/>
    <s v="Completed"/>
    <x v="1"/>
    <s v="Apple Pay"/>
  </r>
  <r>
    <n v="4742"/>
    <n v="5596"/>
    <x v="16"/>
    <n v="412.21"/>
    <s v="Completed"/>
    <x v="2"/>
    <s v="Credit Card"/>
  </r>
  <r>
    <n v="4743"/>
    <n v="6219"/>
    <x v="170"/>
    <n v="497.22"/>
    <s v="Completed"/>
    <x v="4"/>
    <s v="Debit Card"/>
  </r>
  <r>
    <n v="4744"/>
    <n v="9029"/>
    <x v="189"/>
    <n v="2860.75"/>
    <s v="Completed"/>
    <x v="0"/>
    <s v="PayPal"/>
  </r>
  <r>
    <n v="4745"/>
    <n v="1504"/>
    <x v="90"/>
    <n v="1855.62"/>
    <s v="Completed"/>
    <x v="2"/>
    <s v="Apple Pay"/>
  </r>
  <r>
    <n v="4746"/>
    <n v="1413"/>
    <x v="60"/>
    <n v="196.53"/>
    <s v="Completed"/>
    <x v="0"/>
    <s v="PayPal"/>
  </r>
  <r>
    <n v="4747"/>
    <n v="6400"/>
    <x v="172"/>
    <n v="3420.41"/>
    <s v="Completed"/>
    <x v="4"/>
    <s v="PayPal"/>
  </r>
  <r>
    <n v="4748"/>
    <n v="4392"/>
    <x v="52"/>
    <n v="266.31"/>
    <s v="Completed"/>
    <x v="1"/>
    <s v="PayPal"/>
  </r>
  <r>
    <n v="4749"/>
    <n v="8737"/>
    <x v="46"/>
    <n v="3929.21"/>
    <s v="Completed"/>
    <x v="3"/>
    <s v="PayPal"/>
  </r>
  <r>
    <n v="4750"/>
    <n v="5450"/>
    <x v="290"/>
    <n v="1353.8"/>
    <s v="Completed"/>
    <x v="4"/>
    <s v="PayPal"/>
  </r>
  <r>
    <n v="4751"/>
    <n v="3650"/>
    <x v="279"/>
    <n v="1083.48"/>
    <s v="Cancelled"/>
    <x v="1"/>
    <s v="PayPal"/>
  </r>
  <r>
    <n v="4752"/>
    <n v="339"/>
    <x v="196"/>
    <n v="539.1"/>
    <s v="Completed"/>
    <x v="2"/>
    <s v="Debit Card"/>
  </r>
  <r>
    <n v="4753"/>
    <n v="1349"/>
    <x v="222"/>
    <n v="775.5"/>
    <s v="Completed"/>
    <x v="2"/>
    <s v="Credit Card"/>
  </r>
  <r>
    <n v="4754"/>
    <n v="4138"/>
    <x v="270"/>
    <n v="667.02"/>
    <s v="Completed"/>
    <x v="4"/>
    <s v="Credit Card"/>
  </r>
  <r>
    <n v="4755"/>
    <n v="2495"/>
    <x v="351"/>
    <n v="1045.44"/>
    <s v="Completed"/>
    <x v="1"/>
    <s v="PayPal"/>
  </r>
  <r>
    <n v="4756"/>
    <n v="6263"/>
    <x v="335"/>
    <n v="1144.04"/>
    <s v="Completed"/>
    <x v="2"/>
    <s v="Debit Card"/>
  </r>
  <r>
    <n v="4757"/>
    <n v="994"/>
    <x v="5"/>
    <n v="187.47"/>
    <s v="Completed"/>
    <x v="5"/>
    <s v="Debit Card"/>
  </r>
  <r>
    <n v="4758"/>
    <n v="9603"/>
    <x v="165"/>
    <n v="1247.52"/>
    <s v="Cancelled"/>
    <x v="2"/>
    <s v="Credit Card"/>
  </r>
  <r>
    <n v="4759"/>
    <n v="7589"/>
    <x v="175"/>
    <n v="1153.19"/>
    <s v="Completed"/>
    <x v="0"/>
    <s v="Credit Card"/>
  </r>
  <r>
    <n v="4760"/>
    <n v="7748"/>
    <x v="0"/>
    <n v="784.48"/>
    <s v="Completed"/>
    <x v="3"/>
    <s v="PayPal"/>
  </r>
  <r>
    <n v="4761"/>
    <n v="7504"/>
    <x v="83"/>
    <n v="2309.37"/>
    <s v="Completed"/>
    <x v="3"/>
    <s v="Credit Card"/>
  </r>
  <r>
    <n v="4762"/>
    <n v="6916"/>
    <x v="267"/>
    <n v="2880.79"/>
    <s v="Completed"/>
    <x v="3"/>
    <s v="PayPal"/>
  </r>
  <r>
    <n v="4763"/>
    <n v="4106"/>
    <x v="111"/>
    <n v="4338.49"/>
    <s v="Completed"/>
    <x v="1"/>
    <s v="PayPal"/>
  </r>
  <r>
    <n v="4764"/>
    <n v="1814"/>
    <x v="281"/>
    <n v="208.24"/>
    <s v="Completed"/>
    <x v="0"/>
    <s v="Apple Pay"/>
  </r>
  <r>
    <n v="4765"/>
    <n v="9124"/>
    <x v="31"/>
    <n v="3047.75"/>
    <s v="Completed"/>
    <x v="4"/>
    <s v="Credit Card"/>
  </r>
  <r>
    <n v="4766"/>
    <n v="7286"/>
    <x v="210"/>
    <n v="1569.29"/>
    <s v="Completed"/>
    <x v="4"/>
    <s v="Credit Card"/>
  </r>
  <r>
    <n v="4767"/>
    <n v="6553"/>
    <x v="202"/>
    <n v="3991.44"/>
    <s v="Completed"/>
    <x v="0"/>
    <s v="PayPal"/>
  </r>
  <r>
    <n v="4768"/>
    <n v="8701"/>
    <x v="266"/>
    <n v="2710.7"/>
    <s v="Completed"/>
    <x v="4"/>
    <s v="Debit Card"/>
  </r>
  <r>
    <n v="4769"/>
    <n v="4669"/>
    <x v="145"/>
    <n v="1231.6400000000001"/>
    <s v="Completed"/>
    <x v="4"/>
    <s v="Debit Card"/>
  </r>
  <r>
    <n v="4770"/>
    <n v="752"/>
    <x v="320"/>
    <n v="392.24"/>
    <s v="Completed"/>
    <x v="0"/>
    <s v="Debit Card"/>
  </r>
  <r>
    <n v="4771"/>
    <n v="2871"/>
    <x v="96"/>
    <n v="1603.48"/>
    <s v="Completed"/>
    <x v="2"/>
    <s v="Debit Card"/>
  </r>
  <r>
    <n v="4772"/>
    <n v="6434"/>
    <x v="211"/>
    <n v="1840.89"/>
    <s v="Completed"/>
    <x v="2"/>
    <s v="Debit Card"/>
  </r>
  <r>
    <n v="4773"/>
    <n v="436"/>
    <x v="262"/>
    <n v="574.78"/>
    <s v="Completed"/>
    <x v="4"/>
    <s v="Apple Pay"/>
  </r>
  <r>
    <n v="4774"/>
    <n v="3372"/>
    <x v="348"/>
    <n v="4549.1899999999996"/>
    <s v="Completed"/>
    <x v="2"/>
    <s v="Apple Pay"/>
  </r>
  <r>
    <n v="4775"/>
    <n v="9200"/>
    <x v="113"/>
    <n v="1855.98"/>
    <s v="Completed"/>
    <x v="1"/>
    <s v="Debit Card"/>
  </r>
  <r>
    <n v="4776"/>
    <n v="1242"/>
    <x v="262"/>
    <n v="679.22"/>
    <s v="Completed"/>
    <x v="3"/>
    <s v="Debit Card"/>
  </r>
  <r>
    <n v="4777"/>
    <n v="8223"/>
    <x v="52"/>
    <n v="947.55"/>
    <s v="Completed"/>
    <x v="0"/>
    <s v="Credit Card"/>
  </r>
  <r>
    <n v="4778"/>
    <n v="3500"/>
    <x v="111"/>
    <n v="798.83"/>
    <s v="Completed"/>
    <x v="3"/>
    <s v="Debit Card"/>
  </r>
  <r>
    <n v="4779"/>
    <n v="8616"/>
    <x v="74"/>
    <n v="2681.52"/>
    <s v="Completed"/>
    <x v="0"/>
    <s v="Debit Card"/>
  </r>
  <r>
    <n v="4780"/>
    <n v="5621"/>
    <x v="83"/>
    <n v="406.33"/>
    <s v="Completed"/>
    <x v="1"/>
    <s v="Debit Card"/>
  </r>
  <r>
    <n v="4781"/>
    <n v="800"/>
    <x v="237"/>
    <n v="4341.99"/>
    <s v="Completed"/>
    <x v="1"/>
    <s v="Debit Card"/>
  </r>
  <r>
    <n v="4782"/>
    <n v="3460"/>
    <x v="152"/>
    <n v="628.59"/>
    <s v="Completed"/>
    <x v="1"/>
    <s v="Credit Card"/>
  </r>
  <r>
    <n v="4783"/>
    <n v="5283"/>
    <x v="248"/>
    <n v="3640.82"/>
    <s v="Completed"/>
    <x v="4"/>
    <s v="Debit Card"/>
  </r>
  <r>
    <n v="4784"/>
    <n v="6520"/>
    <x v="337"/>
    <n v="1232.78"/>
    <s v="Completed"/>
    <x v="0"/>
    <s v="Credit Card"/>
  </r>
  <r>
    <n v="4785"/>
    <n v="7540"/>
    <x v="263"/>
    <n v="1034.04"/>
    <s v="Completed"/>
    <x v="3"/>
    <s v="Apple Pay"/>
  </r>
  <r>
    <n v="4786"/>
    <n v="157"/>
    <x v="272"/>
    <n v="3702.27"/>
    <s v="Completed"/>
    <x v="4"/>
    <s v="Credit Card"/>
  </r>
  <r>
    <n v="4787"/>
    <n v="9833"/>
    <x v="275"/>
    <n v="3440.55"/>
    <s v="Completed"/>
    <x v="1"/>
    <s v="Apple Pay"/>
  </r>
  <r>
    <n v="4788"/>
    <n v="7701"/>
    <x v="166"/>
    <n v="787.06"/>
    <s v="Cancelled"/>
    <x v="4"/>
    <s v="Credit Card"/>
  </r>
  <r>
    <n v="4789"/>
    <n v="4026"/>
    <x v="97"/>
    <n v="4074.46"/>
    <s v="Completed"/>
    <x v="3"/>
    <s v="Apple Pay"/>
  </r>
  <r>
    <n v="4790"/>
    <n v="984"/>
    <x v="166"/>
    <n v="258.66000000000003"/>
    <s v="Completed"/>
    <x v="2"/>
    <s v="PayPal"/>
  </r>
  <r>
    <n v="4791"/>
    <n v="8166"/>
    <x v="192"/>
    <n v="228.45"/>
    <s v="Completed"/>
    <x v="3"/>
    <s v="Credit Card"/>
  </r>
  <r>
    <n v="4792"/>
    <n v="1654"/>
    <x v="137"/>
    <n v="1311.61"/>
    <s v="Completed"/>
    <x v="5"/>
    <s v="PayPal"/>
  </r>
  <r>
    <n v="4793"/>
    <n v="394"/>
    <x v="297"/>
    <n v="482.57"/>
    <s v="Completed"/>
    <x v="3"/>
    <s v="Credit Card"/>
  </r>
  <r>
    <n v="4794"/>
    <n v="6134"/>
    <x v="156"/>
    <n v="398.58"/>
    <s v="Completed"/>
    <x v="0"/>
    <s v="Apple Pay"/>
  </r>
  <r>
    <n v="4795"/>
    <n v="849"/>
    <x v="173"/>
    <n v="945.87"/>
    <s v="Completed"/>
    <x v="1"/>
    <s v="Debit Card"/>
  </r>
  <r>
    <n v="4796"/>
    <n v="4349"/>
    <x v="96"/>
    <n v="1146.95"/>
    <s v="Completed"/>
    <x v="3"/>
    <s v="Debit Card"/>
  </r>
  <r>
    <n v="4797"/>
    <n v="9796"/>
    <x v="312"/>
    <n v="278.93"/>
    <s v="Completed"/>
    <x v="4"/>
    <s v="PayPal"/>
  </r>
  <r>
    <n v="4798"/>
    <n v="1221"/>
    <x v="321"/>
    <n v="133.03"/>
    <s v="Completed"/>
    <x v="1"/>
    <s v="PayPal"/>
  </r>
  <r>
    <n v="4799"/>
    <n v="2456"/>
    <x v="335"/>
    <n v="428.29"/>
    <s v="Completed"/>
    <x v="3"/>
    <s v="Debit Card"/>
  </r>
  <r>
    <n v="4800"/>
    <n v="9237"/>
    <x v="204"/>
    <n v="2094.9499999999998"/>
    <s v="Completed"/>
    <x v="0"/>
    <s v="PayPal"/>
  </r>
  <r>
    <n v="4801"/>
    <n v="7789"/>
    <x v="31"/>
    <n v="4030.47"/>
    <s v="Completed"/>
    <x v="4"/>
    <s v="PayPal"/>
  </r>
  <r>
    <n v="4802"/>
    <n v="3101"/>
    <x v="355"/>
    <n v="2292.1999999999998"/>
    <s v="Completed"/>
    <x v="1"/>
    <s v="Debit Card"/>
  </r>
  <r>
    <n v="4803"/>
    <n v="6895"/>
    <x v="131"/>
    <n v="1619.54"/>
    <s v="Completed"/>
    <x v="2"/>
    <s v="Apple Pay"/>
  </r>
  <r>
    <n v="4804"/>
    <n v="1365"/>
    <x v="24"/>
    <n v="1101.69"/>
    <s v="Completed"/>
    <x v="0"/>
    <s v="Credit Card"/>
  </r>
  <r>
    <n v="4805"/>
    <n v="4534"/>
    <x v="115"/>
    <n v="1233.92"/>
    <s v="Completed"/>
    <x v="2"/>
    <s v="Credit Card"/>
  </r>
  <r>
    <n v="4806"/>
    <n v="6462"/>
    <x v="127"/>
    <n v="1657.68"/>
    <s v="Completed"/>
    <x v="1"/>
    <s v="Credit Card"/>
  </r>
  <r>
    <n v="4807"/>
    <n v="9482"/>
    <x v="18"/>
    <n v="235.13"/>
    <s v="Completed"/>
    <x v="0"/>
    <s v="Apple Pay"/>
  </r>
  <r>
    <n v="4808"/>
    <n v="7148"/>
    <x v="238"/>
    <n v="981.14"/>
    <s v="Completed"/>
    <x v="4"/>
    <s v="Credit Card"/>
  </r>
  <r>
    <n v="4809"/>
    <n v="9379"/>
    <x v="73"/>
    <n v="1431.35"/>
    <s v="Completed"/>
    <x v="2"/>
    <s v="PayPal"/>
  </r>
  <r>
    <n v="4810"/>
    <n v="1222"/>
    <x v="76"/>
    <n v="2032.06"/>
    <s v="Completed"/>
    <x v="4"/>
    <s v="PayPal"/>
  </r>
  <r>
    <n v="4811"/>
    <n v="5307"/>
    <x v="242"/>
    <n v="722.29"/>
    <s v="Completed"/>
    <x v="2"/>
    <s v="PayPal"/>
  </r>
  <r>
    <n v="4812"/>
    <n v="3997"/>
    <x v="35"/>
    <n v="642.69000000000005"/>
    <s v="Completed"/>
    <x v="0"/>
    <s v="Debit Card"/>
  </r>
  <r>
    <n v="4813"/>
    <n v="4499"/>
    <x v="3"/>
    <n v="1821.67"/>
    <s v="Completed"/>
    <x v="4"/>
    <s v="Credit Card"/>
  </r>
  <r>
    <n v="4814"/>
    <n v="8260"/>
    <x v="319"/>
    <n v="883.28"/>
    <s v="Completed"/>
    <x v="4"/>
    <s v="Debit Card"/>
  </r>
  <r>
    <n v="4815"/>
    <n v="3540"/>
    <x v="13"/>
    <n v="1322.57"/>
    <s v="Completed"/>
    <x v="1"/>
    <s v="Credit Card"/>
  </r>
  <r>
    <n v="4816"/>
    <n v="5358"/>
    <x v="256"/>
    <n v="883.58"/>
    <s v="Completed"/>
    <x v="0"/>
    <s v="Credit Card"/>
  </r>
  <r>
    <n v="4817"/>
    <n v="1617"/>
    <x v="294"/>
    <n v="718.56"/>
    <s v="Completed"/>
    <x v="3"/>
    <s v="Debit Card"/>
  </r>
  <r>
    <n v="4818"/>
    <n v="3547"/>
    <x v="163"/>
    <n v="211.3"/>
    <s v="Completed"/>
    <x v="3"/>
    <s v="Debit Card"/>
  </r>
  <r>
    <n v="4819"/>
    <n v="9603"/>
    <x v="252"/>
    <n v="370.82"/>
    <s v="Completed"/>
    <x v="2"/>
    <s v="Apple Pay"/>
  </r>
  <r>
    <n v="4820"/>
    <n v="8551"/>
    <x v="252"/>
    <n v="901.51"/>
    <s v="Completed"/>
    <x v="4"/>
    <s v="Apple Pay"/>
  </r>
  <r>
    <n v="4821"/>
    <n v="8114"/>
    <x v="220"/>
    <n v="1050.78"/>
    <s v="Completed"/>
    <x v="3"/>
    <s v="PayPal"/>
  </r>
  <r>
    <n v="4822"/>
    <n v="430"/>
    <x v="132"/>
    <n v="447.91"/>
    <s v="Completed"/>
    <x v="3"/>
    <s v="Debit Card"/>
  </r>
  <r>
    <n v="4823"/>
    <n v="356"/>
    <x v="78"/>
    <n v="2377.88"/>
    <s v="Cancelled"/>
    <x v="4"/>
    <s v="PayPal"/>
  </r>
  <r>
    <n v="4824"/>
    <n v="752"/>
    <x v="128"/>
    <n v="1598.74"/>
    <s v="Completed"/>
    <x v="0"/>
    <s v="PayPal"/>
  </r>
  <r>
    <n v="4825"/>
    <n v="7820"/>
    <x v="339"/>
    <n v="1668.74"/>
    <s v="Completed"/>
    <x v="1"/>
    <s v="PayPal"/>
  </r>
  <r>
    <n v="4826"/>
    <n v="3405"/>
    <x v="34"/>
    <n v="443.6"/>
    <s v="Completed"/>
    <x v="2"/>
    <s v="Credit Card"/>
  </r>
  <r>
    <n v="4827"/>
    <n v="1485"/>
    <x v="338"/>
    <n v="1629.76"/>
    <s v="Completed"/>
    <x v="0"/>
    <s v="PayPal"/>
  </r>
  <r>
    <n v="4828"/>
    <n v="445"/>
    <x v="1"/>
    <n v="8245.36"/>
    <s v="Completed"/>
    <x v="3"/>
    <s v="Apple Pay"/>
  </r>
  <r>
    <n v="4829"/>
    <n v="1334"/>
    <x v="21"/>
    <n v="327.45999999999998"/>
    <s v="Completed"/>
    <x v="2"/>
    <s v="Debit Card"/>
  </r>
  <r>
    <n v="4830"/>
    <n v="7652"/>
    <x v="97"/>
    <n v="902.65"/>
    <s v="Completed"/>
    <x v="0"/>
    <s v="Debit Card"/>
  </r>
  <r>
    <n v="4831"/>
    <n v="3173"/>
    <x v="7"/>
    <n v="720.56"/>
    <s v="Completed"/>
    <x v="0"/>
    <s v="PayPal"/>
  </r>
  <r>
    <n v="4832"/>
    <n v="7206"/>
    <x v="300"/>
    <n v="440.02"/>
    <s v="Completed"/>
    <x v="4"/>
    <s v="Debit Card"/>
  </r>
  <r>
    <n v="4833"/>
    <n v="6803"/>
    <x v="146"/>
    <n v="2006.33"/>
    <s v="Completed"/>
    <x v="1"/>
    <s v="Credit Card"/>
  </r>
  <r>
    <n v="4834"/>
    <n v="9698"/>
    <x v="74"/>
    <n v="449.81"/>
    <s v="Completed"/>
    <x v="4"/>
    <s v="Credit Card"/>
  </r>
  <r>
    <n v="4835"/>
    <n v="6765"/>
    <x v="237"/>
    <n v="935.3"/>
    <s v="Completed"/>
    <x v="0"/>
    <s v="Apple Pay"/>
  </r>
  <r>
    <n v="4836"/>
    <n v="2518"/>
    <x v="172"/>
    <n v="4053.39"/>
    <s v="Completed"/>
    <x v="4"/>
    <s v="PayPal"/>
  </r>
  <r>
    <n v="4837"/>
    <n v="47"/>
    <x v="153"/>
    <n v="1041.8599999999999"/>
    <s v="Completed"/>
    <x v="3"/>
    <s v="Apple Pay"/>
  </r>
  <r>
    <n v="4838"/>
    <n v="6431"/>
    <x v="52"/>
    <n v="224.68"/>
    <s v="Completed"/>
    <x v="0"/>
    <s v="Credit Card"/>
  </r>
  <r>
    <n v="4839"/>
    <n v="7885"/>
    <x v="51"/>
    <n v="1501.78"/>
    <s v="Completed"/>
    <x v="0"/>
    <s v="Debit Card"/>
  </r>
  <r>
    <n v="4840"/>
    <n v="7049"/>
    <x v="123"/>
    <n v="366.31"/>
    <s v="Completed"/>
    <x v="1"/>
    <s v="PayPal"/>
  </r>
  <r>
    <n v="4841"/>
    <n v="9374"/>
    <x v="19"/>
    <n v="1390.98"/>
    <s v="Completed"/>
    <x v="2"/>
    <s v="Credit Card"/>
  </r>
  <r>
    <n v="4842"/>
    <n v="9785"/>
    <x v="99"/>
    <n v="3340.8"/>
    <s v="Completed"/>
    <x v="2"/>
    <s v="Credit Card"/>
  </r>
  <r>
    <n v="4843"/>
    <n v="9534"/>
    <x v="50"/>
    <n v="1966.53"/>
    <s v="Completed"/>
    <x v="4"/>
    <s v="Debit Card"/>
  </r>
  <r>
    <n v="4844"/>
    <n v="8865"/>
    <x v="195"/>
    <n v="985.96"/>
    <s v="Completed"/>
    <x v="0"/>
    <s v="Debit Card"/>
  </r>
  <r>
    <n v="4845"/>
    <n v="4513"/>
    <x v="28"/>
    <n v="2032.04"/>
    <s v="Completed"/>
    <x v="3"/>
    <s v="Debit Card"/>
  </r>
  <r>
    <n v="4846"/>
    <n v="4940"/>
    <x v="340"/>
    <n v="471.55"/>
    <s v="Completed"/>
    <x v="1"/>
    <s v="Apple Pay"/>
  </r>
  <r>
    <n v="4847"/>
    <n v="1295"/>
    <x v="271"/>
    <n v="628.59"/>
    <s v="Completed"/>
    <x v="3"/>
    <s v="PayPal"/>
  </r>
  <r>
    <n v="4848"/>
    <n v="9028"/>
    <x v="208"/>
    <n v="910.47"/>
    <s v="Returned"/>
    <x v="1"/>
    <s v="PayPal"/>
  </r>
  <r>
    <n v="4849"/>
    <n v="9586"/>
    <x v="49"/>
    <n v="1841.64"/>
    <s v="Completed"/>
    <x v="0"/>
    <s v="Credit Card"/>
  </r>
  <r>
    <n v="4850"/>
    <n v="594"/>
    <x v="170"/>
    <n v="299.56"/>
    <s v="Completed"/>
    <x v="4"/>
    <s v="Debit Card"/>
  </r>
  <r>
    <n v="4851"/>
    <n v="2314"/>
    <x v="26"/>
    <n v="580"/>
    <s v="Completed"/>
    <x v="3"/>
    <s v="Apple Pay"/>
  </r>
  <r>
    <n v="4852"/>
    <n v="7658"/>
    <x v="44"/>
    <n v="2466.9699999999998"/>
    <s v="Completed"/>
    <x v="3"/>
    <s v="Debit Card"/>
  </r>
  <r>
    <n v="4853"/>
    <n v="2795"/>
    <x v="148"/>
    <n v="1016.02"/>
    <s v="Completed"/>
    <x v="2"/>
    <s v="PayPal"/>
  </r>
  <r>
    <n v="4854"/>
    <n v="534"/>
    <x v="97"/>
    <n v="201.88"/>
    <s v="Completed"/>
    <x v="0"/>
    <s v="Credit Card"/>
  </r>
  <r>
    <n v="4855"/>
    <n v="8824"/>
    <x v="236"/>
    <n v="1765.05"/>
    <s v="Completed"/>
    <x v="3"/>
    <s v="Apple Pay"/>
  </r>
  <r>
    <n v="4856"/>
    <n v="4869"/>
    <x v="311"/>
    <n v="359.28"/>
    <s v="Completed"/>
    <x v="3"/>
    <s v="Credit Card"/>
  </r>
  <r>
    <n v="4857"/>
    <n v="8043"/>
    <x v="92"/>
    <n v="579.6"/>
    <s v="Completed"/>
    <x v="2"/>
    <s v="Apple Pay"/>
  </r>
  <r>
    <n v="4858"/>
    <n v="8284"/>
    <x v="356"/>
    <n v="211.3"/>
    <s v="Completed"/>
    <x v="0"/>
    <s v="Apple Pay"/>
  </r>
  <r>
    <n v="4859"/>
    <n v="115"/>
    <x v="167"/>
    <n v="4996.54"/>
    <s v="Cancelled"/>
    <x v="0"/>
    <s v="Credit Card"/>
  </r>
  <r>
    <n v="4860"/>
    <n v="3891"/>
    <x v="46"/>
    <n v="3368.97"/>
    <s v="Completed"/>
    <x v="2"/>
    <s v="Debit Card"/>
  </r>
  <r>
    <n v="4861"/>
    <n v="3943"/>
    <x v="116"/>
    <n v="1008.02"/>
    <s v="Completed"/>
    <x v="2"/>
    <s v="Debit Card"/>
  </r>
  <r>
    <n v="4862"/>
    <n v="1192"/>
    <x v="52"/>
    <n v="1203.74"/>
    <s v="Completed"/>
    <x v="1"/>
    <s v="Apple Pay"/>
  </r>
  <r>
    <n v="4863"/>
    <n v="1107"/>
    <x v="42"/>
    <n v="364.61"/>
    <s v="Completed"/>
    <x v="0"/>
    <s v="Credit Card"/>
  </r>
  <r>
    <n v="4864"/>
    <n v="7352"/>
    <x v="96"/>
    <n v="918.24"/>
    <s v="Completed"/>
    <x v="4"/>
    <s v="Apple Pay"/>
  </r>
  <r>
    <n v="4865"/>
    <n v="2604"/>
    <x v="56"/>
    <n v="578.97"/>
    <s v="Completed"/>
    <x v="2"/>
    <s v="Debit Card"/>
  </r>
  <r>
    <n v="4866"/>
    <n v="7882"/>
    <x v="112"/>
    <n v="159.37"/>
    <s v="Completed"/>
    <x v="2"/>
    <s v="PayPal"/>
  </r>
  <r>
    <n v="4867"/>
    <n v="1686"/>
    <x v="34"/>
    <n v="1592.33"/>
    <s v="Completed"/>
    <x v="2"/>
    <s v="Apple Pay"/>
  </r>
  <r>
    <n v="4868"/>
    <n v="2929"/>
    <x v="174"/>
    <n v="1266.81"/>
    <s v="Completed"/>
    <x v="4"/>
    <s v="Debit Card"/>
  </r>
  <r>
    <n v="4869"/>
    <n v="4985"/>
    <x v="143"/>
    <n v="762.88"/>
    <s v="Completed"/>
    <x v="3"/>
    <s v="PayPal"/>
  </r>
  <r>
    <n v="4870"/>
    <n v="4050"/>
    <x v="72"/>
    <n v="2161.7800000000002"/>
    <s v="Completed"/>
    <x v="0"/>
    <s v="Apple Pay"/>
  </r>
  <r>
    <n v="4871"/>
    <n v="5449"/>
    <x v="55"/>
    <n v="2370.67"/>
    <s v="Completed"/>
    <x v="1"/>
    <s v="PayPal"/>
  </r>
  <r>
    <n v="4872"/>
    <n v="890"/>
    <x v="132"/>
    <n v="1311.28"/>
    <s v="Completed"/>
    <x v="2"/>
    <s v="PayPal"/>
  </r>
  <r>
    <n v="4873"/>
    <n v="2431"/>
    <x v="324"/>
    <n v="439.4"/>
    <s v="Completed"/>
    <x v="2"/>
    <s v="PayPal"/>
  </r>
  <r>
    <n v="4874"/>
    <n v="703"/>
    <x v="326"/>
    <n v="1153.5"/>
    <s v="Completed"/>
    <x v="0"/>
    <s v="Credit Card"/>
  </r>
  <r>
    <n v="4875"/>
    <n v="4953"/>
    <x v="206"/>
    <n v="84.52"/>
    <s v="Completed"/>
    <x v="0"/>
    <s v="Credit Card"/>
  </r>
  <r>
    <n v="4876"/>
    <n v="1331"/>
    <x v="96"/>
    <n v="2515.92"/>
    <s v="Completed"/>
    <x v="3"/>
    <s v="PayPal"/>
  </r>
  <r>
    <n v="4877"/>
    <n v="4639"/>
    <x v="18"/>
    <n v="347.93"/>
    <s v="Completed"/>
    <x v="2"/>
    <s v="Debit Card"/>
  </r>
  <r>
    <n v="4878"/>
    <n v="8980"/>
    <x v="1"/>
    <n v="1095.6199999999999"/>
    <s v="Completed"/>
    <x v="0"/>
    <s v="Apple Pay"/>
  </r>
  <r>
    <n v="4879"/>
    <n v="2189"/>
    <x v="182"/>
    <n v="529.39"/>
    <s v="Completed"/>
    <x v="2"/>
    <s v="Credit Card"/>
  </r>
  <r>
    <n v="4880"/>
    <n v="2368"/>
    <x v="308"/>
    <n v="436.2"/>
    <s v="Completed"/>
    <x v="2"/>
    <s v="Apple Pay"/>
  </r>
  <r>
    <n v="4881"/>
    <n v="7562"/>
    <x v="15"/>
    <n v="1001.61"/>
    <s v="Completed"/>
    <x v="2"/>
    <s v="Credit Card"/>
  </r>
  <r>
    <n v="4882"/>
    <n v="2575"/>
    <x v="205"/>
    <n v="240.57"/>
    <s v="Completed"/>
    <x v="4"/>
    <s v="Debit Card"/>
  </r>
  <r>
    <n v="4883"/>
    <n v="3379"/>
    <x v="71"/>
    <n v="1574.87"/>
    <s v="Completed"/>
    <x v="1"/>
    <s v="Credit Card"/>
  </r>
  <r>
    <n v="4884"/>
    <n v="8801"/>
    <x v="11"/>
    <n v="788.34"/>
    <s v="Completed"/>
    <x v="3"/>
    <s v="Apple Pay"/>
  </r>
  <r>
    <n v="4885"/>
    <n v="2955"/>
    <x v="103"/>
    <n v="1333.04"/>
    <s v="Completed"/>
    <x v="2"/>
    <s v="Credit Card"/>
  </r>
  <r>
    <n v="4886"/>
    <n v="1686"/>
    <x v="268"/>
    <n v="1221.56"/>
    <s v="Completed"/>
    <x v="2"/>
    <s v="Credit Card"/>
  </r>
  <r>
    <n v="4887"/>
    <n v="6199"/>
    <x v="199"/>
    <n v="475.16"/>
    <s v="Completed"/>
    <x v="0"/>
    <s v="Credit Card"/>
  </r>
  <r>
    <n v="4888"/>
    <n v="5793"/>
    <x v="182"/>
    <n v="1720.28"/>
    <s v="Completed"/>
    <x v="4"/>
    <s v="PayPal"/>
  </r>
  <r>
    <n v="4889"/>
    <n v="983"/>
    <x v="266"/>
    <n v="1700.93"/>
    <s v="Completed"/>
    <x v="3"/>
    <s v="PayPal"/>
  </r>
  <r>
    <n v="4890"/>
    <n v="1016"/>
    <x v="41"/>
    <n v="4406.97"/>
    <s v="Completed"/>
    <x v="0"/>
    <s v="Apple Pay"/>
  </r>
  <r>
    <n v="4891"/>
    <n v="1983"/>
    <x v="115"/>
    <n v="996.68"/>
    <s v="Completed"/>
    <x v="4"/>
    <s v="Apple Pay"/>
  </r>
  <r>
    <n v="4892"/>
    <n v="3764"/>
    <x v="18"/>
    <n v="1629.76"/>
    <s v="Completed"/>
    <x v="2"/>
    <s v="PayPal"/>
  </r>
  <r>
    <n v="4893"/>
    <n v="3741"/>
    <x v="78"/>
    <n v="1016.65"/>
    <s v="Completed"/>
    <x v="3"/>
    <s v="Debit Card"/>
  </r>
  <r>
    <n v="4894"/>
    <n v="9537"/>
    <x v="127"/>
    <n v="1839.16"/>
    <s v="Completed"/>
    <x v="3"/>
    <s v="Credit Card"/>
  </r>
  <r>
    <n v="4895"/>
    <n v="4019"/>
    <x v="351"/>
    <n v="128.31"/>
    <s v="Completed"/>
    <x v="4"/>
    <s v="PayPal"/>
  </r>
  <r>
    <n v="4896"/>
    <n v="2940"/>
    <x v="1"/>
    <n v="1077.28"/>
    <s v="Completed"/>
    <x v="0"/>
    <s v="Apple Pay"/>
  </r>
  <r>
    <n v="4897"/>
    <n v="6508"/>
    <x v="130"/>
    <n v="1520.71"/>
    <s v="Completed"/>
    <x v="3"/>
    <s v="Apple Pay"/>
  </r>
  <r>
    <n v="4898"/>
    <n v="7885"/>
    <x v="248"/>
    <n v="3503.08"/>
    <s v="Completed"/>
    <x v="0"/>
    <s v="Debit Card"/>
  </r>
  <r>
    <n v="4899"/>
    <n v="7005"/>
    <x v="37"/>
    <n v="1828.18"/>
    <s v="Completed"/>
    <x v="2"/>
    <s v="Apple Pay"/>
  </r>
  <r>
    <n v="4900"/>
    <n v="4788"/>
    <x v="355"/>
    <n v="1257.96"/>
    <s v="Completed"/>
    <x v="4"/>
    <s v="Credit Card"/>
  </r>
  <r>
    <n v="4901"/>
    <n v="23"/>
    <x v="185"/>
    <n v="245.09"/>
    <s v="Returned"/>
    <x v="1"/>
    <s v="PayPal"/>
  </r>
  <r>
    <n v="4902"/>
    <n v="7187"/>
    <x v="357"/>
    <n v="2096.5700000000002"/>
    <s v="Completed"/>
    <x v="0"/>
    <s v="Credit Card"/>
  </r>
  <r>
    <n v="4903"/>
    <n v="5512"/>
    <x v="244"/>
    <n v="1786.37"/>
    <s v="Completed"/>
    <x v="3"/>
    <s v="PayPal"/>
  </r>
  <r>
    <n v="4904"/>
    <n v="3281"/>
    <x v="155"/>
    <n v="539.1"/>
    <s v="Completed"/>
    <x v="2"/>
    <s v="Credit Card"/>
  </r>
  <r>
    <n v="4905"/>
    <n v="2671"/>
    <x v="266"/>
    <n v="729.22"/>
    <s v="Completed"/>
    <x v="0"/>
    <s v="PayPal"/>
  </r>
  <r>
    <n v="4906"/>
    <n v="2073"/>
    <x v="204"/>
    <n v="1745.59"/>
    <s v="Completed"/>
    <x v="3"/>
    <s v="Debit Card"/>
  </r>
  <r>
    <n v="4907"/>
    <n v="764"/>
    <x v="174"/>
    <n v="1356.19"/>
    <s v="Cancelled"/>
    <x v="0"/>
    <s v="Apple Pay"/>
  </r>
  <r>
    <n v="4908"/>
    <n v="6372"/>
    <x v="85"/>
    <n v="5085.2700000000004"/>
    <s v="Completed"/>
    <x v="3"/>
    <s v="PayPal"/>
  </r>
  <r>
    <n v="4909"/>
    <n v="7531"/>
    <x v="345"/>
    <n v="594.37"/>
    <s v="Completed"/>
    <x v="1"/>
    <s v="Debit Card"/>
  </r>
  <r>
    <n v="4910"/>
    <n v="3292"/>
    <x v="362"/>
    <n v="3924.12"/>
    <s v="Completed"/>
    <x v="3"/>
    <s v="PayPal"/>
  </r>
  <r>
    <n v="4911"/>
    <n v="4672"/>
    <x v="86"/>
    <n v="1308.76"/>
    <s v="Completed"/>
    <x v="4"/>
    <s v="Credit Card"/>
  </r>
  <r>
    <n v="4912"/>
    <n v="9201"/>
    <x v="245"/>
    <n v="1159.25"/>
    <s v="Completed"/>
    <x v="3"/>
    <s v="Credit Card"/>
  </r>
  <r>
    <n v="4913"/>
    <n v="217"/>
    <x v="296"/>
    <n v="1239.3"/>
    <s v="Completed"/>
    <x v="1"/>
    <s v="Credit Card"/>
  </r>
  <r>
    <n v="4914"/>
    <n v="3510"/>
    <x v="200"/>
    <n v="899.37"/>
    <s v="Completed"/>
    <x v="3"/>
    <s v="Credit Card"/>
  </r>
  <r>
    <n v="4915"/>
    <n v="8270"/>
    <x v="17"/>
    <n v="578.97"/>
    <s v="Completed"/>
    <x v="2"/>
    <s v="Credit Card"/>
  </r>
  <r>
    <n v="4916"/>
    <n v="3156"/>
    <x v="139"/>
    <n v="986.42"/>
    <s v="Completed"/>
    <x v="1"/>
    <s v="Credit Card"/>
  </r>
  <r>
    <n v="4917"/>
    <n v="1392"/>
    <x v="79"/>
    <n v="315.29000000000002"/>
    <s v="Cancelled"/>
    <x v="2"/>
    <s v="Credit Card"/>
  </r>
  <r>
    <n v="4918"/>
    <n v="5608"/>
    <x v="73"/>
    <n v="439.45"/>
    <s v="Completed"/>
    <x v="0"/>
    <s v="Apple Pay"/>
  </r>
  <r>
    <n v="4919"/>
    <n v="5836"/>
    <x v="199"/>
    <n v="667.02"/>
    <s v="Completed"/>
    <x v="1"/>
    <s v="PayPal"/>
  </r>
  <r>
    <n v="4920"/>
    <n v="995"/>
    <x v="186"/>
    <n v="283.32"/>
    <s v="Completed"/>
    <x v="3"/>
    <s v="PayPal"/>
  </r>
  <r>
    <n v="4921"/>
    <n v="6219"/>
    <x v="58"/>
    <n v="2342.04"/>
    <s v="Completed"/>
    <x v="4"/>
    <s v="PayPal"/>
  </r>
  <r>
    <n v="4922"/>
    <n v="5635"/>
    <x v="312"/>
    <n v="1056.21"/>
    <s v="Completed"/>
    <x v="3"/>
    <s v="Apple Pay"/>
  </r>
  <r>
    <n v="4923"/>
    <n v="9271"/>
    <x v="168"/>
    <n v="395.52"/>
    <s v="Completed"/>
    <x v="1"/>
    <s v="Credit Card"/>
  </r>
  <r>
    <n v="4924"/>
    <n v="328"/>
    <x v="139"/>
    <n v="4160.26"/>
    <s v="Completed"/>
    <x v="2"/>
    <s v="PayPal"/>
  </r>
  <r>
    <n v="4925"/>
    <n v="1473"/>
    <x v="329"/>
    <n v="4446.4399999999996"/>
    <s v="Completed"/>
    <x v="2"/>
    <s v="Apple Pay"/>
  </r>
  <r>
    <n v="4926"/>
    <n v="619"/>
    <x v="23"/>
    <n v="1755.76"/>
    <s v="Returned"/>
    <x v="3"/>
    <s v="Debit Card"/>
  </r>
  <r>
    <n v="4927"/>
    <n v="1031"/>
    <x v="27"/>
    <n v="996.68"/>
    <s v="Completed"/>
    <x v="4"/>
    <s v="Credit Card"/>
  </r>
  <r>
    <n v="4928"/>
    <n v="8137"/>
    <x v="70"/>
    <n v="1354.25"/>
    <s v="Completed"/>
    <x v="1"/>
    <s v="PayPal"/>
  </r>
  <r>
    <n v="4929"/>
    <n v="2140"/>
    <x v="289"/>
    <n v="1766.06"/>
    <s v="Completed"/>
    <x v="0"/>
    <s v="PayPal"/>
  </r>
  <r>
    <n v="4930"/>
    <n v="3793"/>
    <x v="306"/>
    <n v="256.68"/>
    <s v="Completed"/>
    <x v="3"/>
    <s v="PayPal"/>
  </r>
  <r>
    <n v="4931"/>
    <n v="8026"/>
    <x v="74"/>
    <n v="788.62"/>
    <s v="Completed"/>
    <x v="0"/>
    <s v="PayPal"/>
  </r>
  <r>
    <n v="4932"/>
    <n v="8036"/>
    <x v="89"/>
    <n v="833.43"/>
    <s v="Completed"/>
    <x v="4"/>
    <s v="Credit Card"/>
  </r>
  <r>
    <n v="4933"/>
    <n v="6047"/>
    <x v="118"/>
    <n v="519.41999999999996"/>
    <s v="Completed"/>
    <x v="0"/>
    <s v="Credit Card"/>
  </r>
  <r>
    <n v="4934"/>
    <n v="6783"/>
    <x v="200"/>
    <n v="899.2"/>
    <s v="Completed"/>
    <x v="1"/>
    <s v="Debit Card"/>
  </r>
  <r>
    <n v="4935"/>
    <n v="2612"/>
    <x v="277"/>
    <n v="377.58"/>
    <s v="Completed"/>
    <x v="3"/>
    <s v="Apple Pay"/>
  </r>
  <r>
    <n v="4936"/>
    <n v="6420"/>
    <x v="243"/>
    <n v="1060.95"/>
    <s v="Completed"/>
    <x v="0"/>
    <s v="Apple Pay"/>
  </r>
  <r>
    <n v="4937"/>
    <n v="8476"/>
    <x v="170"/>
    <n v="3263.15"/>
    <s v="Completed"/>
    <x v="4"/>
    <s v="Debit Card"/>
  </r>
  <r>
    <n v="4938"/>
    <n v="4676"/>
    <x v="325"/>
    <n v="1059.8900000000001"/>
    <s v="Completed"/>
    <x v="4"/>
    <s v="PayPal"/>
  </r>
  <r>
    <n v="4939"/>
    <n v="3921"/>
    <x v="223"/>
    <n v="7351.43"/>
    <s v="Completed"/>
    <x v="3"/>
    <s v="Debit Card"/>
  </r>
  <r>
    <n v="4940"/>
    <n v="4437"/>
    <x v="12"/>
    <n v="442.46"/>
    <s v="Cancelled"/>
    <x v="1"/>
    <s v="Credit Card"/>
  </r>
  <r>
    <n v="4941"/>
    <n v="9147"/>
    <x v="12"/>
    <n v="485.89"/>
    <s v="Completed"/>
    <x v="2"/>
    <s v="Credit Card"/>
  </r>
  <r>
    <n v="4942"/>
    <n v="2591"/>
    <x v="364"/>
    <n v="1243.6199999999999"/>
    <s v="Completed"/>
    <x v="0"/>
    <s v="PayPal"/>
  </r>
  <r>
    <n v="4943"/>
    <n v="1735"/>
    <x v="286"/>
    <n v="2603.9699999999998"/>
    <s v="Completed"/>
    <x v="1"/>
    <s v="Debit Card"/>
  </r>
  <r>
    <n v="4944"/>
    <n v="4998"/>
    <x v="291"/>
    <n v="3497.84"/>
    <s v="Completed"/>
    <x v="3"/>
    <s v="Debit Card"/>
  </r>
  <r>
    <n v="4945"/>
    <n v="2296"/>
    <x v="180"/>
    <n v="5007.46"/>
    <s v="Completed"/>
    <x v="1"/>
    <s v="Apple Pay"/>
  </r>
  <r>
    <n v="4946"/>
    <n v="5804"/>
    <x v="246"/>
    <n v="2179.37"/>
    <s v="Completed"/>
    <x v="0"/>
    <s v="PayPal"/>
  </r>
  <r>
    <n v="4947"/>
    <n v="7028"/>
    <x v="307"/>
    <n v="1951.38"/>
    <s v="Completed"/>
    <x v="1"/>
    <s v="PayPal"/>
  </r>
  <r>
    <n v="4948"/>
    <n v="9669"/>
    <x v="82"/>
    <n v="219.69"/>
    <s v="Completed"/>
    <x v="3"/>
    <s v="Credit Card"/>
  </r>
  <r>
    <n v="4949"/>
    <n v="8347"/>
    <x v="214"/>
    <n v="169.04"/>
    <s v="Completed"/>
    <x v="2"/>
    <s v="PayPal"/>
  </r>
  <r>
    <n v="4950"/>
    <n v="6242"/>
    <x v="115"/>
    <n v="3192.64"/>
    <s v="Completed"/>
    <x v="3"/>
    <s v="Debit Card"/>
  </r>
  <r>
    <n v="4951"/>
    <n v="1242"/>
    <x v="216"/>
    <n v="2451.62"/>
    <s v="Completed"/>
    <x v="3"/>
    <s v="Apple Pay"/>
  </r>
  <r>
    <n v="4952"/>
    <n v="5017"/>
    <x v="270"/>
    <n v="141.24"/>
    <s v="Completed"/>
    <x v="3"/>
    <s v="Apple Pay"/>
  </r>
  <r>
    <n v="4953"/>
    <n v="720"/>
    <x v="170"/>
    <n v="278.93"/>
    <s v="Completed"/>
    <x v="4"/>
    <s v="PayPal"/>
  </r>
  <r>
    <n v="4954"/>
    <n v="8570"/>
    <x v="214"/>
    <n v="1987.45"/>
    <s v="Completed"/>
    <x v="3"/>
    <s v="Apple Pay"/>
  </r>
  <r>
    <n v="4955"/>
    <n v="4712"/>
    <x v="128"/>
    <n v="301.8"/>
    <s v="Completed"/>
    <x v="4"/>
    <s v="PayPal"/>
  </r>
  <r>
    <n v="4956"/>
    <n v="2163"/>
    <x v="101"/>
    <n v="440.02"/>
    <s v="Completed"/>
    <x v="0"/>
    <s v="Credit Card"/>
  </r>
  <r>
    <n v="4957"/>
    <n v="2057"/>
    <x v="41"/>
    <n v="645.61"/>
    <s v="Completed"/>
    <x v="0"/>
    <s v="Debit Card"/>
  </r>
  <r>
    <n v="4958"/>
    <n v="3748"/>
    <x v="320"/>
    <n v="920.13"/>
    <s v="Completed"/>
    <x v="3"/>
    <s v="Apple Pay"/>
  </r>
  <r>
    <n v="4959"/>
    <n v="328"/>
    <x v="98"/>
    <n v="259.36"/>
    <s v="Completed"/>
    <x v="2"/>
    <s v="Apple Pay"/>
  </r>
  <r>
    <n v="4960"/>
    <n v="2292"/>
    <x v="235"/>
    <n v="996.68"/>
    <s v="Completed"/>
    <x v="3"/>
    <s v="Debit Card"/>
  </r>
  <r>
    <n v="4961"/>
    <n v="1413"/>
    <x v="309"/>
    <n v="3018.96"/>
    <s v="Returned"/>
    <x v="0"/>
    <s v="PayPal"/>
  </r>
  <r>
    <n v="4962"/>
    <n v="4712"/>
    <x v="143"/>
    <n v="1323.72"/>
    <s v="Completed"/>
    <x v="4"/>
    <s v="Credit Card"/>
  </r>
  <r>
    <n v="4963"/>
    <n v="9090"/>
    <x v="237"/>
    <n v="2030.43"/>
    <s v="Completed"/>
    <x v="0"/>
    <s v="PayPal"/>
  </r>
  <r>
    <n v="4964"/>
    <n v="1127"/>
    <x v="162"/>
    <n v="1321.12"/>
    <s v="Completed"/>
    <x v="4"/>
    <s v="PayPal"/>
  </r>
  <r>
    <n v="4965"/>
    <n v="6754"/>
    <x v="60"/>
    <n v="651.52"/>
    <s v="Completed"/>
    <x v="4"/>
    <s v="Apple Pay"/>
  </r>
  <r>
    <n v="4966"/>
    <n v="1646"/>
    <x v="225"/>
    <n v="665.9"/>
    <s v="Completed"/>
    <x v="2"/>
    <s v="Credit Card"/>
  </r>
  <r>
    <n v="4967"/>
    <n v="3714"/>
    <x v="218"/>
    <n v="1777.25"/>
    <s v="Completed"/>
    <x v="4"/>
    <s v="Credit Card"/>
  </r>
  <r>
    <n v="4968"/>
    <n v="4759"/>
    <x v="90"/>
    <n v="154.02000000000001"/>
    <s v="Completed"/>
    <x v="4"/>
    <s v="Credit Card"/>
  </r>
  <r>
    <n v="4969"/>
    <n v="5093"/>
    <x v="257"/>
    <n v="1067.53"/>
    <s v="Completed"/>
    <x v="4"/>
    <s v="Debit Card"/>
  </r>
  <r>
    <n v="4970"/>
    <n v="3770"/>
    <x v="239"/>
    <n v="2233.5"/>
    <s v="Completed"/>
    <x v="1"/>
    <s v="Credit Card"/>
  </r>
  <r>
    <n v="4971"/>
    <n v="4214"/>
    <x v="213"/>
    <n v="924.06"/>
    <s v="Completed"/>
    <x v="5"/>
    <s v="PayPal"/>
  </r>
  <r>
    <n v="4972"/>
    <n v="7457"/>
    <x v="331"/>
    <n v="414.24"/>
    <s v="Completed"/>
    <x v="1"/>
    <s v="PayPal"/>
  </r>
  <r>
    <n v="4973"/>
    <n v="646"/>
    <x v="244"/>
    <n v="1623.23"/>
    <s v="Completed"/>
    <x v="0"/>
    <s v="Credit Card"/>
  </r>
  <r>
    <n v="4974"/>
    <n v="9546"/>
    <x v="176"/>
    <n v="359.28"/>
    <s v="Completed"/>
    <x v="0"/>
    <s v="PayPal"/>
  </r>
  <r>
    <n v="4975"/>
    <n v="9519"/>
    <x v="115"/>
    <n v="4847.3999999999996"/>
    <s v="Completed"/>
    <x v="2"/>
    <s v="Credit Card"/>
  </r>
  <r>
    <n v="4976"/>
    <n v="7388"/>
    <x v="202"/>
    <n v="187.89"/>
    <s v="Completed"/>
    <x v="0"/>
    <s v="PayPal"/>
  </r>
  <r>
    <n v="4977"/>
    <n v="6287"/>
    <x v="137"/>
    <n v="318.02"/>
    <s v="Completed"/>
    <x v="4"/>
    <s v="PayPal"/>
  </r>
  <r>
    <n v="4978"/>
    <n v="1140"/>
    <x v="196"/>
    <n v="1867.5"/>
    <s v="Completed"/>
    <x v="0"/>
    <s v="Credit Card"/>
  </r>
  <r>
    <n v="4979"/>
    <n v="1888"/>
    <x v="351"/>
    <n v="1152.21"/>
    <s v="Completed"/>
    <x v="0"/>
    <s v="Debit Card"/>
  </r>
  <r>
    <n v="4980"/>
    <n v="4672"/>
    <x v="228"/>
    <n v="1893.35"/>
    <s v="Completed"/>
    <x v="5"/>
    <s v="Debit Card"/>
  </r>
  <r>
    <n v="4981"/>
    <n v="1934"/>
    <x v="331"/>
    <n v="1325.61"/>
    <s v="Completed"/>
    <x v="0"/>
    <s v="PayPal"/>
  </r>
  <r>
    <n v="4982"/>
    <n v="8476"/>
    <x v="252"/>
    <n v="1443.28"/>
    <s v="Completed"/>
    <x v="4"/>
    <s v="Credit Card"/>
  </r>
  <r>
    <n v="4983"/>
    <n v="4612"/>
    <x v="34"/>
    <n v="1372.16"/>
    <s v="Completed"/>
    <x v="4"/>
    <s v="PayPal"/>
  </r>
  <r>
    <n v="4984"/>
    <n v="5817"/>
    <x v="190"/>
    <n v="277.45999999999998"/>
    <s v="Completed"/>
    <x v="0"/>
    <s v="Debit Card"/>
  </r>
  <r>
    <n v="4985"/>
    <n v="1060"/>
    <x v="291"/>
    <n v="256.17"/>
    <s v="Completed"/>
    <x v="4"/>
    <s v="Debit Card"/>
  </r>
  <r>
    <n v="4986"/>
    <n v="7036"/>
    <x v="152"/>
    <n v="5607.2"/>
    <s v="Completed"/>
    <x v="2"/>
    <s v="Apple Pay"/>
  </r>
  <r>
    <n v="4987"/>
    <n v="2377"/>
    <x v="203"/>
    <n v="1177.33"/>
    <s v="Completed"/>
    <x v="1"/>
    <s v="PayPal"/>
  </r>
  <r>
    <n v="4988"/>
    <n v="6828"/>
    <x v="253"/>
    <n v="1146.8499999999999"/>
    <s v="Completed"/>
    <x v="2"/>
    <s v="PayPal"/>
  </r>
  <r>
    <n v="4989"/>
    <n v="223"/>
    <x v="63"/>
    <n v="1993.79"/>
    <s v="Cancelled"/>
    <x v="0"/>
    <s v="Credit Card"/>
  </r>
  <r>
    <n v="4990"/>
    <n v="6607"/>
    <x v="221"/>
    <n v="1865.9"/>
    <s v="Completed"/>
    <x v="3"/>
    <s v="PayPal"/>
  </r>
  <r>
    <n v="4991"/>
    <n v="2861"/>
    <x v="283"/>
    <n v="619.65"/>
    <s v="Completed"/>
    <x v="2"/>
    <s v="Apple Pay"/>
  </r>
  <r>
    <n v="4992"/>
    <n v="5840"/>
    <x v="273"/>
    <n v="2115.98"/>
    <s v="Completed"/>
    <x v="3"/>
    <s v="Apple Pay"/>
  </r>
  <r>
    <n v="4993"/>
    <n v="3110"/>
    <x v="256"/>
    <n v="140.69999999999999"/>
    <s v="Completed"/>
    <x v="1"/>
    <s v="Credit Card"/>
  </r>
  <r>
    <n v="4994"/>
    <n v="7197"/>
    <x v="52"/>
    <n v="1177.96"/>
    <s v="Completed"/>
    <x v="3"/>
    <s v="Apple Pay"/>
  </r>
  <r>
    <n v="4995"/>
    <n v="8556"/>
    <x v="136"/>
    <n v="651.52"/>
    <s v="Completed"/>
    <x v="2"/>
    <s v="Apple Pay"/>
  </r>
  <r>
    <n v="4996"/>
    <n v="4480"/>
    <x v="5"/>
    <n v="1632.3"/>
    <s v="Cancelled"/>
    <x v="1"/>
    <s v="Apple Pay"/>
  </r>
  <r>
    <n v="4997"/>
    <n v="5918"/>
    <x v="296"/>
    <n v="1836.52"/>
    <s v="Completed"/>
    <x v="1"/>
    <s v="Apple Pay"/>
  </r>
  <r>
    <n v="4998"/>
    <n v="6046"/>
    <x v="296"/>
    <n v="1849.74"/>
    <s v="Completed"/>
    <x v="1"/>
    <s v="PayPal"/>
  </r>
  <r>
    <n v="4999"/>
    <n v="2716"/>
    <x v="230"/>
    <n v="3021.04"/>
    <s v="Completed"/>
    <x v="1"/>
    <s v="Apple Pay"/>
  </r>
  <r>
    <n v="5000"/>
    <n v="863"/>
    <x v="150"/>
    <n v="2575.5"/>
    <s v="Completed"/>
    <x v="2"/>
    <s v="Debit Car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n v="799"/>
    <x v="0"/>
    <n v="3291.84"/>
    <s v="Completed"/>
    <s v="East"/>
    <s v="Debit Card"/>
    <n v="1"/>
    <s v="Dell Laptop Model 1"/>
  </r>
  <r>
    <n v="2"/>
    <n v="5547"/>
    <x v="1"/>
    <n v="3291.84"/>
    <s v="Completed"/>
    <s v="Central"/>
    <s v="Debit Card"/>
    <n v="2"/>
    <s v="HP Laptop Model 2"/>
  </r>
  <r>
    <n v="3"/>
    <n v="9198"/>
    <x v="2"/>
    <n v="3291.84"/>
    <s v="Completed"/>
    <s v="East"/>
    <s v="Debit Card"/>
    <n v="3"/>
    <s v="ASUS Laptop Model 3"/>
  </r>
  <r>
    <n v="4"/>
    <n v="4722"/>
    <x v="3"/>
    <n v="3291.84"/>
    <s v="Completed"/>
    <s v="North"/>
    <s v="Credit Card"/>
    <n v="4"/>
    <s v="Dell Laptop Model 4"/>
  </r>
  <r>
    <n v="5"/>
    <n v="1154"/>
    <x v="4"/>
    <n v="3291.84"/>
    <s v="Completed"/>
    <s v="North"/>
    <s v="Debit Card"/>
    <n v="5"/>
    <s v="ASUS Laptop Model 5"/>
  </r>
  <r>
    <n v="6"/>
    <n v="1460"/>
    <x v="5"/>
    <n v="3291.84"/>
    <s v="Completed"/>
    <s v="West"/>
    <s v="Debit Card"/>
    <n v="6"/>
    <s v="ASUS Laptop Model 6"/>
  </r>
  <r>
    <n v="7"/>
    <n v="1308"/>
    <x v="6"/>
    <n v="3291.84"/>
    <s v="Completed"/>
    <s v="West"/>
    <s v="Apple Pay"/>
    <n v="7"/>
    <s v="Lenovo Laptop Model 7"/>
  </r>
  <r>
    <n v="8"/>
    <n v="3308"/>
    <x v="7"/>
    <n v="3291.84"/>
    <s v="Completed"/>
    <s v="North"/>
    <s v="Debit Card"/>
    <n v="8"/>
    <s v="HP Laptop Model 8"/>
  </r>
  <r>
    <n v="9"/>
    <n v="2724"/>
    <x v="8"/>
    <n v="3291.84"/>
    <s v="Completed"/>
    <s v="East"/>
    <s v="Debit Card"/>
    <n v="9"/>
    <s v="HP Laptop Model 9"/>
  </r>
  <r>
    <n v="10"/>
    <n v="3884"/>
    <x v="9"/>
    <n v="3291.84"/>
    <s v="Completed"/>
    <s v="North"/>
    <s v="Debit Card"/>
    <n v="10"/>
    <s v="Dell Laptop Model 10"/>
  </r>
  <r>
    <n v="11"/>
    <n v="1180"/>
    <x v="10"/>
    <n v="3291.84"/>
    <s v="Completed"/>
    <s v="Central"/>
    <s v="Credit Card"/>
    <n v="11"/>
    <s v="Lenovo Laptop Model 11"/>
  </r>
  <r>
    <n v="12"/>
    <n v="9183"/>
    <x v="11"/>
    <n v="3291.84"/>
    <s v="Completed"/>
    <s v="West"/>
    <s v="Credit Card"/>
    <n v="12"/>
    <s v="Apple Laptop Model 12"/>
  </r>
  <r>
    <n v="13"/>
    <n v="7875"/>
    <x v="12"/>
    <n v="3291.84"/>
    <s v="Completed"/>
    <s v="North"/>
    <s v="Apple Pay"/>
    <n v="13"/>
    <s v="Apple Laptop Model 13"/>
  </r>
  <r>
    <n v="14"/>
    <n v="7610"/>
    <x v="13"/>
    <n v="3291.84"/>
    <s v="Completed"/>
    <s v="Central"/>
    <s v="Credit Card"/>
    <n v="14"/>
    <s v="ASUS Laptop Model 14"/>
  </r>
  <r>
    <n v="15"/>
    <n v="4366"/>
    <x v="14"/>
    <n v="3291.84"/>
    <s v="Completed"/>
    <s v="South"/>
    <s v="Credit Card"/>
    <n v="15"/>
    <s v="HP Laptop Model 15"/>
  </r>
  <r>
    <n v="16"/>
    <n v="9556"/>
    <x v="15"/>
    <n v="3291.84"/>
    <s v="Completed"/>
    <s v="Central"/>
    <s v="Debit Card"/>
    <n v="16"/>
    <s v="HP Laptop Model 16"/>
  </r>
  <r>
    <n v="17"/>
    <n v="799"/>
    <x v="16"/>
    <n v="3291.84"/>
    <s v="Completed"/>
    <s v="others"/>
    <s v="PayPal"/>
    <n v="17"/>
    <s v="HP Laptop Model 17"/>
  </r>
  <r>
    <n v="18"/>
    <n v="5978"/>
    <x v="17"/>
    <n v="3291.84"/>
    <s v="Completed"/>
    <s v="others"/>
    <s v="Debit Card"/>
    <n v="18"/>
    <s v="Apple Laptop Model 18"/>
  </r>
  <r>
    <n v="19"/>
    <n v="4676"/>
    <x v="18"/>
    <n v="3291.84"/>
    <s v="Completed"/>
    <s v="South"/>
    <s v="Credit Card"/>
    <n v="19"/>
    <s v="Lenovo Laptop Model 19"/>
  </r>
  <r>
    <n v="20"/>
    <n v="4057"/>
    <x v="19"/>
    <n v="3291.84"/>
    <s v="Completed"/>
    <s v="East"/>
    <s v="Debit Card"/>
    <n v="20"/>
    <s v="Dell Laptop Model 20"/>
  </r>
  <r>
    <n v="21"/>
    <n v="2428"/>
    <x v="20"/>
    <n v="3291.84"/>
    <s v="Completed"/>
    <s v="East"/>
    <s v="Apple Pay"/>
    <n v="21"/>
    <s v="HP Laptop Model 21"/>
  </r>
  <r>
    <n v="22"/>
    <n v="3514"/>
    <x v="21"/>
    <n v="3291.84"/>
    <s v="Completed"/>
    <s v="South"/>
    <s v="Apple Pay"/>
    <n v="22"/>
    <s v="ASUS Laptop Model 22"/>
  </r>
  <r>
    <n v="23"/>
    <n v="9743"/>
    <x v="22"/>
    <n v="3291.84"/>
    <s v="Completed"/>
    <s v="East"/>
    <s v="Apple Pay"/>
    <n v="23"/>
    <s v="Dell Laptop Model 23"/>
  </r>
  <r>
    <n v="24"/>
    <n v="4501"/>
    <x v="23"/>
    <n v="3291.84"/>
    <s v="Returned"/>
    <s v="South"/>
    <s v="Apple Pay"/>
    <n v="24"/>
    <s v="Lenovo Laptop Model 24"/>
  </r>
  <r>
    <n v="25"/>
    <n v="9749"/>
    <x v="24"/>
    <n v="3291.84"/>
    <s v="Completed"/>
    <s v="West"/>
    <s v="Debit Card"/>
    <n v="25"/>
    <s v="ASUS Laptop Model 25"/>
  </r>
  <r>
    <n v="26"/>
    <n v="9799"/>
    <x v="25"/>
    <n v="3291.84"/>
    <s v="Completed"/>
    <s v="Central"/>
    <s v="Apple Pay"/>
    <n v="26"/>
    <s v="Apple Laptop Model 26"/>
  </r>
  <r>
    <n v="27"/>
    <n v="4031"/>
    <x v="26"/>
    <n v="3291.84"/>
    <s v="Completed"/>
    <s v="South"/>
    <s v="PayPal"/>
    <n v="27"/>
    <s v="Apple Laptop Model 27"/>
  </r>
  <r>
    <n v="28"/>
    <n v="6404"/>
    <x v="27"/>
    <n v="3291.84"/>
    <s v="Cancelled"/>
    <s v="East"/>
    <s v="Apple Pay"/>
    <n v="28"/>
    <s v="ASUS Laptop Model 28"/>
  </r>
  <r>
    <n v="29"/>
    <n v="6151"/>
    <x v="28"/>
    <n v="3291.84"/>
    <s v="Completed"/>
    <s v="others"/>
    <s v="Credit Card"/>
    <n v="29"/>
    <s v="Apple Laptop Model 29"/>
  </r>
  <r>
    <n v="30"/>
    <n v="3505"/>
    <x v="29"/>
    <n v="3291.84"/>
    <s v="Completed"/>
    <s v="West"/>
    <s v="Debit Card"/>
    <n v="30"/>
    <s v="HP Laptop Model 30"/>
  </r>
  <r>
    <n v="31"/>
    <n v="2726"/>
    <x v="30"/>
    <n v="3291.84"/>
    <s v="Completed"/>
    <s v="South"/>
    <s v="Credit Card"/>
    <n v="31"/>
    <s v="Apple Laptop Model 31"/>
  </r>
  <r>
    <n v="32"/>
    <n v="4985"/>
    <x v="31"/>
    <n v="3291.84"/>
    <s v="Completed"/>
    <s v="West"/>
    <s v="Apple Pay"/>
    <n v="32"/>
    <s v="Dell Laptop Model 32"/>
  </r>
  <r>
    <n v="33"/>
    <n v="537"/>
    <x v="32"/>
    <n v="3291.84"/>
    <s v="Completed"/>
    <s v="West"/>
    <s v="Apple Pay"/>
    <n v="33"/>
    <s v="Apple Laptop Model 33"/>
  </r>
  <r>
    <n v="34"/>
    <n v="2445"/>
    <x v="33"/>
    <n v="3291.84"/>
    <s v="Completed"/>
    <s v="West"/>
    <s v="Debit Card"/>
    <n v="34"/>
    <s v="ASUS Laptop Model 34"/>
  </r>
  <r>
    <n v="35"/>
    <n v="9082"/>
    <x v="0"/>
    <n v="3291.84"/>
    <s v="Completed"/>
    <s v="West"/>
    <s v="Apple Pay"/>
    <n v="35"/>
    <s v="ASUS Laptop Model 35"/>
  </r>
  <r>
    <n v="36"/>
    <n v="5591"/>
    <x v="34"/>
    <n v="3291.84"/>
    <s v="Completed"/>
    <s v="West"/>
    <s v="Debit Card"/>
    <n v="36"/>
    <s v="Dell Laptop Model 36"/>
  </r>
  <r>
    <n v="37"/>
    <n v="5023"/>
    <x v="35"/>
    <n v="3291.84"/>
    <s v="Completed"/>
    <s v="South"/>
    <s v="PayPal"/>
    <n v="37"/>
    <s v="Lenovo Laptop Model 37"/>
  </r>
  <r>
    <n v="38"/>
    <n v="8865"/>
    <x v="36"/>
    <n v="3291.84"/>
    <s v="Completed"/>
    <s v="East"/>
    <s v="Debit Card"/>
    <n v="38"/>
    <s v="Lenovo Laptop Model 38"/>
  </r>
  <r>
    <n v="39"/>
    <n v="6670"/>
    <x v="37"/>
    <n v="3291.84"/>
    <s v="Completed"/>
    <s v="West"/>
    <s v="Credit Card"/>
    <n v="39"/>
    <s v="Lenovo Laptop Model 39"/>
  </r>
  <r>
    <n v="40"/>
    <n v="5687"/>
    <x v="38"/>
    <n v="3291.84"/>
    <s v="Completed"/>
    <s v="North"/>
    <s v="PayPal"/>
    <n v="40"/>
    <s v="ASUS Laptop Model 40"/>
  </r>
  <r>
    <n v="41"/>
    <n v="9437"/>
    <x v="39"/>
    <n v="3291.84"/>
    <s v="Completed"/>
    <s v="South"/>
    <s v="PayPal"/>
    <n v="41"/>
    <s v="Google Smartphone Model 1"/>
  </r>
  <r>
    <n v="42"/>
    <n v="326"/>
    <x v="40"/>
    <n v="3291.84"/>
    <s v="Completed"/>
    <s v="East"/>
    <s v="PayPal"/>
    <n v="42"/>
    <s v="Apple Smartphone Model 2"/>
  </r>
  <r>
    <n v="43"/>
    <n v="6313"/>
    <x v="41"/>
    <n v="3291.84"/>
    <s v="Completed"/>
    <s v="Central"/>
    <s v="Credit Card"/>
    <n v="43"/>
    <s v="Xiaomi Smartphone Model 3"/>
  </r>
  <r>
    <n v="44"/>
    <n v="875"/>
    <x v="42"/>
    <n v="3291.84"/>
    <s v="Completed"/>
    <s v="South"/>
    <s v="Debit Card"/>
    <n v="44"/>
    <s v="Samsung Smartphone Model 4"/>
  </r>
  <r>
    <n v="45"/>
    <n v="1745"/>
    <x v="43"/>
    <n v="3291.84"/>
    <s v="Completed"/>
    <s v="North"/>
    <s v="Credit Card"/>
    <n v="45"/>
    <s v="Samsung Smartphone Model 5"/>
  </r>
  <r>
    <n v="46"/>
    <n v="8560"/>
    <x v="9"/>
    <n v="3291.84"/>
    <s v="Completed"/>
    <s v="South"/>
    <s v="Debit Card"/>
    <n v="46"/>
    <s v="Google Smartphone Model 6"/>
  </r>
  <r>
    <n v="47"/>
    <n v="2518"/>
    <x v="44"/>
    <n v="3291.84"/>
    <s v="Completed"/>
    <s v="South"/>
    <s v="Credit Card"/>
    <n v="47"/>
    <s v="Xiaomi Smartphone Model 7"/>
  </r>
  <r>
    <n v="48"/>
    <n v="2329"/>
    <x v="37"/>
    <n v="3291.84"/>
    <s v="Completed"/>
    <s v="Central"/>
    <s v="Credit Card"/>
    <n v="48"/>
    <s v="OnePlus Smartphone Model 8"/>
  </r>
  <r>
    <n v="49"/>
    <n v="9865"/>
    <x v="45"/>
    <n v="3291.84"/>
    <s v="Completed"/>
    <s v="Central"/>
    <s v="Apple Pay"/>
    <n v="49"/>
    <s v="Xiaomi Smartphone Model 9"/>
  </r>
  <r>
    <n v="50"/>
    <n v="3015"/>
    <x v="46"/>
    <n v="3291.84"/>
    <s v="Completed"/>
    <s v="Central"/>
    <s v="Debit Card"/>
    <n v="50"/>
    <s v="OnePlus Smartphone Model 10"/>
  </r>
  <r>
    <n v="51"/>
    <n v="7498"/>
    <x v="47"/>
    <n v="3291.84"/>
    <s v="Completed"/>
    <s v="Central"/>
    <s v="Credit Card"/>
    <n v="51"/>
    <s v="Xiaomi Smartphone Model 11"/>
  </r>
  <r>
    <n v="52"/>
    <n v="2655"/>
    <x v="48"/>
    <n v="3291.84"/>
    <s v="Completed"/>
    <s v="East"/>
    <s v="PayPal"/>
    <n v="52"/>
    <s v="Apple Smartphone Model 12"/>
  </r>
  <r>
    <n v="53"/>
    <n v="5825"/>
    <x v="49"/>
    <n v="3291.84"/>
    <s v="Completed"/>
    <s v="North"/>
    <s v="Debit Card"/>
    <n v="53"/>
    <s v="Apple Smartphone Model 13"/>
  </r>
  <r>
    <n v="54"/>
    <n v="9437"/>
    <x v="50"/>
    <n v="3291.84"/>
    <s v="Completed"/>
    <s v="South"/>
    <s v="Credit Card"/>
    <n v="54"/>
    <s v="Google Smartphone Model 14"/>
  </r>
  <r>
    <n v="55"/>
    <n v="3897"/>
    <x v="51"/>
    <n v="3291.84"/>
    <s v="Cancelled"/>
    <s v="Central"/>
    <s v="PayPal"/>
    <n v="55"/>
    <s v="Samsung Smartphone Model 15"/>
  </r>
  <r>
    <n v="56"/>
    <n v="2795"/>
    <x v="52"/>
    <n v="3291.84"/>
    <s v="Completed"/>
    <s v="North"/>
    <s v="Apple Pay"/>
    <n v="56"/>
    <s v="Samsung Smartphone Model 16"/>
  </r>
  <r>
    <n v="57"/>
    <n v="3995"/>
    <x v="53"/>
    <n v="3291.84"/>
    <s v="Completed"/>
    <s v="South"/>
    <s v="PayPal"/>
    <n v="57"/>
    <s v="Apple Smartphone Model 17"/>
  </r>
  <r>
    <n v="58"/>
    <n v="431"/>
    <x v="2"/>
    <n v="3291.84"/>
    <s v="Completed"/>
    <s v="West"/>
    <s v="Apple Pay"/>
    <n v="58"/>
    <s v="Samsung Smartphone Model 18"/>
  </r>
  <r>
    <n v="59"/>
    <n v="3211"/>
    <x v="54"/>
    <n v="3291.84"/>
    <s v="Completed"/>
    <s v="West"/>
    <s v="Debit Card"/>
    <n v="59"/>
    <s v="Google Smartphone Model 19"/>
  </r>
  <r>
    <n v="60"/>
    <n v="3960"/>
    <x v="27"/>
    <n v="3291.84"/>
    <s v="Completed"/>
    <s v="East"/>
    <s v="Apple Pay"/>
    <n v="60"/>
    <s v="OnePlus Smartphone Model 20"/>
  </r>
  <r>
    <n v="61"/>
    <n v="1881"/>
    <x v="55"/>
    <n v="3291.84"/>
    <s v="Completed"/>
    <s v="Central"/>
    <s v="PayPal"/>
    <n v="61"/>
    <s v="Xiaomi Smartphone Model 21"/>
  </r>
  <r>
    <n v="62"/>
    <n v="5022"/>
    <x v="56"/>
    <n v="3291.84"/>
    <s v="Completed"/>
    <s v="East"/>
    <s v="Debit Card"/>
    <n v="62"/>
    <s v="OnePlus Smartphone Model 22"/>
  </r>
  <r>
    <n v="63"/>
    <n v="2661"/>
    <x v="5"/>
    <n v="3291.84"/>
    <s v="Completed"/>
    <s v="West"/>
    <s v="PayPal"/>
    <n v="63"/>
    <s v="Samsung Smartphone Model 23"/>
  </r>
  <r>
    <n v="64"/>
    <n v="2219"/>
    <x v="24"/>
    <n v="3291.84"/>
    <s v="Cancelled"/>
    <s v="South"/>
    <s v="PayPal"/>
    <n v="64"/>
    <s v="OnePlus Smartphone Model 24"/>
  </r>
  <r>
    <n v="65"/>
    <n v="5094"/>
    <x v="57"/>
    <n v="3291.84"/>
    <s v="Completed"/>
    <s v="East"/>
    <s v="Debit Card"/>
    <n v="65"/>
    <s v="Samsung Smartphone Model 25"/>
  </r>
  <r>
    <n v="66"/>
    <n v="2821"/>
    <x v="58"/>
    <n v="3291.84"/>
    <s v="Completed"/>
    <s v="Central"/>
    <s v="PayPal"/>
    <n v="66"/>
    <s v="Samsung Smartphone Model 26"/>
  </r>
  <r>
    <n v="67"/>
    <n v="2144"/>
    <x v="59"/>
    <n v="3291.84"/>
    <s v="Cancelled"/>
    <s v="West"/>
    <s v="Credit Card"/>
    <n v="67"/>
    <s v="OnePlus Smartphone Model 27"/>
  </r>
  <r>
    <n v="68"/>
    <n v="6529"/>
    <x v="60"/>
    <n v="3291.84"/>
    <s v="Completed"/>
    <s v="Central"/>
    <s v="Apple Pay"/>
    <n v="68"/>
    <s v="OnePlus Smartphone Model 28"/>
  </r>
  <r>
    <n v="69"/>
    <n v="9673"/>
    <x v="61"/>
    <n v="3291.84"/>
    <s v="Completed"/>
    <s v="North"/>
    <s v="Credit Card"/>
    <n v="69"/>
    <s v="OnePlus Smartphone Model 29"/>
  </r>
  <r>
    <n v="70"/>
    <n v="835"/>
    <x v="62"/>
    <n v="3291.84"/>
    <s v="Completed"/>
    <s v="Central"/>
    <s v="PayPal"/>
    <n v="70"/>
    <s v="Samsung Smartphone Model 30"/>
  </r>
  <r>
    <n v="71"/>
    <n v="7710"/>
    <x v="63"/>
    <n v="3291.84"/>
    <s v="Completed"/>
    <s v="West"/>
    <s v="Apple Pay"/>
    <n v="71"/>
    <s v="Samsung Smartphone Model 31"/>
  </r>
  <r>
    <n v="72"/>
    <n v="6920"/>
    <x v="64"/>
    <n v="3291.84"/>
    <s v="Completed"/>
    <s v="Central"/>
    <s v="Debit Card"/>
    <n v="72"/>
    <s v="Apple Smartphone Model 32"/>
  </r>
  <r>
    <n v="73"/>
    <n v="5920"/>
    <x v="65"/>
    <n v="3291.84"/>
    <s v="Completed"/>
    <s v="North"/>
    <s v="Apple Pay"/>
    <n v="73"/>
    <s v="Apple Smartphone Model 33"/>
  </r>
  <r>
    <n v="74"/>
    <n v="5998"/>
    <x v="60"/>
    <n v="3291.84"/>
    <s v="Completed"/>
    <s v="Central"/>
    <s v="PayPal"/>
    <n v="74"/>
    <s v="Apple Smartphone Model 34"/>
  </r>
  <r>
    <n v="75"/>
    <n v="574"/>
    <x v="66"/>
    <n v="3291.84"/>
    <s v="Completed"/>
    <s v="West"/>
    <s v="PayPal"/>
    <n v="75"/>
    <s v="Google Smartphone Model 35"/>
  </r>
  <r>
    <n v="76"/>
    <n v="7701"/>
    <x v="67"/>
    <n v="3291.84"/>
    <s v="Completed"/>
    <s v="South"/>
    <s v="Apple Pay"/>
    <n v="76"/>
    <s v="Google Smartphone Model 36"/>
  </r>
  <r>
    <n v="77"/>
    <n v="13"/>
    <x v="68"/>
    <n v="3291.84"/>
    <s v="Completed"/>
    <s v="East"/>
    <s v="Debit Card"/>
    <n v="77"/>
    <s v="Xiaomi Smartphone Model 37"/>
  </r>
  <r>
    <n v="78"/>
    <n v="9973"/>
    <x v="69"/>
    <n v="3291.84"/>
    <s v="Completed"/>
    <s v="East"/>
    <s v="PayPal"/>
    <n v="78"/>
    <s v="Apple Smartphone Model 38"/>
  </r>
  <r>
    <n v="79"/>
    <n v="6297"/>
    <x v="70"/>
    <n v="3291.84"/>
    <s v="Completed"/>
    <s v="East"/>
    <s v="Apple Pay"/>
    <n v="79"/>
    <s v="Xiaomi Smartphone Model 39"/>
  </r>
  <r>
    <n v="80"/>
    <n v="7652"/>
    <x v="71"/>
    <n v="3291.84"/>
    <s v="Completed"/>
    <s v="East"/>
    <s v="Debit Card"/>
    <n v="80"/>
    <s v="Google Smartphone Model 40"/>
  </r>
  <r>
    <n v="81"/>
    <n v="2163"/>
    <x v="72"/>
    <n v="3291.84"/>
    <s v="Completed"/>
    <s v="East"/>
    <s v="Apple Pay"/>
    <n v="81"/>
    <s v="Lenovo Tablet Model 1"/>
  </r>
  <r>
    <n v="82"/>
    <n v="2269"/>
    <x v="73"/>
    <n v="3291.84"/>
    <s v="Completed"/>
    <s v="West"/>
    <s v="Debit Card"/>
    <n v="82"/>
    <s v="Apple Tablet Model 2"/>
  </r>
  <r>
    <n v="83"/>
    <n v="17"/>
    <x v="74"/>
    <n v="3291.84"/>
    <s v="Completed"/>
    <s v="West"/>
    <s v="Debit Card"/>
    <n v="83"/>
    <s v="Samsung Tablet Model 3"/>
  </r>
  <r>
    <n v="84"/>
    <n v="4775"/>
    <x v="37"/>
    <n v="3291.84"/>
    <s v="Completed"/>
    <s v="South"/>
    <s v="PayPal"/>
    <n v="84"/>
    <s v="Samsung Tablet Model 4"/>
  </r>
  <r>
    <n v="85"/>
    <n v="3868"/>
    <x v="49"/>
    <n v="3291.84"/>
    <s v="Completed"/>
    <s v="Central"/>
    <s v="Credit Card"/>
    <n v="85"/>
    <s v="Lenovo Tablet Model 5"/>
  </r>
  <r>
    <n v="86"/>
    <n v="3415"/>
    <x v="75"/>
    <n v="3291.84"/>
    <s v="Completed"/>
    <s v="Central"/>
    <s v="PayPal"/>
    <n v="86"/>
    <s v="Lenovo Tablet Model 6"/>
  </r>
  <r>
    <n v="87"/>
    <n v="9028"/>
    <x v="76"/>
    <n v="3291.84"/>
    <s v="Completed"/>
    <s v="Central"/>
    <s v="Apple Pay"/>
    <n v="87"/>
    <s v="Lenovo Tablet Model 7"/>
  </r>
  <r>
    <n v="88"/>
    <n v="7200"/>
    <x v="77"/>
    <n v="3291.84"/>
    <s v="Completed"/>
    <s v="South"/>
    <s v="Apple Pay"/>
    <n v="88"/>
    <s v="Samsung Tablet Model 8"/>
  </r>
  <r>
    <n v="89"/>
    <n v="9679"/>
    <x v="78"/>
    <n v="3291.84"/>
    <s v="Completed"/>
    <s v="West"/>
    <s v="Debit Card"/>
    <n v="89"/>
    <s v="Amazon Tablet Model 9"/>
  </r>
  <r>
    <n v="90"/>
    <n v="9529"/>
    <x v="79"/>
    <n v="3291.84"/>
    <s v="Cancelled"/>
    <s v="South"/>
    <s v="Apple Pay"/>
    <n v="90"/>
    <s v="Amazon Tablet Model 10"/>
  </r>
  <r>
    <n v="91"/>
    <n v="5292"/>
    <x v="80"/>
    <n v="3291.84"/>
    <s v="Completed"/>
    <s v="North"/>
    <s v="PayPal"/>
    <n v="91"/>
    <s v="Apple Tablet Model 11"/>
  </r>
  <r>
    <n v="92"/>
    <n v="1929"/>
    <x v="81"/>
    <n v="3291.84"/>
    <s v="Completed"/>
    <s v="North"/>
    <s v="Apple Pay"/>
    <n v="92"/>
    <s v="Lenovo Tablet Model 12"/>
  </r>
  <r>
    <n v="93"/>
    <n v="4392"/>
    <x v="60"/>
    <n v="3291.84"/>
    <s v="Completed"/>
    <s v="Central"/>
    <s v="Credit Card"/>
    <n v="93"/>
    <s v="Samsung Tablet Model 13"/>
  </r>
  <r>
    <n v="94"/>
    <n v="5447"/>
    <x v="65"/>
    <n v="3291.84"/>
    <s v="Completed"/>
    <s v="Central"/>
    <s v="PayPal"/>
    <n v="94"/>
    <s v="Amazon Tablet Model 14"/>
  </r>
  <r>
    <n v="95"/>
    <n v="5612"/>
    <x v="6"/>
    <n v="3291.84"/>
    <s v="Completed"/>
    <s v="North"/>
    <s v="Apple Pay"/>
    <n v="95"/>
    <s v="Amazon Tablet Model 15"/>
  </r>
  <r>
    <n v="96"/>
    <n v="3661"/>
    <x v="64"/>
    <n v="3291.84"/>
    <s v="Completed"/>
    <s v="South"/>
    <s v="PayPal"/>
    <n v="96"/>
    <s v="Lenovo Tablet Model 16"/>
  </r>
  <r>
    <n v="97"/>
    <n v="252"/>
    <x v="82"/>
    <n v="3291.84"/>
    <s v="Completed"/>
    <s v="East"/>
    <s v="Apple Pay"/>
    <n v="97"/>
    <s v="Lenovo Tablet Model 17"/>
  </r>
  <r>
    <n v="98"/>
    <n v="7714"/>
    <x v="83"/>
    <n v="3291.84"/>
    <s v="Completed"/>
    <s v="South"/>
    <s v="PayPal"/>
    <n v="98"/>
    <s v="Amazon Tablet Model 18"/>
  </r>
  <r>
    <n v="99"/>
    <n v="6060"/>
    <x v="58"/>
    <n v="3291.84"/>
    <s v="Completed"/>
    <s v="North"/>
    <s v="Credit Card"/>
    <n v="99"/>
    <s v="Samsung Tablet Model 19"/>
  </r>
  <r>
    <n v="100"/>
    <n v="1637"/>
    <x v="84"/>
    <n v="3291.84"/>
    <s v="Completed"/>
    <s v="West"/>
    <s v="Debit Card"/>
    <n v="100"/>
    <s v="Lenovo Tablet Model 20"/>
  </r>
  <r>
    <n v="101"/>
    <n v="3128"/>
    <x v="85"/>
    <n v="3291.84"/>
    <s v="Completed"/>
    <s v="North"/>
    <s v="Credit Card"/>
    <n v="101"/>
    <s v="Samsung Tablet Model 21"/>
  </r>
  <r>
    <n v="102"/>
    <n v="3899"/>
    <x v="86"/>
    <n v="3291.84"/>
    <s v="Completed"/>
    <s v="West"/>
    <s v="Credit Card"/>
    <n v="102"/>
    <s v="Amazon Tablet Model 22"/>
  </r>
  <r>
    <n v="103"/>
    <n v="9817"/>
    <x v="87"/>
    <n v="3291.84"/>
    <s v="Completed"/>
    <s v="East"/>
    <s v="Credit Card"/>
    <n v="103"/>
    <s v="Apple Tablet Model 23"/>
  </r>
  <r>
    <n v="104"/>
    <n v="2478"/>
    <x v="88"/>
    <n v="3291.84"/>
    <s v="Completed"/>
    <s v="Central"/>
    <s v="Apple Pay"/>
    <n v="104"/>
    <s v="Amazon Tablet Model 24"/>
  </r>
  <r>
    <n v="105"/>
    <n v="8493"/>
    <x v="34"/>
    <n v="3291.84"/>
    <s v="Completed"/>
    <s v="Central"/>
    <s v="PayPal"/>
    <n v="105"/>
    <s v="Samsung Tablet Model 25"/>
  </r>
  <r>
    <n v="106"/>
    <n v="6690"/>
    <x v="89"/>
    <n v="3291.84"/>
    <s v="Completed"/>
    <s v="South"/>
    <s v="Apple Pay"/>
    <n v="106"/>
    <s v="Microsoft Tablet Model 26"/>
  </r>
  <r>
    <n v="107"/>
    <n v="8857"/>
    <x v="90"/>
    <n v="3291.84"/>
    <s v="Completed"/>
    <s v="East"/>
    <s v="Apple Pay"/>
    <n v="107"/>
    <s v="Apple Tablet Model 27"/>
  </r>
  <r>
    <n v="108"/>
    <n v="9904"/>
    <x v="91"/>
    <n v="3291.84"/>
    <s v="Completed"/>
    <s v="South"/>
    <s v="Apple Pay"/>
    <n v="108"/>
    <s v="Samsung Tablet Model 28"/>
  </r>
  <r>
    <n v="109"/>
    <n v="7569"/>
    <x v="90"/>
    <n v="3291.84"/>
    <s v="Completed"/>
    <s v="East"/>
    <s v="Apple Pay"/>
    <n v="109"/>
    <s v="Lenovo Tablet Model 29"/>
  </r>
  <r>
    <n v="110"/>
    <n v="4358"/>
    <x v="92"/>
    <n v="3291.84"/>
    <s v="Completed"/>
    <s v="West"/>
    <s v="Credit Card"/>
    <n v="110"/>
    <s v="Apple Tablet Model 30"/>
  </r>
  <r>
    <n v="111"/>
    <n v="3325"/>
    <x v="47"/>
    <n v="3291.84"/>
    <s v="Completed"/>
    <s v="Central"/>
    <s v="Apple Pay"/>
    <n v="111"/>
    <s v="Apple Tablet Model 31"/>
  </r>
  <r>
    <n v="112"/>
    <n v="3648"/>
    <x v="93"/>
    <n v="3291.84"/>
    <s v="Completed"/>
    <s v="North"/>
    <s v="Apple Pay"/>
    <n v="112"/>
    <s v="Samsung Tablet Model 32"/>
  </r>
  <r>
    <n v="113"/>
    <n v="5220"/>
    <x v="94"/>
    <n v="3291.84"/>
    <s v="Completed"/>
    <s v="West"/>
    <s v="Credit Card"/>
    <n v="113"/>
    <s v="Lenovo Tablet Model 33"/>
  </r>
  <r>
    <n v="114"/>
    <n v="1765"/>
    <x v="95"/>
    <n v="3291.84"/>
    <s v="Completed"/>
    <s v="South"/>
    <s v="Credit Card"/>
    <n v="114"/>
    <s v="Lenovo Tablet Model 34"/>
  </r>
  <r>
    <n v="115"/>
    <n v="6907"/>
    <x v="96"/>
    <n v="3291.84"/>
    <s v="Completed"/>
    <s v="North"/>
    <s v="PayPal"/>
    <n v="115"/>
    <s v="Samsung Tablet Model 35"/>
  </r>
  <r>
    <n v="116"/>
    <n v="2252"/>
    <x v="97"/>
    <n v="3291.84"/>
    <s v="Completed"/>
    <s v="East"/>
    <s v="PayPal"/>
    <n v="116"/>
    <s v="Samsung Tablet Model 36"/>
  </r>
  <r>
    <n v="117"/>
    <n v="4293"/>
    <x v="98"/>
    <n v="3291.84"/>
    <s v="Completed"/>
    <s v="South"/>
    <s v="Debit Card"/>
    <n v="117"/>
    <s v="Amazon Tablet Model 37"/>
  </r>
  <r>
    <n v="118"/>
    <n v="4625"/>
    <x v="99"/>
    <n v="3291.84"/>
    <s v="Completed"/>
    <s v="North"/>
    <s v="PayPal"/>
    <n v="118"/>
    <s v="Samsung Tablet Model 38"/>
  </r>
  <r>
    <n v="119"/>
    <n v="6665"/>
    <x v="100"/>
    <n v="3291.84"/>
    <s v="Completed"/>
    <s v="West"/>
    <s v="PayPal"/>
    <n v="119"/>
    <s v="Apple Tablet Model 39"/>
  </r>
  <r>
    <n v="120"/>
    <n v="9753"/>
    <x v="58"/>
    <n v="3291.84"/>
    <s v="Completed"/>
    <s v="Central"/>
    <s v="Credit Card"/>
    <n v="120"/>
    <s v="Microsoft Tablet Model 40"/>
  </r>
  <r>
    <n v="121"/>
    <n v="1158"/>
    <x v="6"/>
    <n v="3291.84"/>
    <s v="Completed"/>
    <s v="North"/>
    <s v="PayPal"/>
    <n v="121"/>
    <s v="Apple Headphone Model 1"/>
  </r>
  <r>
    <n v="122"/>
    <n v="3040"/>
    <x v="101"/>
    <n v="3291.84"/>
    <s v="Completed"/>
    <s v="Central"/>
    <s v="PayPal"/>
    <n v="122"/>
    <s v="Bose Headphone Model 2"/>
  </r>
  <r>
    <n v="123"/>
    <n v="6832"/>
    <x v="102"/>
    <n v="3291.84"/>
    <s v="Completed"/>
    <s v="South"/>
    <s v="PayPal"/>
    <n v="123"/>
    <s v="Apple Headphone Model 3"/>
  </r>
  <r>
    <n v="124"/>
    <n v="7927"/>
    <x v="76"/>
    <n v="3291.84"/>
    <s v="Completed"/>
    <s v="East"/>
    <s v="Debit Card"/>
    <n v="124"/>
    <s v="JBL Headphone Model 4"/>
  </r>
  <r>
    <n v="125"/>
    <n v="1940"/>
    <x v="103"/>
    <n v="3291.84"/>
    <s v="Completed"/>
    <s v="South"/>
    <s v="Debit Card"/>
    <n v="125"/>
    <s v="Sennheiser Headphone Model 5"/>
  </r>
  <r>
    <n v="126"/>
    <n v="5013"/>
    <x v="104"/>
    <n v="3291.84"/>
    <s v="Completed"/>
    <s v="West"/>
    <s v="Debit Card"/>
    <n v="126"/>
    <s v="JBL Headphone Model 6"/>
  </r>
  <r>
    <n v="127"/>
    <n v="1300"/>
    <x v="3"/>
    <n v="3291.84"/>
    <s v="Completed"/>
    <s v="Central"/>
    <s v="Apple Pay"/>
    <n v="127"/>
    <s v="JBL Headphone Model 7"/>
  </r>
  <r>
    <n v="128"/>
    <n v="394"/>
    <x v="105"/>
    <n v="3291.84"/>
    <s v="Completed"/>
    <s v="West"/>
    <s v="Debit Card"/>
    <n v="128"/>
    <s v="JBL Headphone Model 8"/>
  </r>
  <r>
    <n v="129"/>
    <n v="9908"/>
    <x v="34"/>
    <n v="3291.84"/>
    <s v="Completed"/>
    <s v="East"/>
    <s v="Debit Card"/>
    <n v="129"/>
    <s v="Sennheiser Headphone Model 9"/>
  </r>
  <r>
    <n v="130"/>
    <n v="9139"/>
    <x v="106"/>
    <n v="3291.84"/>
    <s v="Completed"/>
    <s v="West"/>
    <s v="PayPal"/>
    <n v="130"/>
    <s v="Sennheiser Headphone Model 10"/>
  </r>
  <r>
    <n v="131"/>
    <n v="5281"/>
    <x v="107"/>
    <n v="3291.84"/>
    <s v="Completed"/>
    <s v="East"/>
    <s v="Debit Card"/>
    <n v="131"/>
    <s v="Apple Headphone Model 11"/>
  </r>
  <r>
    <n v="132"/>
    <n v="4722"/>
    <x v="63"/>
    <n v="3291.84"/>
    <s v="Completed"/>
    <s v="North"/>
    <s v="Credit Card"/>
    <n v="132"/>
    <s v="Sennheiser Headphone Model 12"/>
  </r>
  <r>
    <n v="133"/>
    <n v="4458"/>
    <x v="108"/>
    <n v="3291.84"/>
    <s v="Completed"/>
    <s v="West"/>
    <s v="Apple Pay"/>
    <n v="133"/>
    <s v="Bose Headphone Model 13"/>
  </r>
  <r>
    <n v="134"/>
    <n v="2839"/>
    <x v="20"/>
    <n v="3291.84"/>
    <s v="Completed"/>
    <s v="East"/>
    <s v="Debit Card"/>
    <n v="134"/>
    <s v="JBL Headphone Model 14"/>
  </r>
  <r>
    <n v="135"/>
    <n v="7"/>
    <x v="83"/>
    <n v="3291.84"/>
    <s v="Completed"/>
    <s v="North"/>
    <s v="PayPal"/>
    <n v="135"/>
    <s v="Sony Headphone Model 15"/>
  </r>
  <r>
    <n v="136"/>
    <n v="1566"/>
    <x v="95"/>
    <n v="3291.84"/>
    <s v="Completed"/>
    <s v="East"/>
    <s v="PayPal"/>
    <n v="136"/>
    <s v="JBL Headphone Model 16"/>
  </r>
  <r>
    <n v="137"/>
    <n v="1604"/>
    <x v="29"/>
    <n v="3291.84"/>
    <s v="Completed"/>
    <s v="West"/>
    <s v="Debit Card"/>
    <n v="137"/>
    <s v="JBL Headphone Model 17"/>
  </r>
  <r>
    <n v="138"/>
    <n v="3846"/>
    <x v="109"/>
    <n v="3291.84"/>
    <s v="Completed"/>
    <s v="East"/>
    <s v="Debit Card"/>
    <n v="138"/>
    <s v="Apple Headphone Model 18"/>
  </r>
  <r>
    <n v="139"/>
    <n v="8004"/>
    <x v="110"/>
    <n v="3291.84"/>
    <s v="Completed"/>
    <s v="West"/>
    <s v="Apple Pay"/>
    <n v="139"/>
    <s v="Sennheiser Headphone Model 19"/>
  </r>
  <r>
    <n v="140"/>
    <n v="7343"/>
    <x v="111"/>
    <n v="3291.84"/>
    <s v="Completed"/>
    <s v="North"/>
    <s v="PayPal"/>
    <n v="140"/>
    <s v="Sony Headphone Model 20"/>
  </r>
  <r>
    <n v="141"/>
    <n v="9531"/>
    <x v="103"/>
    <n v="3291.84"/>
    <s v="Completed"/>
    <s v="South"/>
    <s v="Credit Card"/>
    <n v="141"/>
    <s v="Sennheiser Headphone Model 21"/>
  </r>
  <r>
    <n v="142"/>
    <n v="2426"/>
    <x v="107"/>
    <n v="3291.84"/>
    <s v="Completed"/>
    <s v="North"/>
    <s v="Debit Card"/>
    <n v="142"/>
    <s v="Apple Headphone Model 22"/>
  </r>
  <r>
    <n v="143"/>
    <n v="8362"/>
    <x v="112"/>
    <n v="3291.84"/>
    <s v="Completed"/>
    <s v="West"/>
    <s v="Credit Card"/>
    <n v="143"/>
    <s v="Apple Headphone Model 23"/>
  </r>
  <r>
    <n v="144"/>
    <n v="5701"/>
    <x v="109"/>
    <n v="3291.84"/>
    <s v="Completed"/>
    <s v="North"/>
    <s v="Apple Pay"/>
    <n v="144"/>
    <s v="Bose Headphone Model 24"/>
  </r>
  <r>
    <n v="145"/>
    <n v="2798"/>
    <x v="94"/>
    <n v="3291.84"/>
    <s v="Completed"/>
    <s v="Central"/>
    <s v="Debit Card"/>
    <n v="145"/>
    <s v="Sennheiser Headphone Model 25"/>
  </r>
  <r>
    <n v="146"/>
    <n v="6045"/>
    <x v="113"/>
    <n v="3291.84"/>
    <s v="Completed"/>
    <s v="East"/>
    <s v="Debit Card"/>
    <n v="146"/>
    <s v="Bose Headphone Model 26"/>
  </r>
  <r>
    <n v="147"/>
    <n v="1956"/>
    <x v="114"/>
    <n v="3291.84"/>
    <s v="Completed"/>
    <s v="West"/>
    <s v="Debit Card"/>
    <n v="147"/>
    <s v="Bose Headphone Model 27"/>
  </r>
  <r>
    <n v="148"/>
    <n v="2684"/>
    <x v="115"/>
    <n v="3291.84"/>
    <s v="Completed"/>
    <s v="Central"/>
    <s v="Credit Card"/>
    <n v="148"/>
    <s v="Apple Headphone Model 28"/>
  </r>
  <r>
    <n v="149"/>
    <n v="3573"/>
    <x v="81"/>
    <n v="3291.84"/>
    <s v="Completed"/>
    <s v="Central"/>
    <s v="Credit Card"/>
    <n v="149"/>
    <s v="Apple Headphone Model 29"/>
  </r>
  <r>
    <n v="150"/>
    <n v="9973"/>
    <x v="116"/>
    <n v="3291.84"/>
    <s v="Completed"/>
    <s v="East"/>
    <s v="Debit Card"/>
    <n v="150"/>
    <s v="Bose Headphone Model 30"/>
  </r>
  <r>
    <n v="151"/>
    <n v="6147"/>
    <x v="100"/>
    <n v="3291.84"/>
    <s v="Completed"/>
    <s v="West"/>
    <s v="Debit Card"/>
    <n v="151"/>
    <s v="Apple Headphone Model 31"/>
  </r>
  <r>
    <n v="152"/>
    <n v="3032"/>
    <x v="90"/>
    <n v="3291.84"/>
    <s v="Completed"/>
    <s v="West"/>
    <s v="PayPal"/>
    <n v="152"/>
    <s v="Sony Headphone Model 32"/>
  </r>
  <r>
    <n v="153"/>
    <n v="7882"/>
    <x v="117"/>
    <n v="3291.84"/>
    <s v="Completed"/>
    <s v="North"/>
    <s v="Debit Card"/>
    <n v="153"/>
    <s v="Sony Headphone Model 33"/>
  </r>
  <r>
    <n v="154"/>
    <n v="9739"/>
    <x v="118"/>
    <n v="3291.84"/>
    <s v="Completed"/>
    <s v="West"/>
    <s v="Debit Card"/>
    <n v="154"/>
    <s v="Sennheiser Headphone Model 34"/>
  </r>
  <r>
    <n v="155"/>
    <n v="9862"/>
    <x v="119"/>
    <n v="3291.84"/>
    <s v="Completed"/>
    <s v="West"/>
    <s v="PayPal"/>
    <n v="155"/>
    <s v="Sony Headphone Model 35"/>
  </r>
  <r>
    <n v="156"/>
    <n v="2199"/>
    <x v="120"/>
    <n v="3291.84"/>
    <s v="Completed"/>
    <s v="North"/>
    <s v="PayPal"/>
    <n v="156"/>
    <s v="Sennheiser Headphone Model 36"/>
  </r>
  <r>
    <n v="157"/>
    <n v="3962"/>
    <x v="118"/>
    <n v="3291.84"/>
    <s v="Completed"/>
    <s v="North"/>
    <s v="Apple Pay"/>
    <n v="157"/>
    <s v="Apple Headphone Model 37"/>
  </r>
  <r>
    <n v="158"/>
    <n v="2040"/>
    <x v="121"/>
    <n v="3291.84"/>
    <s v="Completed"/>
    <s v="South"/>
    <s v="Debit Card"/>
    <n v="158"/>
    <s v="Sennheiser Headphone Model 38"/>
  </r>
  <r>
    <n v="159"/>
    <n v="8737"/>
    <x v="122"/>
    <n v="3291.84"/>
    <s v="Completed"/>
    <s v="West"/>
    <s v="PayPal"/>
    <n v="159"/>
    <s v="Apple Headphone Model 39"/>
  </r>
  <r>
    <n v="160"/>
    <n v="6122"/>
    <x v="89"/>
    <n v="3291.84"/>
    <s v="Completed"/>
    <s v="East"/>
    <s v="Apple Pay"/>
    <n v="160"/>
    <s v="Apple Headphone Model 40"/>
  </r>
  <r>
    <n v="161"/>
    <n v="1112"/>
    <x v="123"/>
    <n v="3291.84"/>
    <s v="Completed"/>
    <s v="West"/>
    <s v="PayPal"/>
    <n v="161"/>
    <s v="Garmin Smartwatche Model 1"/>
  </r>
  <r>
    <n v="162"/>
    <n v="9761"/>
    <x v="94"/>
    <n v="3291.84"/>
    <s v="Completed"/>
    <s v="Central"/>
    <s v="Debit Card"/>
    <n v="162"/>
    <s v="Samsung Smartwatche Model 2"/>
  </r>
  <r>
    <n v="163"/>
    <n v="5463"/>
    <x v="124"/>
    <n v="3291.84"/>
    <s v="Completed"/>
    <s v="South"/>
    <s v="Credit Card"/>
    <n v="163"/>
    <s v="Garmin Smartwatche Model 3"/>
  </r>
  <r>
    <n v="164"/>
    <n v="9953"/>
    <x v="96"/>
    <n v="3291.84"/>
    <s v="Completed"/>
    <s v="West"/>
    <s v="Apple Pay"/>
    <n v="164"/>
    <s v="Fossil Smartwatche Model 4"/>
  </r>
  <r>
    <n v="165"/>
    <n v="8680"/>
    <x v="125"/>
    <n v="3291.84"/>
    <s v="Completed"/>
    <s v="Central"/>
    <s v="Debit Card"/>
    <n v="165"/>
    <s v="Fitbit Smartwatche Model 5"/>
  </r>
  <r>
    <n v="166"/>
    <n v="9531"/>
    <x v="126"/>
    <n v="3291.84"/>
    <s v="Completed"/>
    <s v="South"/>
    <s v="Debit Card"/>
    <n v="166"/>
    <s v="Apple Smartwatche Model 6"/>
  </r>
  <r>
    <n v="167"/>
    <n v="6540"/>
    <x v="125"/>
    <n v="3291.84"/>
    <s v="Completed"/>
    <s v="South"/>
    <s v="PayPal"/>
    <n v="167"/>
    <s v="Fitbit Smartwatche Model 7"/>
  </r>
  <r>
    <n v="168"/>
    <n v="923"/>
    <x v="122"/>
    <n v="3291.84"/>
    <s v="Completed"/>
    <s v="Central"/>
    <s v="PayPal"/>
    <n v="168"/>
    <s v="Fitbit Smartwatche Model 8"/>
  </r>
  <r>
    <n v="169"/>
    <n v="5751"/>
    <x v="127"/>
    <n v="3291.84"/>
    <s v="Completed"/>
    <s v="Central"/>
    <s v="PayPal"/>
    <n v="169"/>
    <s v="Apple Smartwatche Model 9"/>
  </r>
  <r>
    <n v="170"/>
    <n v="1180"/>
    <x v="118"/>
    <n v="3291.84"/>
    <s v="Completed"/>
    <s v="Central"/>
    <s v="PayPal"/>
    <n v="170"/>
    <s v="Fitbit Smartwatche Model 10"/>
  </r>
  <r>
    <n v="171"/>
    <n v="4321"/>
    <x v="128"/>
    <n v="3291.84"/>
    <s v="Completed"/>
    <s v="South"/>
    <s v="Credit Card"/>
    <n v="171"/>
    <s v="Garmin Smartwatche Model 11"/>
  </r>
  <r>
    <n v="172"/>
    <n v="1885"/>
    <x v="83"/>
    <n v="3291.84"/>
    <s v="Completed"/>
    <s v="East"/>
    <s v="Apple Pay"/>
    <n v="172"/>
    <s v="Fitbit Smartwatche Model 12"/>
  </r>
  <r>
    <n v="173"/>
    <n v="9172"/>
    <x v="129"/>
    <n v="3291.84"/>
    <s v="Completed"/>
    <s v="West"/>
    <s v="Debit Card"/>
    <n v="173"/>
    <s v="Fossil Smartwatche Model 13"/>
  </r>
  <r>
    <n v="174"/>
    <n v="597"/>
    <x v="130"/>
    <n v="3291.84"/>
    <s v="Completed"/>
    <s v="South"/>
    <s v="PayPal"/>
    <n v="174"/>
    <s v="Garmin Smartwatche Model 14"/>
  </r>
  <r>
    <n v="175"/>
    <n v="8691"/>
    <x v="131"/>
    <n v="3291.84"/>
    <s v="Completed"/>
    <s v="Central"/>
    <s v="Debit Card"/>
    <n v="175"/>
    <s v="Garmin Smartwatche Model 15"/>
  </r>
  <r>
    <n v="176"/>
    <n v="8684"/>
    <x v="132"/>
    <n v="3291.84"/>
    <s v="Completed"/>
    <s v="West"/>
    <s v="Apple Pay"/>
    <n v="176"/>
    <s v="Samsung Smartwatche Model 16"/>
  </r>
  <r>
    <n v="177"/>
    <n v="3553"/>
    <x v="133"/>
    <n v="3291.84"/>
    <s v="Completed"/>
    <s v="East"/>
    <s v="Apple Pay"/>
    <n v="177"/>
    <s v="Fossil Smartwatche Model 17"/>
  </r>
  <r>
    <n v="178"/>
    <n v="4796"/>
    <x v="107"/>
    <n v="3291.84"/>
    <s v="Completed"/>
    <s v="South"/>
    <s v="Debit Card"/>
    <n v="178"/>
    <s v="Fossil Smartwatche Model 18"/>
  </r>
  <r>
    <n v="179"/>
    <n v="4891"/>
    <x v="69"/>
    <n v="3291.84"/>
    <s v="Completed"/>
    <s v="Central"/>
    <s v="Apple Pay"/>
    <n v="179"/>
    <s v="Fitbit Smartwatche Model 19"/>
  </r>
  <r>
    <n v="180"/>
    <n v="1791"/>
    <x v="7"/>
    <n v="3291.84"/>
    <s v="Completed"/>
    <s v="South"/>
    <s v="Apple Pay"/>
    <n v="180"/>
    <s v="Apple Smartwatche Model 20"/>
  </r>
  <r>
    <n v="181"/>
    <n v="943"/>
    <x v="134"/>
    <n v="3291.84"/>
    <s v="Completed"/>
    <s v="East"/>
    <s v="PayPal"/>
    <n v="181"/>
    <s v="Fitbit Smartwatche Model 21"/>
  </r>
  <r>
    <n v="182"/>
    <n v="1682"/>
    <x v="92"/>
    <n v="3291.84"/>
    <s v="Completed"/>
    <s v="West"/>
    <s v="Debit Card"/>
    <n v="182"/>
    <s v="Fitbit Smartwatche Model 22"/>
  </r>
  <r>
    <n v="183"/>
    <n v="5689"/>
    <x v="135"/>
    <n v="3291.84"/>
    <s v="Completed"/>
    <s v="South"/>
    <s v="Debit Card"/>
    <n v="183"/>
    <s v="Fitbit Smartwatche Model 23"/>
  </r>
  <r>
    <n v="184"/>
    <n v="9292"/>
    <x v="136"/>
    <n v="3291.84"/>
    <s v="Completed"/>
    <s v="Central"/>
    <s v="Credit Card"/>
    <n v="184"/>
    <s v="Apple Smartwatche Model 24"/>
  </r>
  <r>
    <n v="185"/>
    <n v="4122"/>
    <x v="137"/>
    <n v="3291.84"/>
    <s v="Returned"/>
    <s v="Central"/>
    <s v="Credit Card"/>
    <n v="185"/>
    <s v="Garmin Smartwatche Model 25"/>
  </r>
  <r>
    <n v="186"/>
    <n v="3974"/>
    <x v="135"/>
    <n v="3291.84"/>
    <s v="Completed"/>
    <s v="West"/>
    <s v="PayPal"/>
    <n v="186"/>
    <s v="Apple Smartwatche Model 26"/>
  </r>
  <r>
    <n v="187"/>
    <n v="6762"/>
    <x v="44"/>
    <n v="3291.84"/>
    <s v="Completed"/>
    <s v="North"/>
    <s v="Credit Card"/>
    <n v="187"/>
    <s v="Samsung Smartwatche Model 27"/>
  </r>
  <r>
    <n v="188"/>
    <n v="3876"/>
    <x v="105"/>
    <n v="3291.84"/>
    <s v="Completed"/>
    <s v="South"/>
    <s v="Debit Card"/>
    <n v="188"/>
    <s v="Samsung Smartwatche Model 28"/>
  </r>
  <r>
    <n v="189"/>
    <n v="3041"/>
    <x v="138"/>
    <n v="3291.84"/>
    <s v="Completed"/>
    <s v="South"/>
    <s v="Apple Pay"/>
    <n v="189"/>
    <s v="Fossil Smartwatche Model 29"/>
  </r>
  <r>
    <n v="190"/>
    <n v="3493"/>
    <x v="139"/>
    <n v="3291.84"/>
    <s v="Completed"/>
    <s v="East"/>
    <s v="PayPal"/>
    <n v="190"/>
    <s v="Garmin Smartwatche Model 30"/>
  </r>
  <r>
    <n v="191"/>
    <n v="447"/>
    <x v="88"/>
    <n v="3291.84"/>
    <s v="Completed"/>
    <s v="North"/>
    <s v="Debit Card"/>
    <n v="191"/>
    <s v="Fossil Smartwatche Model 31"/>
  </r>
  <r>
    <n v="192"/>
    <n v="5978"/>
    <x v="23"/>
    <n v="3291.84"/>
    <s v="Completed"/>
    <s v="North"/>
    <s v="PayPal"/>
    <n v="192"/>
    <s v="Samsung Smartwatche Model 32"/>
  </r>
  <r>
    <n v="193"/>
    <n v="3713"/>
    <x v="140"/>
    <n v="3291.84"/>
    <s v="Completed"/>
    <s v="North"/>
    <s v="Debit Card"/>
    <n v="193"/>
    <s v="Apple Smartwatche Model 33"/>
  </r>
  <r>
    <n v="194"/>
    <n v="2255"/>
    <x v="128"/>
    <n v="3291.84"/>
    <s v="Completed"/>
    <s v="South"/>
    <s v="Debit Card"/>
    <n v="194"/>
    <s v="Fitbit Smartwatche Model 34"/>
  </r>
  <r>
    <n v="195"/>
    <n v="7183"/>
    <x v="141"/>
    <n v="3291.84"/>
    <s v="Completed"/>
    <s v="North"/>
    <s v="Credit Card"/>
    <n v="195"/>
    <s v="Apple Smartwatche Model 35"/>
  </r>
  <r>
    <n v="196"/>
    <n v="4449"/>
    <x v="142"/>
    <n v="3291.84"/>
    <s v="Completed"/>
    <s v="Central"/>
    <s v="Apple Pay"/>
    <n v="196"/>
    <s v="Samsung Smartwatche Model 36"/>
  </r>
  <r>
    <n v="197"/>
    <n v="3272"/>
    <x v="134"/>
    <n v="3291.84"/>
    <s v="Completed"/>
    <s v="South"/>
    <s v="Apple Pay"/>
    <n v="197"/>
    <s v="Fossil Smartwatche Model 37"/>
  </r>
  <r>
    <n v="198"/>
    <n v="5882"/>
    <x v="143"/>
    <n v="3291.84"/>
    <s v="Completed"/>
    <s v="West"/>
    <s v="Debit Card"/>
    <n v="198"/>
    <s v="Fossil Smartwatche Model 38"/>
  </r>
  <r>
    <n v="199"/>
    <n v="8953"/>
    <x v="144"/>
    <n v="3291.84"/>
    <s v="Completed"/>
    <s v="West"/>
    <s v="Debit Card"/>
    <n v="199"/>
    <s v="Fitbit Smartwatche Model 39"/>
  </r>
  <r>
    <n v="200"/>
    <n v="651"/>
    <x v="145"/>
    <n v="3291.84"/>
    <s v="Completed"/>
    <s v="West"/>
    <s v="Apple Pay"/>
    <n v="200"/>
    <s v="Garmin Smartwatche Model 40"/>
  </r>
  <r>
    <n v="201"/>
    <n v="731"/>
    <x v="63"/>
    <n v="3291.84"/>
    <s v="Completed"/>
    <s v="East"/>
    <s v="Apple Pay"/>
    <m/>
    <m/>
  </r>
  <r>
    <n v="202"/>
    <n v="2296"/>
    <x v="146"/>
    <n v="3291.84"/>
    <s v="Completed"/>
    <s v="Central"/>
    <s v="PayPal"/>
    <m/>
    <m/>
  </r>
  <r>
    <n v="203"/>
    <n v="2754"/>
    <x v="147"/>
    <n v="3291.84"/>
    <s v="Completed"/>
    <s v="South"/>
    <s v="Debit Card"/>
    <m/>
    <m/>
  </r>
  <r>
    <n v="204"/>
    <n v="2145"/>
    <x v="148"/>
    <n v="3291.84"/>
    <s v="Completed"/>
    <s v="West"/>
    <s v="Credit Card"/>
    <m/>
    <m/>
  </r>
  <r>
    <n v="205"/>
    <n v="1562"/>
    <x v="114"/>
    <n v="3291.84"/>
    <s v="Completed"/>
    <s v="Central"/>
    <s v="Credit Card"/>
    <m/>
    <m/>
  </r>
  <r>
    <n v="206"/>
    <n v="7148"/>
    <x v="55"/>
    <n v="3291.84"/>
    <s v="Completed"/>
    <s v="South"/>
    <s v="Credit Card"/>
    <m/>
    <m/>
  </r>
  <r>
    <n v="207"/>
    <n v="2966"/>
    <x v="49"/>
    <n v="3291.84"/>
    <s v="Returned"/>
    <s v="Central"/>
    <s v="Credit Card"/>
    <m/>
    <m/>
  </r>
  <r>
    <n v="208"/>
    <n v="9250"/>
    <x v="41"/>
    <n v="3291.84"/>
    <s v="Completed"/>
    <s v="East"/>
    <s v="Credit Card"/>
    <m/>
    <m/>
  </r>
  <r>
    <n v="209"/>
    <n v="3412"/>
    <x v="134"/>
    <n v="3291.84"/>
    <s v="Cancelled"/>
    <s v="West"/>
    <s v="PayPal"/>
    <m/>
    <m/>
  </r>
  <r>
    <n v="210"/>
    <n v="7717"/>
    <x v="149"/>
    <n v="3291.84"/>
    <s v="Completed"/>
    <s v="Central"/>
    <s v="Apple Pay"/>
    <m/>
    <m/>
  </r>
  <r>
    <n v="211"/>
    <n v="5927"/>
    <x v="150"/>
    <n v="3291.84"/>
    <s v="Completed"/>
    <s v="East"/>
    <s v="Apple Pay"/>
    <m/>
    <m/>
  </r>
  <r>
    <n v="212"/>
    <n v="3663"/>
    <x v="61"/>
    <n v="3291.84"/>
    <s v="Completed"/>
    <s v="South"/>
    <s v="Debit Card"/>
    <m/>
    <m/>
  </r>
  <r>
    <n v="213"/>
    <n v="5879"/>
    <x v="151"/>
    <n v="3291.84"/>
    <s v="Completed"/>
    <s v="Central"/>
    <s v="Credit Card"/>
    <m/>
    <m/>
  </r>
  <r>
    <n v="214"/>
    <n v="3484"/>
    <x v="32"/>
    <n v="3291.84"/>
    <s v="Completed"/>
    <s v="North"/>
    <s v="Debit Card"/>
    <m/>
    <m/>
  </r>
  <r>
    <n v="215"/>
    <n v="8133"/>
    <x v="0"/>
    <n v="3291.84"/>
    <s v="Completed"/>
    <s v="North"/>
    <s v="Debit Card"/>
    <m/>
    <m/>
  </r>
  <r>
    <n v="216"/>
    <n v="9954"/>
    <x v="109"/>
    <n v="3291.84"/>
    <s v="Completed"/>
    <s v="West"/>
    <s v="Credit Card"/>
    <m/>
    <m/>
  </r>
  <r>
    <n v="217"/>
    <n v="3106"/>
    <x v="152"/>
    <n v="3291.84"/>
    <s v="Completed"/>
    <s v="Central"/>
    <s v="Credit Card"/>
    <m/>
    <m/>
  </r>
  <r>
    <n v="218"/>
    <n v="9410"/>
    <x v="48"/>
    <n v="3291.84"/>
    <s v="Completed"/>
    <s v="West"/>
    <s v="PayPal"/>
    <m/>
    <m/>
  </r>
  <r>
    <n v="219"/>
    <n v="4493"/>
    <x v="91"/>
    <n v="3291.84"/>
    <s v="Completed"/>
    <s v="South"/>
    <s v="Debit Card"/>
    <m/>
    <m/>
  </r>
  <r>
    <n v="220"/>
    <n v="9038"/>
    <x v="153"/>
    <n v="3291.84"/>
    <s v="Completed"/>
    <s v="North"/>
    <s v="Credit Card"/>
    <m/>
    <m/>
  </r>
  <r>
    <n v="221"/>
    <n v="8021"/>
    <x v="154"/>
    <n v="3291.84"/>
    <s v="Completed"/>
    <s v="South"/>
    <s v="Debit Card"/>
    <m/>
    <m/>
  </r>
  <r>
    <n v="222"/>
    <n v="1864"/>
    <x v="47"/>
    <n v="3291.84"/>
    <s v="Completed"/>
    <s v="Central"/>
    <s v="Apple Pay"/>
    <m/>
    <m/>
  </r>
  <r>
    <n v="223"/>
    <n v="2241"/>
    <x v="155"/>
    <n v="3291.84"/>
    <s v="Completed"/>
    <s v="East"/>
    <s v="PayPal"/>
    <m/>
    <m/>
  </r>
  <r>
    <n v="224"/>
    <n v="2712"/>
    <x v="156"/>
    <n v="3291.84"/>
    <s v="Completed"/>
    <s v="South"/>
    <s v="PayPal"/>
    <m/>
    <m/>
  </r>
  <r>
    <n v="225"/>
    <n v="9242"/>
    <x v="157"/>
    <n v="3291.84"/>
    <s v="Completed"/>
    <s v="Central"/>
    <s v="Credit Card"/>
    <m/>
    <m/>
  </r>
  <r>
    <n v="226"/>
    <n v="2682"/>
    <x v="7"/>
    <n v="3291.84"/>
    <s v="Completed"/>
    <s v="West"/>
    <s v="PayPal"/>
    <m/>
    <m/>
  </r>
  <r>
    <n v="227"/>
    <n v="8433"/>
    <x v="56"/>
    <n v="3291.84"/>
    <s v="Completed"/>
    <s v="East"/>
    <s v="Credit Card"/>
    <m/>
    <m/>
  </r>
  <r>
    <n v="228"/>
    <n v="4894"/>
    <x v="111"/>
    <n v="3291.84"/>
    <s v="Completed"/>
    <s v="West"/>
    <s v="Credit Card"/>
    <m/>
    <m/>
  </r>
  <r>
    <n v="229"/>
    <n v="5578"/>
    <x v="65"/>
    <n v="3291.84"/>
    <s v="Completed"/>
    <s v="East"/>
    <s v="Apple Pay"/>
    <m/>
    <m/>
  </r>
  <r>
    <n v="230"/>
    <n v="9282"/>
    <x v="158"/>
    <n v="3291.84"/>
    <s v="Completed"/>
    <s v="Central"/>
    <s v="Apple Pay"/>
    <m/>
    <m/>
  </r>
  <r>
    <n v="231"/>
    <n v="1224"/>
    <x v="37"/>
    <n v="3291.84"/>
    <s v="Completed"/>
    <s v="North"/>
    <s v="PayPal"/>
    <m/>
    <m/>
  </r>
  <r>
    <n v="232"/>
    <n v="9954"/>
    <x v="64"/>
    <n v="3291.84"/>
    <s v="Completed"/>
    <s v="West"/>
    <s v="Debit Card"/>
    <m/>
    <m/>
  </r>
  <r>
    <n v="233"/>
    <n v="9461"/>
    <x v="159"/>
    <n v="3291.84"/>
    <s v="Completed"/>
    <s v="East"/>
    <s v="Apple Pay"/>
    <m/>
    <m/>
  </r>
  <r>
    <n v="234"/>
    <n v="5803"/>
    <x v="160"/>
    <n v="3291.84"/>
    <s v="Completed"/>
    <s v="South"/>
    <s v="Debit Card"/>
    <m/>
    <m/>
  </r>
  <r>
    <n v="235"/>
    <n v="3072"/>
    <x v="161"/>
    <n v="3291.84"/>
    <s v="Completed"/>
    <s v="Central"/>
    <s v="Apple Pay"/>
    <m/>
    <m/>
  </r>
  <r>
    <n v="236"/>
    <n v="557"/>
    <x v="162"/>
    <n v="3291.84"/>
    <s v="Completed"/>
    <s v="South"/>
    <s v="PayPal"/>
    <m/>
    <m/>
  </r>
  <r>
    <n v="237"/>
    <n v="1422"/>
    <x v="163"/>
    <n v="3291.84"/>
    <s v="Completed"/>
    <s v="South"/>
    <s v="PayPal"/>
    <m/>
    <m/>
  </r>
  <r>
    <n v="238"/>
    <n v="1177"/>
    <x v="152"/>
    <n v="3291.84"/>
    <s v="Completed"/>
    <s v="Central"/>
    <s v="Credit Card"/>
    <m/>
    <m/>
  </r>
  <r>
    <n v="239"/>
    <n v="314"/>
    <x v="164"/>
    <n v="3291.84"/>
    <s v="Completed"/>
    <s v="East"/>
    <s v="PayPal"/>
    <m/>
    <m/>
  </r>
  <r>
    <n v="240"/>
    <n v="5049"/>
    <x v="165"/>
    <n v="3291.84"/>
    <s v="Completed"/>
    <s v="West"/>
    <s v="Apple Pay"/>
    <m/>
    <m/>
  </r>
  <r>
    <n v="241"/>
    <n v="6305"/>
    <x v="137"/>
    <n v="3291.84"/>
    <s v="Completed"/>
    <s v="South"/>
    <s v="Apple Pay"/>
    <m/>
    <m/>
  </r>
  <r>
    <n v="242"/>
    <n v="3008"/>
    <x v="166"/>
    <n v="3291.84"/>
    <s v="Completed"/>
    <s v="West"/>
    <s v="PayPal"/>
    <m/>
    <m/>
  </r>
  <r>
    <n v="243"/>
    <n v="8565"/>
    <x v="162"/>
    <n v="3291.84"/>
    <s v="Completed"/>
    <s v="South"/>
    <s v="Debit Card"/>
    <m/>
    <m/>
  </r>
  <r>
    <n v="244"/>
    <n v="1728"/>
    <x v="167"/>
    <n v="3291.84"/>
    <s v="Completed"/>
    <s v="North"/>
    <s v="Debit Card"/>
    <m/>
    <m/>
  </r>
  <r>
    <n v="245"/>
    <n v="5990"/>
    <x v="22"/>
    <n v="3291.84"/>
    <s v="Completed"/>
    <s v="West"/>
    <s v="Credit Card"/>
    <m/>
    <m/>
  </r>
  <r>
    <n v="246"/>
    <n v="4125"/>
    <x v="168"/>
    <n v="3291.84"/>
    <s v="Completed"/>
    <s v="South"/>
    <s v="PayPal"/>
    <m/>
    <m/>
  </r>
  <r>
    <n v="247"/>
    <n v="9901"/>
    <x v="58"/>
    <n v="3291.84"/>
    <s v="Completed"/>
    <s v="West"/>
    <s v="Credit Card"/>
    <m/>
    <m/>
  </r>
  <r>
    <n v="248"/>
    <n v="690"/>
    <x v="169"/>
    <n v="3291.84"/>
    <s v="Completed"/>
    <s v="West"/>
    <s v="Apple Pay"/>
    <m/>
    <m/>
  </r>
  <r>
    <n v="249"/>
    <n v="57"/>
    <x v="170"/>
    <n v="3291.84"/>
    <s v="Completed"/>
    <s v="South"/>
    <s v="Credit Card"/>
    <m/>
    <m/>
  </r>
  <r>
    <n v="250"/>
    <n v="3571"/>
    <x v="118"/>
    <n v="3291.84"/>
    <s v="Completed"/>
    <s v="North"/>
    <s v="Credit Card"/>
    <m/>
    <m/>
  </r>
  <r>
    <n v="251"/>
    <n v="534"/>
    <x v="128"/>
    <n v="3291.84"/>
    <s v="Completed"/>
    <s v="East"/>
    <s v="PayPal"/>
    <m/>
    <m/>
  </r>
  <r>
    <n v="252"/>
    <n v="6461"/>
    <x v="27"/>
    <n v="3291.84"/>
    <s v="Completed"/>
    <s v="Central"/>
    <s v="Credit Card"/>
    <m/>
    <m/>
  </r>
  <r>
    <n v="253"/>
    <n v="598"/>
    <x v="3"/>
    <n v="3291.84"/>
    <s v="Completed"/>
    <s v="North"/>
    <s v="Apple Pay"/>
    <m/>
    <m/>
  </r>
  <r>
    <n v="254"/>
    <n v="4048"/>
    <x v="13"/>
    <n v="3291.84"/>
    <s v="Completed"/>
    <s v="West"/>
    <s v="Credit Card"/>
    <m/>
    <m/>
  </r>
  <r>
    <n v="255"/>
    <n v="4637"/>
    <x v="171"/>
    <n v="3291.84"/>
    <s v="Completed"/>
    <s v="North"/>
    <s v="Apple Pay"/>
    <m/>
    <m/>
  </r>
  <r>
    <n v="256"/>
    <n v="7479"/>
    <x v="26"/>
    <n v="3291.84"/>
    <s v="Completed"/>
    <s v="West"/>
    <s v="Debit Card"/>
    <m/>
    <m/>
  </r>
  <r>
    <n v="257"/>
    <n v="49"/>
    <x v="172"/>
    <n v="3291.84"/>
    <s v="Completed"/>
    <s v="North"/>
    <s v="Credit Card"/>
    <m/>
    <m/>
  </r>
  <r>
    <n v="258"/>
    <n v="3947"/>
    <x v="173"/>
    <n v="3291.84"/>
    <s v="Completed"/>
    <s v="East"/>
    <s v="Debit Card"/>
    <m/>
    <m/>
  </r>
  <r>
    <n v="259"/>
    <n v="982"/>
    <x v="94"/>
    <n v="3291.84"/>
    <s v="Completed"/>
    <s v="North"/>
    <s v="Apple Pay"/>
    <m/>
    <m/>
  </r>
  <r>
    <n v="260"/>
    <n v="7308"/>
    <x v="90"/>
    <n v="3291.84"/>
    <s v="Completed"/>
    <s v="Central"/>
    <s v="Debit Card"/>
    <m/>
    <m/>
  </r>
  <r>
    <n v="261"/>
    <n v="1449"/>
    <x v="174"/>
    <n v="3291.84"/>
    <s v="Completed"/>
    <s v="Central"/>
    <s v="Credit Card"/>
    <m/>
    <m/>
  </r>
  <r>
    <n v="262"/>
    <n v="6828"/>
    <x v="175"/>
    <n v="3291.84"/>
    <s v="Completed"/>
    <s v="North"/>
    <s v="Credit Card"/>
    <m/>
    <m/>
  </r>
  <r>
    <n v="263"/>
    <n v="4246"/>
    <x v="102"/>
    <n v="3291.84"/>
    <s v="Completed"/>
    <s v="North"/>
    <s v="Apple Pay"/>
    <m/>
    <m/>
  </r>
  <r>
    <n v="264"/>
    <n v="8478"/>
    <x v="105"/>
    <n v="3291.84"/>
    <s v="Completed"/>
    <s v="East"/>
    <s v="Apple Pay"/>
    <m/>
    <m/>
  </r>
  <r>
    <n v="265"/>
    <n v="1292"/>
    <x v="13"/>
    <n v="3291.84"/>
    <s v="Completed"/>
    <s v="West"/>
    <s v="Credit Card"/>
    <m/>
    <m/>
  </r>
  <r>
    <n v="266"/>
    <n v="4055"/>
    <x v="52"/>
    <n v="3291.84"/>
    <s v="Completed"/>
    <s v="East"/>
    <s v="Apple Pay"/>
    <m/>
    <m/>
  </r>
  <r>
    <n v="267"/>
    <n v="3571"/>
    <x v="5"/>
    <n v="3291.84"/>
    <s v="Completed"/>
    <s v="North"/>
    <s v="Credit Card"/>
    <m/>
    <m/>
  </r>
  <r>
    <n v="268"/>
    <n v="9009"/>
    <x v="176"/>
    <n v="3291.84"/>
    <s v="Completed"/>
    <s v="East"/>
    <s v="Credit Card"/>
    <m/>
    <m/>
  </r>
  <r>
    <n v="269"/>
    <n v="7640"/>
    <x v="155"/>
    <n v="3291.84"/>
    <s v="Completed"/>
    <s v="East"/>
    <s v="Apple Pay"/>
    <m/>
    <m/>
  </r>
  <r>
    <n v="270"/>
    <n v="4469"/>
    <x v="52"/>
    <n v="3291.84"/>
    <s v="Completed"/>
    <s v="Central"/>
    <s v="Apple Pay"/>
    <m/>
    <m/>
  </r>
  <r>
    <n v="271"/>
    <n v="5478"/>
    <x v="116"/>
    <n v="3291.84"/>
    <s v="Completed"/>
    <s v="East"/>
    <s v="Credit Card"/>
    <m/>
    <m/>
  </r>
  <r>
    <n v="272"/>
    <n v="9904"/>
    <x v="177"/>
    <n v="3291.84"/>
    <s v="Completed"/>
    <s v="South"/>
    <s v="Credit Card"/>
    <m/>
    <m/>
  </r>
  <r>
    <n v="273"/>
    <n v="4551"/>
    <x v="178"/>
    <n v="3291.84"/>
    <s v="Completed"/>
    <s v="North"/>
    <s v="Apple Pay"/>
    <m/>
    <m/>
  </r>
  <r>
    <n v="274"/>
    <n v="1735"/>
    <x v="44"/>
    <n v="3291.84"/>
    <s v="Completed"/>
    <s v="Central"/>
    <s v="PayPal"/>
    <m/>
    <m/>
  </r>
  <r>
    <n v="275"/>
    <n v="7027"/>
    <x v="179"/>
    <n v="3291.84"/>
    <s v="Completed"/>
    <s v="North"/>
    <s v="Credit Card"/>
    <m/>
    <m/>
  </r>
  <r>
    <n v="276"/>
    <n v="8776"/>
    <x v="45"/>
    <n v="3291.84"/>
    <s v="Completed"/>
    <s v="South"/>
    <s v="Credit Card"/>
    <m/>
    <m/>
  </r>
  <r>
    <n v="277"/>
    <n v="2986"/>
    <x v="180"/>
    <n v="3291.84"/>
    <s v="Completed"/>
    <s v="West"/>
    <s v="Apple Pay"/>
    <m/>
    <m/>
  </r>
  <r>
    <n v="278"/>
    <n v="2040"/>
    <x v="181"/>
    <n v="3291.84"/>
    <s v="Completed"/>
    <s v="South"/>
    <s v="PayPal"/>
    <m/>
    <m/>
  </r>
  <r>
    <n v="279"/>
    <n v="9077"/>
    <x v="182"/>
    <n v="3291.84"/>
    <s v="Completed"/>
    <s v="West"/>
    <s v="Debit Card"/>
    <m/>
    <m/>
  </r>
  <r>
    <n v="280"/>
    <n v="5332"/>
    <x v="28"/>
    <n v="3291.84"/>
    <s v="Completed"/>
    <s v="West"/>
    <s v="PayPal"/>
    <m/>
    <m/>
  </r>
  <r>
    <n v="281"/>
    <n v="1320"/>
    <x v="128"/>
    <n v="3291.84"/>
    <s v="Completed"/>
    <s v="others"/>
    <s v="PayPal"/>
    <m/>
    <m/>
  </r>
  <r>
    <n v="282"/>
    <n v="8251"/>
    <x v="54"/>
    <n v="3291.84"/>
    <s v="Completed"/>
    <s v="East"/>
    <s v="Credit Card"/>
    <m/>
    <m/>
  </r>
  <r>
    <n v="283"/>
    <n v="9402"/>
    <x v="34"/>
    <n v="3291.84"/>
    <s v="Completed"/>
    <s v="Central"/>
    <s v="Apple Pay"/>
    <m/>
    <m/>
  </r>
  <r>
    <n v="284"/>
    <n v="157"/>
    <x v="46"/>
    <n v="3291.84"/>
    <s v="Completed"/>
    <s v="South"/>
    <s v="PayPal"/>
    <m/>
    <m/>
  </r>
  <r>
    <n v="285"/>
    <n v="4732"/>
    <x v="183"/>
    <n v="3291.84"/>
    <s v="Completed"/>
    <s v="North"/>
    <s v="Debit Card"/>
    <m/>
    <m/>
  </r>
  <r>
    <n v="286"/>
    <n v="9023"/>
    <x v="65"/>
    <n v="3291.84"/>
    <s v="Completed"/>
    <s v="East"/>
    <s v="Apple Pay"/>
    <m/>
    <m/>
  </r>
  <r>
    <n v="287"/>
    <n v="4783"/>
    <x v="100"/>
    <n v="3291.84"/>
    <s v="Completed"/>
    <s v="West"/>
    <s v="Debit Card"/>
    <m/>
    <m/>
  </r>
  <r>
    <n v="288"/>
    <n v="5743"/>
    <x v="184"/>
    <n v="3291.84"/>
    <s v="Completed"/>
    <s v="North"/>
    <s v="Apple Pay"/>
    <m/>
    <m/>
  </r>
  <r>
    <n v="289"/>
    <n v="9541"/>
    <x v="185"/>
    <n v="3291.84"/>
    <s v="Completed"/>
    <s v="East"/>
    <s v="Apple Pay"/>
    <m/>
    <m/>
  </r>
  <r>
    <n v="290"/>
    <n v="5053"/>
    <x v="184"/>
    <n v="3291.84"/>
    <s v="Completed"/>
    <s v="South"/>
    <s v="Debit Card"/>
    <m/>
    <m/>
  </r>
  <r>
    <n v="291"/>
    <n v="7343"/>
    <x v="23"/>
    <n v="3291.84"/>
    <s v="Completed"/>
    <s v="North"/>
    <s v="Debit Card"/>
    <m/>
    <m/>
  </r>
  <r>
    <n v="292"/>
    <n v="9000"/>
    <x v="17"/>
    <n v="3291.84"/>
    <s v="Completed"/>
    <s v="South"/>
    <s v="Credit Card"/>
    <m/>
    <m/>
  </r>
  <r>
    <n v="293"/>
    <n v="4689"/>
    <x v="186"/>
    <n v="3291.84"/>
    <s v="Completed"/>
    <s v="North"/>
    <s v="Credit Card"/>
    <m/>
    <m/>
  </r>
  <r>
    <n v="294"/>
    <n v="1759"/>
    <x v="179"/>
    <n v="3291.84"/>
    <s v="Completed"/>
    <s v="West"/>
    <s v="Apple Pay"/>
    <m/>
    <m/>
  </r>
  <r>
    <n v="295"/>
    <n v="3291"/>
    <x v="79"/>
    <n v="3291.84"/>
    <s v="Completed"/>
    <s v="Central"/>
    <s v="Debit Card"/>
    <m/>
    <m/>
  </r>
  <r>
    <n v="296"/>
    <n v="5426"/>
    <x v="187"/>
    <n v="3291.84"/>
    <s v="Completed"/>
    <s v="East"/>
    <s v="Apple Pay"/>
    <m/>
    <m/>
  </r>
  <r>
    <n v="297"/>
    <n v="4242"/>
    <x v="70"/>
    <n v="3291.84"/>
    <s v="Completed"/>
    <s v="others"/>
    <s v="Debit Card"/>
    <m/>
    <m/>
  </r>
  <r>
    <n v="298"/>
    <n v="9080"/>
    <x v="188"/>
    <n v="3291.84"/>
    <s v="Completed"/>
    <s v="West"/>
    <s v="Credit Card"/>
    <m/>
    <m/>
  </r>
  <r>
    <n v="299"/>
    <n v="4612"/>
    <x v="189"/>
    <n v="3291.84"/>
    <s v="Completed"/>
    <s v="South"/>
    <s v="Credit Card"/>
    <m/>
    <m/>
  </r>
  <r>
    <n v="300"/>
    <n v="7977"/>
    <x v="50"/>
    <n v="3291.84"/>
    <s v="Completed"/>
    <s v="North"/>
    <s v="PayPal"/>
    <m/>
    <m/>
  </r>
  <r>
    <n v="301"/>
    <n v="8114"/>
    <x v="6"/>
    <n v="3291.84"/>
    <s v="Completed"/>
    <s v="West"/>
    <s v="Debit Card"/>
    <m/>
    <m/>
  </r>
  <r>
    <n v="302"/>
    <n v="951"/>
    <x v="27"/>
    <n v="3291.84"/>
    <s v="Completed"/>
    <s v="West"/>
    <s v="PayPal"/>
    <m/>
    <m/>
  </r>
  <r>
    <n v="303"/>
    <n v="7355"/>
    <x v="22"/>
    <n v="3291.84"/>
    <s v="Completed"/>
    <s v="Central"/>
    <s v="Apple Pay"/>
    <m/>
    <m/>
  </r>
  <r>
    <n v="304"/>
    <n v="7091"/>
    <x v="163"/>
    <n v="3291.84"/>
    <s v="Completed"/>
    <s v="West"/>
    <s v="Credit Card"/>
    <m/>
    <m/>
  </r>
  <r>
    <n v="305"/>
    <n v="9308"/>
    <x v="188"/>
    <n v="3291.84"/>
    <s v="Completed"/>
    <s v="Central"/>
    <s v="PayPal"/>
    <m/>
    <m/>
  </r>
  <r>
    <n v="306"/>
    <n v="171"/>
    <x v="117"/>
    <n v="3291.84"/>
    <s v="Completed"/>
    <s v="East"/>
    <s v="PayPal"/>
    <m/>
    <m/>
  </r>
  <r>
    <n v="307"/>
    <n v="4479"/>
    <x v="190"/>
    <n v="3291.84"/>
    <s v="Completed"/>
    <s v="North"/>
    <s v="Debit Card"/>
    <m/>
    <m/>
  </r>
  <r>
    <n v="308"/>
    <n v="2133"/>
    <x v="191"/>
    <n v="3291.84"/>
    <s v="Completed"/>
    <s v="South"/>
    <s v="Debit Card"/>
    <m/>
    <m/>
  </r>
  <r>
    <n v="309"/>
    <n v="3385"/>
    <x v="121"/>
    <n v="3291.84"/>
    <s v="Completed"/>
    <s v="North"/>
    <s v="PayPal"/>
    <m/>
    <m/>
  </r>
  <r>
    <n v="310"/>
    <n v="3943"/>
    <x v="192"/>
    <n v="3291.84"/>
    <s v="Completed"/>
    <s v="North"/>
    <s v="Credit Card"/>
    <m/>
    <m/>
  </r>
  <r>
    <n v="311"/>
    <n v="4249"/>
    <x v="133"/>
    <n v="3291.84"/>
    <s v="Completed"/>
    <s v="West"/>
    <s v="Apple Pay"/>
    <m/>
    <m/>
  </r>
  <r>
    <n v="312"/>
    <n v="6644"/>
    <x v="193"/>
    <n v="3291.84"/>
    <s v="Completed"/>
    <s v="East"/>
    <s v="PayPal"/>
    <m/>
    <m/>
  </r>
  <r>
    <n v="313"/>
    <n v="1292"/>
    <x v="122"/>
    <n v="3291.84"/>
    <s v="Completed"/>
    <s v="West"/>
    <s v="Apple Pay"/>
    <m/>
    <m/>
  </r>
  <r>
    <n v="314"/>
    <n v="6036"/>
    <x v="194"/>
    <n v="3291.84"/>
    <s v="Completed"/>
    <s v="East"/>
    <s v="Credit Card"/>
    <m/>
    <m/>
  </r>
  <r>
    <n v="315"/>
    <n v="1875"/>
    <x v="195"/>
    <n v="3291.84"/>
    <s v="Completed"/>
    <s v="Central"/>
    <s v="Debit Card"/>
    <m/>
    <m/>
  </r>
  <r>
    <n v="316"/>
    <n v="2139"/>
    <x v="196"/>
    <n v="3291.84"/>
    <s v="Completed"/>
    <s v="West"/>
    <s v="Debit Card"/>
    <m/>
    <m/>
  </r>
  <r>
    <n v="317"/>
    <n v="5999"/>
    <x v="48"/>
    <n v="3291.84"/>
    <s v="Completed"/>
    <s v="East"/>
    <s v="Debit Card"/>
    <m/>
    <m/>
  </r>
  <r>
    <n v="318"/>
    <n v="2491"/>
    <x v="46"/>
    <n v="3291.84"/>
    <s v="Completed"/>
    <s v="East"/>
    <s v="Apple Pay"/>
    <m/>
    <m/>
  </r>
  <r>
    <n v="319"/>
    <n v="7875"/>
    <x v="197"/>
    <n v="3291.84"/>
    <s v="Completed"/>
    <s v="North"/>
    <s v="Credit Card"/>
    <m/>
    <m/>
  </r>
  <r>
    <n v="320"/>
    <n v="8250"/>
    <x v="34"/>
    <n v="3291.84"/>
    <s v="Completed"/>
    <s v="Central"/>
    <s v="Credit Card"/>
    <m/>
    <m/>
  </r>
  <r>
    <n v="321"/>
    <n v="3510"/>
    <x v="44"/>
    <n v="3291.84"/>
    <s v="Completed"/>
    <s v="West"/>
    <s v="PayPal"/>
    <m/>
    <m/>
  </r>
  <r>
    <n v="322"/>
    <n v="1506"/>
    <x v="178"/>
    <n v="3291.84"/>
    <s v="Completed"/>
    <s v="South"/>
    <s v="Credit Card"/>
    <m/>
    <m/>
  </r>
  <r>
    <n v="323"/>
    <n v="6608"/>
    <x v="198"/>
    <n v="3291.84"/>
    <s v="Completed"/>
    <s v="South"/>
    <s v="Credit Card"/>
    <m/>
    <m/>
  </r>
  <r>
    <n v="324"/>
    <n v="3200"/>
    <x v="199"/>
    <n v="3291.84"/>
    <s v="Completed"/>
    <s v="Central"/>
    <s v="Credit Card"/>
    <m/>
    <m/>
  </r>
  <r>
    <n v="325"/>
    <n v="597"/>
    <x v="200"/>
    <n v="3291.84"/>
    <s v="Completed"/>
    <s v="South"/>
    <s v="Credit Card"/>
    <m/>
    <m/>
  </r>
  <r>
    <n v="326"/>
    <n v="6841"/>
    <x v="201"/>
    <n v="3291.84"/>
    <s v="Completed"/>
    <s v="North"/>
    <s v="Credit Card"/>
    <m/>
    <m/>
  </r>
  <r>
    <n v="327"/>
    <n v="53"/>
    <x v="68"/>
    <n v="3291.84"/>
    <s v="Completed"/>
    <s v="South"/>
    <s v="PayPal"/>
    <m/>
    <m/>
  </r>
  <r>
    <n v="328"/>
    <n v="9497"/>
    <x v="12"/>
    <n v="3291.84"/>
    <s v="Completed"/>
    <s v="North"/>
    <s v="PayPal"/>
    <m/>
    <m/>
  </r>
  <r>
    <n v="329"/>
    <n v="3869"/>
    <x v="202"/>
    <n v="3291.84"/>
    <s v="Completed"/>
    <s v="North"/>
    <s v="Debit Card"/>
    <m/>
    <m/>
  </r>
  <r>
    <n v="330"/>
    <n v="8114"/>
    <x v="34"/>
    <n v="3291.84"/>
    <s v="Completed"/>
    <s v="West"/>
    <s v="PayPal"/>
    <m/>
    <m/>
  </r>
  <r>
    <n v="331"/>
    <n v="4252"/>
    <x v="203"/>
    <n v="3291.84"/>
    <s v="Completed"/>
    <s v="East"/>
    <s v="Debit Card"/>
    <m/>
    <m/>
  </r>
  <r>
    <n v="332"/>
    <n v="994"/>
    <x v="34"/>
    <n v="3291.84"/>
    <s v="Completed"/>
    <s v="South"/>
    <s v="PayPal"/>
    <m/>
    <m/>
  </r>
  <r>
    <n v="333"/>
    <n v="3252"/>
    <x v="204"/>
    <n v="3291.84"/>
    <s v="Completed"/>
    <s v="North"/>
    <s v="Apple Pay"/>
    <m/>
    <m/>
  </r>
  <r>
    <n v="334"/>
    <n v="5077"/>
    <x v="61"/>
    <n v="3291.84"/>
    <s v="Completed"/>
    <s v="East"/>
    <s v="PayPal"/>
    <m/>
    <m/>
  </r>
  <r>
    <n v="335"/>
    <n v="1850"/>
    <x v="42"/>
    <n v="3291.84"/>
    <s v="Completed"/>
    <s v="East"/>
    <s v="Debit Card"/>
    <m/>
    <m/>
  </r>
  <r>
    <n v="336"/>
    <n v="2627"/>
    <x v="188"/>
    <n v="3291.84"/>
    <s v="Completed"/>
    <s v="East"/>
    <s v="Apple Pay"/>
    <m/>
    <m/>
  </r>
  <r>
    <n v="337"/>
    <n v="883"/>
    <x v="182"/>
    <n v="3291.84"/>
    <s v="Completed"/>
    <s v="South"/>
    <s v="Debit Card"/>
    <m/>
    <m/>
  </r>
  <r>
    <n v="338"/>
    <n v="3110"/>
    <x v="205"/>
    <n v="3291.84"/>
    <s v="Completed"/>
    <s v="Central"/>
    <s v="PayPal"/>
    <m/>
    <m/>
  </r>
  <r>
    <n v="339"/>
    <n v="6815"/>
    <x v="206"/>
    <n v="3291.84"/>
    <s v="Completed"/>
    <s v="Central"/>
    <s v="Debit Card"/>
    <m/>
    <m/>
  </r>
  <r>
    <n v="340"/>
    <n v="292"/>
    <x v="207"/>
    <n v="3291.84"/>
    <s v="Completed"/>
    <s v="South"/>
    <s v="Credit Card"/>
    <m/>
    <m/>
  </r>
  <r>
    <n v="341"/>
    <n v="6553"/>
    <x v="208"/>
    <n v="3291.84"/>
    <s v="Completed"/>
    <s v="East"/>
    <s v="Credit Card"/>
    <m/>
    <m/>
  </r>
  <r>
    <n v="342"/>
    <n v="2475"/>
    <x v="209"/>
    <n v="3291.84"/>
    <s v="Completed"/>
    <s v="West"/>
    <s v="Apple Pay"/>
    <m/>
    <m/>
  </r>
  <r>
    <n v="343"/>
    <n v="1215"/>
    <x v="210"/>
    <n v="3291.84"/>
    <s v="Completed"/>
    <s v="South"/>
    <s v="PayPal"/>
    <m/>
    <m/>
  </r>
  <r>
    <n v="344"/>
    <n v="7269"/>
    <x v="211"/>
    <n v="3291.84"/>
    <s v="Completed"/>
    <s v="North"/>
    <s v="Apple Pay"/>
    <m/>
    <m/>
  </r>
  <r>
    <n v="345"/>
    <n v="3542"/>
    <x v="30"/>
    <n v="3291.84"/>
    <s v="Completed"/>
    <s v="North"/>
    <s v="Credit Card"/>
    <m/>
    <m/>
  </r>
  <r>
    <n v="346"/>
    <n v="3498"/>
    <x v="40"/>
    <n v="3291.84"/>
    <s v="Completed"/>
    <s v="East"/>
    <s v="PayPal"/>
    <m/>
    <m/>
  </r>
  <r>
    <n v="347"/>
    <n v="5923"/>
    <x v="212"/>
    <n v="3291.84"/>
    <s v="Completed"/>
    <s v="East"/>
    <s v="Apple Pay"/>
    <m/>
    <m/>
  </r>
  <r>
    <n v="348"/>
    <n v="7973"/>
    <x v="73"/>
    <n v="3291.84"/>
    <s v="Completed"/>
    <s v="West"/>
    <s v="PayPal"/>
    <m/>
    <m/>
  </r>
  <r>
    <n v="349"/>
    <n v="4373"/>
    <x v="58"/>
    <n v="3291.84"/>
    <s v="Completed"/>
    <s v="South"/>
    <s v="Credit Card"/>
    <m/>
    <m/>
  </r>
  <r>
    <n v="350"/>
    <n v="2113"/>
    <x v="213"/>
    <n v="3291.84"/>
    <s v="Completed"/>
    <s v="East"/>
    <s v="PayPal"/>
    <m/>
    <m/>
  </r>
  <r>
    <n v="351"/>
    <n v="9158"/>
    <x v="214"/>
    <n v="3291.84"/>
    <s v="Completed"/>
    <s v="West"/>
    <s v="Apple Pay"/>
    <m/>
    <m/>
  </r>
  <r>
    <n v="352"/>
    <n v="9139"/>
    <x v="77"/>
    <n v="3291.84"/>
    <s v="Completed"/>
    <s v="West"/>
    <s v="Credit Card"/>
    <m/>
    <m/>
  </r>
  <r>
    <n v="353"/>
    <n v="1751"/>
    <x v="215"/>
    <n v="3291.84"/>
    <s v="Completed"/>
    <s v="North"/>
    <s v="Credit Card"/>
    <m/>
    <m/>
  </r>
  <r>
    <n v="354"/>
    <n v="5591"/>
    <x v="216"/>
    <n v="3291.84"/>
    <s v="Cancelled"/>
    <s v="West"/>
    <s v="Debit Card"/>
    <m/>
    <m/>
  </r>
  <r>
    <n v="355"/>
    <n v="4121"/>
    <x v="217"/>
    <n v="3291.84"/>
    <s v="Completed"/>
    <s v="South"/>
    <s v="Apple Pay"/>
    <m/>
    <m/>
  </r>
  <r>
    <n v="356"/>
    <n v="3960"/>
    <x v="218"/>
    <n v="3291.84"/>
    <s v="Completed"/>
    <s v="East"/>
    <s v="Debit Card"/>
    <m/>
    <m/>
  </r>
  <r>
    <n v="357"/>
    <n v="824"/>
    <x v="110"/>
    <n v="3291.84"/>
    <s v="Completed"/>
    <s v="North"/>
    <s v="PayPal"/>
    <m/>
    <m/>
  </r>
  <r>
    <n v="358"/>
    <n v="3460"/>
    <x v="219"/>
    <n v="3291.84"/>
    <s v="Completed"/>
    <s v="Central"/>
    <s v="PayPal"/>
    <m/>
    <m/>
  </r>
  <r>
    <n v="359"/>
    <n v="2395"/>
    <x v="216"/>
    <n v="3291.84"/>
    <s v="Completed"/>
    <s v="West"/>
    <s v="Debit Card"/>
    <m/>
    <m/>
  </r>
  <r>
    <n v="360"/>
    <n v="5442"/>
    <x v="125"/>
    <n v="3291.84"/>
    <s v="Completed"/>
    <s v="North"/>
    <s v="PayPal"/>
    <m/>
    <m/>
  </r>
  <r>
    <n v="361"/>
    <n v="3585"/>
    <x v="78"/>
    <n v="3291.84"/>
    <s v="Completed"/>
    <s v="West"/>
    <s v="Credit Card"/>
    <m/>
    <m/>
  </r>
  <r>
    <n v="362"/>
    <n v="8493"/>
    <x v="11"/>
    <n v="3291.84"/>
    <s v="Completed"/>
    <s v="Central"/>
    <s v="Credit Card"/>
    <m/>
    <m/>
  </r>
  <r>
    <n v="363"/>
    <n v="4753"/>
    <x v="220"/>
    <n v="3291.84"/>
    <s v="Completed"/>
    <s v="North"/>
    <s v="Credit Card"/>
    <m/>
    <m/>
  </r>
  <r>
    <n v="364"/>
    <n v="3123"/>
    <x v="202"/>
    <n v="3291.84"/>
    <s v="Completed"/>
    <s v="South"/>
    <s v="PayPal"/>
    <m/>
    <m/>
  </r>
  <r>
    <n v="365"/>
    <n v="308"/>
    <x v="221"/>
    <n v="3291.84"/>
    <s v="Completed"/>
    <s v="South"/>
    <s v="Apple Pay"/>
    <m/>
    <m/>
  </r>
  <r>
    <n v="366"/>
    <n v="619"/>
    <x v="113"/>
    <n v="3291.84"/>
    <s v="Completed"/>
    <s v="West"/>
    <s v="Debit Card"/>
    <m/>
    <m/>
  </r>
  <r>
    <n v="367"/>
    <n v="5137"/>
    <x v="47"/>
    <n v="3291.84"/>
    <s v="Completed"/>
    <s v="South"/>
    <s v="Credit Card"/>
    <m/>
    <m/>
  </r>
  <r>
    <n v="368"/>
    <n v="975"/>
    <x v="222"/>
    <n v="3291.84"/>
    <s v="Completed"/>
    <s v="North"/>
    <s v="Credit Card"/>
    <m/>
    <m/>
  </r>
  <r>
    <n v="369"/>
    <n v="8476"/>
    <x v="223"/>
    <n v="3291.84"/>
    <s v="Completed"/>
    <s v="South"/>
    <s v="Debit Card"/>
    <m/>
    <m/>
  </r>
  <r>
    <n v="370"/>
    <n v="7356"/>
    <x v="224"/>
    <n v="3291.84"/>
    <s v="Completed"/>
    <s v="Central"/>
    <s v="PayPal"/>
    <m/>
    <m/>
  </r>
  <r>
    <n v="371"/>
    <n v="6014"/>
    <x v="101"/>
    <n v="3291.84"/>
    <s v="Returned"/>
    <s v="Central"/>
    <s v="PayPal"/>
    <m/>
    <m/>
  </r>
  <r>
    <n v="372"/>
    <n v="2437"/>
    <x v="190"/>
    <n v="3291.84"/>
    <s v="Cancelled"/>
    <s v="North"/>
    <s v="Debit Card"/>
    <m/>
    <m/>
  </r>
  <r>
    <n v="373"/>
    <n v="2004"/>
    <x v="225"/>
    <n v="3291.84"/>
    <s v="Completed"/>
    <s v="West"/>
    <s v="Apple Pay"/>
    <m/>
    <m/>
  </r>
  <r>
    <n v="374"/>
    <n v="7197"/>
    <x v="34"/>
    <n v="3291.84"/>
    <s v="Completed"/>
    <s v="West"/>
    <s v="Apple Pay"/>
    <m/>
    <m/>
  </r>
  <r>
    <n v="375"/>
    <n v="1396"/>
    <x v="109"/>
    <n v="3291.84"/>
    <s v="Completed"/>
    <s v="West"/>
    <s v="Credit Card"/>
    <m/>
    <m/>
  </r>
  <r>
    <n v="376"/>
    <n v="2889"/>
    <x v="69"/>
    <n v="3291.84"/>
    <s v="Completed"/>
    <s v="Central"/>
    <s v="Apple Pay"/>
    <m/>
    <m/>
  </r>
  <r>
    <n v="377"/>
    <n v="2132"/>
    <x v="226"/>
    <n v="3291.84"/>
    <s v="Completed"/>
    <s v="West"/>
    <s v="Debit Card"/>
    <m/>
    <m/>
  </r>
  <r>
    <n v="378"/>
    <n v="2584"/>
    <x v="227"/>
    <n v="3291.84"/>
    <s v="Completed"/>
    <s v="East"/>
    <s v="Credit Card"/>
    <m/>
    <m/>
  </r>
  <r>
    <n v="379"/>
    <n v="8114"/>
    <x v="2"/>
    <n v="3291.84"/>
    <s v="Completed"/>
    <s v="West"/>
    <s v="Credit Card"/>
    <m/>
    <m/>
  </r>
  <r>
    <n v="380"/>
    <n v="3944"/>
    <x v="220"/>
    <n v="3291.84"/>
    <s v="Completed"/>
    <s v="Central"/>
    <s v="PayPal"/>
    <m/>
    <m/>
  </r>
  <r>
    <n v="381"/>
    <n v="150"/>
    <x v="65"/>
    <n v="3291.84"/>
    <s v="Completed"/>
    <s v="East"/>
    <s v="Credit Card"/>
    <m/>
    <m/>
  </r>
  <r>
    <n v="382"/>
    <n v="3336"/>
    <x v="43"/>
    <n v="3291.84"/>
    <s v="Completed"/>
    <s v="South"/>
    <s v="Credit Card"/>
    <m/>
    <m/>
  </r>
  <r>
    <n v="383"/>
    <n v="7521"/>
    <x v="228"/>
    <n v="3291.84"/>
    <s v="Completed"/>
    <s v="Central"/>
    <s v="Credit Card"/>
    <m/>
    <m/>
  </r>
  <r>
    <n v="384"/>
    <n v="9169"/>
    <x v="229"/>
    <n v="3291.84"/>
    <s v="Completed"/>
    <s v="Central"/>
    <s v="Apple Pay"/>
    <m/>
    <m/>
  </r>
  <r>
    <n v="385"/>
    <n v="5716"/>
    <x v="51"/>
    <n v="3291.84"/>
    <s v="Completed"/>
    <s v="East"/>
    <s v="Credit Card"/>
    <m/>
    <m/>
  </r>
  <r>
    <n v="386"/>
    <n v="1136"/>
    <x v="16"/>
    <n v="3291.84"/>
    <s v="Completed"/>
    <s v="North"/>
    <s v="Apple Pay"/>
    <m/>
    <m/>
  </r>
  <r>
    <n v="387"/>
    <n v="2892"/>
    <x v="56"/>
    <n v="3291.84"/>
    <s v="Completed"/>
    <s v="North"/>
    <s v="PayPal"/>
    <m/>
    <m/>
  </r>
  <r>
    <n v="388"/>
    <n v="918"/>
    <x v="230"/>
    <n v="3291.84"/>
    <s v="Completed"/>
    <s v="South"/>
    <s v="Apple Pay"/>
    <m/>
    <m/>
  </r>
  <r>
    <n v="389"/>
    <n v="1069"/>
    <x v="52"/>
    <n v="3291.84"/>
    <s v="Completed"/>
    <s v="North"/>
    <s v="PayPal"/>
    <m/>
    <m/>
  </r>
  <r>
    <n v="390"/>
    <n v="1636"/>
    <x v="199"/>
    <n v="3291.84"/>
    <s v="Completed"/>
    <s v="North"/>
    <s v="Apple Pay"/>
    <m/>
    <m/>
  </r>
  <r>
    <n v="391"/>
    <n v="5489"/>
    <x v="54"/>
    <n v="3291.84"/>
    <s v="Completed"/>
    <s v="Central"/>
    <s v="Credit Card"/>
    <m/>
    <m/>
  </r>
  <r>
    <n v="392"/>
    <n v="8101"/>
    <x v="181"/>
    <n v="3291.84"/>
    <s v="Completed"/>
    <s v="Central"/>
    <s v="Apple Pay"/>
    <m/>
    <m/>
  </r>
  <r>
    <n v="393"/>
    <n v="7658"/>
    <x v="202"/>
    <n v="3291.84"/>
    <s v="Completed"/>
    <s v="West"/>
    <s v="PayPal"/>
    <m/>
    <m/>
  </r>
  <r>
    <n v="394"/>
    <n v="8889"/>
    <x v="231"/>
    <n v="3291.84"/>
    <s v="Completed"/>
    <s v="Central"/>
    <s v="Apple Pay"/>
    <m/>
    <m/>
  </r>
  <r>
    <n v="395"/>
    <n v="5356"/>
    <x v="67"/>
    <n v="3291.84"/>
    <s v="Completed"/>
    <s v="South"/>
    <s v="Apple Pay"/>
    <m/>
    <m/>
  </r>
  <r>
    <n v="396"/>
    <n v="1277"/>
    <x v="125"/>
    <n v="3291.84"/>
    <s v="Completed"/>
    <s v="South"/>
    <s v="Apple Pay"/>
    <m/>
    <m/>
  </r>
  <r>
    <n v="397"/>
    <n v="7183"/>
    <x v="75"/>
    <n v="3291.84"/>
    <s v="Completed"/>
    <s v="North"/>
    <s v="Debit Card"/>
    <m/>
    <m/>
  </r>
  <r>
    <n v="398"/>
    <n v="344"/>
    <x v="181"/>
    <n v="3291.84"/>
    <s v="Returned"/>
    <s v="others"/>
    <s v="PayPal"/>
    <m/>
    <m/>
  </r>
  <r>
    <n v="399"/>
    <n v="4508"/>
    <x v="232"/>
    <n v="3291.84"/>
    <s v="Completed"/>
    <s v="Central"/>
    <s v="Debit Card"/>
    <m/>
    <m/>
  </r>
  <r>
    <n v="400"/>
    <n v="6946"/>
    <x v="124"/>
    <n v="3291.84"/>
    <s v="Completed"/>
    <s v="South"/>
    <s v="Apple Pay"/>
    <m/>
    <m/>
  </r>
  <r>
    <n v="401"/>
    <n v="1730"/>
    <x v="74"/>
    <n v="3291.84"/>
    <s v="Completed"/>
    <s v="Central"/>
    <s v="Debit Card"/>
    <m/>
    <m/>
  </r>
  <r>
    <n v="402"/>
    <n v="266"/>
    <x v="104"/>
    <n v="3291.84"/>
    <s v="Completed"/>
    <s v="East"/>
    <s v="Debit Card"/>
    <m/>
    <m/>
  </r>
  <r>
    <n v="403"/>
    <n v="7472"/>
    <x v="48"/>
    <n v="3291.84"/>
    <s v="Completed"/>
    <s v="West"/>
    <s v="Debit Card"/>
    <m/>
    <m/>
  </r>
  <r>
    <n v="404"/>
    <n v="4834"/>
    <x v="131"/>
    <n v="3291.84"/>
    <s v="Completed"/>
    <s v="West"/>
    <s v="PayPal"/>
    <m/>
    <m/>
  </r>
  <r>
    <n v="405"/>
    <n v="5691"/>
    <x v="233"/>
    <n v="3291.84"/>
    <s v="Completed"/>
    <s v="Central"/>
    <s v="Apple Pay"/>
    <m/>
    <m/>
  </r>
  <r>
    <n v="406"/>
    <n v="8017"/>
    <x v="148"/>
    <n v="3291.84"/>
    <s v="Completed"/>
    <s v="others"/>
    <s v="Debit Card"/>
    <m/>
    <m/>
  </r>
  <r>
    <n v="407"/>
    <n v="6965"/>
    <x v="166"/>
    <n v="3291.84"/>
    <s v="Returned"/>
    <s v="North"/>
    <s v="Credit Card"/>
    <m/>
    <m/>
  </r>
  <r>
    <n v="408"/>
    <n v="1627"/>
    <x v="62"/>
    <n v="3291.84"/>
    <s v="Completed"/>
    <s v="East"/>
    <s v="Credit Card"/>
    <m/>
    <m/>
  </r>
  <r>
    <n v="409"/>
    <n v="8231"/>
    <x v="234"/>
    <n v="3291.84"/>
    <s v="Completed"/>
    <s v="West"/>
    <s v="Debit Card"/>
    <m/>
    <m/>
  </r>
  <r>
    <n v="410"/>
    <n v="9546"/>
    <x v="33"/>
    <n v="3291.84"/>
    <s v="Completed"/>
    <s v="East"/>
    <s v="Debit Card"/>
    <m/>
    <m/>
  </r>
  <r>
    <n v="411"/>
    <n v="8963"/>
    <x v="139"/>
    <n v="3291.84"/>
    <s v="Completed"/>
    <s v="South"/>
    <s v="PayPal"/>
    <m/>
    <m/>
  </r>
  <r>
    <n v="412"/>
    <n v="2184"/>
    <x v="120"/>
    <n v="3291.84"/>
    <s v="Completed"/>
    <s v="East"/>
    <s v="Credit Card"/>
    <m/>
    <m/>
  </r>
  <r>
    <n v="413"/>
    <n v="1252"/>
    <x v="194"/>
    <n v="3291.84"/>
    <s v="Completed"/>
    <s v="South"/>
    <s v="Debit Card"/>
    <m/>
    <m/>
  </r>
  <r>
    <n v="414"/>
    <n v="3282"/>
    <x v="167"/>
    <n v="3291.84"/>
    <s v="Completed"/>
    <s v="North"/>
    <s v="Apple Pay"/>
    <m/>
    <m/>
  </r>
  <r>
    <n v="415"/>
    <n v="7148"/>
    <x v="235"/>
    <n v="3291.84"/>
    <s v="Completed"/>
    <s v="South"/>
    <s v="Apple Pay"/>
    <m/>
    <m/>
  </r>
  <r>
    <n v="416"/>
    <n v="6710"/>
    <x v="160"/>
    <n v="3291.84"/>
    <s v="Completed"/>
    <s v="South"/>
    <s v="PayPal"/>
    <m/>
    <m/>
  </r>
  <r>
    <n v="417"/>
    <n v="6325"/>
    <x v="224"/>
    <n v="3291.84"/>
    <s v="Completed"/>
    <s v="North"/>
    <s v="Debit Card"/>
    <m/>
    <m/>
  </r>
  <r>
    <n v="418"/>
    <n v="4288"/>
    <x v="155"/>
    <n v="3291.84"/>
    <s v="Completed"/>
    <s v="Central"/>
    <s v="Apple Pay"/>
    <m/>
    <m/>
  </r>
  <r>
    <n v="419"/>
    <n v="4312"/>
    <x v="233"/>
    <n v="3291.84"/>
    <s v="Completed"/>
    <s v="West"/>
    <s v="PayPal"/>
    <m/>
    <m/>
  </r>
  <r>
    <n v="420"/>
    <n v="2837"/>
    <x v="236"/>
    <n v="3291.84"/>
    <s v="Completed"/>
    <s v="West"/>
    <s v="Debit Card"/>
    <m/>
    <m/>
  </r>
  <r>
    <n v="421"/>
    <n v="1571"/>
    <x v="68"/>
    <n v="3291.84"/>
    <s v="Completed"/>
    <s v="West"/>
    <s v="Credit Card"/>
    <m/>
    <m/>
  </r>
  <r>
    <n v="422"/>
    <n v="8781"/>
    <x v="32"/>
    <n v="3291.84"/>
    <s v="Completed"/>
    <s v="Central"/>
    <s v="Debit Card"/>
    <m/>
    <m/>
  </r>
  <r>
    <n v="423"/>
    <n v="3602"/>
    <x v="64"/>
    <n v="3291.84"/>
    <s v="Completed"/>
    <s v="North"/>
    <s v="Debit Card"/>
    <m/>
    <m/>
  </r>
  <r>
    <n v="424"/>
    <n v="9139"/>
    <x v="197"/>
    <n v="3291.84"/>
    <s v="Completed"/>
    <s v="West"/>
    <s v="Debit Card"/>
    <m/>
    <m/>
  </r>
  <r>
    <n v="425"/>
    <n v="3250"/>
    <x v="125"/>
    <n v="3291.84"/>
    <s v="Completed"/>
    <s v="West"/>
    <s v="PayPal"/>
    <m/>
    <m/>
  </r>
  <r>
    <n v="426"/>
    <n v="9029"/>
    <x v="30"/>
    <n v="3291.84"/>
    <s v="Completed"/>
    <s v="East"/>
    <s v="Apple Pay"/>
    <m/>
    <m/>
  </r>
  <r>
    <n v="427"/>
    <n v="5677"/>
    <x v="53"/>
    <n v="3291.84"/>
    <s v="Completed"/>
    <s v="South"/>
    <s v="Apple Pay"/>
    <m/>
    <m/>
  </r>
  <r>
    <n v="428"/>
    <n v="1457"/>
    <x v="195"/>
    <n v="3291.84"/>
    <s v="Completed"/>
    <s v="East"/>
    <s v="PayPal"/>
    <m/>
    <m/>
  </r>
  <r>
    <n v="429"/>
    <n v="3046"/>
    <x v="149"/>
    <n v="3291.84"/>
    <s v="Completed"/>
    <s v="South"/>
    <s v="PayPal"/>
    <m/>
    <m/>
  </r>
  <r>
    <n v="430"/>
    <n v="7237"/>
    <x v="237"/>
    <n v="3291.84"/>
    <s v="Completed"/>
    <s v="East"/>
    <s v="Credit Card"/>
    <m/>
    <m/>
  </r>
  <r>
    <n v="431"/>
    <n v="7569"/>
    <x v="0"/>
    <n v="3291.84"/>
    <s v="Completed"/>
    <s v="East"/>
    <s v="Credit Card"/>
    <m/>
    <m/>
  </r>
  <r>
    <n v="432"/>
    <n v="1056"/>
    <x v="238"/>
    <n v="3291.84"/>
    <s v="Completed"/>
    <s v="West"/>
    <s v="Debit Card"/>
    <m/>
    <m/>
  </r>
  <r>
    <n v="433"/>
    <n v="9767"/>
    <x v="239"/>
    <n v="3291.84"/>
    <s v="Completed"/>
    <s v="South"/>
    <s v="Debit Card"/>
    <m/>
    <m/>
  </r>
  <r>
    <n v="434"/>
    <n v="4484"/>
    <x v="182"/>
    <n v="3291.84"/>
    <s v="Completed"/>
    <s v="North"/>
    <s v="PayPal"/>
    <m/>
    <m/>
  </r>
  <r>
    <n v="435"/>
    <n v="3045"/>
    <x v="29"/>
    <n v="3291.84"/>
    <s v="Completed"/>
    <s v="East"/>
    <s v="Apple Pay"/>
    <m/>
    <m/>
  </r>
  <r>
    <n v="436"/>
    <n v="4193"/>
    <x v="240"/>
    <n v="3291.84"/>
    <s v="Completed"/>
    <s v="Central"/>
    <s v="Apple Pay"/>
    <m/>
    <m/>
  </r>
  <r>
    <n v="437"/>
    <n v="2160"/>
    <x v="157"/>
    <n v="3291.84"/>
    <s v="Completed"/>
    <s v="West"/>
    <s v="Apple Pay"/>
    <m/>
    <m/>
  </r>
  <r>
    <n v="438"/>
    <n v="1949"/>
    <x v="61"/>
    <n v="3291.84"/>
    <s v="Completed"/>
    <s v="East"/>
    <s v="PayPal"/>
    <m/>
    <m/>
  </r>
  <r>
    <n v="439"/>
    <n v="3287"/>
    <x v="166"/>
    <n v="3291.84"/>
    <s v="Completed"/>
    <s v="North"/>
    <s v="Debit Card"/>
    <m/>
    <m/>
  </r>
  <r>
    <n v="440"/>
    <n v="2608"/>
    <x v="156"/>
    <n v="3291.84"/>
    <s v="Completed"/>
    <s v="Central"/>
    <s v="Apple Pay"/>
    <m/>
    <m/>
  </r>
  <r>
    <n v="441"/>
    <n v="2147"/>
    <x v="73"/>
    <n v="3291.84"/>
    <s v="Completed"/>
    <s v="East"/>
    <s v="PayPal"/>
    <m/>
    <m/>
  </r>
  <r>
    <n v="442"/>
    <n v="4242"/>
    <x v="213"/>
    <n v="3291.84"/>
    <s v="Completed"/>
    <s v="South"/>
    <s v="Apple Pay"/>
    <m/>
    <m/>
  </r>
  <r>
    <n v="443"/>
    <n v="7151"/>
    <x v="132"/>
    <n v="3291.84"/>
    <s v="Completed"/>
    <s v="West"/>
    <s v="Apple Pay"/>
    <m/>
    <m/>
  </r>
  <r>
    <n v="444"/>
    <n v="4164"/>
    <x v="241"/>
    <n v="3291.84"/>
    <s v="Completed"/>
    <s v="Central"/>
    <s v="Credit Card"/>
    <m/>
    <m/>
  </r>
  <r>
    <n v="445"/>
    <n v="8616"/>
    <x v="242"/>
    <n v="3291.84"/>
    <s v="Completed"/>
    <s v="East"/>
    <s v="Apple Pay"/>
    <m/>
    <m/>
  </r>
  <r>
    <n v="446"/>
    <n v="2998"/>
    <x v="111"/>
    <n v="3291.84"/>
    <s v="Completed"/>
    <s v="South"/>
    <s v="Debit Card"/>
    <m/>
    <m/>
  </r>
  <r>
    <n v="447"/>
    <n v="1674"/>
    <x v="243"/>
    <n v="3291.84"/>
    <s v="Completed"/>
    <s v="South"/>
    <s v="PayPal"/>
    <m/>
    <m/>
  </r>
  <r>
    <n v="448"/>
    <n v="1224"/>
    <x v="244"/>
    <n v="3291.84"/>
    <s v="Completed"/>
    <s v="North"/>
    <s v="Debit Card"/>
    <m/>
    <m/>
  </r>
  <r>
    <n v="449"/>
    <n v="7080"/>
    <x v="103"/>
    <n v="3291.84"/>
    <s v="Completed"/>
    <s v="East"/>
    <s v="Debit Card"/>
    <m/>
    <m/>
  </r>
  <r>
    <n v="450"/>
    <n v="3086"/>
    <x v="199"/>
    <n v="3291.84"/>
    <s v="Completed"/>
    <s v="Central"/>
    <s v="Debit Card"/>
    <m/>
    <m/>
  </r>
  <r>
    <n v="451"/>
    <n v="2510"/>
    <x v="245"/>
    <n v="3291.84"/>
    <s v="Completed"/>
    <s v="North"/>
    <s v="Debit Card"/>
    <m/>
    <m/>
  </r>
  <r>
    <n v="452"/>
    <n v="1372"/>
    <x v="199"/>
    <n v="3291.84"/>
    <s v="Completed"/>
    <s v="Central"/>
    <s v="Debit Card"/>
    <m/>
    <m/>
  </r>
  <r>
    <n v="453"/>
    <n v="5651"/>
    <x v="38"/>
    <n v="3291.84"/>
    <s v="Completed"/>
    <s v="South"/>
    <s v="PayPal"/>
    <m/>
    <m/>
  </r>
  <r>
    <n v="454"/>
    <n v="7597"/>
    <x v="18"/>
    <n v="3291.84"/>
    <s v="Completed"/>
    <s v="West"/>
    <s v="PayPal"/>
    <m/>
    <m/>
  </r>
  <r>
    <n v="455"/>
    <n v="2982"/>
    <x v="96"/>
    <n v="3291.84"/>
    <s v="Completed"/>
    <s v="West"/>
    <s v="PayPal"/>
    <m/>
    <m/>
  </r>
  <r>
    <n v="456"/>
    <n v="6526"/>
    <x v="202"/>
    <n v="3291.84"/>
    <s v="Cancelled"/>
    <s v="East"/>
    <s v="Debit Card"/>
    <m/>
    <m/>
  </r>
  <r>
    <n v="457"/>
    <n v="7493"/>
    <x v="167"/>
    <n v="3291.84"/>
    <s v="Returned"/>
    <s v="East"/>
    <s v="Debit Card"/>
    <m/>
    <m/>
  </r>
  <r>
    <n v="458"/>
    <n v="5552"/>
    <x v="246"/>
    <n v="3291.84"/>
    <s v="Completed"/>
    <s v="others"/>
    <s v="PayPal"/>
    <m/>
    <m/>
  </r>
  <r>
    <n v="459"/>
    <n v="8128"/>
    <x v="73"/>
    <n v="3291.84"/>
    <s v="Cancelled"/>
    <s v="North"/>
    <s v="Apple Pay"/>
    <m/>
    <m/>
  </r>
  <r>
    <n v="460"/>
    <n v="1777"/>
    <x v="247"/>
    <n v="3291.84"/>
    <s v="Completed"/>
    <s v="Central"/>
    <s v="Credit Card"/>
    <m/>
    <m/>
  </r>
  <r>
    <n v="461"/>
    <n v="5119"/>
    <x v="125"/>
    <n v="3291.84"/>
    <s v="Completed"/>
    <s v="North"/>
    <s v="PayPal"/>
    <m/>
    <m/>
  </r>
  <r>
    <n v="462"/>
    <n v="9369"/>
    <x v="231"/>
    <n v="3291.84"/>
    <s v="Completed"/>
    <s v="West"/>
    <s v="Apple Pay"/>
    <m/>
    <m/>
  </r>
  <r>
    <n v="463"/>
    <n v="7074"/>
    <x v="211"/>
    <n v="3291.84"/>
    <s v="Completed"/>
    <s v="South"/>
    <s v="Debit Card"/>
    <m/>
    <m/>
  </r>
  <r>
    <n v="464"/>
    <n v="6743"/>
    <x v="167"/>
    <n v="3291.84"/>
    <s v="Completed"/>
    <s v="Central"/>
    <s v="Credit Card"/>
    <m/>
    <m/>
  </r>
  <r>
    <n v="465"/>
    <n v="488"/>
    <x v="153"/>
    <n v="3291.84"/>
    <s v="Cancelled"/>
    <s v="West"/>
    <s v="Apple Pay"/>
    <m/>
    <m/>
  </r>
  <r>
    <n v="466"/>
    <n v="8722"/>
    <x v="238"/>
    <n v="3291.84"/>
    <s v="Completed"/>
    <s v="West"/>
    <s v="Apple Pay"/>
    <m/>
    <m/>
  </r>
  <r>
    <n v="467"/>
    <n v="1069"/>
    <x v="142"/>
    <n v="3291.84"/>
    <s v="Completed"/>
    <s v="North"/>
    <s v="Apple Pay"/>
    <m/>
    <m/>
  </r>
  <r>
    <n v="468"/>
    <n v="1463"/>
    <x v="83"/>
    <n v="3291.84"/>
    <s v="Completed"/>
    <s v="West"/>
    <s v="Debit Card"/>
    <m/>
    <m/>
  </r>
  <r>
    <n v="469"/>
    <n v="6989"/>
    <x v="173"/>
    <n v="3291.84"/>
    <s v="Completed"/>
    <s v="West"/>
    <s v="PayPal"/>
    <m/>
    <m/>
  </r>
  <r>
    <n v="470"/>
    <n v="5464"/>
    <x v="139"/>
    <n v="3291.84"/>
    <s v="Returned"/>
    <s v="West"/>
    <s v="Apple Pay"/>
    <m/>
    <m/>
  </r>
  <r>
    <n v="471"/>
    <n v="2797"/>
    <x v="167"/>
    <n v="3291.84"/>
    <s v="Completed"/>
    <s v="West"/>
    <s v="Debit Card"/>
    <m/>
    <m/>
  </r>
  <r>
    <n v="472"/>
    <n v="1224"/>
    <x v="232"/>
    <n v="3291.84"/>
    <s v="Completed"/>
    <s v="North"/>
    <s v="Credit Card"/>
    <m/>
    <m/>
  </r>
  <r>
    <n v="473"/>
    <n v="5778"/>
    <x v="172"/>
    <n v="3291.84"/>
    <s v="Completed"/>
    <s v="West"/>
    <s v="Apple Pay"/>
    <m/>
    <m/>
  </r>
  <r>
    <n v="474"/>
    <n v="4685"/>
    <x v="248"/>
    <n v="3291.84"/>
    <s v="Completed"/>
    <s v="North"/>
    <s v="Debit Card"/>
    <m/>
    <m/>
  </r>
  <r>
    <n v="475"/>
    <n v="3609"/>
    <x v="249"/>
    <n v="3291.84"/>
    <s v="Completed"/>
    <s v="North"/>
    <s v="Debit Card"/>
    <m/>
    <m/>
  </r>
  <r>
    <n v="476"/>
    <n v="9210"/>
    <x v="81"/>
    <n v="3291.84"/>
    <s v="Completed"/>
    <s v="West"/>
    <s v="PayPal"/>
    <m/>
    <m/>
  </r>
  <r>
    <n v="477"/>
    <n v="7686"/>
    <x v="82"/>
    <n v="3291.84"/>
    <s v="Completed"/>
    <s v="South"/>
    <s v="Debit Card"/>
    <m/>
    <m/>
  </r>
  <r>
    <n v="478"/>
    <n v="4856"/>
    <x v="202"/>
    <n v="3291.84"/>
    <s v="Completed"/>
    <s v="South"/>
    <s v="Apple Pay"/>
    <m/>
    <m/>
  </r>
  <r>
    <n v="479"/>
    <n v="973"/>
    <x v="250"/>
    <n v="3291.84"/>
    <s v="Cancelled"/>
    <s v="West"/>
    <s v="Credit Card"/>
    <m/>
    <m/>
  </r>
  <r>
    <n v="480"/>
    <n v="7909"/>
    <x v="85"/>
    <n v="3291.84"/>
    <s v="Completed"/>
    <s v="North"/>
    <s v="Debit Card"/>
    <m/>
    <m/>
  </r>
  <r>
    <n v="481"/>
    <n v="5443"/>
    <x v="245"/>
    <n v="3291.84"/>
    <s v="Completed"/>
    <s v="East"/>
    <s v="Apple Pay"/>
    <m/>
    <m/>
  </r>
  <r>
    <n v="482"/>
    <n v="8164"/>
    <x v="184"/>
    <n v="3291.84"/>
    <s v="Completed"/>
    <s v="East"/>
    <s v="Credit Card"/>
    <m/>
    <m/>
  </r>
  <r>
    <n v="483"/>
    <n v="4685"/>
    <x v="93"/>
    <n v="3291.84"/>
    <s v="Completed"/>
    <s v="North"/>
    <s v="Debit Card"/>
    <m/>
    <m/>
  </r>
  <r>
    <n v="484"/>
    <n v="8722"/>
    <x v="79"/>
    <n v="3291.84"/>
    <s v="Completed"/>
    <s v="West"/>
    <s v="PayPal"/>
    <m/>
    <m/>
  </r>
  <r>
    <n v="485"/>
    <n v="2913"/>
    <x v="18"/>
    <n v="3291.84"/>
    <s v="Completed"/>
    <s v="South"/>
    <s v="Credit Card"/>
    <m/>
    <m/>
  </r>
  <r>
    <n v="486"/>
    <n v="5596"/>
    <x v="104"/>
    <n v="3291.84"/>
    <s v="Completed"/>
    <s v="North"/>
    <s v="Credit Card"/>
    <m/>
    <m/>
  </r>
  <r>
    <n v="487"/>
    <n v="6115"/>
    <x v="251"/>
    <n v="3291.84"/>
    <s v="Completed"/>
    <s v="South"/>
    <s v="Debit Card"/>
    <m/>
    <m/>
  </r>
  <r>
    <n v="488"/>
    <n v="5073"/>
    <x v="252"/>
    <n v="3291.84"/>
    <s v="Completed"/>
    <s v="South"/>
    <s v="Credit Card"/>
    <m/>
    <m/>
  </r>
  <r>
    <n v="489"/>
    <n v="7243"/>
    <x v="218"/>
    <n v="3291.84"/>
    <s v="Completed"/>
    <s v="North"/>
    <s v="Apple Pay"/>
    <m/>
    <m/>
  </r>
  <r>
    <n v="490"/>
    <n v="824"/>
    <x v="4"/>
    <n v="3291.84"/>
    <s v="Completed"/>
    <s v="North"/>
    <s v="PayPal"/>
    <m/>
    <m/>
  </r>
  <r>
    <n v="491"/>
    <n v="7155"/>
    <x v="253"/>
    <n v="3291.84"/>
    <s v="Completed"/>
    <s v="West"/>
    <s v="Debit Card"/>
    <m/>
    <m/>
  </r>
  <r>
    <n v="492"/>
    <n v="9583"/>
    <x v="90"/>
    <n v="3291.84"/>
    <s v="Completed"/>
    <s v="East"/>
    <s v="Apple Pay"/>
    <m/>
    <m/>
  </r>
  <r>
    <n v="493"/>
    <n v="9273"/>
    <x v="254"/>
    <n v="3291.84"/>
    <s v="Completed"/>
    <s v="Central"/>
    <s v="Apple Pay"/>
    <m/>
    <m/>
  </r>
  <r>
    <n v="494"/>
    <n v="4368"/>
    <x v="46"/>
    <n v="3291.84"/>
    <s v="Completed"/>
    <s v="East"/>
    <s v="PayPal"/>
    <m/>
    <m/>
  </r>
  <r>
    <n v="495"/>
    <n v="4367"/>
    <x v="40"/>
    <n v="3291.84"/>
    <s v="Completed"/>
    <s v="West"/>
    <s v="Debit Card"/>
    <m/>
    <m/>
  </r>
  <r>
    <n v="496"/>
    <n v="9199"/>
    <x v="121"/>
    <n v="3291.84"/>
    <s v="Completed"/>
    <s v="West"/>
    <s v="Apple Pay"/>
    <m/>
    <m/>
  </r>
  <r>
    <n v="497"/>
    <n v="6006"/>
    <x v="63"/>
    <n v="3291.84"/>
    <s v="Completed"/>
    <s v="Central"/>
    <s v="PayPal"/>
    <m/>
    <m/>
  </r>
  <r>
    <n v="498"/>
    <n v="8173"/>
    <x v="255"/>
    <n v="3291.84"/>
    <s v="Completed"/>
    <s v="Central"/>
    <s v="PayPal"/>
    <m/>
    <m/>
  </r>
  <r>
    <n v="499"/>
    <n v="8298"/>
    <x v="162"/>
    <n v="3291.84"/>
    <s v="Completed"/>
    <s v="East"/>
    <s v="PayPal"/>
    <m/>
    <m/>
  </r>
  <r>
    <n v="500"/>
    <n v="115"/>
    <x v="124"/>
    <n v="3291.84"/>
    <s v="Completed"/>
    <s v="East"/>
    <s v="Credit Card"/>
    <m/>
    <m/>
  </r>
  <r>
    <n v="501"/>
    <n v="7638"/>
    <x v="256"/>
    <n v="3291.84"/>
    <s v="Completed"/>
    <s v="East"/>
    <s v="Credit Card"/>
    <m/>
    <m/>
  </r>
  <r>
    <n v="502"/>
    <n v="9787"/>
    <x v="167"/>
    <n v="3291.84"/>
    <s v="Completed"/>
    <s v="North"/>
    <s v="Apple Pay"/>
    <m/>
    <m/>
  </r>
  <r>
    <n v="503"/>
    <n v="4480"/>
    <x v="179"/>
    <n v="3291.84"/>
    <s v="Completed"/>
    <s v="Central"/>
    <s v="Credit Card"/>
    <m/>
    <m/>
  </r>
  <r>
    <n v="504"/>
    <n v="1141"/>
    <x v="120"/>
    <n v="3291.84"/>
    <s v="Completed"/>
    <s v="North"/>
    <s v="Credit Card"/>
    <m/>
    <m/>
  </r>
  <r>
    <n v="505"/>
    <n v="2727"/>
    <x v="257"/>
    <n v="3291.84"/>
    <s v="Completed"/>
    <s v="West"/>
    <s v="Apple Pay"/>
    <m/>
    <m/>
  </r>
  <r>
    <n v="506"/>
    <n v="5897"/>
    <x v="29"/>
    <n v="3291.84"/>
    <s v="Completed"/>
    <s v="West"/>
    <s v="Apple Pay"/>
    <m/>
    <m/>
  </r>
  <r>
    <n v="507"/>
    <n v="395"/>
    <x v="258"/>
    <n v="3291.84"/>
    <s v="Completed"/>
    <s v="South"/>
    <s v="Debit Card"/>
    <m/>
    <m/>
  </r>
  <r>
    <n v="508"/>
    <n v="9443"/>
    <x v="74"/>
    <n v="3291.84"/>
    <s v="Completed"/>
    <s v="South"/>
    <s v="Credit Card"/>
    <m/>
    <m/>
  </r>
  <r>
    <n v="509"/>
    <n v="3622"/>
    <x v="87"/>
    <n v="3291.84"/>
    <s v="Completed"/>
    <s v="others"/>
    <s v="Apple Pay"/>
    <m/>
    <m/>
  </r>
  <r>
    <n v="510"/>
    <n v="7908"/>
    <x v="154"/>
    <n v="3291.84"/>
    <s v="Completed"/>
    <s v="West"/>
    <s v="Credit Card"/>
    <m/>
    <m/>
  </r>
  <r>
    <n v="511"/>
    <n v="1287"/>
    <x v="158"/>
    <n v="3291.84"/>
    <s v="Completed"/>
    <s v="North"/>
    <s v="PayPal"/>
    <m/>
    <m/>
  </r>
  <r>
    <n v="512"/>
    <n v="1945"/>
    <x v="259"/>
    <n v="3291.84"/>
    <s v="Completed"/>
    <s v="West"/>
    <s v="Credit Card"/>
    <m/>
    <m/>
  </r>
  <r>
    <n v="513"/>
    <n v="2118"/>
    <x v="99"/>
    <n v="3291.84"/>
    <s v="Completed"/>
    <s v="East"/>
    <s v="Debit Card"/>
    <m/>
    <m/>
  </r>
  <r>
    <n v="514"/>
    <n v="5692"/>
    <x v="71"/>
    <n v="3291.84"/>
    <s v="Completed"/>
    <s v="Central"/>
    <s v="PayPal"/>
    <m/>
    <m/>
  </r>
  <r>
    <n v="515"/>
    <n v="9655"/>
    <x v="37"/>
    <n v="3291.84"/>
    <s v="Cancelled"/>
    <s v="East"/>
    <s v="Credit Card"/>
    <m/>
    <m/>
  </r>
  <r>
    <n v="516"/>
    <n v="6044"/>
    <x v="260"/>
    <n v="3291.84"/>
    <s v="Completed"/>
    <s v="South"/>
    <s v="PayPal"/>
    <m/>
    <m/>
  </r>
  <r>
    <n v="517"/>
    <n v="3480"/>
    <x v="261"/>
    <n v="3291.84"/>
    <s v="Completed"/>
    <s v="East"/>
    <s v="PayPal"/>
    <m/>
    <m/>
  </r>
  <r>
    <n v="518"/>
    <n v="3991"/>
    <x v="21"/>
    <n v="3291.84"/>
    <s v="Completed"/>
    <s v="South"/>
    <s v="Credit Card"/>
    <m/>
    <m/>
  </r>
  <r>
    <n v="519"/>
    <n v="6992"/>
    <x v="262"/>
    <n v="3291.84"/>
    <s v="Completed"/>
    <s v="West"/>
    <s v="Apple Pay"/>
    <m/>
    <m/>
  </r>
  <r>
    <n v="520"/>
    <n v="3159"/>
    <x v="5"/>
    <n v="3291.84"/>
    <s v="Cancelled"/>
    <s v="Central"/>
    <s v="Debit Card"/>
    <m/>
    <m/>
  </r>
  <r>
    <n v="521"/>
    <n v="1006"/>
    <x v="263"/>
    <n v="3291.84"/>
    <s v="Completed"/>
    <s v="East"/>
    <s v="Apple Pay"/>
    <m/>
    <m/>
  </r>
  <r>
    <n v="522"/>
    <n v="4486"/>
    <x v="264"/>
    <n v="3291.84"/>
    <s v="Completed"/>
    <s v="Central"/>
    <s v="Debit Card"/>
    <m/>
    <m/>
  </r>
  <r>
    <n v="523"/>
    <n v="1917"/>
    <x v="254"/>
    <n v="3291.84"/>
    <s v="Completed"/>
    <s v="East"/>
    <s v="Apple Pay"/>
    <m/>
    <m/>
  </r>
  <r>
    <n v="524"/>
    <n v="9856"/>
    <x v="215"/>
    <n v="3291.84"/>
    <s v="Completed"/>
    <s v="Central"/>
    <s v="PayPal"/>
    <m/>
    <m/>
  </r>
  <r>
    <n v="525"/>
    <n v="1196"/>
    <x v="265"/>
    <n v="3291.84"/>
    <s v="Completed"/>
    <s v="North"/>
    <s v="Apple Pay"/>
    <m/>
    <m/>
  </r>
  <r>
    <n v="526"/>
    <n v="1982"/>
    <x v="16"/>
    <n v="3291.84"/>
    <s v="Completed"/>
    <s v="East"/>
    <s v="Credit Card"/>
    <m/>
    <m/>
  </r>
  <r>
    <n v="527"/>
    <n v="1807"/>
    <x v="109"/>
    <n v="3291.84"/>
    <s v="Completed"/>
    <s v="South"/>
    <s v="Credit Card"/>
    <m/>
    <m/>
  </r>
  <r>
    <n v="528"/>
    <n v="1210"/>
    <x v="266"/>
    <n v="3291.84"/>
    <s v="Completed"/>
    <s v="East"/>
    <s v="Debit Card"/>
    <m/>
    <m/>
  </r>
  <r>
    <n v="529"/>
    <n v="4218"/>
    <x v="227"/>
    <n v="3291.84"/>
    <s v="Completed"/>
    <s v="North"/>
    <s v="Apple Pay"/>
    <m/>
    <m/>
  </r>
  <r>
    <n v="530"/>
    <n v="7712"/>
    <x v="35"/>
    <n v="3291.84"/>
    <s v="Completed"/>
    <s v="West"/>
    <s v="PayPal"/>
    <m/>
    <m/>
  </r>
  <r>
    <n v="531"/>
    <n v="277"/>
    <x v="255"/>
    <n v="3291.84"/>
    <s v="Completed"/>
    <s v="Central"/>
    <s v="PayPal"/>
    <m/>
    <m/>
  </r>
  <r>
    <n v="532"/>
    <n v="6516"/>
    <x v="82"/>
    <n v="3291.84"/>
    <s v="Completed"/>
    <s v="Central"/>
    <s v="PayPal"/>
    <m/>
    <m/>
  </r>
  <r>
    <n v="533"/>
    <n v="6328"/>
    <x v="168"/>
    <n v="3291.84"/>
    <s v="Completed"/>
    <s v="South"/>
    <s v="Credit Card"/>
    <m/>
    <m/>
  </r>
  <r>
    <n v="534"/>
    <n v="2107"/>
    <x v="267"/>
    <n v="3291.84"/>
    <s v="Completed"/>
    <s v="East"/>
    <s v="Apple Pay"/>
    <m/>
    <m/>
  </r>
  <r>
    <n v="535"/>
    <n v="9444"/>
    <x v="205"/>
    <n v="3291.84"/>
    <s v="Completed"/>
    <s v="East"/>
    <s v="Credit Card"/>
    <m/>
    <m/>
  </r>
  <r>
    <n v="536"/>
    <n v="6143"/>
    <x v="187"/>
    <n v="3291.84"/>
    <s v="Completed"/>
    <s v="West"/>
    <s v="PayPal"/>
    <m/>
    <m/>
  </r>
  <r>
    <n v="537"/>
    <n v="1674"/>
    <x v="246"/>
    <n v="3291.84"/>
    <s v="Completed"/>
    <s v="South"/>
    <s v="Credit Card"/>
    <m/>
    <m/>
  </r>
  <r>
    <n v="538"/>
    <n v="5662"/>
    <x v="60"/>
    <n v="3291.84"/>
    <s v="Completed"/>
    <s v="West"/>
    <s v="PayPal"/>
    <m/>
    <m/>
  </r>
  <r>
    <n v="539"/>
    <n v="557"/>
    <x v="211"/>
    <n v="3291.84"/>
    <s v="Completed"/>
    <s v="South"/>
    <s v="PayPal"/>
    <m/>
    <m/>
  </r>
  <r>
    <n v="540"/>
    <n v="4328"/>
    <x v="245"/>
    <n v="3291.84"/>
    <s v="Completed"/>
    <s v="others"/>
    <s v="Credit Card"/>
    <m/>
    <m/>
  </r>
  <r>
    <n v="541"/>
    <n v="6463"/>
    <x v="13"/>
    <n v="3291.84"/>
    <s v="Completed"/>
    <s v="South"/>
    <s v="Credit Card"/>
    <m/>
    <m/>
  </r>
  <r>
    <n v="542"/>
    <n v="5332"/>
    <x v="268"/>
    <n v="3291.84"/>
    <s v="Completed"/>
    <s v="West"/>
    <s v="Credit Card"/>
    <m/>
    <m/>
  </r>
  <r>
    <n v="543"/>
    <n v="7926"/>
    <x v="4"/>
    <n v="3291.84"/>
    <s v="Completed"/>
    <s v="West"/>
    <s v="PayPal"/>
    <m/>
    <m/>
  </r>
  <r>
    <n v="544"/>
    <n v="5772"/>
    <x v="81"/>
    <n v="3291.84"/>
    <s v="Completed"/>
    <s v="East"/>
    <s v="PayPal"/>
    <m/>
    <m/>
  </r>
  <r>
    <n v="545"/>
    <n v="2094"/>
    <x v="97"/>
    <n v="3291.84"/>
    <s v="Completed"/>
    <s v="South"/>
    <s v="PayPal"/>
    <m/>
    <m/>
  </r>
  <r>
    <n v="546"/>
    <n v="4918"/>
    <x v="36"/>
    <n v="3291.84"/>
    <s v="Completed"/>
    <s v="Central"/>
    <s v="Apple Pay"/>
    <m/>
    <m/>
  </r>
  <r>
    <n v="547"/>
    <n v="7021"/>
    <x v="40"/>
    <n v="3291.84"/>
    <s v="Completed"/>
    <s v="West"/>
    <s v="Apple Pay"/>
    <m/>
    <m/>
  </r>
  <r>
    <n v="548"/>
    <n v="3327"/>
    <x v="269"/>
    <n v="3291.84"/>
    <s v="Completed"/>
    <s v="West"/>
    <s v="Apple Pay"/>
    <m/>
    <m/>
  </r>
  <r>
    <n v="549"/>
    <n v="4398"/>
    <x v="8"/>
    <n v="3291.84"/>
    <s v="Completed"/>
    <s v="West"/>
    <s v="PayPal"/>
    <m/>
    <m/>
  </r>
  <r>
    <n v="550"/>
    <n v="5662"/>
    <x v="270"/>
    <n v="3291.84"/>
    <s v="Completed"/>
    <s v="West"/>
    <s v="PayPal"/>
    <m/>
    <m/>
  </r>
  <r>
    <n v="551"/>
    <n v="3720"/>
    <x v="71"/>
    <n v="3291.84"/>
    <s v="Completed"/>
    <s v="East"/>
    <s v="Debit Card"/>
    <m/>
    <m/>
  </r>
  <r>
    <n v="552"/>
    <n v="4432"/>
    <x v="271"/>
    <n v="3291.84"/>
    <s v="Completed"/>
    <s v="North"/>
    <s v="Credit Card"/>
    <m/>
    <m/>
  </r>
  <r>
    <n v="553"/>
    <n v="6895"/>
    <x v="107"/>
    <n v="3291.84"/>
    <s v="Completed"/>
    <s v="North"/>
    <s v="Debit Card"/>
    <m/>
    <m/>
  </r>
  <r>
    <n v="554"/>
    <n v="5218"/>
    <x v="177"/>
    <n v="3291.84"/>
    <s v="Completed"/>
    <s v="Central"/>
    <s v="Apple Pay"/>
    <m/>
    <m/>
  </r>
  <r>
    <n v="555"/>
    <n v="7467"/>
    <x v="6"/>
    <n v="3291.84"/>
    <s v="Completed"/>
    <s v="North"/>
    <s v="Apple Pay"/>
    <m/>
    <m/>
  </r>
  <r>
    <n v="556"/>
    <n v="8300"/>
    <x v="272"/>
    <n v="3291.84"/>
    <s v="Completed"/>
    <s v="West"/>
    <s v="PayPal"/>
    <m/>
    <m/>
  </r>
  <r>
    <n v="557"/>
    <n v="5216"/>
    <x v="233"/>
    <n v="3291.84"/>
    <s v="Completed"/>
    <s v="West"/>
    <s v="Apple Pay"/>
    <m/>
    <m/>
  </r>
  <r>
    <n v="558"/>
    <n v="5182"/>
    <x v="248"/>
    <n v="3291.84"/>
    <s v="Completed"/>
    <s v="East"/>
    <s v="PayPal"/>
    <m/>
    <m/>
  </r>
  <r>
    <n v="559"/>
    <n v="2724"/>
    <x v="194"/>
    <n v="3291.84"/>
    <s v="Completed"/>
    <s v="East"/>
    <s v="Apple Pay"/>
    <m/>
    <m/>
  </r>
  <r>
    <n v="560"/>
    <n v="3177"/>
    <x v="273"/>
    <n v="3291.84"/>
    <s v="Completed"/>
    <s v="Central"/>
    <s v="Debit Card"/>
    <m/>
    <m/>
  </r>
  <r>
    <n v="561"/>
    <n v="600"/>
    <x v="177"/>
    <n v="3291.84"/>
    <s v="Completed"/>
    <s v="East"/>
    <s v="Debit Card"/>
    <m/>
    <m/>
  </r>
  <r>
    <n v="562"/>
    <n v="1494"/>
    <x v="274"/>
    <n v="3291.84"/>
    <s v="Completed"/>
    <s v="others"/>
    <s v="Debit Card"/>
    <m/>
    <m/>
  </r>
  <r>
    <n v="563"/>
    <n v="3451"/>
    <x v="103"/>
    <n v="3291.84"/>
    <s v="Completed"/>
    <s v="South"/>
    <s v="Debit Card"/>
    <m/>
    <m/>
  </r>
  <r>
    <n v="564"/>
    <n v="5240"/>
    <x v="275"/>
    <n v="3291.84"/>
    <s v="Completed"/>
    <s v="East"/>
    <s v="PayPal"/>
    <m/>
    <m/>
  </r>
  <r>
    <n v="565"/>
    <n v="6057"/>
    <x v="127"/>
    <n v="3291.84"/>
    <s v="Completed"/>
    <s v="West"/>
    <s v="PayPal"/>
    <m/>
    <m/>
  </r>
  <r>
    <n v="566"/>
    <n v="6489"/>
    <x v="216"/>
    <n v="3291.84"/>
    <s v="Returned"/>
    <s v="South"/>
    <s v="Credit Card"/>
    <m/>
    <m/>
  </r>
  <r>
    <n v="567"/>
    <n v="1408"/>
    <x v="148"/>
    <n v="3291.84"/>
    <s v="Completed"/>
    <s v="South"/>
    <s v="PayPal"/>
    <m/>
    <m/>
  </r>
  <r>
    <n v="568"/>
    <n v="8762"/>
    <x v="211"/>
    <n v="3291.84"/>
    <s v="Completed"/>
    <s v="South"/>
    <s v="Credit Card"/>
    <m/>
    <m/>
  </r>
  <r>
    <n v="569"/>
    <n v="7948"/>
    <x v="161"/>
    <n v="3291.84"/>
    <s v="Completed"/>
    <s v="West"/>
    <s v="Credit Card"/>
    <m/>
    <m/>
  </r>
  <r>
    <n v="570"/>
    <n v="6825"/>
    <x v="231"/>
    <n v="3291.84"/>
    <s v="Completed"/>
    <s v="Central"/>
    <s v="Credit Card"/>
    <m/>
    <m/>
  </r>
  <r>
    <n v="571"/>
    <n v="7758"/>
    <x v="254"/>
    <n v="3291.84"/>
    <s v="Completed"/>
    <s v="East"/>
    <s v="Debit Card"/>
    <m/>
    <m/>
  </r>
  <r>
    <n v="572"/>
    <n v="2292"/>
    <x v="172"/>
    <n v="3291.84"/>
    <s v="Completed"/>
    <s v="West"/>
    <s v="PayPal"/>
    <m/>
    <m/>
  </r>
  <r>
    <n v="573"/>
    <n v="576"/>
    <x v="261"/>
    <n v="3291.84"/>
    <s v="Completed"/>
    <s v="West"/>
    <s v="Debit Card"/>
    <m/>
    <m/>
  </r>
  <r>
    <n v="574"/>
    <n v="600"/>
    <x v="48"/>
    <n v="3291.84"/>
    <s v="Completed"/>
    <s v="East"/>
    <s v="Debit Card"/>
    <m/>
    <m/>
  </r>
  <r>
    <n v="575"/>
    <n v="4382"/>
    <x v="4"/>
    <n v="3291.84"/>
    <s v="Completed"/>
    <s v="North"/>
    <s v="Apple Pay"/>
    <m/>
    <m/>
  </r>
  <r>
    <n v="576"/>
    <n v="6448"/>
    <x v="4"/>
    <n v="3291.84"/>
    <s v="Completed"/>
    <s v="West"/>
    <s v="Debit Card"/>
    <m/>
    <m/>
  </r>
  <r>
    <n v="577"/>
    <n v="8327"/>
    <x v="128"/>
    <n v="3291.84"/>
    <s v="Completed"/>
    <s v="North"/>
    <s v="PayPal"/>
    <m/>
    <m/>
  </r>
  <r>
    <n v="578"/>
    <n v="2187"/>
    <x v="131"/>
    <n v="3291.84"/>
    <s v="Completed"/>
    <s v="East"/>
    <s v="Apple Pay"/>
    <m/>
    <m/>
  </r>
  <r>
    <n v="579"/>
    <n v="9052"/>
    <x v="206"/>
    <n v="3291.84"/>
    <s v="Cancelled"/>
    <s v="South"/>
    <s v="Apple Pay"/>
    <m/>
    <m/>
  </r>
  <r>
    <n v="580"/>
    <n v="7262"/>
    <x v="276"/>
    <n v="3291.84"/>
    <s v="Completed"/>
    <s v="North"/>
    <s v="Debit Card"/>
    <m/>
    <m/>
  </r>
  <r>
    <n v="581"/>
    <n v="1898"/>
    <x v="277"/>
    <n v="3291.84"/>
    <s v="Completed"/>
    <s v="East"/>
    <s v="PayPal"/>
    <m/>
    <m/>
  </r>
  <r>
    <n v="582"/>
    <n v="3336"/>
    <x v="135"/>
    <n v="3291.84"/>
    <s v="Completed"/>
    <s v="South"/>
    <s v="PayPal"/>
    <m/>
    <m/>
  </r>
  <r>
    <n v="583"/>
    <n v="7757"/>
    <x v="278"/>
    <n v="3291.84"/>
    <s v="Completed"/>
    <s v="North"/>
    <s v="Debit Card"/>
    <m/>
    <m/>
  </r>
  <r>
    <n v="584"/>
    <n v="7084"/>
    <x v="140"/>
    <n v="3291.84"/>
    <s v="Completed"/>
    <s v="South"/>
    <s v="PayPal"/>
    <m/>
    <m/>
  </r>
  <r>
    <n v="585"/>
    <n v="7159"/>
    <x v="202"/>
    <n v="3291.84"/>
    <s v="Completed"/>
    <s v="Central"/>
    <s v="PayPal"/>
    <m/>
    <m/>
  </r>
  <r>
    <n v="586"/>
    <n v="5933"/>
    <x v="234"/>
    <n v="3291.84"/>
    <s v="Completed"/>
    <s v="East"/>
    <s v="PayPal"/>
    <m/>
    <m/>
  </r>
  <r>
    <n v="587"/>
    <n v="6174"/>
    <x v="113"/>
    <n v="3291.84"/>
    <s v="Completed"/>
    <s v="South"/>
    <s v="Debit Card"/>
    <m/>
    <m/>
  </r>
  <r>
    <n v="588"/>
    <n v="9623"/>
    <x v="89"/>
    <n v="3291.84"/>
    <s v="Completed"/>
    <s v="East"/>
    <s v="Credit Card"/>
    <m/>
    <m/>
  </r>
  <r>
    <n v="589"/>
    <n v="8653"/>
    <x v="175"/>
    <n v="3291.84"/>
    <s v="Completed"/>
    <s v="South"/>
    <s v="Apple Pay"/>
    <m/>
    <m/>
  </r>
  <r>
    <n v="590"/>
    <n v="8999"/>
    <x v="44"/>
    <n v="3291.84"/>
    <s v="Completed"/>
    <s v="South"/>
    <s v="Apple Pay"/>
    <m/>
    <m/>
  </r>
  <r>
    <n v="591"/>
    <n v="5216"/>
    <x v="167"/>
    <n v="3291.84"/>
    <s v="Completed"/>
    <s v="West"/>
    <s v="Apple Pay"/>
    <m/>
    <m/>
  </r>
  <r>
    <n v="592"/>
    <n v="2060"/>
    <x v="0"/>
    <n v="3291.84"/>
    <s v="Completed"/>
    <s v="West"/>
    <s v="Apple Pay"/>
    <m/>
    <m/>
  </r>
  <r>
    <n v="593"/>
    <n v="5668"/>
    <x v="63"/>
    <n v="3291.84"/>
    <s v="Completed"/>
    <s v="Central"/>
    <s v="Debit Card"/>
    <m/>
    <m/>
  </r>
  <r>
    <n v="594"/>
    <n v="4004"/>
    <x v="250"/>
    <n v="3291.84"/>
    <s v="Completed"/>
    <s v="North"/>
    <s v="Credit Card"/>
    <m/>
    <m/>
  </r>
  <r>
    <n v="595"/>
    <n v="3273"/>
    <x v="37"/>
    <n v="3291.84"/>
    <s v="Returned"/>
    <s v="West"/>
    <s v="PayPal"/>
    <m/>
    <m/>
  </r>
  <r>
    <n v="596"/>
    <n v="5133"/>
    <x v="279"/>
    <n v="3291.84"/>
    <s v="Completed"/>
    <s v="Central"/>
    <s v="PayPal"/>
    <m/>
    <m/>
  </r>
  <r>
    <n v="597"/>
    <n v="4266"/>
    <x v="216"/>
    <n v="3291.84"/>
    <s v="Completed"/>
    <s v="South"/>
    <s v="Debit Card"/>
    <m/>
    <m/>
  </r>
  <r>
    <n v="598"/>
    <n v="7615"/>
    <x v="24"/>
    <n v="3291.84"/>
    <s v="Completed"/>
    <s v="Central"/>
    <s v="Credit Card"/>
    <m/>
    <m/>
  </r>
  <r>
    <n v="599"/>
    <n v="4098"/>
    <x v="17"/>
    <n v="3291.84"/>
    <s v="Completed"/>
    <s v="East"/>
    <s v="PayPal"/>
    <m/>
    <m/>
  </r>
  <r>
    <n v="600"/>
    <n v="2122"/>
    <x v="185"/>
    <n v="3291.84"/>
    <s v="Completed"/>
    <s v="West"/>
    <s v="PayPal"/>
    <m/>
    <m/>
  </r>
  <r>
    <n v="601"/>
    <n v="5812"/>
    <x v="84"/>
    <n v="3291.84"/>
    <s v="Completed"/>
    <s v="East"/>
    <s v="Credit Card"/>
    <m/>
    <m/>
  </r>
  <r>
    <n v="602"/>
    <n v="5092"/>
    <x v="157"/>
    <n v="3291.84"/>
    <s v="Completed"/>
    <s v="South"/>
    <s v="Apple Pay"/>
    <m/>
    <m/>
  </r>
  <r>
    <n v="603"/>
    <n v="8387"/>
    <x v="203"/>
    <n v="3291.84"/>
    <s v="Completed"/>
    <s v="North"/>
    <s v="PayPal"/>
    <m/>
    <m/>
  </r>
  <r>
    <n v="604"/>
    <n v="6924"/>
    <x v="36"/>
    <n v="3291.84"/>
    <s v="Completed"/>
    <s v="Central"/>
    <s v="Credit Card"/>
    <m/>
    <m/>
  </r>
  <r>
    <n v="605"/>
    <n v="3303"/>
    <x v="96"/>
    <n v="3291.84"/>
    <s v="Completed"/>
    <s v="North"/>
    <s v="Credit Card"/>
    <m/>
    <m/>
  </r>
  <r>
    <n v="606"/>
    <n v="4341"/>
    <x v="58"/>
    <n v="3291.84"/>
    <s v="Completed"/>
    <s v="East"/>
    <s v="Credit Card"/>
    <m/>
    <m/>
  </r>
  <r>
    <n v="607"/>
    <n v="9935"/>
    <x v="194"/>
    <n v="3291.84"/>
    <s v="Completed"/>
    <s v="South"/>
    <s v="Apple Pay"/>
    <m/>
    <m/>
  </r>
  <r>
    <n v="608"/>
    <n v="8271"/>
    <x v="249"/>
    <n v="3291.84"/>
    <s v="Completed"/>
    <s v="North"/>
    <s v="Debit Card"/>
    <m/>
    <m/>
  </r>
  <r>
    <n v="609"/>
    <n v="2191"/>
    <x v="137"/>
    <n v="3291.84"/>
    <s v="Completed"/>
    <s v="East"/>
    <s v="Credit Card"/>
    <m/>
    <m/>
  </r>
  <r>
    <n v="610"/>
    <n v="5417"/>
    <x v="83"/>
    <n v="3291.84"/>
    <s v="Completed"/>
    <s v="North"/>
    <s v="Credit Card"/>
    <m/>
    <m/>
  </r>
  <r>
    <n v="611"/>
    <n v="5684"/>
    <x v="236"/>
    <n v="3291.84"/>
    <s v="Completed"/>
    <s v="North"/>
    <s v="Credit Card"/>
    <m/>
    <m/>
  </r>
  <r>
    <n v="612"/>
    <n v="339"/>
    <x v="171"/>
    <n v="3291.84"/>
    <s v="Completed"/>
    <s v="North"/>
    <s v="PayPal"/>
    <m/>
    <m/>
  </r>
  <r>
    <n v="613"/>
    <n v="1899"/>
    <x v="3"/>
    <n v="3291.84"/>
    <s v="Completed"/>
    <s v="Central"/>
    <s v="Debit Card"/>
    <m/>
    <m/>
  </r>
  <r>
    <n v="614"/>
    <n v="4288"/>
    <x v="280"/>
    <n v="3291.84"/>
    <s v="Completed"/>
    <s v="Central"/>
    <s v="Debit Card"/>
    <m/>
    <m/>
  </r>
  <r>
    <n v="615"/>
    <n v="7474"/>
    <x v="44"/>
    <n v="3291.84"/>
    <s v="Completed"/>
    <s v="Central"/>
    <s v="PayPal"/>
    <m/>
    <m/>
  </r>
  <r>
    <n v="616"/>
    <n v="8431"/>
    <x v="231"/>
    <n v="3291.84"/>
    <s v="Completed"/>
    <s v="South"/>
    <s v="Apple Pay"/>
    <m/>
    <m/>
  </r>
  <r>
    <n v="617"/>
    <n v="7166"/>
    <x v="281"/>
    <n v="3291.84"/>
    <s v="Completed"/>
    <s v="Central"/>
    <s v="Credit Card"/>
    <m/>
    <m/>
  </r>
  <r>
    <n v="618"/>
    <n v="7758"/>
    <x v="155"/>
    <n v="3291.84"/>
    <s v="Completed"/>
    <s v="East"/>
    <s v="Credit Card"/>
    <m/>
    <m/>
  </r>
  <r>
    <n v="619"/>
    <n v="436"/>
    <x v="256"/>
    <n v="3291.84"/>
    <s v="Completed"/>
    <s v="South"/>
    <s v="Credit Card"/>
    <m/>
    <m/>
  </r>
  <r>
    <n v="620"/>
    <n v="9780"/>
    <x v="282"/>
    <n v="3291.84"/>
    <s v="Cancelled"/>
    <s v="East"/>
    <s v="Debit Card"/>
    <m/>
    <m/>
  </r>
  <r>
    <n v="621"/>
    <n v="1526"/>
    <x v="126"/>
    <n v="3291.84"/>
    <s v="Completed"/>
    <s v="Central"/>
    <s v="Apple Pay"/>
    <m/>
    <m/>
  </r>
  <r>
    <n v="622"/>
    <n v="3883"/>
    <x v="188"/>
    <n v="3291.84"/>
    <s v="Completed"/>
    <s v="Central"/>
    <s v="PayPal"/>
    <m/>
    <m/>
  </r>
  <r>
    <n v="623"/>
    <n v="6989"/>
    <x v="169"/>
    <n v="3291.84"/>
    <s v="Cancelled"/>
    <s v="West"/>
    <s v="Debit Card"/>
    <m/>
    <m/>
  </r>
  <r>
    <n v="624"/>
    <n v="6014"/>
    <x v="223"/>
    <n v="3291.84"/>
    <s v="Completed"/>
    <s v="Central"/>
    <s v="PayPal"/>
    <m/>
    <m/>
  </r>
  <r>
    <n v="625"/>
    <n v="4362"/>
    <x v="283"/>
    <n v="3291.84"/>
    <s v="Completed"/>
    <s v="Central"/>
    <s v="PayPal"/>
    <m/>
    <m/>
  </r>
  <r>
    <n v="626"/>
    <n v="5797"/>
    <x v="165"/>
    <n v="3291.84"/>
    <s v="Completed"/>
    <s v="Central"/>
    <s v="Credit Card"/>
    <m/>
    <m/>
  </r>
  <r>
    <n v="627"/>
    <n v="3917"/>
    <x v="128"/>
    <n v="3291.84"/>
    <s v="Completed"/>
    <s v="West"/>
    <s v="PayPal"/>
    <m/>
    <m/>
  </r>
  <r>
    <n v="628"/>
    <n v="1909"/>
    <x v="284"/>
    <n v="3291.84"/>
    <s v="Cancelled"/>
    <s v="Central"/>
    <s v="PayPal"/>
    <m/>
    <m/>
  </r>
  <r>
    <n v="629"/>
    <n v="8152"/>
    <x v="16"/>
    <n v="3291.84"/>
    <s v="Completed"/>
    <s v="North"/>
    <s v="Credit Card"/>
    <m/>
    <m/>
  </r>
  <r>
    <n v="630"/>
    <n v="1857"/>
    <x v="258"/>
    <n v="3291.84"/>
    <s v="Completed"/>
    <s v="Central"/>
    <s v="PayPal"/>
    <m/>
    <m/>
  </r>
  <r>
    <n v="631"/>
    <n v="9868"/>
    <x v="236"/>
    <n v="3291.84"/>
    <s v="Returned"/>
    <s v="North"/>
    <s v="Debit Card"/>
    <m/>
    <m/>
  </r>
  <r>
    <n v="632"/>
    <n v="7053"/>
    <x v="87"/>
    <n v="3291.84"/>
    <s v="Completed"/>
    <s v="East"/>
    <s v="Debit Card"/>
    <m/>
    <m/>
  </r>
  <r>
    <n v="633"/>
    <n v="5923"/>
    <x v="148"/>
    <n v="3291.84"/>
    <s v="Completed"/>
    <s v="East"/>
    <s v="Apple Pay"/>
    <m/>
    <m/>
  </r>
  <r>
    <n v="634"/>
    <n v="5118"/>
    <x v="21"/>
    <n v="3291.84"/>
    <s v="Completed"/>
    <s v="South"/>
    <s v="Apple Pay"/>
    <m/>
    <m/>
  </r>
  <r>
    <n v="635"/>
    <n v="1829"/>
    <x v="62"/>
    <n v="3291.84"/>
    <s v="Completed"/>
    <s v="East"/>
    <s v="Apple Pay"/>
    <m/>
    <m/>
  </r>
  <r>
    <n v="636"/>
    <n v="8417"/>
    <x v="55"/>
    <n v="3291.84"/>
    <s v="Completed"/>
    <s v="West"/>
    <s v="Apple Pay"/>
    <m/>
    <m/>
  </r>
  <r>
    <n v="637"/>
    <n v="2278"/>
    <x v="285"/>
    <n v="3291.84"/>
    <s v="Completed"/>
    <s v="West"/>
    <s v="Debit Card"/>
    <m/>
    <m/>
  </r>
  <r>
    <n v="638"/>
    <n v="2107"/>
    <x v="286"/>
    <n v="3291.84"/>
    <s v="Completed"/>
    <s v="East"/>
    <s v="Apple Pay"/>
    <m/>
    <m/>
  </r>
  <r>
    <n v="639"/>
    <n v="2577"/>
    <x v="287"/>
    <n v="3291.84"/>
    <s v="Completed"/>
    <s v="North"/>
    <s v="Credit Card"/>
    <m/>
    <m/>
  </r>
  <r>
    <n v="640"/>
    <n v="4637"/>
    <x v="26"/>
    <n v="3291.84"/>
    <s v="Completed"/>
    <s v="North"/>
    <s v="Apple Pay"/>
    <m/>
    <m/>
  </r>
  <r>
    <n v="641"/>
    <n v="1316"/>
    <x v="65"/>
    <n v="3291.84"/>
    <s v="Completed"/>
    <s v="North"/>
    <s v="PayPal"/>
    <m/>
    <m/>
  </r>
  <r>
    <n v="642"/>
    <n v="3367"/>
    <x v="128"/>
    <n v="3291.84"/>
    <s v="Completed"/>
    <s v="East"/>
    <s v="PayPal"/>
    <m/>
    <m/>
  </r>
  <r>
    <n v="643"/>
    <n v="4136"/>
    <x v="288"/>
    <n v="3291.84"/>
    <s v="Completed"/>
    <s v="Central"/>
    <s v="Apple Pay"/>
    <m/>
    <m/>
  </r>
  <r>
    <n v="644"/>
    <n v="9804"/>
    <x v="100"/>
    <n v="3291.84"/>
    <s v="Completed"/>
    <s v="Central"/>
    <s v="Credit Card"/>
    <m/>
    <m/>
  </r>
  <r>
    <n v="645"/>
    <n v="3926"/>
    <x v="52"/>
    <n v="3291.84"/>
    <s v="Completed"/>
    <s v="East"/>
    <s v="PayPal"/>
    <m/>
    <m/>
  </r>
  <r>
    <n v="646"/>
    <n v="2311"/>
    <x v="183"/>
    <n v="3291.84"/>
    <s v="Cancelled"/>
    <s v="South"/>
    <s v="PayPal"/>
    <m/>
    <m/>
  </r>
  <r>
    <n v="647"/>
    <n v="3681"/>
    <x v="93"/>
    <n v="3291.84"/>
    <s v="Completed"/>
    <s v="South"/>
    <s v="PayPal"/>
    <m/>
    <m/>
  </r>
  <r>
    <n v="648"/>
    <n v="7211"/>
    <x v="164"/>
    <n v="3291.84"/>
    <s v="Completed"/>
    <s v="Central"/>
    <s v="Credit Card"/>
    <m/>
    <m/>
  </r>
  <r>
    <n v="649"/>
    <n v="8554"/>
    <x v="60"/>
    <n v="3291.84"/>
    <s v="Completed"/>
    <s v="West"/>
    <s v="PayPal"/>
    <m/>
    <m/>
  </r>
  <r>
    <n v="650"/>
    <n v="5325"/>
    <x v="77"/>
    <n v="3291.84"/>
    <s v="Completed"/>
    <s v="North"/>
    <s v="PayPal"/>
    <m/>
    <m/>
  </r>
  <r>
    <n v="651"/>
    <n v="5914"/>
    <x v="166"/>
    <n v="3291.84"/>
    <s v="Completed"/>
    <s v="West"/>
    <s v="Debit Card"/>
    <m/>
    <m/>
  </r>
  <r>
    <n v="652"/>
    <n v="1664"/>
    <x v="25"/>
    <n v="3291.84"/>
    <s v="Completed"/>
    <s v="East"/>
    <s v="Credit Card"/>
    <m/>
    <m/>
  </r>
  <r>
    <n v="653"/>
    <n v="2094"/>
    <x v="200"/>
    <n v="3291.84"/>
    <s v="Completed"/>
    <s v="South"/>
    <s v="Credit Card"/>
    <m/>
    <m/>
  </r>
  <r>
    <n v="654"/>
    <n v="2600"/>
    <x v="185"/>
    <n v="3291.84"/>
    <s v="Completed"/>
    <s v="Central"/>
    <s v="Credit Card"/>
    <m/>
    <m/>
  </r>
  <r>
    <n v="655"/>
    <n v="7513"/>
    <x v="272"/>
    <n v="3291.84"/>
    <s v="Completed"/>
    <s v="East"/>
    <s v="Credit Card"/>
    <m/>
    <m/>
  </r>
  <r>
    <n v="656"/>
    <n v="7462"/>
    <x v="65"/>
    <n v="3291.84"/>
    <s v="Completed"/>
    <s v="South"/>
    <s v="Apple Pay"/>
    <m/>
    <m/>
  </r>
  <r>
    <n v="657"/>
    <n v="2612"/>
    <x v="216"/>
    <n v="3291.84"/>
    <s v="Completed"/>
    <s v="West"/>
    <s v="Apple Pay"/>
    <m/>
    <m/>
  </r>
  <r>
    <n v="658"/>
    <n v="471"/>
    <x v="162"/>
    <n v="3291.84"/>
    <s v="Completed"/>
    <s v="North"/>
    <s v="Credit Card"/>
    <m/>
    <m/>
  </r>
  <r>
    <n v="659"/>
    <n v="7099"/>
    <x v="85"/>
    <n v="3291.84"/>
    <s v="Completed"/>
    <s v="West"/>
    <s v="Debit Card"/>
    <m/>
    <m/>
  </r>
  <r>
    <n v="660"/>
    <n v="8045"/>
    <x v="36"/>
    <n v="3291.84"/>
    <s v="Completed"/>
    <s v="East"/>
    <s v="Debit Card"/>
    <m/>
    <m/>
  </r>
  <r>
    <n v="661"/>
    <n v="3176"/>
    <x v="289"/>
    <n v="3291.84"/>
    <s v="Completed"/>
    <s v="North"/>
    <s v="Debit Card"/>
    <m/>
    <m/>
  </r>
  <r>
    <n v="662"/>
    <n v="6268"/>
    <x v="115"/>
    <n v="3291.84"/>
    <s v="Completed"/>
    <s v="West"/>
    <s v="Credit Card"/>
    <m/>
    <m/>
  </r>
  <r>
    <n v="663"/>
    <n v="7200"/>
    <x v="290"/>
    <n v="3291.84"/>
    <s v="Completed"/>
    <s v="South"/>
    <s v="Credit Card"/>
    <m/>
    <m/>
  </r>
  <r>
    <n v="664"/>
    <n v="9004"/>
    <x v="141"/>
    <n v="3291.84"/>
    <s v="Completed"/>
    <s v="others"/>
    <s v="Credit Card"/>
    <m/>
    <m/>
  </r>
  <r>
    <n v="665"/>
    <n v="2697"/>
    <x v="83"/>
    <n v="3291.84"/>
    <s v="Completed"/>
    <s v="Central"/>
    <s v="PayPal"/>
    <m/>
    <m/>
  </r>
  <r>
    <n v="666"/>
    <n v="8956"/>
    <x v="103"/>
    <n v="3291.84"/>
    <s v="Completed"/>
    <s v="South"/>
    <s v="Debit Card"/>
    <m/>
    <m/>
  </r>
  <r>
    <n v="667"/>
    <n v="7286"/>
    <x v="35"/>
    <n v="3291.84"/>
    <s v="Completed"/>
    <s v="South"/>
    <s v="Credit Card"/>
    <m/>
    <m/>
  </r>
  <r>
    <n v="668"/>
    <n v="6466"/>
    <x v="61"/>
    <n v="3291.84"/>
    <s v="Completed"/>
    <s v="South"/>
    <s v="Credit Card"/>
    <m/>
    <m/>
  </r>
  <r>
    <n v="669"/>
    <n v="3277"/>
    <x v="15"/>
    <n v="3291.84"/>
    <s v="Completed"/>
    <s v="Central"/>
    <s v="Apple Pay"/>
    <m/>
    <m/>
  </r>
  <r>
    <n v="670"/>
    <n v="3797"/>
    <x v="91"/>
    <n v="3291.84"/>
    <s v="Completed"/>
    <s v="South"/>
    <s v="Debit Card"/>
    <m/>
    <m/>
  </r>
  <r>
    <n v="671"/>
    <n v="7206"/>
    <x v="48"/>
    <n v="3291.84"/>
    <s v="Completed"/>
    <s v="South"/>
    <s v="Debit Card"/>
    <m/>
    <m/>
  </r>
  <r>
    <n v="672"/>
    <n v="6412"/>
    <x v="291"/>
    <n v="3291.84"/>
    <s v="Completed"/>
    <s v="North"/>
    <s v="PayPal"/>
    <m/>
    <m/>
  </r>
  <r>
    <n v="673"/>
    <n v="7548"/>
    <x v="292"/>
    <n v="3291.84"/>
    <s v="Completed"/>
    <s v="East"/>
    <s v="Credit Card"/>
    <m/>
    <m/>
  </r>
  <r>
    <n v="674"/>
    <n v="7903"/>
    <x v="107"/>
    <n v="3291.84"/>
    <s v="Completed"/>
    <s v="West"/>
    <s v="PayPal"/>
    <m/>
    <m/>
  </r>
  <r>
    <n v="675"/>
    <n v="7811"/>
    <x v="271"/>
    <n v="3291.84"/>
    <s v="Completed"/>
    <s v="North"/>
    <s v="Credit Card"/>
    <m/>
    <m/>
  </r>
  <r>
    <n v="676"/>
    <n v="5338"/>
    <x v="110"/>
    <n v="3291.84"/>
    <s v="Completed"/>
    <s v="East"/>
    <s v="Apple Pay"/>
    <m/>
    <m/>
  </r>
  <r>
    <n v="677"/>
    <n v="6744"/>
    <x v="132"/>
    <n v="3291.84"/>
    <s v="Completed"/>
    <s v="Central"/>
    <s v="Apple Pay"/>
    <m/>
    <m/>
  </r>
  <r>
    <n v="678"/>
    <n v="3815"/>
    <x v="79"/>
    <n v="3291.84"/>
    <s v="Completed"/>
    <s v="South"/>
    <s v="Apple Pay"/>
    <m/>
    <m/>
  </r>
  <r>
    <n v="679"/>
    <n v="6597"/>
    <x v="102"/>
    <n v="3291.84"/>
    <s v="Completed"/>
    <s v="West"/>
    <s v="Apple Pay"/>
    <m/>
    <m/>
  </r>
  <r>
    <n v="680"/>
    <n v="620"/>
    <x v="293"/>
    <n v="3291.84"/>
    <s v="Completed"/>
    <s v="Central"/>
    <s v="Credit Card"/>
    <m/>
    <m/>
  </r>
  <r>
    <n v="681"/>
    <n v="523"/>
    <x v="35"/>
    <n v="3291.84"/>
    <s v="Completed"/>
    <s v="West"/>
    <s v="Credit Card"/>
    <m/>
    <m/>
  </r>
  <r>
    <n v="682"/>
    <n v="5540"/>
    <x v="25"/>
    <n v="3291.84"/>
    <s v="Completed"/>
    <s v="South"/>
    <s v="Apple Pay"/>
    <m/>
    <m/>
  </r>
  <r>
    <n v="683"/>
    <n v="7741"/>
    <x v="294"/>
    <n v="3291.84"/>
    <s v="Completed"/>
    <s v="South"/>
    <s v="Debit Card"/>
    <m/>
    <m/>
  </r>
  <r>
    <n v="684"/>
    <n v="3569"/>
    <x v="295"/>
    <n v="3291.84"/>
    <s v="Completed"/>
    <s v="Central"/>
    <s v="Credit Card"/>
    <m/>
    <m/>
  </r>
  <r>
    <n v="685"/>
    <n v="4682"/>
    <x v="243"/>
    <n v="3291.84"/>
    <s v="Completed"/>
    <s v="South"/>
    <s v="Credit Card"/>
    <m/>
    <m/>
  </r>
  <r>
    <n v="686"/>
    <n v="5697"/>
    <x v="119"/>
    <n v="3291.84"/>
    <s v="Completed"/>
    <s v="East"/>
    <s v="Credit Card"/>
    <m/>
    <m/>
  </r>
  <r>
    <n v="687"/>
    <n v="4470"/>
    <x v="157"/>
    <n v="3291.84"/>
    <s v="Completed"/>
    <s v="West"/>
    <s v="Credit Card"/>
    <m/>
    <m/>
  </r>
  <r>
    <n v="688"/>
    <n v="8719"/>
    <x v="122"/>
    <n v="3291.84"/>
    <s v="Completed"/>
    <s v="others"/>
    <s v="Credit Card"/>
    <m/>
    <m/>
  </r>
  <r>
    <n v="689"/>
    <n v="9402"/>
    <x v="137"/>
    <n v="3291.84"/>
    <s v="Completed"/>
    <s v="Central"/>
    <s v="PayPal"/>
    <m/>
    <m/>
  </r>
  <r>
    <n v="690"/>
    <n v="2145"/>
    <x v="75"/>
    <n v="3291.84"/>
    <s v="Completed"/>
    <s v="West"/>
    <s v="Debit Card"/>
    <m/>
    <m/>
  </r>
  <r>
    <n v="691"/>
    <n v="2530"/>
    <x v="43"/>
    <n v="3291.84"/>
    <s v="Cancelled"/>
    <s v="South"/>
    <s v="PayPal"/>
    <m/>
    <m/>
  </r>
  <r>
    <n v="692"/>
    <n v="3681"/>
    <x v="231"/>
    <n v="3291.84"/>
    <s v="Completed"/>
    <s v="South"/>
    <s v="Credit Card"/>
    <m/>
    <m/>
  </r>
  <r>
    <n v="693"/>
    <n v="7377"/>
    <x v="63"/>
    <n v="3291.84"/>
    <s v="Completed"/>
    <s v="Central"/>
    <s v="Apple Pay"/>
    <m/>
    <m/>
  </r>
  <r>
    <n v="694"/>
    <n v="6452"/>
    <x v="77"/>
    <n v="3291.84"/>
    <s v="Returned"/>
    <s v="Central"/>
    <s v="Apple Pay"/>
    <m/>
    <m/>
  </r>
  <r>
    <n v="695"/>
    <n v="682"/>
    <x v="216"/>
    <n v="3291.84"/>
    <s v="Completed"/>
    <s v="East"/>
    <s v="Apple Pay"/>
    <m/>
    <m/>
  </r>
  <r>
    <n v="696"/>
    <n v="1219"/>
    <x v="296"/>
    <n v="3291.84"/>
    <s v="Completed"/>
    <s v="Central"/>
    <s v="Apple Pay"/>
    <m/>
    <m/>
  </r>
  <r>
    <n v="697"/>
    <n v="8111"/>
    <x v="110"/>
    <n v="3291.84"/>
    <s v="Completed"/>
    <s v="South"/>
    <s v="Apple Pay"/>
    <m/>
    <m/>
  </r>
  <r>
    <n v="698"/>
    <n v="289"/>
    <x v="297"/>
    <n v="3291.84"/>
    <s v="Completed"/>
    <s v="East"/>
    <s v="PayPal"/>
    <m/>
    <m/>
  </r>
  <r>
    <n v="699"/>
    <n v="7260"/>
    <x v="44"/>
    <n v="3291.84"/>
    <s v="Completed"/>
    <s v="West"/>
    <s v="Apple Pay"/>
    <m/>
    <m/>
  </r>
  <r>
    <n v="700"/>
    <n v="8518"/>
    <x v="61"/>
    <n v="3291.84"/>
    <s v="Completed"/>
    <s v="West"/>
    <s v="Apple Pay"/>
    <m/>
    <m/>
  </r>
  <r>
    <n v="701"/>
    <n v="86"/>
    <x v="262"/>
    <n v="3291.84"/>
    <s v="Completed"/>
    <s v="South"/>
    <s v="Debit Card"/>
    <m/>
    <m/>
  </r>
  <r>
    <n v="702"/>
    <n v="7846"/>
    <x v="69"/>
    <n v="3291.84"/>
    <s v="Completed"/>
    <s v="West"/>
    <s v="Debit Card"/>
    <m/>
    <m/>
  </r>
  <r>
    <n v="703"/>
    <n v="3729"/>
    <x v="298"/>
    <n v="3291.84"/>
    <s v="Completed"/>
    <s v="East"/>
    <s v="Debit Card"/>
    <m/>
    <m/>
  </r>
  <r>
    <n v="704"/>
    <n v="6901"/>
    <x v="90"/>
    <n v="3291.84"/>
    <s v="Completed"/>
    <s v="South"/>
    <s v="Credit Card"/>
    <m/>
    <m/>
  </r>
  <r>
    <n v="705"/>
    <n v="6922"/>
    <x v="86"/>
    <n v="3291.84"/>
    <s v="Completed"/>
    <s v="West"/>
    <s v="Credit Card"/>
    <m/>
    <m/>
  </r>
  <r>
    <n v="706"/>
    <n v="1795"/>
    <x v="242"/>
    <n v="3291.84"/>
    <s v="Completed"/>
    <s v="West"/>
    <s v="Debit Card"/>
    <m/>
    <m/>
  </r>
  <r>
    <n v="707"/>
    <n v="9372"/>
    <x v="102"/>
    <n v="3291.84"/>
    <s v="Completed"/>
    <s v="North"/>
    <s v="PayPal"/>
    <m/>
    <m/>
  </r>
  <r>
    <n v="708"/>
    <n v="4364"/>
    <x v="129"/>
    <n v="3291.84"/>
    <s v="Completed"/>
    <s v="East"/>
    <s v="PayPal"/>
    <m/>
    <m/>
  </r>
  <r>
    <n v="709"/>
    <n v="3275"/>
    <x v="102"/>
    <n v="3291.84"/>
    <s v="Completed"/>
    <s v="West"/>
    <s v="Debit Card"/>
    <m/>
    <m/>
  </r>
  <r>
    <n v="710"/>
    <n v="6408"/>
    <x v="299"/>
    <n v="3291.84"/>
    <s v="Completed"/>
    <s v="South"/>
    <s v="Apple Pay"/>
    <m/>
    <m/>
  </r>
  <r>
    <n v="711"/>
    <n v="3200"/>
    <x v="288"/>
    <n v="3291.84"/>
    <s v="Completed"/>
    <s v="Central"/>
    <s v="PayPal"/>
    <m/>
    <m/>
  </r>
  <r>
    <n v="712"/>
    <n v="7825"/>
    <x v="256"/>
    <n v="3291.84"/>
    <s v="Completed"/>
    <s v="South"/>
    <s v="Credit Card"/>
    <m/>
    <m/>
  </r>
  <r>
    <n v="713"/>
    <n v="3304"/>
    <x v="250"/>
    <n v="3291.84"/>
    <s v="Completed"/>
    <s v="North"/>
    <s v="Debit Card"/>
    <m/>
    <m/>
  </r>
  <r>
    <n v="714"/>
    <n v="389"/>
    <x v="96"/>
    <n v="3291.84"/>
    <s v="Completed"/>
    <s v="North"/>
    <s v="Apple Pay"/>
    <m/>
    <m/>
  </r>
  <r>
    <n v="715"/>
    <n v="5053"/>
    <x v="300"/>
    <n v="3291.84"/>
    <s v="Completed"/>
    <s v="South"/>
    <s v="PayPal"/>
    <m/>
    <m/>
  </r>
  <r>
    <n v="716"/>
    <n v="5590"/>
    <x v="52"/>
    <n v="3291.84"/>
    <s v="Completed"/>
    <s v="South"/>
    <s v="Apple Pay"/>
    <m/>
    <m/>
  </r>
  <r>
    <n v="717"/>
    <n v="1279"/>
    <x v="301"/>
    <n v="3291.84"/>
    <s v="Completed"/>
    <s v="others"/>
    <s v="Credit Card"/>
    <m/>
    <m/>
  </r>
  <r>
    <n v="718"/>
    <n v="6520"/>
    <x v="210"/>
    <n v="3291.84"/>
    <s v="Completed"/>
    <s v="East"/>
    <s v="PayPal"/>
    <m/>
    <m/>
  </r>
  <r>
    <n v="719"/>
    <n v="4109"/>
    <x v="204"/>
    <n v="3291.84"/>
    <s v="Completed"/>
    <s v="East"/>
    <s v="Debit Card"/>
    <m/>
    <m/>
  </r>
  <r>
    <n v="720"/>
    <n v="3125"/>
    <x v="34"/>
    <n v="3291.84"/>
    <s v="Completed"/>
    <s v="South"/>
    <s v="PayPal"/>
    <m/>
    <m/>
  </r>
  <r>
    <n v="721"/>
    <n v="9119"/>
    <x v="302"/>
    <n v="3291.84"/>
    <s v="Completed"/>
    <s v="West"/>
    <s v="Debit Card"/>
    <m/>
    <m/>
  </r>
  <r>
    <n v="722"/>
    <n v="5172"/>
    <x v="64"/>
    <n v="3291.84"/>
    <s v="Completed"/>
    <s v="East"/>
    <s v="PayPal"/>
    <m/>
    <m/>
  </r>
  <r>
    <n v="723"/>
    <n v="8740"/>
    <x v="303"/>
    <n v="3291.84"/>
    <s v="Completed"/>
    <s v="West"/>
    <s v="Apple Pay"/>
    <m/>
    <m/>
  </r>
  <r>
    <n v="724"/>
    <n v="5077"/>
    <x v="27"/>
    <n v="3291.84"/>
    <s v="Completed"/>
    <s v="East"/>
    <s v="Credit Card"/>
    <m/>
    <m/>
  </r>
  <r>
    <n v="725"/>
    <n v="1853"/>
    <x v="12"/>
    <n v="3291.84"/>
    <s v="Completed"/>
    <s v="South"/>
    <s v="Debit Card"/>
    <m/>
    <m/>
  </r>
  <r>
    <n v="726"/>
    <n v="1211"/>
    <x v="11"/>
    <n v="3291.84"/>
    <s v="Completed"/>
    <s v="West"/>
    <s v="Debit Card"/>
    <m/>
    <m/>
  </r>
  <r>
    <n v="727"/>
    <n v="6597"/>
    <x v="284"/>
    <n v="3291.84"/>
    <s v="Completed"/>
    <s v="West"/>
    <s v="PayPal"/>
    <m/>
    <m/>
  </r>
  <r>
    <n v="728"/>
    <n v="5816"/>
    <x v="294"/>
    <n v="3291.84"/>
    <s v="Completed"/>
    <s v="South"/>
    <s v="Apple Pay"/>
    <m/>
    <m/>
  </r>
  <r>
    <n v="729"/>
    <n v="3477"/>
    <x v="304"/>
    <n v="3291.84"/>
    <s v="Returned"/>
    <s v="Central"/>
    <s v="Apple Pay"/>
    <m/>
    <m/>
  </r>
  <r>
    <n v="730"/>
    <n v="5094"/>
    <x v="305"/>
    <n v="3291.84"/>
    <s v="Completed"/>
    <s v="East"/>
    <s v="Debit Card"/>
    <m/>
    <m/>
  </r>
  <r>
    <n v="731"/>
    <n v="6821"/>
    <x v="177"/>
    <n v="3291.84"/>
    <s v="Completed"/>
    <s v="East"/>
    <s v="PayPal"/>
    <m/>
    <m/>
  </r>
  <r>
    <n v="732"/>
    <n v="96"/>
    <x v="202"/>
    <n v="3291.84"/>
    <s v="Completed"/>
    <s v="South"/>
    <s v="Debit Card"/>
    <m/>
    <m/>
  </r>
  <r>
    <n v="733"/>
    <n v="641"/>
    <x v="306"/>
    <n v="3291.84"/>
    <s v="Completed"/>
    <s v="North"/>
    <s v="PayPal"/>
    <m/>
    <m/>
  </r>
  <r>
    <n v="734"/>
    <n v="1811"/>
    <x v="54"/>
    <n v="3291.84"/>
    <s v="Completed"/>
    <s v="West"/>
    <s v="PayPal"/>
    <m/>
    <m/>
  </r>
  <r>
    <n v="735"/>
    <n v="1643"/>
    <x v="251"/>
    <n v="3291.84"/>
    <s v="Completed"/>
    <s v="South"/>
    <s v="Apple Pay"/>
    <m/>
    <m/>
  </r>
  <r>
    <n v="736"/>
    <n v="5783"/>
    <x v="72"/>
    <n v="3291.84"/>
    <s v="Completed"/>
    <s v="North"/>
    <s v="PayPal"/>
    <m/>
    <m/>
  </r>
  <r>
    <n v="737"/>
    <n v="2220"/>
    <x v="116"/>
    <n v="3291.84"/>
    <s v="Completed"/>
    <s v="North"/>
    <s v="Credit Card"/>
    <m/>
    <m/>
  </r>
  <r>
    <n v="738"/>
    <n v="7447"/>
    <x v="293"/>
    <n v="3291.84"/>
    <s v="Completed"/>
    <s v="South"/>
    <s v="Credit Card"/>
    <m/>
    <m/>
  </r>
  <r>
    <n v="739"/>
    <n v="2533"/>
    <x v="90"/>
    <n v="3291.84"/>
    <s v="Completed"/>
    <s v="East"/>
    <s v="Debit Card"/>
    <m/>
    <m/>
  </r>
  <r>
    <n v="740"/>
    <n v="4516"/>
    <x v="97"/>
    <n v="3291.84"/>
    <s v="Completed"/>
    <s v="South"/>
    <s v="Debit Card"/>
    <m/>
    <m/>
  </r>
  <r>
    <n v="741"/>
    <n v="1647"/>
    <x v="180"/>
    <n v="3291.84"/>
    <s v="Completed"/>
    <s v="South"/>
    <s v="Debit Card"/>
    <m/>
    <m/>
  </r>
  <r>
    <n v="742"/>
    <n v="9658"/>
    <x v="59"/>
    <n v="3291.84"/>
    <s v="Completed"/>
    <s v="South"/>
    <s v="Apple Pay"/>
    <m/>
    <m/>
  </r>
  <r>
    <n v="743"/>
    <n v="3163"/>
    <x v="88"/>
    <n v="3291.84"/>
    <s v="Completed"/>
    <s v="West"/>
    <s v="Debit Card"/>
    <m/>
    <m/>
  </r>
  <r>
    <n v="744"/>
    <n v="101"/>
    <x v="244"/>
    <n v="3291.84"/>
    <s v="Completed"/>
    <s v="Central"/>
    <s v="Credit Card"/>
    <m/>
    <m/>
  </r>
  <r>
    <n v="745"/>
    <n v="8898"/>
    <x v="263"/>
    <n v="3291.84"/>
    <s v="Completed"/>
    <s v="Central"/>
    <s v="Debit Card"/>
    <m/>
    <m/>
  </r>
  <r>
    <n v="746"/>
    <n v="2016"/>
    <x v="211"/>
    <n v="3291.84"/>
    <s v="Completed"/>
    <s v="North"/>
    <s v="PayPal"/>
    <m/>
    <m/>
  </r>
  <r>
    <n v="747"/>
    <n v="1504"/>
    <x v="156"/>
    <n v="3291.84"/>
    <s v="Completed"/>
    <s v="North"/>
    <s v="Credit Card"/>
    <m/>
    <m/>
  </r>
  <r>
    <n v="748"/>
    <n v="7426"/>
    <x v="146"/>
    <n v="3291.84"/>
    <s v="Completed"/>
    <s v="East"/>
    <s v="PayPal"/>
    <m/>
    <m/>
  </r>
  <r>
    <n v="749"/>
    <n v="390"/>
    <x v="307"/>
    <n v="3291.84"/>
    <s v="Completed"/>
    <s v="Central"/>
    <s v="PayPal"/>
    <m/>
    <m/>
  </r>
  <r>
    <n v="750"/>
    <n v="7699"/>
    <x v="308"/>
    <n v="3291.84"/>
    <s v="Completed"/>
    <s v="East"/>
    <s v="Apple Pay"/>
    <m/>
    <m/>
  </r>
  <r>
    <n v="751"/>
    <n v="5405"/>
    <x v="309"/>
    <n v="3291.84"/>
    <s v="Completed"/>
    <s v="East"/>
    <s v="PayPal"/>
    <m/>
    <m/>
  </r>
  <r>
    <n v="752"/>
    <n v="2114"/>
    <x v="193"/>
    <n v="3291.84"/>
    <s v="Completed"/>
    <s v="Central"/>
    <s v="Debit Card"/>
    <m/>
    <m/>
  </r>
  <r>
    <n v="753"/>
    <n v="7699"/>
    <x v="310"/>
    <n v="3291.84"/>
    <s v="Completed"/>
    <s v="East"/>
    <s v="Debit Card"/>
    <m/>
    <m/>
  </r>
  <r>
    <n v="754"/>
    <n v="8541"/>
    <x v="180"/>
    <n v="3291.84"/>
    <s v="Completed"/>
    <s v="North"/>
    <s v="Debit Card"/>
    <m/>
    <m/>
  </r>
  <r>
    <n v="755"/>
    <n v="8554"/>
    <x v="311"/>
    <n v="3291.84"/>
    <s v="Cancelled"/>
    <s v="West"/>
    <s v="Apple Pay"/>
    <m/>
    <m/>
  </r>
  <r>
    <n v="756"/>
    <n v="1131"/>
    <x v="223"/>
    <n v="3291.84"/>
    <s v="Completed"/>
    <s v="West"/>
    <s v="PayPal"/>
    <m/>
    <m/>
  </r>
  <r>
    <n v="757"/>
    <n v="2570"/>
    <x v="312"/>
    <n v="3291.84"/>
    <s v="Completed"/>
    <s v="North"/>
    <s v="Credit Card"/>
    <m/>
    <m/>
  </r>
  <r>
    <n v="758"/>
    <n v="207"/>
    <x v="45"/>
    <n v="3291.84"/>
    <s v="Completed"/>
    <s v="South"/>
    <s v="Credit Card"/>
    <m/>
    <m/>
  </r>
  <r>
    <n v="759"/>
    <n v="632"/>
    <x v="55"/>
    <n v="3291.84"/>
    <s v="Completed"/>
    <s v="East"/>
    <s v="PayPal"/>
    <m/>
    <m/>
  </r>
  <r>
    <n v="760"/>
    <n v="9038"/>
    <x v="146"/>
    <n v="3291.84"/>
    <s v="Completed"/>
    <s v="North"/>
    <s v="Apple Pay"/>
    <m/>
    <m/>
  </r>
  <r>
    <n v="761"/>
    <n v="1153"/>
    <x v="253"/>
    <n v="3291.84"/>
    <s v="Completed"/>
    <s v="South"/>
    <s v="Debit Card"/>
    <m/>
    <m/>
  </r>
  <r>
    <n v="762"/>
    <n v="9973"/>
    <x v="227"/>
    <n v="3291.84"/>
    <s v="Completed"/>
    <s v="East"/>
    <s v="Credit Card"/>
    <m/>
    <m/>
  </r>
  <r>
    <n v="763"/>
    <n v="5225"/>
    <x v="223"/>
    <n v="3291.84"/>
    <s v="Completed"/>
    <s v="West"/>
    <s v="Credit Card"/>
    <m/>
    <m/>
  </r>
  <r>
    <n v="764"/>
    <n v="6372"/>
    <x v="179"/>
    <n v="3291.84"/>
    <s v="Completed"/>
    <s v="West"/>
    <s v="Credit Card"/>
    <m/>
    <m/>
  </r>
  <r>
    <n v="765"/>
    <n v="4044"/>
    <x v="21"/>
    <n v="3291.84"/>
    <s v="Completed"/>
    <s v="Central"/>
    <s v="Apple Pay"/>
    <m/>
    <m/>
  </r>
  <r>
    <n v="766"/>
    <n v="3237"/>
    <x v="174"/>
    <n v="3291.84"/>
    <s v="Completed"/>
    <s v="West"/>
    <s v="PayPal"/>
    <m/>
    <m/>
  </r>
  <r>
    <n v="767"/>
    <n v="6646"/>
    <x v="313"/>
    <n v="3291.84"/>
    <s v="Completed"/>
    <s v="North"/>
    <s v="Debit Card"/>
    <m/>
    <m/>
  </r>
  <r>
    <n v="768"/>
    <n v="2607"/>
    <x v="309"/>
    <n v="3291.84"/>
    <s v="Cancelled"/>
    <s v="Central"/>
    <s v="Apple Pay"/>
    <m/>
    <m/>
  </r>
  <r>
    <n v="769"/>
    <n v="4047"/>
    <x v="48"/>
    <n v="3291.84"/>
    <s v="Completed"/>
    <s v="West"/>
    <s v="Debit Card"/>
    <m/>
    <m/>
  </r>
  <r>
    <n v="770"/>
    <n v="9328"/>
    <x v="179"/>
    <n v="3291.84"/>
    <s v="Completed"/>
    <s v="West"/>
    <s v="Apple Pay"/>
    <m/>
    <m/>
  </r>
  <r>
    <n v="771"/>
    <n v="946"/>
    <x v="241"/>
    <n v="3291.84"/>
    <s v="Completed"/>
    <s v="North"/>
    <s v="PayPal"/>
    <m/>
    <m/>
  </r>
  <r>
    <n v="772"/>
    <n v="5102"/>
    <x v="169"/>
    <n v="3291.84"/>
    <s v="Completed"/>
    <s v="others"/>
    <s v="PayPal"/>
    <m/>
    <m/>
  </r>
  <r>
    <n v="773"/>
    <n v="3365"/>
    <x v="288"/>
    <n v="3291.84"/>
    <s v="Completed"/>
    <s v="Central"/>
    <s v="PayPal"/>
    <m/>
    <m/>
  </r>
  <r>
    <n v="774"/>
    <n v="356"/>
    <x v="152"/>
    <n v="3291.84"/>
    <s v="Completed"/>
    <s v="others"/>
    <s v="Apple Pay"/>
    <m/>
    <m/>
  </r>
  <r>
    <n v="775"/>
    <n v="8801"/>
    <x v="238"/>
    <n v="3291.84"/>
    <s v="Completed"/>
    <s v="West"/>
    <s v="Apple Pay"/>
    <m/>
    <m/>
  </r>
  <r>
    <n v="776"/>
    <n v="2060"/>
    <x v="287"/>
    <n v="3291.84"/>
    <s v="Cancelled"/>
    <s v="West"/>
    <s v="Credit Card"/>
    <m/>
    <m/>
  </r>
  <r>
    <n v="777"/>
    <n v="2917"/>
    <x v="314"/>
    <n v="3291.84"/>
    <s v="Completed"/>
    <s v="East"/>
    <s v="PayPal"/>
    <m/>
    <m/>
  </r>
  <r>
    <n v="778"/>
    <n v="8487"/>
    <x v="256"/>
    <n v="3291.84"/>
    <s v="Completed"/>
    <s v="East"/>
    <s v="Debit Card"/>
    <m/>
    <m/>
  </r>
  <r>
    <n v="779"/>
    <n v="8463"/>
    <x v="255"/>
    <n v="3291.84"/>
    <s v="Completed"/>
    <s v="North"/>
    <s v="PayPal"/>
    <m/>
    <m/>
  </r>
  <r>
    <n v="780"/>
    <n v="9275"/>
    <x v="193"/>
    <n v="3291.84"/>
    <s v="Completed"/>
    <s v="Central"/>
    <s v="Apple Pay"/>
    <m/>
    <m/>
  </r>
  <r>
    <n v="781"/>
    <n v="2004"/>
    <x v="265"/>
    <n v="3291.84"/>
    <s v="Completed"/>
    <s v="West"/>
    <s v="Debit Card"/>
    <m/>
    <m/>
  </r>
  <r>
    <n v="782"/>
    <n v="7230"/>
    <x v="104"/>
    <n v="3291.84"/>
    <s v="Completed"/>
    <s v="North"/>
    <s v="Apple Pay"/>
    <m/>
    <m/>
  </r>
  <r>
    <n v="783"/>
    <n v="8909"/>
    <x v="135"/>
    <n v="3291.84"/>
    <s v="Completed"/>
    <s v="North"/>
    <s v="PayPal"/>
    <m/>
    <m/>
  </r>
  <r>
    <n v="784"/>
    <n v="3292"/>
    <x v="43"/>
    <n v="3291.84"/>
    <s v="Completed"/>
    <s v="West"/>
    <s v="Debit Card"/>
    <m/>
    <m/>
  </r>
  <r>
    <n v="785"/>
    <n v="9001"/>
    <x v="12"/>
    <n v="3291.84"/>
    <s v="Completed"/>
    <s v="East"/>
    <s v="Debit Card"/>
    <m/>
    <m/>
  </r>
  <r>
    <n v="786"/>
    <n v="1801"/>
    <x v="234"/>
    <n v="3291.84"/>
    <s v="Completed"/>
    <s v="North"/>
    <s v="Apple Pay"/>
    <m/>
    <m/>
  </r>
  <r>
    <n v="787"/>
    <n v="6777"/>
    <x v="315"/>
    <n v="3291.84"/>
    <s v="Completed"/>
    <s v="West"/>
    <s v="PayPal"/>
    <m/>
    <m/>
  </r>
  <r>
    <n v="788"/>
    <n v="8552"/>
    <x v="137"/>
    <n v="3291.84"/>
    <s v="Completed"/>
    <s v="Central"/>
    <s v="Apple Pay"/>
    <m/>
    <m/>
  </r>
  <r>
    <n v="789"/>
    <n v="3321"/>
    <x v="260"/>
    <n v="3291.84"/>
    <s v="Completed"/>
    <s v="Central"/>
    <s v="Credit Card"/>
    <m/>
    <m/>
  </r>
  <r>
    <n v="790"/>
    <n v="5716"/>
    <x v="265"/>
    <n v="3291.84"/>
    <s v="Cancelled"/>
    <s v="East"/>
    <s v="Credit Card"/>
    <m/>
    <m/>
  </r>
  <r>
    <n v="791"/>
    <n v="4179"/>
    <x v="74"/>
    <n v="3291.84"/>
    <s v="Completed"/>
    <s v="South"/>
    <s v="Debit Card"/>
    <m/>
    <m/>
  </r>
  <r>
    <n v="792"/>
    <n v="5341"/>
    <x v="316"/>
    <n v="3291.84"/>
    <s v="Completed"/>
    <s v="West"/>
    <s v="PayPal"/>
    <m/>
    <m/>
  </r>
  <r>
    <n v="793"/>
    <n v="4470"/>
    <x v="267"/>
    <n v="3291.84"/>
    <s v="Completed"/>
    <s v="West"/>
    <s v="Credit Card"/>
    <m/>
    <m/>
  </r>
  <r>
    <n v="794"/>
    <n v="1201"/>
    <x v="116"/>
    <n v="3291.84"/>
    <s v="Completed"/>
    <s v="East"/>
    <s v="Credit Card"/>
    <m/>
    <m/>
  </r>
  <r>
    <n v="795"/>
    <n v="2276"/>
    <x v="65"/>
    <n v="3291.84"/>
    <s v="Completed"/>
    <s v="South"/>
    <s v="Debit Card"/>
    <m/>
    <m/>
  </r>
  <r>
    <n v="796"/>
    <n v="2063"/>
    <x v="292"/>
    <n v="3291.84"/>
    <s v="Completed"/>
    <s v="South"/>
    <s v="Apple Pay"/>
    <m/>
    <m/>
  </r>
  <r>
    <n v="797"/>
    <n v="7380"/>
    <x v="274"/>
    <n v="3291.84"/>
    <s v="Returned"/>
    <s v="others"/>
    <s v="Apple Pay"/>
    <m/>
    <m/>
  </r>
  <r>
    <n v="798"/>
    <n v="2765"/>
    <x v="21"/>
    <n v="3291.84"/>
    <s v="Completed"/>
    <s v="West"/>
    <s v="Credit Card"/>
    <m/>
    <m/>
  </r>
  <r>
    <n v="799"/>
    <n v="2278"/>
    <x v="22"/>
    <n v="3291.84"/>
    <s v="Completed"/>
    <s v="West"/>
    <s v="Debit Card"/>
    <m/>
    <m/>
  </r>
  <r>
    <n v="800"/>
    <n v="6165"/>
    <x v="123"/>
    <n v="3291.84"/>
    <s v="Completed"/>
    <s v="North"/>
    <s v="Apple Pay"/>
    <m/>
    <m/>
  </r>
  <r>
    <n v="801"/>
    <n v="7521"/>
    <x v="310"/>
    <n v="3291.84"/>
    <s v="Completed"/>
    <s v="Central"/>
    <s v="PayPal"/>
    <m/>
    <m/>
  </r>
  <r>
    <n v="802"/>
    <n v="90"/>
    <x v="90"/>
    <n v="3291.84"/>
    <s v="Completed"/>
    <s v="East"/>
    <s v="Debit Card"/>
    <m/>
    <m/>
  </r>
  <r>
    <n v="803"/>
    <n v="7493"/>
    <x v="116"/>
    <n v="3291.84"/>
    <s v="Completed"/>
    <s v="East"/>
    <s v="PayPal"/>
    <m/>
    <m/>
  </r>
  <r>
    <n v="804"/>
    <n v="8108"/>
    <x v="317"/>
    <n v="3291.84"/>
    <s v="Completed"/>
    <s v="South"/>
    <s v="PayPal"/>
    <m/>
    <m/>
  </r>
  <r>
    <n v="805"/>
    <n v="6854"/>
    <x v="282"/>
    <n v="3291.84"/>
    <s v="Completed"/>
    <s v="West"/>
    <s v="Debit Card"/>
    <m/>
    <m/>
  </r>
  <r>
    <n v="806"/>
    <n v="5073"/>
    <x v="35"/>
    <n v="3291.84"/>
    <s v="Completed"/>
    <s v="South"/>
    <s v="PayPal"/>
    <m/>
    <m/>
  </r>
  <r>
    <n v="807"/>
    <n v="9251"/>
    <x v="190"/>
    <n v="3291.84"/>
    <s v="Completed"/>
    <s v="Central"/>
    <s v="Apple Pay"/>
    <m/>
    <m/>
  </r>
  <r>
    <n v="808"/>
    <n v="5848"/>
    <x v="159"/>
    <n v="3291.84"/>
    <s v="Completed"/>
    <s v="South"/>
    <s v="PayPal"/>
    <m/>
    <m/>
  </r>
  <r>
    <n v="809"/>
    <n v="2839"/>
    <x v="71"/>
    <n v="3291.84"/>
    <s v="Completed"/>
    <s v="East"/>
    <s v="Debit Card"/>
    <m/>
    <m/>
  </r>
  <r>
    <n v="810"/>
    <n v="7751"/>
    <x v="172"/>
    <n v="3291.84"/>
    <s v="Completed"/>
    <s v="North"/>
    <s v="Apple Pay"/>
    <m/>
    <m/>
  </r>
  <r>
    <n v="811"/>
    <n v="2187"/>
    <x v="107"/>
    <n v="3291.84"/>
    <s v="Completed"/>
    <s v="East"/>
    <s v="Credit Card"/>
    <m/>
    <m/>
  </r>
  <r>
    <n v="812"/>
    <n v="4340"/>
    <x v="100"/>
    <n v="3291.84"/>
    <s v="Completed"/>
    <s v="East"/>
    <s v="PayPal"/>
    <m/>
    <m/>
  </r>
  <r>
    <n v="813"/>
    <n v="2934"/>
    <x v="318"/>
    <n v="3291.84"/>
    <s v="Completed"/>
    <s v="West"/>
    <s v="Apple Pay"/>
    <m/>
    <m/>
  </r>
  <r>
    <n v="814"/>
    <n v="7099"/>
    <x v="200"/>
    <n v="3291.84"/>
    <s v="Completed"/>
    <s v="West"/>
    <s v="PayPal"/>
    <m/>
    <m/>
  </r>
  <r>
    <n v="815"/>
    <n v="9201"/>
    <x v="243"/>
    <n v="3291.84"/>
    <s v="Completed"/>
    <s v="West"/>
    <s v="Credit Card"/>
    <m/>
    <m/>
  </r>
  <r>
    <n v="816"/>
    <n v="9519"/>
    <x v="112"/>
    <n v="3291.84"/>
    <s v="Completed"/>
    <s v="North"/>
    <s v="Apple Pay"/>
    <m/>
    <m/>
  </r>
  <r>
    <n v="817"/>
    <n v="3998"/>
    <x v="319"/>
    <n v="3291.84"/>
    <s v="Completed"/>
    <s v="South"/>
    <s v="Credit Card"/>
    <m/>
    <m/>
  </r>
  <r>
    <n v="818"/>
    <n v="9529"/>
    <x v="30"/>
    <n v="3291.84"/>
    <s v="Completed"/>
    <s v="South"/>
    <s v="Debit Card"/>
    <m/>
    <m/>
  </r>
  <r>
    <n v="819"/>
    <n v="4994"/>
    <x v="287"/>
    <n v="3291.84"/>
    <s v="Completed"/>
    <s v="Central"/>
    <s v="Credit Card"/>
    <m/>
    <m/>
  </r>
  <r>
    <n v="820"/>
    <n v="5222"/>
    <x v="306"/>
    <n v="3291.84"/>
    <s v="Completed"/>
    <s v="North"/>
    <s v="PayPal"/>
    <m/>
    <m/>
  </r>
  <r>
    <n v="821"/>
    <n v="3358"/>
    <x v="132"/>
    <n v="3291.84"/>
    <s v="Completed"/>
    <s v="Central"/>
    <s v="Debit Card"/>
    <m/>
    <m/>
  </r>
  <r>
    <n v="822"/>
    <n v="2041"/>
    <x v="26"/>
    <n v="3291.84"/>
    <s v="Completed"/>
    <s v="North"/>
    <s v="Apple Pay"/>
    <m/>
    <m/>
  </r>
  <r>
    <n v="823"/>
    <n v="2892"/>
    <x v="313"/>
    <n v="3291.84"/>
    <s v="Completed"/>
    <s v="North"/>
    <s v="PayPal"/>
    <m/>
    <m/>
  </r>
  <r>
    <n v="824"/>
    <n v="1507"/>
    <x v="97"/>
    <n v="3291.84"/>
    <s v="Completed"/>
    <s v="South"/>
    <s v="Apple Pay"/>
    <m/>
    <m/>
  </r>
  <r>
    <n v="825"/>
    <n v="3604"/>
    <x v="152"/>
    <n v="3291.84"/>
    <s v="Completed"/>
    <s v="East"/>
    <s v="PayPal"/>
    <m/>
    <m/>
  </r>
  <r>
    <n v="826"/>
    <n v="9075"/>
    <x v="315"/>
    <n v="3291.84"/>
    <s v="Completed"/>
    <s v="South"/>
    <s v="Apple Pay"/>
    <m/>
    <m/>
  </r>
  <r>
    <n v="827"/>
    <n v="4163"/>
    <x v="190"/>
    <n v="3291.84"/>
    <s v="Completed"/>
    <s v="Central"/>
    <s v="PayPal"/>
    <m/>
    <m/>
  </r>
  <r>
    <n v="828"/>
    <n v="6381"/>
    <x v="208"/>
    <n v="3291.84"/>
    <s v="Completed"/>
    <s v="South"/>
    <s v="Apple Pay"/>
    <m/>
    <m/>
  </r>
  <r>
    <n v="829"/>
    <n v="3230"/>
    <x v="283"/>
    <n v="3291.84"/>
    <s v="Completed"/>
    <s v="Central"/>
    <s v="Debit Card"/>
    <m/>
    <m/>
  </r>
  <r>
    <n v="830"/>
    <n v="4211"/>
    <x v="270"/>
    <n v="3291.84"/>
    <s v="Completed"/>
    <s v="North"/>
    <s v="PayPal"/>
    <m/>
    <m/>
  </r>
  <r>
    <n v="831"/>
    <n v="4639"/>
    <x v="320"/>
    <n v="3291.84"/>
    <s v="Cancelled"/>
    <s v="North"/>
    <s v="PayPal"/>
    <m/>
    <m/>
  </r>
  <r>
    <n v="832"/>
    <n v="3646"/>
    <x v="276"/>
    <n v="3291.84"/>
    <s v="Completed"/>
    <s v="North"/>
    <s v="Apple Pay"/>
    <m/>
    <m/>
  </r>
  <r>
    <n v="833"/>
    <n v="4037"/>
    <x v="84"/>
    <n v="3291.84"/>
    <s v="Completed"/>
    <s v="Central"/>
    <s v="Apple Pay"/>
    <m/>
    <m/>
  </r>
  <r>
    <n v="834"/>
    <n v="5297"/>
    <x v="58"/>
    <n v="3291.84"/>
    <s v="Completed"/>
    <s v="South"/>
    <s v="Apple Pay"/>
    <m/>
    <m/>
  </r>
  <r>
    <n v="835"/>
    <n v="8600"/>
    <x v="165"/>
    <n v="3291.84"/>
    <s v="Completed"/>
    <s v="West"/>
    <s v="Apple Pay"/>
    <m/>
    <m/>
  </r>
  <r>
    <n v="836"/>
    <n v="4125"/>
    <x v="133"/>
    <n v="3291.84"/>
    <s v="Completed"/>
    <s v="South"/>
    <s v="Apple Pay"/>
    <m/>
    <m/>
  </r>
  <r>
    <n v="837"/>
    <n v="7155"/>
    <x v="316"/>
    <n v="3291.84"/>
    <s v="Cancelled"/>
    <s v="West"/>
    <s v="Apple Pay"/>
    <m/>
    <m/>
  </r>
  <r>
    <n v="838"/>
    <n v="9644"/>
    <x v="321"/>
    <n v="3291.84"/>
    <s v="Completed"/>
    <s v="Central"/>
    <s v="Credit Card"/>
    <m/>
    <m/>
  </r>
  <r>
    <n v="839"/>
    <n v="8036"/>
    <x v="198"/>
    <n v="3291.84"/>
    <s v="Completed"/>
    <s v="South"/>
    <s v="Credit Card"/>
    <m/>
    <m/>
  </r>
  <r>
    <n v="840"/>
    <n v="3837"/>
    <x v="322"/>
    <n v="3291.84"/>
    <s v="Completed"/>
    <s v="North"/>
    <s v="Debit Card"/>
    <m/>
    <m/>
  </r>
  <r>
    <n v="841"/>
    <n v="8044"/>
    <x v="316"/>
    <n v="3291.84"/>
    <s v="Completed"/>
    <s v="North"/>
    <s v="Apple Pay"/>
    <m/>
    <m/>
  </r>
  <r>
    <n v="842"/>
    <n v="3134"/>
    <x v="194"/>
    <n v="3291.84"/>
    <s v="Completed"/>
    <s v="South"/>
    <s v="Apple Pay"/>
    <m/>
    <m/>
  </r>
  <r>
    <n v="843"/>
    <n v="1562"/>
    <x v="16"/>
    <n v="3291.84"/>
    <s v="Completed"/>
    <s v="Central"/>
    <s v="Apple Pay"/>
    <m/>
    <m/>
  </r>
  <r>
    <n v="844"/>
    <n v="9119"/>
    <x v="286"/>
    <n v="3291.84"/>
    <s v="Completed"/>
    <s v="West"/>
    <s v="Credit Card"/>
    <m/>
    <m/>
  </r>
  <r>
    <n v="845"/>
    <n v="6045"/>
    <x v="72"/>
    <n v="3291.84"/>
    <s v="Completed"/>
    <s v="East"/>
    <s v="Debit Card"/>
    <m/>
    <m/>
  </r>
  <r>
    <n v="846"/>
    <n v="8307"/>
    <x v="287"/>
    <n v="3291.84"/>
    <s v="Completed"/>
    <s v="East"/>
    <s v="Credit Card"/>
    <m/>
    <m/>
  </r>
  <r>
    <n v="847"/>
    <n v="7349"/>
    <x v="176"/>
    <n v="3291.84"/>
    <s v="Completed"/>
    <s v="West"/>
    <s v="Debit Card"/>
    <m/>
    <m/>
  </r>
  <r>
    <n v="848"/>
    <n v="5153"/>
    <x v="79"/>
    <n v="3291.84"/>
    <s v="Cancelled"/>
    <s v="East"/>
    <s v="Credit Card"/>
    <m/>
    <m/>
  </r>
  <r>
    <n v="849"/>
    <n v="5835"/>
    <x v="91"/>
    <n v="3291.84"/>
    <s v="Completed"/>
    <s v="North"/>
    <s v="Debit Card"/>
    <m/>
    <m/>
  </r>
  <r>
    <n v="850"/>
    <n v="2550"/>
    <x v="253"/>
    <n v="3291.84"/>
    <s v="Completed"/>
    <s v="South"/>
    <s v="Debit Card"/>
    <m/>
    <m/>
  </r>
  <r>
    <n v="851"/>
    <n v="9053"/>
    <x v="224"/>
    <n v="3291.84"/>
    <s v="Completed"/>
    <s v="South"/>
    <s v="Apple Pay"/>
    <m/>
    <m/>
  </r>
  <r>
    <n v="852"/>
    <n v="1702"/>
    <x v="323"/>
    <n v="3291.84"/>
    <s v="Completed"/>
    <s v="East"/>
    <s v="Credit Card"/>
    <m/>
    <m/>
  </r>
  <r>
    <n v="853"/>
    <n v="9425"/>
    <x v="197"/>
    <n v="3291.84"/>
    <s v="Completed"/>
    <s v="South"/>
    <s v="PayPal"/>
    <m/>
    <m/>
  </r>
  <r>
    <n v="854"/>
    <n v="6531"/>
    <x v="14"/>
    <n v="3291.84"/>
    <s v="Completed"/>
    <s v="North"/>
    <s v="Credit Card"/>
    <m/>
    <m/>
  </r>
  <r>
    <n v="855"/>
    <n v="5687"/>
    <x v="150"/>
    <n v="3291.84"/>
    <s v="Completed"/>
    <s v="North"/>
    <s v="Credit Card"/>
    <m/>
    <m/>
  </r>
  <r>
    <n v="856"/>
    <n v="3967"/>
    <x v="180"/>
    <n v="3291.84"/>
    <s v="Completed"/>
    <s v="North"/>
    <s v="Credit Card"/>
    <m/>
    <m/>
  </r>
  <r>
    <n v="857"/>
    <n v="8961"/>
    <x v="97"/>
    <n v="3291.84"/>
    <s v="Completed"/>
    <s v="Central"/>
    <s v="Debit Card"/>
    <m/>
    <m/>
  </r>
  <r>
    <n v="858"/>
    <n v="2049"/>
    <x v="58"/>
    <n v="3291.84"/>
    <s v="Completed"/>
    <s v="South"/>
    <s v="Debit Card"/>
    <m/>
    <m/>
  </r>
  <r>
    <n v="859"/>
    <n v="20"/>
    <x v="34"/>
    <n v="3291.84"/>
    <s v="Completed"/>
    <s v="North"/>
    <s v="PayPal"/>
    <m/>
    <m/>
  </r>
  <r>
    <n v="860"/>
    <n v="3568"/>
    <x v="324"/>
    <n v="3291.84"/>
    <s v="Completed"/>
    <s v="South"/>
    <s v="PayPal"/>
    <m/>
    <m/>
  </r>
  <r>
    <n v="861"/>
    <n v="4362"/>
    <x v="325"/>
    <n v="3291.84"/>
    <s v="Cancelled"/>
    <s v="Central"/>
    <s v="Debit Card"/>
    <m/>
    <m/>
  </r>
  <r>
    <n v="862"/>
    <n v="3901"/>
    <x v="205"/>
    <n v="3291.84"/>
    <s v="Completed"/>
    <s v="East"/>
    <s v="Debit Card"/>
    <m/>
    <m/>
  </r>
  <r>
    <n v="863"/>
    <n v="9983"/>
    <x v="244"/>
    <n v="3291.84"/>
    <s v="Cancelled"/>
    <s v="West"/>
    <s v="Credit Card"/>
    <m/>
    <m/>
  </r>
  <r>
    <n v="864"/>
    <n v="7922"/>
    <x v="256"/>
    <n v="3291.84"/>
    <s v="Completed"/>
    <s v="East"/>
    <s v="Apple Pay"/>
    <m/>
    <m/>
  </r>
  <r>
    <n v="865"/>
    <n v="6923"/>
    <x v="289"/>
    <n v="3291.84"/>
    <s v="Completed"/>
    <s v="North"/>
    <s v="PayPal"/>
    <m/>
    <m/>
  </r>
  <r>
    <n v="866"/>
    <n v="604"/>
    <x v="206"/>
    <n v="3291.84"/>
    <s v="Completed"/>
    <s v="East"/>
    <s v="Apple Pay"/>
    <m/>
    <m/>
  </r>
  <r>
    <n v="867"/>
    <n v="6045"/>
    <x v="164"/>
    <n v="3291.84"/>
    <s v="Completed"/>
    <s v="East"/>
    <s v="Credit Card"/>
    <m/>
    <m/>
  </r>
  <r>
    <n v="868"/>
    <n v="155"/>
    <x v="303"/>
    <n v="3291.84"/>
    <s v="Completed"/>
    <s v="Central"/>
    <s v="Credit Card"/>
    <m/>
    <m/>
  </r>
  <r>
    <n v="869"/>
    <n v="7638"/>
    <x v="63"/>
    <n v="3291.84"/>
    <s v="Completed"/>
    <s v="East"/>
    <s v="Credit Card"/>
    <m/>
    <m/>
  </r>
  <r>
    <n v="870"/>
    <n v="6054"/>
    <x v="123"/>
    <n v="3291.84"/>
    <s v="Completed"/>
    <s v="West"/>
    <s v="PayPal"/>
    <m/>
    <m/>
  </r>
  <r>
    <n v="871"/>
    <n v="7745"/>
    <x v="32"/>
    <n v="3291.84"/>
    <s v="Completed"/>
    <s v="East"/>
    <s v="Credit Card"/>
    <m/>
    <m/>
  </r>
  <r>
    <n v="872"/>
    <n v="9752"/>
    <x v="86"/>
    <n v="3291.84"/>
    <s v="Completed"/>
    <s v="East"/>
    <s v="Credit Card"/>
    <m/>
    <m/>
  </r>
  <r>
    <n v="873"/>
    <n v="7307"/>
    <x v="326"/>
    <n v="3291.84"/>
    <s v="Completed"/>
    <s v="North"/>
    <s v="Apple Pay"/>
    <m/>
    <m/>
  </r>
  <r>
    <n v="874"/>
    <n v="1249"/>
    <x v="314"/>
    <n v="3291.84"/>
    <s v="Completed"/>
    <s v="North"/>
    <s v="Apple Pay"/>
    <m/>
    <m/>
  </r>
  <r>
    <n v="875"/>
    <n v="4051"/>
    <x v="107"/>
    <n v="3291.84"/>
    <s v="Completed"/>
    <s v="South"/>
    <s v="PayPal"/>
    <m/>
    <m/>
  </r>
  <r>
    <n v="876"/>
    <n v="3808"/>
    <x v="52"/>
    <n v="3291.84"/>
    <s v="Completed"/>
    <s v="North"/>
    <s v="PayPal"/>
    <m/>
    <m/>
  </r>
  <r>
    <n v="877"/>
    <n v="3032"/>
    <x v="138"/>
    <n v="3291.84"/>
    <s v="Completed"/>
    <s v="West"/>
    <s v="Debit Card"/>
    <m/>
    <m/>
  </r>
  <r>
    <n v="878"/>
    <n v="3793"/>
    <x v="57"/>
    <n v="3291.84"/>
    <s v="Completed"/>
    <s v="West"/>
    <s v="Debit Card"/>
    <m/>
    <m/>
  </r>
  <r>
    <n v="879"/>
    <n v="1757"/>
    <x v="168"/>
    <n v="3291.84"/>
    <s v="Completed"/>
    <s v="North"/>
    <s v="PayPal"/>
    <m/>
    <m/>
  </r>
  <r>
    <n v="880"/>
    <n v="9635"/>
    <x v="19"/>
    <n v="3291.84"/>
    <s v="Completed"/>
    <s v="North"/>
    <s v="Credit Card"/>
    <m/>
    <m/>
  </r>
  <r>
    <n v="881"/>
    <n v="2522"/>
    <x v="311"/>
    <n v="3291.84"/>
    <s v="Returned"/>
    <s v="East"/>
    <s v="Apple Pay"/>
    <m/>
    <m/>
  </r>
  <r>
    <n v="882"/>
    <n v="5435"/>
    <x v="126"/>
    <n v="3291.84"/>
    <s v="Completed"/>
    <s v="East"/>
    <s v="Debit Card"/>
    <m/>
    <m/>
  </r>
  <r>
    <n v="883"/>
    <n v="4207"/>
    <x v="139"/>
    <n v="3291.84"/>
    <s v="Completed"/>
    <s v="East"/>
    <s v="Apple Pay"/>
    <m/>
    <m/>
  </r>
  <r>
    <n v="884"/>
    <n v="1498"/>
    <x v="220"/>
    <n v="3291.84"/>
    <s v="Completed"/>
    <s v="North"/>
    <s v="PayPal"/>
    <m/>
    <m/>
  </r>
  <r>
    <n v="885"/>
    <n v="4374"/>
    <x v="196"/>
    <n v="3291.84"/>
    <s v="Completed"/>
    <s v="Central"/>
    <s v="Credit Card"/>
    <m/>
    <m/>
  </r>
  <r>
    <n v="886"/>
    <n v="7164"/>
    <x v="85"/>
    <n v="3291.84"/>
    <s v="Completed"/>
    <s v="West"/>
    <s v="Debit Card"/>
    <m/>
    <m/>
  </r>
  <r>
    <n v="887"/>
    <n v="7862"/>
    <x v="89"/>
    <n v="3291.84"/>
    <s v="Completed"/>
    <s v="North"/>
    <s v="Debit Card"/>
    <m/>
    <m/>
  </r>
  <r>
    <n v="888"/>
    <n v="6460"/>
    <x v="29"/>
    <n v="3291.84"/>
    <s v="Cancelled"/>
    <s v="Central"/>
    <s v="PayPal"/>
    <m/>
    <m/>
  </r>
  <r>
    <n v="889"/>
    <n v="9310"/>
    <x v="296"/>
    <n v="3291.84"/>
    <s v="Completed"/>
    <s v="North"/>
    <s v="Debit Card"/>
    <m/>
    <m/>
  </r>
  <r>
    <n v="890"/>
    <n v="5891"/>
    <x v="75"/>
    <n v="3291.84"/>
    <s v="Completed"/>
    <s v="Central"/>
    <s v="Credit Card"/>
    <m/>
    <m/>
  </r>
  <r>
    <n v="891"/>
    <n v="8510"/>
    <x v="101"/>
    <n v="3291.84"/>
    <s v="Completed"/>
    <s v="North"/>
    <s v="Credit Card"/>
    <m/>
    <m/>
  </r>
  <r>
    <n v="892"/>
    <n v="2109"/>
    <x v="163"/>
    <n v="3291.84"/>
    <s v="Completed"/>
    <s v="East"/>
    <s v="Apple Pay"/>
    <m/>
    <m/>
  </r>
  <r>
    <n v="893"/>
    <n v="2775"/>
    <x v="146"/>
    <n v="3291.84"/>
    <s v="Completed"/>
    <s v="Central"/>
    <s v="Apple Pay"/>
    <m/>
    <m/>
  </r>
  <r>
    <n v="894"/>
    <n v="4639"/>
    <x v="307"/>
    <n v="3291.84"/>
    <s v="Completed"/>
    <s v="North"/>
    <s v="PayPal"/>
    <m/>
    <m/>
  </r>
  <r>
    <n v="895"/>
    <n v="6137"/>
    <x v="11"/>
    <n v="3291.84"/>
    <s v="Completed"/>
    <s v="South"/>
    <s v="Credit Card"/>
    <m/>
    <m/>
  </r>
  <r>
    <n v="896"/>
    <n v="645"/>
    <x v="327"/>
    <n v="3291.84"/>
    <s v="Returned"/>
    <s v="West"/>
    <s v="PayPal"/>
    <m/>
    <m/>
  </r>
  <r>
    <n v="897"/>
    <n v="4637"/>
    <x v="77"/>
    <n v="3291.84"/>
    <s v="Completed"/>
    <s v="North"/>
    <s v="Debit Card"/>
    <m/>
    <m/>
  </r>
  <r>
    <n v="898"/>
    <n v="5669"/>
    <x v="328"/>
    <n v="3291.84"/>
    <s v="Completed"/>
    <s v="West"/>
    <s v="Debit Card"/>
    <m/>
    <m/>
  </r>
  <r>
    <n v="899"/>
    <n v="5502"/>
    <x v="65"/>
    <n v="3291.84"/>
    <s v="Completed"/>
    <s v="East"/>
    <s v="Apple Pay"/>
    <m/>
    <m/>
  </r>
  <r>
    <n v="900"/>
    <n v="4086"/>
    <x v="211"/>
    <n v="3291.84"/>
    <s v="Completed"/>
    <s v="South"/>
    <s v="Debit Card"/>
    <m/>
    <m/>
  </r>
  <r>
    <n v="901"/>
    <n v="5558"/>
    <x v="112"/>
    <n v="3291.84"/>
    <s v="Completed"/>
    <s v="West"/>
    <s v="Apple Pay"/>
    <m/>
    <m/>
  </r>
  <r>
    <n v="902"/>
    <n v="8534"/>
    <x v="49"/>
    <n v="3291.84"/>
    <s v="Completed"/>
    <s v="East"/>
    <s v="Debit Card"/>
    <m/>
    <m/>
  </r>
  <r>
    <n v="903"/>
    <n v="6466"/>
    <x v="250"/>
    <n v="3291.84"/>
    <s v="Completed"/>
    <s v="South"/>
    <s v="PayPal"/>
    <m/>
    <m/>
  </r>
  <r>
    <n v="904"/>
    <n v="212"/>
    <x v="329"/>
    <n v="3291.84"/>
    <s v="Completed"/>
    <s v="West"/>
    <s v="PayPal"/>
    <m/>
    <m/>
  </r>
  <r>
    <n v="905"/>
    <n v="8287"/>
    <x v="102"/>
    <n v="3291.84"/>
    <s v="Completed"/>
    <s v="North"/>
    <s v="Credit Card"/>
    <m/>
    <m/>
  </r>
  <r>
    <n v="906"/>
    <n v="869"/>
    <x v="57"/>
    <n v="3291.84"/>
    <s v="Completed"/>
    <s v="East"/>
    <s v="PayPal"/>
    <m/>
    <m/>
  </r>
  <r>
    <n v="907"/>
    <n v="2484"/>
    <x v="45"/>
    <n v="3291.84"/>
    <s v="Completed"/>
    <s v="West"/>
    <s v="Debit Card"/>
    <m/>
    <m/>
  </r>
  <r>
    <n v="908"/>
    <n v="4797"/>
    <x v="107"/>
    <n v="3291.84"/>
    <s v="Completed"/>
    <s v="West"/>
    <s v="Apple Pay"/>
    <m/>
    <m/>
  </r>
  <r>
    <n v="909"/>
    <n v="1018"/>
    <x v="294"/>
    <n v="3291.84"/>
    <s v="Completed"/>
    <s v="North"/>
    <s v="Debit Card"/>
    <m/>
    <m/>
  </r>
  <r>
    <n v="910"/>
    <n v="1642"/>
    <x v="160"/>
    <n v="3291.84"/>
    <s v="Completed"/>
    <s v="North"/>
    <s v="Apple Pay"/>
    <m/>
    <m/>
  </r>
  <r>
    <n v="911"/>
    <n v="5585"/>
    <x v="60"/>
    <n v="3291.84"/>
    <s v="Completed"/>
    <s v="West"/>
    <s v="Credit Card"/>
    <m/>
    <m/>
  </r>
  <r>
    <n v="912"/>
    <n v="3316"/>
    <x v="146"/>
    <n v="3291.84"/>
    <s v="Completed"/>
    <s v="East"/>
    <s v="Apple Pay"/>
    <m/>
    <m/>
  </r>
  <r>
    <n v="913"/>
    <n v="6567"/>
    <x v="31"/>
    <n v="3291.84"/>
    <s v="Completed"/>
    <s v="Central"/>
    <s v="Debit Card"/>
    <m/>
    <m/>
  </r>
  <r>
    <n v="914"/>
    <n v="2663"/>
    <x v="0"/>
    <n v="3291.84"/>
    <s v="Completed"/>
    <s v="East"/>
    <s v="Debit Card"/>
    <m/>
    <m/>
  </r>
  <r>
    <n v="915"/>
    <n v="9075"/>
    <x v="302"/>
    <n v="3291.84"/>
    <s v="Completed"/>
    <s v="South"/>
    <s v="Credit Card"/>
    <m/>
    <m/>
  </r>
  <r>
    <n v="916"/>
    <n v="6895"/>
    <x v="318"/>
    <n v="3291.84"/>
    <s v="Completed"/>
    <s v="North"/>
    <s v="Debit Card"/>
    <m/>
    <m/>
  </r>
  <r>
    <n v="917"/>
    <n v="4677"/>
    <x v="330"/>
    <n v="3291.84"/>
    <s v="Completed"/>
    <s v="East"/>
    <s v="PayPal"/>
    <m/>
    <m/>
  </r>
  <r>
    <n v="918"/>
    <n v="2815"/>
    <x v="24"/>
    <n v="3291.84"/>
    <s v="Completed"/>
    <s v="North"/>
    <s v="Apple Pay"/>
    <m/>
    <m/>
  </r>
  <r>
    <n v="919"/>
    <n v="8801"/>
    <x v="200"/>
    <n v="3291.84"/>
    <s v="Completed"/>
    <s v="West"/>
    <s v="PayPal"/>
    <m/>
    <m/>
  </r>
  <r>
    <n v="920"/>
    <n v="9683"/>
    <x v="272"/>
    <n v="3291.84"/>
    <s v="Completed"/>
    <s v="East"/>
    <s v="Apple Pay"/>
    <m/>
    <m/>
  </r>
  <r>
    <n v="921"/>
    <n v="5559"/>
    <x v="85"/>
    <n v="3291.84"/>
    <s v="Completed"/>
    <s v="West"/>
    <s v="Apple Pay"/>
    <m/>
    <m/>
  </r>
  <r>
    <n v="922"/>
    <n v="8895"/>
    <x v="216"/>
    <n v="3291.84"/>
    <s v="Completed"/>
    <s v="East"/>
    <s v="Credit Card"/>
    <m/>
    <m/>
  </r>
  <r>
    <n v="923"/>
    <n v="2716"/>
    <x v="171"/>
    <n v="3291.84"/>
    <s v="Completed"/>
    <s v="Central"/>
    <s v="PayPal"/>
    <m/>
    <m/>
  </r>
  <r>
    <n v="924"/>
    <n v="1690"/>
    <x v="272"/>
    <n v="3291.84"/>
    <s v="Completed"/>
    <s v="Central"/>
    <s v="Apple Pay"/>
    <m/>
    <m/>
  </r>
  <r>
    <n v="925"/>
    <n v="6182"/>
    <x v="17"/>
    <n v="3291.84"/>
    <s v="Completed"/>
    <s v="Central"/>
    <s v="Debit Card"/>
    <m/>
    <m/>
  </r>
  <r>
    <n v="926"/>
    <n v="9755"/>
    <x v="162"/>
    <n v="3291.84"/>
    <s v="Completed"/>
    <s v="East"/>
    <s v="PayPal"/>
    <m/>
    <m/>
  </r>
  <r>
    <n v="927"/>
    <n v="2971"/>
    <x v="128"/>
    <n v="3291.84"/>
    <s v="Completed"/>
    <s v="North"/>
    <s v="Debit Card"/>
    <m/>
    <m/>
  </r>
  <r>
    <n v="928"/>
    <n v="8287"/>
    <x v="331"/>
    <n v="3291.84"/>
    <s v="Completed"/>
    <s v="North"/>
    <s v="Credit Card"/>
    <m/>
    <m/>
  </r>
  <r>
    <n v="929"/>
    <n v="685"/>
    <x v="176"/>
    <n v="3291.84"/>
    <s v="Completed"/>
    <s v="South"/>
    <s v="Credit Card"/>
    <m/>
    <m/>
  </r>
  <r>
    <n v="930"/>
    <n v="1372"/>
    <x v="159"/>
    <n v="3291.84"/>
    <s v="Completed"/>
    <s v="Central"/>
    <s v="Apple Pay"/>
    <m/>
    <m/>
  </r>
  <r>
    <n v="931"/>
    <n v="3915"/>
    <x v="259"/>
    <n v="3291.84"/>
    <s v="Completed"/>
    <s v="South"/>
    <s v="Debit Card"/>
    <m/>
    <m/>
  </r>
  <r>
    <n v="932"/>
    <n v="4085"/>
    <x v="29"/>
    <n v="3291.84"/>
    <s v="Completed"/>
    <s v="South"/>
    <s v="PayPal"/>
    <m/>
    <m/>
  </r>
  <r>
    <n v="933"/>
    <n v="4626"/>
    <x v="18"/>
    <n v="3291.84"/>
    <s v="Completed"/>
    <s v="Central"/>
    <s v="Debit Card"/>
    <m/>
    <m/>
  </r>
  <r>
    <n v="934"/>
    <n v="1718"/>
    <x v="179"/>
    <n v="3291.84"/>
    <s v="Completed"/>
    <s v="South"/>
    <s v="PayPal"/>
    <m/>
    <m/>
  </r>
  <r>
    <n v="935"/>
    <n v="8907"/>
    <x v="287"/>
    <n v="3291.84"/>
    <s v="Completed"/>
    <s v="East"/>
    <s v="Credit Card"/>
    <m/>
    <m/>
  </r>
  <r>
    <n v="936"/>
    <n v="3514"/>
    <x v="189"/>
    <n v="3291.84"/>
    <s v="Completed"/>
    <s v="South"/>
    <s v="Debit Card"/>
    <m/>
    <m/>
  </r>
  <r>
    <n v="937"/>
    <n v="690"/>
    <x v="221"/>
    <n v="3291.84"/>
    <s v="Completed"/>
    <s v="West"/>
    <s v="PayPal"/>
    <m/>
    <m/>
  </r>
  <r>
    <n v="938"/>
    <n v="6692"/>
    <x v="332"/>
    <n v="3291.84"/>
    <s v="Completed"/>
    <s v="West"/>
    <s v="Debit Card"/>
    <m/>
    <m/>
  </r>
  <r>
    <n v="939"/>
    <n v="4511"/>
    <x v="198"/>
    <n v="3291.84"/>
    <s v="Completed"/>
    <s v="Central"/>
    <s v="Credit Card"/>
    <m/>
    <m/>
  </r>
  <r>
    <n v="940"/>
    <n v="5332"/>
    <x v="132"/>
    <n v="3291.84"/>
    <s v="Completed"/>
    <s v="West"/>
    <s v="Debit Card"/>
    <m/>
    <m/>
  </r>
  <r>
    <n v="941"/>
    <n v="6400"/>
    <x v="333"/>
    <n v="3291.84"/>
    <s v="Completed"/>
    <s v="South"/>
    <s v="Apple Pay"/>
    <m/>
    <m/>
  </r>
  <r>
    <n v="942"/>
    <n v="373"/>
    <x v="138"/>
    <n v="3291.84"/>
    <s v="Completed"/>
    <s v="North"/>
    <s v="Apple Pay"/>
    <m/>
    <m/>
  </r>
  <r>
    <n v="943"/>
    <n v="169"/>
    <x v="242"/>
    <n v="3291.84"/>
    <s v="Completed"/>
    <s v="West"/>
    <s v="Credit Card"/>
    <m/>
    <m/>
  </r>
  <r>
    <n v="944"/>
    <n v="5257"/>
    <x v="48"/>
    <n v="3291.84"/>
    <s v="Completed"/>
    <s v="East"/>
    <s v="Credit Card"/>
    <m/>
    <m/>
  </r>
  <r>
    <n v="945"/>
    <n v="1374"/>
    <x v="35"/>
    <n v="3291.84"/>
    <s v="Completed"/>
    <s v="West"/>
    <s v="Apple Pay"/>
    <m/>
    <m/>
  </r>
  <r>
    <n v="946"/>
    <n v="1176"/>
    <x v="36"/>
    <n v="3291.84"/>
    <s v="Completed"/>
    <s v="Central"/>
    <s v="PayPal"/>
    <m/>
    <m/>
  </r>
  <r>
    <n v="947"/>
    <n v="9370"/>
    <x v="88"/>
    <n v="3291.84"/>
    <s v="Completed"/>
    <s v="Central"/>
    <s v="PayPal"/>
    <m/>
    <m/>
  </r>
  <r>
    <n v="948"/>
    <n v="8053"/>
    <x v="6"/>
    <n v="3291.84"/>
    <s v="Completed"/>
    <s v="others"/>
    <s v="Apple Pay"/>
    <m/>
    <m/>
  </r>
  <r>
    <n v="949"/>
    <n v="6634"/>
    <x v="145"/>
    <n v="3291.84"/>
    <s v="Completed"/>
    <s v="West"/>
    <s v="Debit Card"/>
    <m/>
    <m/>
  </r>
  <r>
    <n v="950"/>
    <n v="6110"/>
    <x v="74"/>
    <n v="3291.84"/>
    <s v="Completed"/>
    <s v="West"/>
    <s v="Apple Pay"/>
    <m/>
    <m/>
  </r>
  <r>
    <n v="951"/>
    <n v="2276"/>
    <x v="312"/>
    <n v="3291.84"/>
    <s v="Completed"/>
    <s v="South"/>
    <s v="PayPal"/>
    <m/>
    <m/>
  </r>
  <r>
    <n v="952"/>
    <n v="71"/>
    <x v="334"/>
    <n v="3291.84"/>
    <s v="Completed"/>
    <s v="North"/>
    <s v="Apple Pay"/>
    <m/>
    <m/>
  </r>
  <r>
    <n v="953"/>
    <n v="3072"/>
    <x v="309"/>
    <n v="3291.84"/>
    <s v="Completed"/>
    <s v="others"/>
    <s v="Debit Card"/>
    <m/>
    <m/>
  </r>
  <r>
    <n v="954"/>
    <n v="6265"/>
    <x v="335"/>
    <n v="3291.84"/>
    <s v="Completed"/>
    <s v="South"/>
    <s v="PayPal"/>
    <m/>
    <m/>
  </r>
  <r>
    <n v="955"/>
    <n v="6512"/>
    <x v="163"/>
    <n v="3291.84"/>
    <s v="Completed"/>
    <s v="North"/>
    <s v="Debit Card"/>
    <m/>
    <m/>
  </r>
  <r>
    <n v="956"/>
    <n v="2504"/>
    <x v="206"/>
    <n v="3291.84"/>
    <s v="Completed"/>
    <s v="South"/>
    <s v="Apple Pay"/>
    <m/>
    <m/>
  </r>
  <r>
    <n v="957"/>
    <n v="4452"/>
    <x v="36"/>
    <n v="3291.84"/>
    <s v="Completed"/>
    <s v="West"/>
    <s v="PayPal"/>
    <m/>
    <m/>
  </r>
  <r>
    <n v="958"/>
    <n v="6099"/>
    <x v="262"/>
    <n v="3291.84"/>
    <s v="Completed"/>
    <s v="West"/>
    <s v="Apple Pay"/>
    <m/>
    <m/>
  </r>
  <r>
    <n v="959"/>
    <n v="5703"/>
    <x v="192"/>
    <n v="3291.84"/>
    <s v="Completed"/>
    <s v="North"/>
    <s v="Debit Card"/>
    <m/>
    <m/>
  </r>
  <r>
    <n v="960"/>
    <n v="7445"/>
    <x v="139"/>
    <n v="3291.84"/>
    <s v="Completed"/>
    <s v="East"/>
    <s v="Debit Card"/>
    <m/>
    <m/>
  </r>
  <r>
    <n v="961"/>
    <n v="3444"/>
    <x v="194"/>
    <n v="3291.84"/>
    <s v="Completed"/>
    <s v="North"/>
    <s v="Debit Card"/>
    <m/>
    <m/>
  </r>
  <r>
    <n v="962"/>
    <n v="2724"/>
    <x v="255"/>
    <n v="3291.84"/>
    <s v="Completed"/>
    <s v="East"/>
    <s v="PayPal"/>
    <m/>
    <m/>
  </r>
  <r>
    <n v="963"/>
    <n v="9636"/>
    <x v="269"/>
    <n v="3291.84"/>
    <s v="Completed"/>
    <s v="Central"/>
    <s v="Debit Card"/>
    <m/>
    <m/>
  </r>
  <r>
    <n v="964"/>
    <n v="3132"/>
    <x v="224"/>
    <n v="3291.84"/>
    <s v="Completed"/>
    <s v="Central"/>
    <s v="Apple Pay"/>
    <m/>
    <m/>
  </r>
  <r>
    <n v="965"/>
    <n v="2862"/>
    <x v="228"/>
    <n v="3291.84"/>
    <s v="Completed"/>
    <s v="North"/>
    <s v="Credit Card"/>
    <m/>
    <m/>
  </r>
  <r>
    <n v="966"/>
    <n v="1056"/>
    <x v="224"/>
    <n v="3291.84"/>
    <s v="Completed"/>
    <s v="West"/>
    <s v="Apple Pay"/>
    <m/>
    <m/>
  </r>
  <r>
    <n v="967"/>
    <n v="8808"/>
    <x v="315"/>
    <n v="3291.84"/>
    <s v="Completed"/>
    <s v="West"/>
    <s v="Apple Pay"/>
    <m/>
    <m/>
  </r>
  <r>
    <n v="968"/>
    <n v="9385"/>
    <x v="196"/>
    <n v="3291.84"/>
    <s v="Completed"/>
    <s v="Central"/>
    <s v="Apple Pay"/>
    <m/>
    <m/>
  </r>
  <r>
    <n v="969"/>
    <n v="9644"/>
    <x v="232"/>
    <n v="3291.84"/>
    <s v="Completed"/>
    <s v="Central"/>
    <s v="Apple Pay"/>
    <m/>
    <m/>
  </r>
  <r>
    <n v="970"/>
    <n v="4991"/>
    <x v="197"/>
    <n v="3291.84"/>
    <s v="Completed"/>
    <s v="North"/>
    <s v="PayPal"/>
    <m/>
    <m/>
  </r>
  <r>
    <n v="971"/>
    <n v="187"/>
    <x v="135"/>
    <n v="3291.84"/>
    <s v="Cancelled"/>
    <s v="South"/>
    <s v="Debit Card"/>
    <m/>
    <m/>
  </r>
  <r>
    <n v="972"/>
    <n v="9666"/>
    <x v="31"/>
    <n v="3291.84"/>
    <s v="Completed"/>
    <s v="South"/>
    <s v="Debit Card"/>
    <m/>
    <m/>
  </r>
  <r>
    <n v="973"/>
    <n v="6576"/>
    <x v="336"/>
    <n v="3291.84"/>
    <s v="Completed"/>
    <s v="East"/>
    <s v="Credit Card"/>
    <m/>
    <m/>
  </r>
  <r>
    <n v="974"/>
    <n v="6027"/>
    <x v="337"/>
    <n v="3291.84"/>
    <s v="Completed"/>
    <s v="North"/>
    <s v="PayPal"/>
    <m/>
    <m/>
  </r>
  <r>
    <n v="975"/>
    <n v="6588"/>
    <x v="28"/>
    <n v="3291.84"/>
    <s v="Completed"/>
    <s v="South"/>
    <s v="Credit Card"/>
    <m/>
    <m/>
  </r>
  <r>
    <n v="976"/>
    <n v="1985"/>
    <x v="279"/>
    <n v="3291.84"/>
    <s v="Completed"/>
    <s v="West"/>
    <s v="PayPal"/>
    <m/>
    <m/>
  </r>
  <r>
    <n v="977"/>
    <n v="9968"/>
    <x v="102"/>
    <n v="3291.84"/>
    <s v="Completed"/>
    <s v="West"/>
    <s v="Apple Pay"/>
    <m/>
    <m/>
  </r>
  <r>
    <n v="978"/>
    <n v="4555"/>
    <x v="187"/>
    <n v="3291.84"/>
    <s v="Completed"/>
    <s v="West"/>
    <s v="Debit Card"/>
    <m/>
    <m/>
  </r>
  <r>
    <n v="979"/>
    <n v="1777"/>
    <x v="60"/>
    <n v="3291.84"/>
    <s v="Completed"/>
    <s v="Central"/>
    <s v="Apple Pay"/>
    <m/>
    <m/>
  </r>
  <r>
    <n v="980"/>
    <n v="9235"/>
    <x v="281"/>
    <n v="3291.84"/>
    <s v="Completed"/>
    <s v="East"/>
    <s v="Debit Card"/>
    <m/>
    <m/>
  </r>
  <r>
    <n v="981"/>
    <n v="4427"/>
    <x v="277"/>
    <n v="3291.84"/>
    <s v="Cancelled"/>
    <s v="East"/>
    <s v="PayPal"/>
    <m/>
    <m/>
  </r>
  <r>
    <n v="982"/>
    <n v="1242"/>
    <x v="270"/>
    <n v="3291.84"/>
    <s v="Completed"/>
    <s v="West"/>
    <s v="Credit Card"/>
    <m/>
    <m/>
  </r>
  <r>
    <n v="983"/>
    <n v="5506"/>
    <x v="67"/>
    <n v="3291.84"/>
    <s v="Completed"/>
    <s v="East"/>
    <s v="Apple Pay"/>
    <m/>
    <m/>
  </r>
  <r>
    <n v="984"/>
    <n v="5635"/>
    <x v="272"/>
    <n v="3291.84"/>
    <s v="Completed"/>
    <s v="West"/>
    <s v="Credit Card"/>
    <m/>
    <m/>
  </r>
  <r>
    <n v="985"/>
    <n v="7468"/>
    <x v="98"/>
    <n v="3291.84"/>
    <s v="Completed"/>
    <s v="West"/>
    <s v="Apple Pay"/>
    <m/>
    <m/>
  </r>
  <r>
    <n v="986"/>
    <n v="1352"/>
    <x v="89"/>
    <n v="3291.84"/>
    <s v="Completed"/>
    <s v="South"/>
    <s v="Credit Card"/>
    <m/>
    <m/>
  </r>
  <r>
    <n v="987"/>
    <n v="8932"/>
    <x v="134"/>
    <n v="3291.84"/>
    <s v="Returned"/>
    <s v="South"/>
    <s v="Credit Card"/>
    <m/>
    <m/>
  </r>
  <r>
    <n v="988"/>
    <n v="9519"/>
    <x v="248"/>
    <n v="3291.84"/>
    <s v="Completed"/>
    <s v="North"/>
    <s v="PayPal"/>
    <m/>
    <m/>
  </r>
  <r>
    <n v="989"/>
    <n v="5174"/>
    <x v="156"/>
    <n v="3291.84"/>
    <s v="Cancelled"/>
    <s v="East"/>
    <s v="Apple Pay"/>
    <m/>
    <m/>
  </r>
  <r>
    <n v="990"/>
    <n v="9620"/>
    <x v="18"/>
    <n v="3291.84"/>
    <s v="Completed"/>
    <s v="East"/>
    <s v="Debit Card"/>
    <m/>
    <m/>
  </r>
  <r>
    <n v="991"/>
    <n v="6404"/>
    <x v="338"/>
    <n v="3291.84"/>
    <s v="Completed"/>
    <s v="East"/>
    <s v="PayPal"/>
    <m/>
    <m/>
  </r>
  <r>
    <n v="992"/>
    <n v="800"/>
    <x v="136"/>
    <n v="3291.84"/>
    <s v="Completed"/>
    <s v="Central"/>
    <s v="PayPal"/>
    <m/>
    <m/>
  </r>
  <r>
    <n v="993"/>
    <n v="8075"/>
    <x v="339"/>
    <n v="3291.84"/>
    <s v="Completed"/>
    <s v="East"/>
    <s v="Credit Card"/>
    <m/>
    <m/>
  </r>
  <r>
    <n v="994"/>
    <n v="4021"/>
    <x v="340"/>
    <n v="3291.84"/>
    <s v="Completed"/>
    <s v="West"/>
    <s v="PayPal"/>
    <m/>
    <m/>
  </r>
  <r>
    <n v="995"/>
    <n v="3406"/>
    <x v="341"/>
    <n v="3291.84"/>
    <s v="Completed"/>
    <s v="Central"/>
    <s v="Debit Card"/>
    <m/>
    <m/>
  </r>
  <r>
    <n v="996"/>
    <n v="1435"/>
    <x v="277"/>
    <n v="3291.84"/>
    <s v="Completed"/>
    <s v="East"/>
    <s v="PayPal"/>
    <m/>
    <m/>
  </r>
  <r>
    <n v="997"/>
    <n v="4940"/>
    <x v="26"/>
    <n v="3291.84"/>
    <s v="Completed"/>
    <s v="Central"/>
    <s v="Credit Card"/>
    <m/>
    <m/>
  </r>
  <r>
    <n v="998"/>
    <n v="9147"/>
    <x v="79"/>
    <n v="3291.84"/>
    <s v="Completed"/>
    <s v="North"/>
    <s v="Apple Pay"/>
    <m/>
    <m/>
  </r>
  <r>
    <n v="999"/>
    <n v="8251"/>
    <x v="9"/>
    <n v="3291.84"/>
    <s v="Completed"/>
    <s v="East"/>
    <s v="PayPal"/>
    <m/>
    <m/>
  </r>
  <r>
    <n v="1000"/>
    <n v="2565"/>
    <x v="185"/>
    <n v="3291.84"/>
    <s v="Completed"/>
    <s v="West"/>
    <s v="PayPal"/>
    <m/>
    <m/>
  </r>
  <r>
    <n v="1001"/>
    <n v="1195"/>
    <x v="122"/>
    <n v="3291.84"/>
    <s v="Completed"/>
    <s v="North"/>
    <s v="Debit Card"/>
    <m/>
    <m/>
  </r>
  <r>
    <n v="1002"/>
    <n v="6910"/>
    <x v="161"/>
    <n v="3291.84"/>
    <s v="Completed"/>
    <s v="South"/>
    <s v="Debit Card"/>
    <m/>
    <m/>
  </r>
  <r>
    <n v="1003"/>
    <n v="8116"/>
    <x v="17"/>
    <n v="3291.84"/>
    <s v="Completed"/>
    <s v="West"/>
    <s v="Debit Card"/>
    <m/>
    <m/>
  </r>
  <r>
    <n v="1004"/>
    <n v="8395"/>
    <x v="40"/>
    <n v="3291.84"/>
    <s v="Completed"/>
    <s v="Central"/>
    <s v="Apple Pay"/>
    <m/>
    <m/>
  </r>
  <r>
    <n v="1005"/>
    <n v="7086"/>
    <x v="167"/>
    <n v="3291.84"/>
    <s v="Completed"/>
    <s v="North"/>
    <s v="PayPal"/>
    <m/>
    <m/>
  </r>
  <r>
    <n v="1006"/>
    <n v="7493"/>
    <x v="161"/>
    <n v="3291.84"/>
    <s v="Completed"/>
    <s v="East"/>
    <s v="Debit Card"/>
    <m/>
    <m/>
  </r>
  <r>
    <n v="1007"/>
    <n v="6313"/>
    <x v="237"/>
    <n v="3291.84"/>
    <s v="Completed"/>
    <s v="Central"/>
    <s v="Credit Card"/>
    <m/>
    <m/>
  </r>
  <r>
    <n v="1008"/>
    <n v="213"/>
    <x v="174"/>
    <n v="3291.84"/>
    <s v="Completed"/>
    <s v="South"/>
    <s v="Credit Card"/>
    <m/>
    <m/>
  </r>
  <r>
    <n v="1009"/>
    <n v="8884"/>
    <x v="315"/>
    <n v="3291.84"/>
    <s v="Completed"/>
    <s v="West"/>
    <s v="Apple Pay"/>
    <m/>
    <m/>
  </r>
  <r>
    <n v="1010"/>
    <n v="4028"/>
    <x v="290"/>
    <n v="3291.84"/>
    <s v="Completed"/>
    <s v="North"/>
    <s v="Credit Card"/>
    <m/>
    <m/>
  </r>
  <r>
    <n v="1011"/>
    <n v="6682"/>
    <x v="213"/>
    <n v="3291.84"/>
    <s v="Completed"/>
    <s v="Central"/>
    <s v="Apple Pay"/>
    <m/>
    <m/>
  </r>
  <r>
    <n v="1012"/>
    <n v="9077"/>
    <x v="268"/>
    <n v="3291.84"/>
    <s v="Completed"/>
    <s v="West"/>
    <s v="Credit Card"/>
    <m/>
    <m/>
  </r>
  <r>
    <n v="1013"/>
    <n v="90"/>
    <x v="152"/>
    <n v="3291.84"/>
    <s v="Completed"/>
    <s v="East"/>
    <s v="Credit Card"/>
    <m/>
    <m/>
  </r>
  <r>
    <n v="1014"/>
    <n v="690"/>
    <x v="276"/>
    <n v="3291.84"/>
    <s v="Completed"/>
    <s v="West"/>
    <s v="PayPal"/>
    <m/>
    <m/>
  </r>
  <r>
    <n v="1015"/>
    <n v="1945"/>
    <x v="218"/>
    <n v="3291.84"/>
    <s v="Completed"/>
    <s v="West"/>
    <s v="Credit Card"/>
    <m/>
    <m/>
  </r>
  <r>
    <n v="1016"/>
    <n v="9300"/>
    <x v="302"/>
    <n v="3291.84"/>
    <s v="Completed"/>
    <s v="East"/>
    <s v="Credit Card"/>
    <m/>
    <m/>
  </r>
  <r>
    <n v="1017"/>
    <n v="3917"/>
    <x v="26"/>
    <n v="3291.84"/>
    <s v="Completed"/>
    <s v="West"/>
    <s v="Debit Card"/>
    <m/>
    <m/>
  </r>
  <r>
    <n v="1018"/>
    <n v="8766"/>
    <x v="37"/>
    <n v="3291.84"/>
    <s v="Completed"/>
    <s v="Central"/>
    <s v="Debit Card"/>
    <m/>
    <m/>
  </r>
  <r>
    <n v="1019"/>
    <n v="6228"/>
    <x v="240"/>
    <n v="3291.84"/>
    <s v="Completed"/>
    <s v="Central"/>
    <s v="Apple Pay"/>
    <m/>
    <m/>
  </r>
  <r>
    <n v="1020"/>
    <n v="2518"/>
    <x v="73"/>
    <n v="3291.84"/>
    <s v="Completed"/>
    <s v="South"/>
    <s v="Apple Pay"/>
    <m/>
    <m/>
  </r>
  <r>
    <n v="1021"/>
    <n v="9372"/>
    <x v="342"/>
    <n v="3291.84"/>
    <s v="Completed"/>
    <s v="North"/>
    <s v="PayPal"/>
    <m/>
    <m/>
  </r>
  <r>
    <n v="1022"/>
    <n v="4764"/>
    <x v="236"/>
    <n v="3291.84"/>
    <s v="Completed"/>
    <s v="Central"/>
    <s v="Apple Pay"/>
    <m/>
    <m/>
  </r>
  <r>
    <n v="1023"/>
    <n v="1328"/>
    <x v="343"/>
    <n v="3291.84"/>
    <s v="Completed"/>
    <s v="East"/>
    <s v="Apple Pay"/>
    <m/>
    <m/>
  </r>
  <r>
    <n v="1024"/>
    <n v="7472"/>
    <x v="127"/>
    <n v="3291.84"/>
    <s v="Completed"/>
    <s v="West"/>
    <s v="Apple Pay"/>
    <m/>
    <m/>
  </r>
  <r>
    <n v="1025"/>
    <n v="690"/>
    <x v="34"/>
    <n v="3291.84"/>
    <s v="Completed"/>
    <s v="West"/>
    <s v="Debit Card"/>
    <m/>
    <m/>
  </r>
  <r>
    <n v="1026"/>
    <n v="3183"/>
    <x v="90"/>
    <n v="3291.84"/>
    <s v="Completed"/>
    <s v="South"/>
    <s v="Debit Card"/>
    <m/>
    <m/>
  </r>
  <r>
    <n v="1027"/>
    <n v="5521"/>
    <x v="155"/>
    <n v="3291.84"/>
    <s v="Completed"/>
    <s v="South"/>
    <s v="Debit Card"/>
    <m/>
    <m/>
  </r>
  <r>
    <n v="1028"/>
    <n v="2150"/>
    <x v="300"/>
    <n v="3291.84"/>
    <s v="Completed"/>
    <s v="South"/>
    <s v="Credit Card"/>
    <m/>
    <m/>
  </r>
  <r>
    <n v="1029"/>
    <n v="8239"/>
    <x v="85"/>
    <n v="3291.84"/>
    <s v="Completed"/>
    <s v="South"/>
    <s v="Apple Pay"/>
    <m/>
    <m/>
  </r>
  <r>
    <n v="1030"/>
    <n v="443"/>
    <x v="85"/>
    <n v="3291.84"/>
    <s v="Completed"/>
    <s v="North"/>
    <s v="Apple Pay"/>
    <m/>
    <m/>
  </r>
  <r>
    <n v="1031"/>
    <n v="9281"/>
    <x v="301"/>
    <n v="3291.84"/>
    <s v="Completed"/>
    <s v="others"/>
    <s v="Credit Card"/>
    <m/>
    <m/>
  </r>
  <r>
    <n v="1032"/>
    <n v="8745"/>
    <x v="226"/>
    <n v="3291.84"/>
    <s v="Completed"/>
    <s v="Central"/>
    <s v="Credit Card"/>
    <m/>
    <m/>
  </r>
  <r>
    <n v="1033"/>
    <n v="7970"/>
    <x v="324"/>
    <n v="3291.84"/>
    <s v="Completed"/>
    <s v="South"/>
    <s v="PayPal"/>
    <m/>
    <m/>
  </r>
  <r>
    <n v="1034"/>
    <n v="5273"/>
    <x v="101"/>
    <n v="3291.84"/>
    <s v="Completed"/>
    <s v="North"/>
    <s v="Credit Card"/>
    <m/>
    <m/>
  </r>
  <r>
    <n v="1035"/>
    <n v="2928"/>
    <x v="29"/>
    <n v="3291.84"/>
    <s v="Completed"/>
    <s v="South"/>
    <s v="Apple Pay"/>
    <m/>
    <m/>
  </r>
  <r>
    <n v="1036"/>
    <n v="347"/>
    <x v="322"/>
    <n v="3291.84"/>
    <s v="Completed"/>
    <s v="West"/>
    <s v="Credit Card"/>
    <m/>
    <m/>
  </r>
  <r>
    <n v="1037"/>
    <n v="5958"/>
    <x v="161"/>
    <n v="3291.84"/>
    <s v="Completed"/>
    <s v="South"/>
    <s v="Debit Card"/>
    <m/>
    <m/>
  </r>
  <r>
    <n v="1038"/>
    <n v="5825"/>
    <x v="292"/>
    <n v="3291.84"/>
    <s v="Completed"/>
    <s v="North"/>
    <s v="Apple Pay"/>
    <m/>
    <m/>
  </r>
  <r>
    <n v="1039"/>
    <n v="3078"/>
    <x v="296"/>
    <n v="3291.84"/>
    <s v="Completed"/>
    <s v="South"/>
    <s v="Apple Pay"/>
    <m/>
    <m/>
  </r>
  <r>
    <n v="1040"/>
    <n v="5961"/>
    <x v="290"/>
    <n v="3291.84"/>
    <s v="Completed"/>
    <s v="East"/>
    <s v="PayPal"/>
    <m/>
    <m/>
  </r>
  <r>
    <n v="1041"/>
    <n v="8521"/>
    <x v="3"/>
    <n v="3291.84"/>
    <s v="Completed"/>
    <s v="West"/>
    <s v="Debit Card"/>
    <m/>
    <m/>
  </r>
  <r>
    <n v="1042"/>
    <n v="2679"/>
    <x v="198"/>
    <n v="3291.84"/>
    <s v="Completed"/>
    <s v="Central"/>
    <s v="Apple Pay"/>
    <m/>
    <m/>
  </r>
  <r>
    <n v="1043"/>
    <n v="157"/>
    <x v="153"/>
    <n v="3291.84"/>
    <s v="Completed"/>
    <s v="South"/>
    <s v="PayPal"/>
    <m/>
    <m/>
  </r>
  <r>
    <n v="1044"/>
    <n v="7102"/>
    <x v="138"/>
    <n v="3291.84"/>
    <s v="Completed"/>
    <s v="West"/>
    <s v="Credit Card"/>
    <m/>
    <m/>
  </r>
  <r>
    <n v="1045"/>
    <n v="9819"/>
    <x v="82"/>
    <n v="3291.84"/>
    <s v="Completed"/>
    <s v="Central"/>
    <s v="Credit Card"/>
    <m/>
    <m/>
  </r>
  <r>
    <n v="1046"/>
    <n v="8709"/>
    <x v="329"/>
    <n v="3291.84"/>
    <s v="Completed"/>
    <s v="North"/>
    <s v="Debit Card"/>
    <m/>
    <m/>
  </r>
  <r>
    <n v="1047"/>
    <n v="5825"/>
    <x v="344"/>
    <n v="3291.84"/>
    <s v="Cancelled"/>
    <s v="North"/>
    <s v="Credit Card"/>
    <m/>
    <m/>
  </r>
  <r>
    <n v="1048"/>
    <n v="5846"/>
    <x v="53"/>
    <n v="3291.84"/>
    <s v="Completed"/>
    <s v="East"/>
    <s v="PayPal"/>
    <m/>
    <m/>
  </r>
  <r>
    <n v="1049"/>
    <n v="1313"/>
    <x v="236"/>
    <n v="3291.84"/>
    <s v="Completed"/>
    <s v="East"/>
    <s v="Debit Card"/>
    <m/>
    <m/>
  </r>
  <r>
    <n v="1050"/>
    <n v="9132"/>
    <x v="167"/>
    <n v="3291.84"/>
    <s v="Completed"/>
    <s v="South"/>
    <s v="Debit Card"/>
    <m/>
    <m/>
  </r>
  <r>
    <n v="1051"/>
    <n v="1489"/>
    <x v="147"/>
    <n v="3291.84"/>
    <s v="Completed"/>
    <s v="Central"/>
    <s v="Apple Pay"/>
    <m/>
    <m/>
  </r>
  <r>
    <n v="1052"/>
    <n v="1078"/>
    <x v="8"/>
    <n v="3291.84"/>
    <s v="Completed"/>
    <s v="East"/>
    <s v="Debit Card"/>
    <m/>
    <m/>
  </r>
  <r>
    <n v="1053"/>
    <n v="3"/>
    <x v="58"/>
    <n v="3291.84"/>
    <s v="Completed"/>
    <s v="East"/>
    <s v="Apple Pay"/>
    <m/>
    <m/>
  </r>
  <r>
    <n v="1054"/>
    <n v="5684"/>
    <x v="138"/>
    <n v="3291.84"/>
    <s v="Completed"/>
    <s v="North"/>
    <s v="Apple Pay"/>
    <m/>
    <m/>
  </r>
  <r>
    <n v="1055"/>
    <n v="8331"/>
    <x v="199"/>
    <n v="3291.84"/>
    <s v="Completed"/>
    <s v="South"/>
    <s v="Debit Card"/>
    <m/>
    <m/>
  </r>
  <r>
    <n v="1056"/>
    <n v="398"/>
    <x v="36"/>
    <n v="3291.84"/>
    <s v="Completed"/>
    <s v="Central"/>
    <s v="PayPal"/>
    <m/>
    <m/>
  </r>
  <r>
    <n v="1057"/>
    <n v="8483"/>
    <x v="321"/>
    <n v="3291.84"/>
    <s v="Completed"/>
    <s v="South"/>
    <s v="Credit Card"/>
    <m/>
    <m/>
  </r>
  <r>
    <n v="1058"/>
    <n v="5633"/>
    <x v="162"/>
    <n v="3291.84"/>
    <s v="Completed"/>
    <s v="West"/>
    <s v="Credit Card"/>
    <m/>
    <m/>
  </r>
  <r>
    <n v="1059"/>
    <n v="127"/>
    <x v="207"/>
    <n v="3291.84"/>
    <s v="Completed"/>
    <s v="North"/>
    <s v="Credit Card"/>
    <m/>
    <m/>
  </r>
  <r>
    <n v="1060"/>
    <n v="9729"/>
    <x v="322"/>
    <n v="3291.84"/>
    <s v="Completed"/>
    <s v="South"/>
    <s v="Debit Card"/>
    <m/>
    <m/>
  </r>
  <r>
    <n v="1061"/>
    <n v="1974"/>
    <x v="290"/>
    <n v="3291.84"/>
    <s v="Completed"/>
    <s v="Central"/>
    <s v="Apple Pay"/>
    <m/>
    <m/>
  </r>
  <r>
    <n v="1062"/>
    <n v="5724"/>
    <x v="315"/>
    <n v="3291.84"/>
    <s v="Completed"/>
    <s v="Central"/>
    <s v="Debit Card"/>
    <m/>
    <m/>
  </r>
  <r>
    <n v="1063"/>
    <n v="8036"/>
    <x v="322"/>
    <n v="3291.84"/>
    <s v="Completed"/>
    <s v="South"/>
    <s v="Debit Card"/>
    <m/>
    <m/>
  </r>
  <r>
    <n v="1064"/>
    <n v="6002"/>
    <x v="142"/>
    <n v="3291.84"/>
    <s v="Completed"/>
    <s v="North"/>
    <s v="Debit Card"/>
    <m/>
    <m/>
  </r>
  <r>
    <n v="1065"/>
    <n v="8897"/>
    <x v="234"/>
    <n v="3291.84"/>
    <s v="Completed"/>
    <s v="Central"/>
    <s v="Debit Card"/>
    <m/>
    <m/>
  </r>
  <r>
    <n v="1066"/>
    <n v="4979"/>
    <x v="276"/>
    <n v="3291.84"/>
    <s v="Completed"/>
    <s v="Central"/>
    <s v="Credit Card"/>
    <m/>
    <m/>
  </r>
  <r>
    <n v="1067"/>
    <n v="2934"/>
    <x v="165"/>
    <n v="3291.84"/>
    <s v="Completed"/>
    <s v="West"/>
    <s v="Credit Card"/>
    <m/>
    <m/>
  </r>
  <r>
    <n v="1068"/>
    <n v="5163"/>
    <x v="60"/>
    <n v="3291.84"/>
    <s v="Completed"/>
    <s v="East"/>
    <s v="Apple Pay"/>
    <m/>
    <m/>
  </r>
  <r>
    <n v="1069"/>
    <n v="7933"/>
    <x v="218"/>
    <n v="3291.84"/>
    <s v="Completed"/>
    <s v="North"/>
    <s v="Apple Pay"/>
    <m/>
    <m/>
  </r>
  <r>
    <n v="1070"/>
    <n v="5133"/>
    <x v="98"/>
    <n v="3291.84"/>
    <s v="Completed"/>
    <s v="Central"/>
    <s v="Apple Pay"/>
    <m/>
    <m/>
  </r>
  <r>
    <n v="1071"/>
    <n v="98"/>
    <x v="190"/>
    <n v="3291.84"/>
    <s v="Completed"/>
    <s v="East"/>
    <s v="Debit Card"/>
    <m/>
    <m/>
  </r>
  <r>
    <n v="1072"/>
    <n v="6910"/>
    <x v="232"/>
    <n v="3291.84"/>
    <s v="Completed"/>
    <s v="South"/>
    <s v="Debit Card"/>
    <m/>
    <m/>
  </r>
  <r>
    <n v="1073"/>
    <n v="4345"/>
    <x v="288"/>
    <n v="3291.84"/>
    <s v="Completed"/>
    <s v="East"/>
    <s v="Apple Pay"/>
    <m/>
    <m/>
  </r>
  <r>
    <n v="1074"/>
    <n v="3034"/>
    <x v="160"/>
    <n v="3291.84"/>
    <s v="Completed"/>
    <s v="West"/>
    <s v="PayPal"/>
    <m/>
    <m/>
  </r>
  <r>
    <n v="1075"/>
    <n v="283"/>
    <x v="226"/>
    <n v="3291.84"/>
    <s v="Completed"/>
    <s v="Central"/>
    <s v="Credit Card"/>
    <m/>
    <m/>
  </r>
  <r>
    <n v="1076"/>
    <n v="108"/>
    <x v="74"/>
    <n v="3291.84"/>
    <s v="Completed"/>
    <s v="West"/>
    <s v="Debit Card"/>
    <m/>
    <m/>
  </r>
  <r>
    <n v="1077"/>
    <n v="4716"/>
    <x v="216"/>
    <n v="3291.84"/>
    <s v="Completed"/>
    <s v="West"/>
    <s v="PayPal"/>
    <m/>
    <m/>
  </r>
  <r>
    <n v="1078"/>
    <n v="7781"/>
    <x v="256"/>
    <n v="3291.84"/>
    <s v="Cancelled"/>
    <s v="West"/>
    <s v="Credit Card"/>
    <m/>
    <m/>
  </r>
  <r>
    <n v="1079"/>
    <n v="1714"/>
    <x v="61"/>
    <n v="3291.84"/>
    <s v="Returned"/>
    <s v="South"/>
    <s v="Debit Card"/>
    <m/>
    <m/>
  </r>
  <r>
    <n v="1080"/>
    <n v="5873"/>
    <x v="85"/>
    <n v="3291.84"/>
    <s v="Completed"/>
    <s v="Central"/>
    <s v="Credit Card"/>
    <m/>
    <m/>
  </r>
  <r>
    <n v="1081"/>
    <n v="3960"/>
    <x v="93"/>
    <n v="3291.84"/>
    <s v="Completed"/>
    <s v="East"/>
    <s v="Apple Pay"/>
    <m/>
    <m/>
  </r>
  <r>
    <n v="1082"/>
    <n v="7767"/>
    <x v="345"/>
    <n v="3291.84"/>
    <s v="Completed"/>
    <s v="West"/>
    <s v="Apple Pay"/>
    <m/>
    <m/>
  </r>
  <r>
    <n v="1083"/>
    <n v="2576"/>
    <x v="268"/>
    <n v="3291.84"/>
    <s v="Completed"/>
    <s v="East"/>
    <s v="Debit Card"/>
    <m/>
    <m/>
  </r>
  <r>
    <n v="1084"/>
    <n v="8243"/>
    <x v="289"/>
    <n v="3291.84"/>
    <s v="Completed"/>
    <s v="Central"/>
    <s v="Debit Card"/>
    <m/>
    <m/>
  </r>
  <r>
    <n v="1085"/>
    <n v="1304"/>
    <x v="275"/>
    <n v="3291.84"/>
    <s v="Completed"/>
    <s v="East"/>
    <s v="Debit Card"/>
    <m/>
    <m/>
  </r>
  <r>
    <n v="1086"/>
    <n v="7748"/>
    <x v="316"/>
    <n v="3291.84"/>
    <s v="Completed"/>
    <s v="West"/>
    <s v="PayPal"/>
    <m/>
    <m/>
  </r>
  <r>
    <n v="1087"/>
    <n v="87"/>
    <x v="287"/>
    <n v="3291.84"/>
    <s v="Completed"/>
    <s v="Central"/>
    <s v="PayPal"/>
    <m/>
    <m/>
  </r>
  <r>
    <n v="1088"/>
    <n v="9328"/>
    <x v="243"/>
    <n v="3291.84"/>
    <s v="Completed"/>
    <s v="West"/>
    <s v="Apple Pay"/>
    <m/>
    <m/>
  </r>
  <r>
    <n v="1089"/>
    <n v="8654"/>
    <x v="282"/>
    <n v="3291.84"/>
    <s v="Completed"/>
    <s v="Central"/>
    <s v="Debit Card"/>
    <m/>
    <m/>
  </r>
  <r>
    <n v="1090"/>
    <n v="9110"/>
    <x v="29"/>
    <n v="3291.84"/>
    <s v="Completed"/>
    <s v="North"/>
    <s v="Apple Pay"/>
    <m/>
    <m/>
  </r>
  <r>
    <n v="1091"/>
    <n v="6549"/>
    <x v="57"/>
    <n v="3291.84"/>
    <s v="Completed"/>
    <s v="South"/>
    <s v="PayPal"/>
    <m/>
    <m/>
  </r>
  <r>
    <n v="1092"/>
    <n v="1225"/>
    <x v="172"/>
    <n v="3291.84"/>
    <s v="Completed"/>
    <s v="West"/>
    <s v="Apple Pay"/>
    <m/>
    <m/>
  </r>
  <r>
    <n v="1093"/>
    <n v="3236"/>
    <x v="278"/>
    <n v="3291.84"/>
    <s v="Completed"/>
    <s v="South"/>
    <s v="Debit Card"/>
    <m/>
    <m/>
  </r>
  <r>
    <n v="1094"/>
    <n v="982"/>
    <x v="68"/>
    <n v="3291.84"/>
    <s v="Completed"/>
    <s v="North"/>
    <s v="Credit Card"/>
    <m/>
    <m/>
  </r>
  <r>
    <n v="1095"/>
    <n v="1630"/>
    <x v="78"/>
    <n v="3291.84"/>
    <s v="Completed"/>
    <s v="West"/>
    <s v="Apple Pay"/>
    <m/>
    <m/>
  </r>
  <r>
    <n v="1096"/>
    <n v="2115"/>
    <x v="96"/>
    <n v="3291.84"/>
    <s v="Completed"/>
    <s v="North"/>
    <s v="Apple Pay"/>
    <m/>
    <m/>
  </r>
  <r>
    <n v="1097"/>
    <n v="1308"/>
    <x v="211"/>
    <n v="3291.84"/>
    <s v="Completed"/>
    <s v="West"/>
    <s v="Apple Pay"/>
    <m/>
    <m/>
  </r>
  <r>
    <n v="1098"/>
    <n v="9623"/>
    <x v="197"/>
    <n v="3291.84"/>
    <s v="Completed"/>
    <s v="East"/>
    <s v="Credit Card"/>
    <m/>
    <m/>
  </r>
  <r>
    <n v="1099"/>
    <n v="8953"/>
    <x v="172"/>
    <n v="3291.84"/>
    <s v="Completed"/>
    <s v="West"/>
    <s v="Apple Pay"/>
    <m/>
    <m/>
  </r>
  <r>
    <n v="1100"/>
    <n v="1601"/>
    <x v="66"/>
    <n v="3291.84"/>
    <s v="Completed"/>
    <s v="South"/>
    <s v="Debit Card"/>
    <m/>
    <m/>
  </r>
  <r>
    <n v="1101"/>
    <n v="5703"/>
    <x v="231"/>
    <n v="3291.84"/>
    <s v="Completed"/>
    <s v="others"/>
    <s v="PayPal"/>
    <m/>
    <m/>
  </r>
  <r>
    <n v="1102"/>
    <n v="9090"/>
    <x v="267"/>
    <n v="3291.84"/>
    <s v="Completed"/>
    <s v="East"/>
    <s v="Debit Card"/>
    <m/>
    <m/>
  </r>
  <r>
    <n v="1103"/>
    <n v="2373"/>
    <x v="136"/>
    <n v="3291.84"/>
    <s v="Completed"/>
    <s v="West"/>
    <s v="Credit Card"/>
    <m/>
    <m/>
  </r>
  <r>
    <n v="1104"/>
    <n v="1695"/>
    <x v="196"/>
    <n v="3291.84"/>
    <s v="Completed"/>
    <s v="North"/>
    <s v="Debit Card"/>
    <m/>
    <m/>
  </r>
  <r>
    <n v="1105"/>
    <n v="3339"/>
    <x v="283"/>
    <n v="3291.84"/>
    <s v="Completed"/>
    <s v="East"/>
    <s v="Debit Card"/>
    <m/>
    <m/>
  </r>
  <r>
    <n v="1106"/>
    <n v="1814"/>
    <x v="65"/>
    <n v="3291.84"/>
    <s v="Completed"/>
    <s v="East"/>
    <s v="Apple Pay"/>
    <m/>
    <m/>
  </r>
  <r>
    <n v="1107"/>
    <n v="8200"/>
    <x v="9"/>
    <n v="3291.84"/>
    <s v="Completed"/>
    <s v="South"/>
    <s v="Debit Card"/>
    <m/>
    <m/>
  </r>
  <r>
    <n v="1108"/>
    <n v="7487"/>
    <x v="171"/>
    <n v="3291.84"/>
    <s v="Completed"/>
    <s v="North"/>
    <s v="Debit Card"/>
    <m/>
    <m/>
  </r>
  <r>
    <n v="1109"/>
    <n v="9005"/>
    <x v="136"/>
    <n v="3291.84"/>
    <s v="Cancelled"/>
    <s v="Central"/>
    <s v="Apple Pay"/>
    <m/>
    <m/>
  </r>
  <r>
    <n v="1110"/>
    <n v="4902"/>
    <x v="43"/>
    <n v="3291.84"/>
    <s v="Completed"/>
    <s v="West"/>
    <s v="Credit Card"/>
    <m/>
    <m/>
  </r>
  <r>
    <n v="1111"/>
    <n v="422"/>
    <x v="182"/>
    <n v="3291.84"/>
    <s v="Returned"/>
    <s v="South"/>
    <s v="Debit Card"/>
    <m/>
    <m/>
  </r>
  <r>
    <n v="1112"/>
    <n v="4540"/>
    <x v="91"/>
    <n v="3291.84"/>
    <s v="Completed"/>
    <s v="South"/>
    <s v="Credit Card"/>
    <m/>
    <m/>
  </r>
  <r>
    <n v="1113"/>
    <n v="4851"/>
    <x v="68"/>
    <n v="3291.84"/>
    <s v="Completed"/>
    <s v="East"/>
    <s v="Credit Card"/>
    <m/>
    <m/>
  </r>
  <r>
    <n v="1114"/>
    <n v="7931"/>
    <x v="125"/>
    <n v="3291.84"/>
    <s v="Completed"/>
    <s v="West"/>
    <s v="Credit Card"/>
    <m/>
    <m/>
  </r>
  <r>
    <n v="1115"/>
    <n v="682"/>
    <x v="98"/>
    <n v="3291.84"/>
    <s v="Completed"/>
    <s v="East"/>
    <s v="PayPal"/>
    <m/>
    <m/>
  </r>
  <r>
    <n v="1116"/>
    <n v="5114"/>
    <x v="341"/>
    <n v="3291.84"/>
    <s v="Completed"/>
    <s v="South"/>
    <s v="Apple Pay"/>
    <m/>
    <m/>
  </r>
  <r>
    <n v="1117"/>
    <n v="488"/>
    <x v="178"/>
    <n v="3291.84"/>
    <s v="Completed"/>
    <s v="West"/>
    <s v="Credit Card"/>
    <m/>
    <m/>
  </r>
  <r>
    <n v="1118"/>
    <n v="1737"/>
    <x v="220"/>
    <n v="3291.84"/>
    <s v="Completed"/>
    <s v="West"/>
    <s v="Debit Card"/>
    <m/>
    <m/>
  </r>
  <r>
    <n v="1119"/>
    <n v="2306"/>
    <x v="6"/>
    <n v="3291.84"/>
    <s v="Completed"/>
    <s v="North"/>
    <s v="PayPal"/>
    <m/>
    <m/>
  </r>
  <r>
    <n v="1120"/>
    <n v="7223"/>
    <x v="299"/>
    <n v="3291.84"/>
    <s v="Completed"/>
    <s v="South"/>
    <s v="Apple Pay"/>
    <m/>
    <m/>
  </r>
  <r>
    <n v="1121"/>
    <n v="5888"/>
    <x v="108"/>
    <n v="3291.84"/>
    <s v="Completed"/>
    <s v="North"/>
    <s v="Credit Card"/>
    <m/>
    <m/>
  </r>
  <r>
    <n v="1122"/>
    <n v="8814"/>
    <x v="67"/>
    <n v="3291.84"/>
    <s v="Completed"/>
    <s v="East"/>
    <s v="Credit Card"/>
    <m/>
    <m/>
  </r>
  <r>
    <n v="1123"/>
    <n v="1912"/>
    <x v="36"/>
    <n v="3291.84"/>
    <s v="Completed"/>
    <s v="Central"/>
    <s v="PayPal"/>
    <m/>
    <m/>
  </r>
  <r>
    <n v="1124"/>
    <n v="9307"/>
    <x v="6"/>
    <n v="3291.84"/>
    <s v="Completed"/>
    <s v="East"/>
    <s v="Apple Pay"/>
    <m/>
    <m/>
  </r>
  <r>
    <n v="1125"/>
    <n v="4366"/>
    <x v="164"/>
    <n v="3291.84"/>
    <s v="Completed"/>
    <s v="South"/>
    <s v="Apple Pay"/>
    <m/>
    <m/>
  </r>
  <r>
    <n v="1126"/>
    <n v="3872"/>
    <x v="141"/>
    <n v="3291.84"/>
    <s v="Completed"/>
    <s v="Central"/>
    <s v="PayPal"/>
    <m/>
    <m/>
  </r>
  <r>
    <n v="1127"/>
    <n v="6655"/>
    <x v="249"/>
    <n v="3291.84"/>
    <s v="Completed"/>
    <s v="North"/>
    <s v="Debit Card"/>
    <m/>
    <m/>
  </r>
  <r>
    <n v="1128"/>
    <n v="9236"/>
    <x v="21"/>
    <n v="3291.84"/>
    <s v="Completed"/>
    <s v="South"/>
    <s v="Credit Card"/>
    <m/>
    <m/>
  </r>
  <r>
    <n v="1129"/>
    <n v="9315"/>
    <x v="34"/>
    <n v="3291.84"/>
    <s v="Completed"/>
    <s v="South"/>
    <s v="Apple Pay"/>
    <m/>
    <m/>
  </r>
  <r>
    <n v="1130"/>
    <n v="6061"/>
    <x v="85"/>
    <n v="3291.84"/>
    <s v="Completed"/>
    <s v="West"/>
    <s v="Apple Pay"/>
    <m/>
    <m/>
  </r>
  <r>
    <n v="1131"/>
    <n v="5482"/>
    <x v="125"/>
    <n v="3291.84"/>
    <s v="Completed"/>
    <s v="East"/>
    <s v="Credit Card"/>
    <m/>
    <m/>
  </r>
  <r>
    <n v="1132"/>
    <n v="6070"/>
    <x v="270"/>
    <n v="3291.84"/>
    <s v="Completed"/>
    <s v="South"/>
    <s v="Apple Pay"/>
    <m/>
    <m/>
  </r>
  <r>
    <n v="1133"/>
    <n v="90"/>
    <x v="346"/>
    <n v="3291.84"/>
    <s v="Completed"/>
    <s v="East"/>
    <s v="Credit Card"/>
    <m/>
    <m/>
  </r>
  <r>
    <n v="1134"/>
    <n v="4677"/>
    <x v="347"/>
    <n v="3291.84"/>
    <s v="Completed"/>
    <s v="East"/>
    <s v="Apple Pay"/>
    <m/>
    <m/>
  </r>
  <r>
    <n v="1135"/>
    <n v="8952"/>
    <x v="165"/>
    <n v="3291.84"/>
    <s v="Completed"/>
    <s v="South"/>
    <s v="Debit Card"/>
    <m/>
    <m/>
  </r>
  <r>
    <n v="1136"/>
    <n v="6872"/>
    <x v="105"/>
    <n v="3291.84"/>
    <s v="Completed"/>
    <s v="North"/>
    <s v="Apple Pay"/>
    <m/>
    <m/>
  </r>
  <r>
    <n v="1137"/>
    <n v="7508"/>
    <x v="301"/>
    <n v="3291.84"/>
    <s v="Completed"/>
    <s v="Central"/>
    <s v="PayPal"/>
    <m/>
    <m/>
  </r>
  <r>
    <n v="1138"/>
    <n v="2636"/>
    <x v="42"/>
    <n v="3291.84"/>
    <s v="Completed"/>
    <s v="East"/>
    <s v="Apple Pay"/>
    <m/>
    <m/>
  </r>
  <r>
    <n v="1139"/>
    <n v="9197"/>
    <x v="68"/>
    <n v="3291.84"/>
    <s v="Completed"/>
    <s v="East"/>
    <s v="Credit Card"/>
    <m/>
    <m/>
  </r>
  <r>
    <n v="1140"/>
    <n v="3888"/>
    <x v="76"/>
    <n v="3291.84"/>
    <s v="Completed"/>
    <s v="South"/>
    <s v="PayPal"/>
    <m/>
    <m/>
  </r>
  <r>
    <n v="1141"/>
    <n v="4602"/>
    <x v="246"/>
    <n v="3291.84"/>
    <s v="Completed"/>
    <s v="North"/>
    <s v="Debit Card"/>
    <m/>
    <m/>
  </r>
  <r>
    <n v="1142"/>
    <n v="4189"/>
    <x v="253"/>
    <n v="3291.84"/>
    <s v="Completed"/>
    <s v="South"/>
    <s v="Debit Card"/>
    <m/>
    <m/>
  </r>
  <r>
    <n v="1143"/>
    <n v="6832"/>
    <x v="320"/>
    <n v="3291.84"/>
    <s v="Completed"/>
    <s v="South"/>
    <s v="Credit Card"/>
    <m/>
    <m/>
  </r>
  <r>
    <n v="1144"/>
    <n v="8993"/>
    <x v="52"/>
    <n v="3291.84"/>
    <s v="Completed"/>
    <s v="Central"/>
    <s v="Credit Card"/>
    <m/>
    <m/>
  </r>
  <r>
    <n v="1145"/>
    <n v="7270"/>
    <x v="336"/>
    <n v="3291.84"/>
    <s v="Completed"/>
    <s v="East"/>
    <s v="Credit Card"/>
    <m/>
    <m/>
  </r>
  <r>
    <n v="1146"/>
    <n v="2193"/>
    <x v="16"/>
    <n v="3291.84"/>
    <s v="Completed"/>
    <s v="West"/>
    <s v="Debit Card"/>
    <m/>
    <m/>
  </r>
  <r>
    <n v="1147"/>
    <n v="7621"/>
    <x v="208"/>
    <n v="3291.84"/>
    <s v="Completed"/>
    <s v="North"/>
    <s v="Debit Card"/>
    <m/>
    <m/>
  </r>
  <r>
    <n v="1148"/>
    <n v="445"/>
    <x v="178"/>
    <n v="3291.84"/>
    <s v="Completed"/>
    <s v="West"/>
    <s v="PayPal"/>
    <m/>
    <m/>
  </r>
  <r>
    <n v="1149"/>
    <n v="5914"/>
    <x v="159"/>
    <n v="3291.84"/>
    <s v="Completed"/>
    <s v="West"/>
    <s v="Credit Card"/>
    <m/>
    <m/>
  </r>
  <r>
    <n v="1150"/>
    <n v="5588"/>
    <x v="22"/>
    <n v="3291.84"/>
    <s v="Completed"/>
    <s v="Central"/>
    <s v="Apple Pay"/>
    <m/>
    <m/>
  </r>
  <r>
    <n v="1151"/>
    <n v="7279"/>
    <x v="143"/>
    <n v="3291.84"/>
    <s v="Completed"/>
    <s v="South"/>
    <s v="Apple Pay"/>
    <m/>
    <m/>
  </r>
  <r>
    <n v="1152"/>
    <n v="8763"/>
    <x v="335"/>
    <n v="3291.84"/>
    <s v="Completed"/>
    <s v="South"/>
    <s v="Apple Pay"/>
    <m/>
    <m/>
  </r>
  <r>
    <n v="1153"/>
    <n v="7037"/>
    <x v="60"/>
    <n v="3291.84"/>
    <s v="Completed"/>
    <s v="Central"/>
    <s v="Apple Pay"/>
    <m/>
    <m/>
  </r>
  <r>
    <n v="1154"/>
    <n v="4084"/>
    <x v="179"/>
    <n v="3291.84"/>
    <s v="Completed"/>
    <s v="East"/>
    <s v="Credit Card"/>
    <m/>
    <m/>
  </r>
  <r>
    <n v="1155"/>
    <n v="4084"/>
    <x v="4"/>
    <n v="3291.84"/>
    <s v="Completed"/>
    <s v="East"/>
    <s v="PayPal"/>
    <m/>
    <m/>
  </r>
  <r>
    <n v="1156"/>
    <n v="6756"/>
    <x v="208"/>
    <n v="3291.84"/>
    <s v="Completed"/>
    <s v="West"/>
    <s v="Debit Card"/>
    <m/>
    <m/>
  </r>
  <r>
    <n v="1157"/>
    <n v="3984"/>
    <x v="110"/>
    <n v="3291.84"/>
    <s v="Completed"/>
    <s v="West"/>
    <s v="Debit Card"/>
    <m/>
    <m/>
  </r>
  <r>
    <n v="1158"/>
    <n v="6099"/>
    <x v="180"/>
    <n v="3291.84"/>
    <s v="Completed"/>
    <s v="West"/>
    <s v="Debit Card"/>
    <m/>
    <m/>
  </r>
  <r>
    <n v="1159"/>
    <n v="8703"/>
    <x v="166"/>
    <n v="3291.84"/>
    <s v="Completed"/>
    <s v="West"/>
    <s v="Apple Pay"/>
    <m/>
    <m/>
  </r>
  <r>
    <n v="1160"/>
    <n v="5188"/>
    <x v="233"/>
    <n v="3291.84"/>
    <s v="Completed"/>
    <s v="North"/>
    <s v="Apple Pay"/>
    <m/>
    <m/>
  </r>
  <r>
    <n v="1161"/>
    <n v="4145"/>
    <x v="49"/>
    <n v="3291.84"/>
    <s v="Completed"/>
    <s v="North"/>
    <s v="Apple Pay"/>
    <m/>
    <m/>
  </r>
  <r>
    <n v="1162"/>
    <n v="4254"/>
    <x v="41"/>
    <n v="3291.84"/>
    <s v="Completed"/>
    <s v="others"/>
    <s v="PayPal"/>
    <m/>
    <m/>
  </r>
  <r>
    <n v="1163"/>
    <n v="8362"/>
    <x v="168"/>
    <n v="3291.84"/>
    <s v="Completed"/>
    <s v="West"/>
    <s v="PayPal"/>
    <m/>
    <m/>
  </r>
  <r>
    <n v="1164"/>
    <n v="1881"/>
    <x v="60"/>
    <n v="3291.84"/>
    <s v="Completed"/>
    <s v="Central"/>
    <s v="PayPal"/>
    <m/>
    <m/>
  </r>
  <r>
    <n v="1165"/>
    <n v="3527"/>
    <x v="164"/>
    <n v="3291.84"/>
    <s v="Completed"/>
    <s v="North"/>
    <s v="Credit Card"/>
    <m/>
    <m/>
  </r>
  <r>
    <n v="1166"/>
    <n v="9683"/>
    <x v="240"/>
    <n v="3291.84"/>
    <s v="Completed"/>
    <s v="East"/>
    <s v="PayPal"/>
    <m/>
    <m/>
  </r>
  <r>
    <n v="1167"/>
    <n v="3943"/>
    <x v="97"/>
    <n v="3291.84"/>
    <s v="Completed"/>
    <s v="North"/>
    <s v="PayPal"/>
    <m/>
    <m/>
  </r>
  <r>
    <n v="1168"/>
    <n v="2219"/>
    <x v="256"/>
    <n v="3291.84"/>
    <s v="Completed"/>
    <s v="South"/>
    <s v="Apple Pay"/>
    <m/>
    <m/>
  </r>
  <r>
    <n v="1169"/>
    <n v="1951"/>
    <x v="244"/>
    <n v="3291.84"/>
    <s v="Completed"/>
    <s v="Central"/>
    <s v="Credit Card"/>
    <m/>
    <m/>
  </r>
  <r>
    <n v="1170"/>
    <n v="6062"/>
    <x v="80"/>
    <n v="3291.84"/>
    <s v="Cancelled"/>
    <s v="West"/>
    <s v="PayPal"/>
    <m/>
    <m/>
  </r>
  <r>
    <n v="1171"/>
    <n v="7552"/>
    <x v="348"/>
    <n v="3291.84"/>
    <s v="Completed"/>
    <s v="South"/>
    <s v="Credit Card"/>
    <m/>
    <m/>
  </r>
  <r>
    <n v="1172"/>
    <n v="1067"/>
    <x v="290"/>
    <n v="3291.84"/>
    <s v="Completed"/>
    <s v="North"/>
    <s v="Credit Card"/>
    <m/>
    <m/>
  </r>
  <r>
    <n v="1173"/>
    <n v="3211"/>
    <x v="114"/>
    <n v="3291.84"/>
    <s v="Completed"/>
    <s v="West"/>
    <s v="Debit Card"/>
    <m/>
    <m/>
  </r>
  <r>
    <n v="1174"/>
    <n v="8573"/>
    <x v="91"/>
    <n v="3291.84"/>
    <s v="Completed"/>
    <s v="West"/>
    <s v="PayPal"/>
    <m/>
    <m/>
  </r>
  <r>
    <n v="1175"/>
    <n v="3947"/>
    <x v="303"/>
    <n v="3291.84"/>
    <s v="Completed"/>
    <s v="East"/>
    <s v="Debit Card"/>
    <m/>
    <m/>
  </r>
  <r>
    <n v="1176"/>
    <n v="3512"/>
    <x v="286"/>
    <n v="3291.84"/>
    <s v="Completed"/>
    <s v="Central"/>
    <s v="Debit Card"/>
    <m/>
    <m/>
  </r>
  <r>
    <n v="1177"/>
    <n v="4220"/>
    <x v="256"/>
    <n v="3291.84"/>
    <s v="Completed"/>
    <s v="Central"/>
    <s v="Apple Pay"/>
    <m/>
    <m/>
  </r>
  <r>
    <n v="1178"/>
    <n v="869"/>
    <x v="170"/>
    <n v="3291.84"/>
    <s v="Completed"/>
    <s v="East"/>
    <s v="Apple Pay"/>
    <m/>
    <m/>
  </r>
  <r>
    <n v="1179"/>
    <n v="7739"/>
    <x v="113"/>
    <n v="3291.84"/>
    <s v="Completed"/>
    <s v="East"/>
    <s v="Credit Card"/>
    <m/>
    <m/>
  </r>
  <r>
    <n v="1180"/>
    <n v="1920"/>
    <x v="223"/>
    <n v="3291.84"/>
    <s v="Completed"/>
    <s v="East"/>
    <s v="Debit Card"/>
    <m/>
    <m/>
  </r>
  <r>
    <n v="1181"/>
    <n v="8144"/>
    <x v="179"/>
    <n v="3291.84"/>
    <s v="Completed"/>
    <s v="North"/>
    <s v="Debit Card"/>
    <m/>
    <m/>
  </r>
  <r>
    <n v="1182"/>
    <n v="8198"/>
    <x v="73"/>
    <n v="3291.84"/>
    <s v="Completed"/>
    <s v="North"/>
    <s v="Credit Card"/>
    <m/>
    <m/>
  </r>
  <r>
    <n v="1183"/>
    <n v="7387"/>
    <x v="68"/>
    <n v="3291.84"/>
    <s v="Completed"/>
    <s v="North"/>
    <s v="PayPal"/>
    <m/>
    <m/>
  </r>
  <r>
    <n v="1184"/>
    <n v="9029"/>
    <x v="149"/>
    <n v="3291.84"/>
    <s v="Completed"/>
    <s v="East"/>
    <s v="PayPal"/>
    <m/>
    <m/>
  </r>
  <r>
    <n v="1185"/>
    <n v="8197"/>
    <x v="182"/>
    <n v="3291.84"/>
    <s v="Completed"/>
    <s v="West"/>
    <s v="Apple Pay"/>
    <m/>
    <m/>
  </r>
  <r>
    <n v="1186"/>
    <n v="8897"/>
    <x v="10"/>
    <n v="3291.84"/>
    <s v="Completed"/>
    <s v="Central"/>
    <s v="PayPal"/>
    <m/>
    <m/>
  </r>
  <r>
    <n v="1187"/>
    <n v="9466"/>
    <x v="338"/>
    <n v="3291.84"/>
    <s v="Completed"/>
    <s v="West"/>
    <s v="Credit Card"/>
    <m/>
    <m/>
  </r>
  <r>
    <n v="1188"/>
    <n v="4330"/>
    <x v="135"/>
    <n v="3291.84"/>
    <s v="Completed"/>
    <s v="South"/>
    <s v="Credit Card"/>
    <m/>
    <m/>
  </r>
  <r>
    <n v="1189"/>
    <n v="5010"/>
    <x v="217"/>
    <n v="3291.84"/>
    <s v="Completed"/>
    <s v="West"/>
    <s v="Debit Card"/>
    <m/>
    <m/>
  </r>
  <r>
    <n v="1190"/>
    <n v="1116"/>
    <x v="310"/>
    <n v="3291.84"/>
    <s v="Completed"/>
    <s v="South"/>
    <s v="PayPal"/>
    <m/>
    <m/>
  </r>
  <r>
    <n v="1191"/>
    <n v="5240"/>
    <x v="240"/>
    <n v="3291.84"/>
    <s v="Completed"/>
    <s v="East"/>
    <s v="PayPal"/>
    <m/>
    <m/>
  </r>
  <r>
    <n v="1192"/>
    <n v="4164"/>
    <x v="349"/>
    <n v="3291.84"/>
    <s v="Completed"/>
    <s v="Central"/>
    <s v="Apple Pay"/>
    <m/>
    <m/>
  </r>
  <r>
    <n v="1193"/>
    <n v="5133"/>
    <x v="332"/>
    <n v="3291.84"/>
    <s v="Completed"/>
    <s v="Central"/>
    <s v="Apple Pay"/>
    <m/>
    <m/>
  </r>
  <r>
    <n v="1194"/>
    <n v="3723"/>
    <x v="350"/>
    <n v="3291.84"/>
    <s v="Completed"/>
    <s v="Central"/>
    <s v="Apple Pay"/>
    <m/>
    <m/>
  </r>
  <r>
    <n v="1195"/>
    <n v="7467"/>
    <x v="206"/>
    <n v="3291.84"/>
    <s v="Completed"/>
    <s v="North"/>
    <s v="Credit Card"/>
    <m/>
    <m/>
  </r>
  <r>
    <n v="1196"/>
    <n v="447"/>
    <x v="196"/>
    <n v="3291.84"/>
    <s v="Completed"/>
    <s v="North"/>
    <s v="Apple Pay"/>
    <m/>
    <m/>
  </r>
  <r>
    <n v="1197"/>
    <n v="303"/>
    <x v="334"/>
    <n v="3291.84"/>
    <s v="Completed"/>
    <s v="East"/>
    <s v="Debit Card"/>
    <m/>
    <m/>
  </r>
  <r>
    <n v="1198"/>
    <n v="6702"/>
    <x v="135"/>
    <n v="3291.84"/>
    <s v="Completed"/>
    <s v="West"/>
    <s v="PayPal"/>
    <m/>
    <m/>
  </r>
  <r>
    <n v="1199"/>
    <n v="7410"/>
    <x v="328"/>
    <n v="3291.84"/>
    <s v="Completed"/>
    <s v="West"/>
    <s v="Credit Card"/>
    <m/>
    <m/>
  </r>
  <r>
    <n v="1200"/>
    <n v="5373"/>
    <x v="34"/>
    <n v="3291.84"/>
    <s v="Completed"/>
    <s v="North"/>
    <s v="Credit Card"/>
    <m/>
    <m/>
  </r>
  <r>
    <n v="1201"/>
    <n v="8966"/>
    <x v="310"/>
    <n v="3291.84"/>
    <s v="Completed"/>
    <s v="North"/>
    <s v="Debit Card"/>
    <m/>
    <m/>
  </r>
  <r>
    <n v="1202"/>
    <n v="3161"/>
    <x v="120"/>
    <n v="3291.84"/>
    <s v="Completed"/>
    <s v="North"/>
    <s v="PayPal"/>
    <m/>
    <m/>
  </r>
  <r>
    <n v="1203"/>
    <n v="7261"/>
    <x v="306"/>
    <n v="3291.84"/>
    <s v="Completed"/>
    <s v="South"/>
    <s v="Apple Pay"/>
    <m/>
    <m/>
  </r>
  <r>
    <n v="1204"/>
    <n v="6106"/>
    <x v="215"/>
    <n v="3291.84"/>
    <s v="Completed"/>
    <s v="South"/>
    <s v="Apple Pay"/>
    <m/>
    <m/>
  </r>
  <r>
    <n v="1205"/>
    <n v="9282"/>
    <x v="351"/>
    <n v="3291.84"/>
    <s v="Completed"/>
    <s v="Central"/>
    <s v="Apple Pay"/>
    <m/>
    <m/>
  </r>
  <r>
    <n v="1206"/>
    <n v="3841"/>
    <x v="272"/>
    <n v="3291.84"/>
    <s v="Completed"/>
    <s v="South"/>
    <s v="Apple Pay"/>
    <m/>
    <m/>
  </r>
  <r>
    <n v="1207"/>
    <n v="4107"/>
    <x v="288"/>
    <n v="3291.84"/>
    <s v="Completed"/>
    <s v="Central"/>
    <s v="Apple Pay"/>
    <m/>
    <m/>
  </r>
  <r>
    <n v="1208"/>
    <n v="2232"/>
    <x v="210"/>
    <n v="3291.84"/>
    <s v="Completed"/>
    <s v="East"/>
    <s v="Apple Pay"/>
    <m/>
    <m/>
  </r>
  <r>
    <n v="1209"/>
    <n v="8547"/>
    <x v="150"/>
    <n v="3291.84"/>
    <s v="Completed"/>
    <s v="West"/>
    <s v="PayPal"/>
    <m/>
    <m/>
  </r>
  <r>
    <n v="1210"/>
    <n v="1027"/>
    <x v="31"/>
    <n v="3291.84"/>
    <s v="Completed"/>
    <s v="South"/>
    <s v="Apple Pay"/>
    <m/>
    <m/>
  </r>
  <r>
    <n v="1211"/>
    <n v="5313"/>
    <x v="38"/>
    <n v="3291.84"/>
    <s v="Completed"/>
    <s v="West"/>
    <s v="Apple Pay"/>
    <m/>
    <m/>
  </r>
  <r>
    <n v="1212"/>
    <n v="2926"/>
    <x v="45"/>
    <n v="3291.84"/>
    <s v="Completed"/>
    <s v="West"/>
    <s v="Debit Card"/>
    <m/>
    <m/>
  </r>
  <r>
    <n v="1213"/>
    <n v="2659"/>
    <x v="33"/>
    <n v="3291.84"/>
    <s v="Completed"/>
    <s v="Central"/>
    <s v="Credit Card"/>
    <m/>
    <m/>
  </r>
  <r>
    <n v="1214"/>
    <n v="2079"/>
    <x v="174"/>
    <n v="3291.84"/>
    <s v="Completed"/>
    <s v="South"/>
    <s v="PayPal"/>
    <m/>
    <m/>
  </r>
  <r>
    <n v="1215"/>
    <n v="7832"/>
    <x v="212"/>
    <n v="3291.84"/>
    <s v="Completed"/>
    <s v="Central"/>
    <s v="Debit Card"/>
    <m/>
    <m/>
  </r>
  <r>
    <n v="1216"/>
    <n v="775"/>
    <x v="217"/>
    <n v="3291.84"/>
    <s v="Completed"/>
    <s v="West"/>
    <s v="PayPal"/>
    <m/>
    <m/>
  </r>
  <r>
    <n v="1217"/>
    <n v="5209"/>
    <x v="352"/>
    <n v="3291.84"/>
    <s v="Completed"/>
    <s v="South"/>
    <s v="PayPal"/>
    <m/>
    <m/>
  </r>
  <r>
    <n v="1218"/>
    <n v="3811"/>
    <x v="271"/>
    <n v="3291.84"/>
    <s v="Completed"/>
    <s v="West"/>
    <s v="PayPal"/>
    <m/>
    <m/>
  </r>
  <r>
    <n v="1219"/>
    <n v="6756"/>
    <x v="56"/>
    <n v="3291.84"/>
    <s v="Completed"/>
    <s v="West"/>
    <s v="Debit Card"/>
    <m/>
    <m/>
  </r>
  <r>
    <n v="1220"/>
    <n v="7701"/>
    <x v="161"/>
    <n v="3291.84"/>
    <s v="Completed"/>
    <s v="South"/>
    <s v="Apple Pay"/>
    <m/>
    <m/>
  </r>
  <r>
    <n v="1221"/>
    <n v="1146"/>
    <x v="36"/>
    <n v="3291.84"/>
    <s v="Completed"/>
    <s v="North"/>
    <s v="Debit Card"/>
    <m/>
    <m/>
  </r>
  <r>
    <n v="1222"/>
    <n v="2652"/>
    <x v="238"/>
    <n v="3291.84"/>
    <s v="Completed"/>
    <s v="East"/>
    <s v="PayPal"/>
    <m/>
    <m/>
  </r>
  <r>
    <n v="1223"/>
    <n v="4349"/>
    <x v="332"/>
    <n v="3291.84"/>
    <s v="Completed"/>
    <s v="West"/>
    <s v="PayPal"/>
    <m/>
    <m/>
  </r>
  <r>
    <n v="1224"/>
    <n v="7922"/>
    <x v="147"/>
    <n v="3291.84"/>
    <s v="Returned"/>
    <s v="East"/>
    <s v="PayPal"/>
    <m/>
    <m/>
  </r>
  <r>
    <n v="1225"/>
    <n v="6002"/>
    <x v="119"/>
    <n v="3291.84"/>
    <s v="Completed"/>
    <s v="others"/>
    <s v="Apple Pay"/>
    <m/>
    <m/>
  </r>
  <r>
    <n v="1226"/>
    <n v="2198"/>
    <x v="97"/>
    <n v="3291.84"/>
    <s v="Returned"/>
    <s v="North"/>
    <s v="Apple Pay"/>
    <m/>
    <m/>
  </r>
  <r>
    <n v="1227"/>
    <n v="4901"/>
    <x v="63"/>
    <n v="3291.84"/>
    <s v="Completed"/>
    <s v="South"/>
    <s v="PayPal"/>
    <m/>
    <m/>
  </r>
  <r>
    <n v="1228"/>
    <n v="374"/>
    <x v="79"/>
    <n v="3291.84"/>
    <s v="Completed"/>
    <s v="South"/>
    <s v="PayPal"/>
    <m/>
    <m/>
  </r>
  <r>
    <n v="1229"/>
    <n v="8532"/>
    <x v="184"/>
    <n v="3291.84"/>
    <s v="Completed"/>
    <s v="South"/>
    <s v="Apple Pay"/>
    <m/>
    <m/>
  </r>
  <r>
    <n v="1230"/>
    <n v="9430"/>
    <x v="179"/>
    <n v="3291.84"/>
    <s v="Completed"/>
    <s v="South"/>
    <s v="Credit Card"/>
    <m/>
    <m/>
  </r>
  <r>
    <n v="1231"/>
    <n v="5223"/>
    <x v="121"/>
    <n v="3291.84"/>
    <s v="Completed"/>
    <s v="North"/>
    <s v="Credit Card"/>
    <m/>
    <m/>
  </r>
  <r>
    <n v="1232"/>
    <n v="757"/>
    <x v="11"/>
    <n v="3291.84"/>
    <s v="Completed"/>
    <s v="West"/>
    <s v="Debit Card"/>
    <m/>
    <m/>
  </r>
  <r>
    <n v="1233"/>
    <n v="1158"/>
    <x v="84"/>
    <n v="3291.84"/>
    <s v="Completed"/>
    <s v="North"/>
    <s v="Debit Card"/>
    <m/>
    <m/>
  </r>
  <r>
    <n v="1234"/>
    <n v="3686"/>
    <x v="86"/>
    <n v="3291.84"/>
    <s v="Completed"/>
    <s v="East"/>
    <s v="Debit Card"/>
    <m/>
    <m/>
  </r>
  <r>
    <n v="1235"/>
    <n v="8760"/>
    <x v="274"/>
    <n v="3291.84"/>
    <s v="Completed"/>
    <s v="Central"/>
    <s v="Credit Card"/>
    <m/>
    <m/>
  </r>
  <r>
    <n v="1236"/>
    <n v="590"/>
    <x v="74"/>
    <n v="3291.84"/>
    <s v="Completed"/>
    <s v="North"/>
    <s v="Apple Pay"/>
    <m/>
    <m/>
  </r>
  <r>
    <n v="1237"/>
    <n v="2886"/>
    <x v="26"/>
    <n v="3291.84"/>
    <s v="Completed"/>
    <s v="Central"/>
    <s v="PayPal"/>
    <m/>
    <m/>
  </r>
  <r>
    <n v="1238"/>
    <n v="5508"/>
    <x v="312"/>
    <n v="3291.84"/>
    <s v="Completed"/>
    <s v="Central"/>
    <s v="Credit Card"/>
    <m/>
    <m/>
  </r>
  <r>
    <n v="1239"/>
    <n v="15"/>
    <x v="79"/>
    <n v="3291.84"/>
    <s v="Completed"/>
    <s v="South"/>
    <s v="Credit Card"/>
    <m/>
    <m/>
  </r>
  <r>
    <n v="1240"/>
    <n v="5489"/>
    <x v="146"/>
    <n v="3291.84"/>
    <s v="Completed"/>
    <s v="Central"/>
    <s v="Credit Card"/>
    <m/>
    <m/>
  </r>
  <r>
    <n v="1241"/>
    <n v="4064"/>
    <x v="59"/>
    <n v="3291.84"/>
    <s v="Completed"/>
    <s v="South"/>
    <s v="Apple Pay"/>
    <m/>
    <m/>
  </r>
  <r>
    <n v="1242"/>
    <n v="9106"/>
    <x v="194"/>
    <n v="3291.84"/>
    <s v="Completed"/>
    <s v="East"/>
    <s v="Apple Pay"/>
    <m/>
    <m/>
  </r>
  <r>
    <n v="1243"/>
    <n v="7520"/>
    <x v="353"/>
    <n v="3291.84"/>
    <s v="Completed"/>
    <s v="East"/>
    <s v="Credit Card"/>
    <m/>
    <m/>
  </r>
  <r>
    <n v="1244"/>
    <n v="6989"/>
    <x v="308"/>
    <n v="3291.84"/>
    <s v="Completed"/>
    <s v="West"/>
    <s v="Credit Card"/>
    <m/>
    <m/>
  </r>
  <r>
    <n v="1245"/>
    <n v="4279"/>
    <x v="72"/>
    <n v="3291.84"/>
    <s v="Completed"/>
    <s v="Central"/>
    <s v="PayPal"/>
    <m/>
    <m/>
  </r>
  <r>
    <n v="1246"/>
    <n v="5092"/>
    <x v="60"/>
    <n v="3291.84"/>
    <s v="Completed"/>
    <s v="South"/>
    <s v="Credit Card"/>
    <m/>
    <m/>
  </r>
  <r>
    <n v="1247"/>
    <n v="4966"/>
    <x v="146"/>
    <n v="3291.84"/>
    <s v="Completed"/>
    <s v="West"/>
    <s v="Credit Card"/>
    <m/>
    <m/>
  </r>
  <r>
    <n v="1248"/>
    <n v="7540"/>
    <x v="341"/>
    <n v="3291.84"/>
    <s v="Completed"/>
    <s v="West"/>
    <s v="Credit Card"/>
    <m/>
    <m/>
  </r>
  <r>
    <n v="1249"/>
    <n v="5255"/>
    <x v="301"/>
    <n v="3291.84"/>
    <s v="Completed"/>
    <s v="West"/>
    <s v="PayPal"/>
    <m/>
    <m/>
  </r>
  <r>
    <n v="1250"/>
    <n v="9933"/>
    <x v="312"/>
    <n v="3291.84"/>
    <s v="Completed"/>
    <s v="East"/>
    <s v="Credit Card"/>
    <m/>
    <m/>
  </r>
  <r>
    <n v="1251"/>
    <n v="6605"/>
    <x v="203"/>
    <n v="3291.84"/>
    <s v="Returned"/>
    <s v="South"/>
    <s v="Apple Pay"/>
    <m/>
    <m/>
  </r>
  <r>
    <n v="1252"/>
    <n v="7211"/>
    <x v="205"/>
    <n v="3291.84"/>
    <s v="Completed"/>
    <s v="Central"/>
    <s v="Debit Card"/>
    <m/>
    <m/>
  </r>
  <r>
    <n v="1253"/>
    <n v="9223"/>
    <x v="166"/>
    <n v="3291.84"/>
    <s v="Completed"/>
    <s v="North"/>
    <s v="Debit Card"/>
    <m/>
    <m/>
  </r>
  <r>
    <n v="1254"/>
    <n v="1110"/>
    <x v="91"/>
    <n v="3291.84"/>
    <s v="Completed"/>
    <s v="West"/>
    <s v="Credit Card"/>
    <m/>
    <m/>
  </r>
  <r>
    <n v="1255"/>
    <n v="2196"/>
    <x v="256"/>
    <n v="3291.84"/>
    <s v="Completed"/>
    <s v="West"/>
    <s v="Credit Card"/>
    <m/>
    <m/>
  </r>
  <r>
    <n v="1256"/>
    <n v="1088"/>
    <x v="92"/>
    <n v="3291.84"/>
    <s v="Completed"/>
    <s v="North"/>
    <s v="Apple Pay"/>
    <m/>
    <m/>
  </r>
  <r>
    <n v="1257"/>
    <n v="1501"/>
    <x v="242"/>
    <n v="3291.84"/>
    <s v="Completed"/>
    <s v="South"/>
    <s v="PayPal"/>
    <m/>
    <m/>
  </r>
  <r>
    <n v="1258"/>
    <n v="9314"/>
    <x v="350"/>
    <n v="3291.84"/>
    <s v="Completed"/>
    <s v="South"/>
    <s v="Credit Card"/>
    <m/>
    <m/>
  </r>
  <r>
    <n v="1259"/>
    <n v="5869"/>
    <x v="161"/>
    <n v="3291.84"/>
    <s v="Completed"/>
    <s v="West"/>
    <s v="Debit Card"/>
    <m/>
    <m/>
  </r>
  <r>
    <n v="1260"/>
    <n v="1321"/>
    <x v="227"/>
    <n v="3291.84"/>
    <s v="Completed"/>
    <s v="North"/>
    <s v="Debit Card"/>
    <m/>
    <m/>
  </r>
  <r>
    <n v="1261"/>
    <n v="3582"/>
    <x v="215"/>
    <n v="3291.84"/>
    <s v="Completed"/>
    <s v="South"/>
    <s v="Debit Card"/>
    <m/>
    <m/>
  </r>
  <r>
    <n v="1262"/>
    <n v="7297"/>
    <x v="106"/>
    <n v="3291.84"/>
    <s v="Completed"/>
    <s v="West"/>
    <s v="Credit Card"/>
    <m/>
    <m/>
  </r>
  <r>
    <n v="1263"/>
    <n v="4327"/>
    <x v="241"/>
    <n v="3291.84"/>
    <s v="Completed"/>
    <s v="Central"/>
    <s v="Apple Pay"/>
    <m/>
    <m/>
  </r>
  <r>
    <n v="1264"/>
    <n v="1267"/>
    <x v="285"/>
    <n v="3291.84"/>
    <s v="Completed"/>
    <s v="North"/>
    <s v="Credit Card"/>
    <m/>
    <m/>
  </r>
  <r>
    <n v="1265"/>
    <n v="7117"/>
    <x v="100"/>
    <n v="3291.84"/>
    <s v="Completed"/>
    <s v="West"/>
    <s v="Credit Card"/>
    <m/>
    <m/>
  </r>
  <r>
    <n v="1266"/>
    <n v="3260"/>
    <x v="276"/>
    <n v="3291.84"/>
    <s v="Completed"/>
    <s v="Central"/>
    <s v="Credit Card"/>
    <m/>
    <m/>
  </r>
  <r>
    <n v="1267"/>
    <n v="3102"/>
    <x v="287"/>
    <n v="3291.84"/>
    <s v="Completed"/>
    <s v="South"/>
    <s v="Apple Pay"/>
    <m/>
    <m/>
  </r>
  <r>
    <n v="1268"/>
    <n v="7861"/>
    <x v="40"/>
    <n v="3291.84"/>
    <s v="Completed"/>
    <s v="Central"/>
    <s v="Debit Card"/>
    <m/>
    <m/>
  </r>
  <r>
    <n v="1269"/>
    <n v="5490"/>
    <x v="27"/>
    <n v="3291.84"/>
    <s v="Completed"/>
    <s v="South"/>
    <s v="Debit Card"/>
    <m/>
    <m/>
  </r>
  <r>
    <n v="1270"/>
    <n v="3575"/>
    <x v="25"/>
    <n v="3291.84"/>
    <s v="Completed"/>
    <s v="East"/>
    <s v="Apple Pay"/>
    <m/>
    <m/>
  </r>
  <r>
    <n v="1271"/>
    <n v="1940"/>
    <x v="210"/>
    <n v="3291.84"/>
    <s v="Completed"/>
    <s v="South"/>
    <s v="Debit Card"/>
    <m/>
    <m/>
  </r>
  <r>
    <n v="1272"/>
    <n v="5577"/>
    <x v="148"/>
    <n v="3291.84"/>
    <s v="Completed"/>
    <s v="West"/>
    <s v="Credit Card"/>
    <m/>
    <m/>
  </r>
  <r>
    <n v="1273"/>
    <n v="1126"/>
    <x v="83"/>
    <n v="3291.84"/>
    <s v="Completed"/>
    <s v="East"/>
    <s v="PayPal"/>
    <m/>
    <m/>
  </r>
  <r>
    <n v="1274"/>
    <n v="5168"/>
    <x v="309"/>
    <n v="3291.84"/>
    <s v="Completed"/>
    <s v="West"/>
    <s v="PayPal"/>
    <m/>
    <m/>
  </r>
  <r>
    <n v="1275"/>
    <n v="7810"/>
    <x v="271"/>
    <n v="3291.84"/>
    <s v="Returned"/>
    <s v="Central"/>
    <s v="Debit Card"/>
    <m/>
    <m/>
  </r>
  <r>
    <n v="1276"/>
    <n v="7542"/>
    <x v="42"/>
    <n v="3291.84"/>
    <s v="Completed"/>
    <s v="South"/>
    <s v="Apple Pay"/>
    <m/>
    <m/>
  </r>
  <r>
    <n v="1277"/>
    <n v="2309"/>
    <x v="20"/>
    <n v="3291.84"/>
    <s v="Returned"/>
    <s v="South"/>
    <s v="Apple Pay"/>
    <m/>
    <m/>
  </r>
  <r>
    <n v="1278"/>
    <n v="9774"/>
    <x v="108"/>
    <n v="3291.84"/>
    <s v="Completed"/>
    <s v="North"/>
    <s v="Apple Pay"/>
    <m/>
    <m/>
  </r>
  <r>
    <n v="1279"/>
    <n v="2630"/>
    <x v="44"/>
    <n v="3291.84"/>
    <s v="Completed"/>
    <s v="North"/>
    <s v="Apple Pay"/>
    <m/>
    <m/>
  </r>
  <r>
    <n v="1280"/>
    <n v="8518"/>
    <x v="79"/>
    <n v="3291.84"/>
    <s v="Completed"/>
    <s v="West"/>
    <s v="PayPal"/>
    <m/>
    <m/>
  </r>
  <r>
    <n v="1281"/>
    <n v="8630"/>
    <x v="352"/>
    <n v="3291.84"/>
    <s v="Completed"/>
    <s v="South"/>
    <s v="Credit Card"/>
    <m/>
    <m/>
  </r>
  <r>
    <n v="1282"/>
    <n v="6106"/>
    <x v="256"/>
    <n v="3291.84"/>
    <s v="Completed"/>
    <s v="South"/>
    <s v="Credit Card"/>
    <m/>
    <m/>
  </r>
  <r>
    <n v="1283"/>
    <n v="585"/>
    <x v="52"/>
    <n v="3291.84"/>
    <s v="Completed"/>
    <s v="East"/>
    <s v="PayPal"/>
    <m/>
    <m/>
  </r>
  <r>
    <n v="1284"/>
    <n v="7930"/>
    <x v="108"/>
    <n v="3291.84"/>
    <s v="Completed"/>
    <s v="North"/>
    <s v="Apple Pay"/>
    <m/>
    <m/>
  </r>
  <r>
    <n v="1285"/>
    <n v="8121"/>
    <x v="201"/>
    <n v="3291.84"/>
    <s v="Completed"/>
    <s v="South"/>
    <s v="PayPal"/>
    <m/>
    <m/>
  </r>
  <r>
    <n v="1286"/>
    <n v="5887"/>
    <x v="170"/>
    <n v="3291.84"/>
    <s v="Completed"/>
    <s v="Central"/>
    <s v="PayPal"/>
    <m/>
    <m/>
  </r>
  <r>
    <n v="1287"/>
    <n v="1694"/>
    <x v="177"/>
    <n v="3291.84"/>
    <s v="Completed"/>
    <s v="Central"/>
    <s v="Apple Pay"/>
    <m/>
    <m/>
  </r>
  <r>
    <n v="1288"/>
    <n v="2113"/>
    <x v="198"/>
    <n v="3291.84"/>
    <s v="Completed"/>
    <s v="East"/>
    <s v="PayPal"/>
    <m/>
    <m/>
  </r>
  <r>
    <n v="1289"/>
    <n v="1840"/>
    <x v="198"/>
    <n v="3291.84"/>
    <s v="Completed"/>
    <s v="South"/>
    <s v="Credit Card"/>
    <m/>
    <m/>
  </r>
  <r>
    <n v="1290"/>
    <n v="8274"/>
    <x v="148"/>
    <n v="3291.84"/>
    <s v="Completed"/>
    <s v="Central"/>
    <s v="PayPal"/>
    <m/>
    <m/>
  </r>
  <r>
    <n v="1291"/>
    <n v="9465"/>
    <x v="18"/>
    <n v="3291.84"/>
    <s v="Completed"/>
    <s v="East"/>
    <s v="Debit Card"/>
    <m/>
    <m/>
  </r>
  <r>
    <n v="1292"/>
    <n v="1530"/>
    <x v="6"/>
    <n v="3291.84"/>
    <s v="Completed"/>
    <s v="East"/>
    <s v="PayPal"/>
    <m/>
    <m/>
  </r>
  <r>
    <n v="1293"/>
    <n v="4538"/>
    <x v="308"/>
    <n v="3291.84"/>
    <s v="Completed"/>
    <s v="North"/>
    <s v="Apple Pay"/>
    <m/>
    <m/>
  </r>
  <r>
    <n v="1294"/>
    <n v="6822"/>
    <x v="122"/>
    <n v="3291.84"/>
    <s v="Completed"/>
    <s v="North"/>
    <s v="Credit Card"/>
    <m/>
    <m/>
  </r>
  <r>
    <n v="1295"/>
    <n v="1919"/>
    <x v="310"/>
    <n v="3291.84"/>
    <s v="Completed"/>
    <s v="Central"/>
    <s v="Debit Card"/>
    <m/>
    <m/>
  </r>
  <r>
    <n v="1296"/>
    <n v="1363"/>
    <x v="98"/>
    <n v="3291.84"/>
    <s v="Completed"/>
    <s v="North"/>
    <s v="Apple Pay"/>
    <m/>
    <m/>
  </r>
  <r>
    <n v="1297"/>
    <n v="5621"/>
    <x v="324"/>
    <n v="3291.84"/>
    <s v="Completed"/>
    <s v="Central"/>
    <s v="Apple Pay"/>
    <m/>
    <m/>
  </r>
  <r>
    <n v="1298"/>
    <n v="6872"/>
    <x v="238"/>
    <n v="3291.84"/>
    <s v="Completed"/>
    <s v="North"/>
    <s v="Credit Card"/>
    <m/>
    <m/>
  </r>
  <r>
    <n v="1299"/>
    <n v="9710"/>
    <x v="60"/>
    <n v="3291.84"/>
    <s v="Completed"/>
    <s v="North"/>
    <s v="Debit Card"/>
    <m/>
    <m/>
  </r>
  <r>
    <n v="1300"/>
    <n v="6672"/>
    <x v="319"/>
    <n v="3291.84"/>
    <s v="Completed"/>
    <s v="West"/>
    <s v="Apple Pay"/>
    <m/>
    <m/>
  </r>
  <r>
    <n v="1301"/>
    <n v="9684"/>
    <x v="354"/>
    <n v="3291.84"/>
    <s v="Completed"/>
    <s v="Central"/>
    <s v="Debit Card"/>
    <m/>
    <m/>
  </r>
  <r>
    <n v="1302"/>
    <n v="1248"/>
    <x v="138"/>
    <n v="3291.84"/>
    <s v="Completed"/>
    <s v="North"/>
    <s v="Credit Card"/>
    <m/>
    <m/>
  </r>
  <r>
    <n v="1303"/>
    <n v="4345"/>
    <x v="190"/>
    <n v="3291.84"/>
    <s v="Completed"/>
    <s v="East"/>
    <s v="Credit Card"/>
    <m/>
    <m/>
  </r>
  <r>
    <n v="1304"/>
    <n v="4813"/>
    <x v="78"/>
    <n v="3291.84"/>
    <s v="Completed"/>
    <s v="East"/>
    <s v="Apple Pay"/>
    <m/>
    <m/>
  </r>
  <r>
    <n v="1305"/>
    <n v="5775"/>
    <x v="140"/>
    <n v="3291.84"/>
    <s v="Completed"/>
    <s v="West"/>
    <s v="Debit Card"/>
    <m/>
    <m/>
  </r>
  <r>
    <n v="1306"/>
    <n v="3606"/>
    <x v="0"/>
    <n v="3291.84"/>
    <s v="Completed"/>
    <s v="West"/>
    <s v="Credit Card"/>
    <m/>
    <m/>
  </r>
  <r>
    <n v="1307"/>
    <n v="958"/>
    <x v="288"/>
    <n v="3291.84"/>
    <s v="Completed"/>
    <s v="West"/>
    <s v="Credit Card"/>
    <m/>
    <m/>
  </r>
  <r>
    <n v="1308"/>
    <n v="7887"/>
    <x v="39"/>
    <n v="3291.84"/>
    <s v="Completed"/>
    <s v="Central"/>
    <s v="Credit Card"/>
    <m/>
    <m/>
  </r>
  <r>
    <n v="1309"/>
    <n v="663"/>
    <x v="165"/>
    <n v="3291.84"/>
    <s v="Completed"/>
    <s v="Central"/>
    <s v="Credit Card"/>
    <m/>
    <m/>
  </r>
  <r>
    <n v="1310"/>
    <n v="7307"/>
    <x v="135"/>
    <n v="3291.84"/>
    <s v="Completed"/>
    <s v="North"/>
    <s v="Debit Card"/>
    <m/>
    <m/>
  </r>
  <r>
    <n v="1311"/>
    <n v="5410"/>
    <x v="128"/>
    <n v="3291.84"/>
    <s v="Completed"/>
    <s v="West"/>
    <s v="PayPal"/>
    <m/>
    <m/>
  </r>
  <r>
    <n v="1312"/>
    <n v="6708"/>
    <x v="100"/>
    <n v="3291.84"/>
    <s v="Completed"/>
    <s v="South"/>
    <s v="Apple Pay"/>
    <m/>
    <m/>
  </r>
  <r>
    <n v="1313"/>
    <n v="509"/>
    <x v="89"/>
    <n v="3291.84"/>
    <s v="Completed"/>
    <s v="East"/>
    <s v="Apple Pay"/>
    <m/>
    <m/>
  </r>
  <r>
    <n v="1314"/>
    <n v="3889"/>
    <x v="152"/>
    <n v="3291.84"/>
    <s v="Returned"/>
    <s v="East"/>
    <s v="Debit Card"/>
    <m/>
    <m/>
  </r>
  <r>
    <n v="1315"/>
    <n v="5878"/>
    <x v="228"/>
    <n v="3291.84"/>
    <s v="Completed"/>
    <s v="Central"/>
    <s v="PayPal"/>
    <m/>
    <m/>
  </r>
  <r>
    <n v="1316"/>
    <n v="3943"/>
    <x v="162"/>
    <n v="3291.84"/>
    <s v="Completed"/>
    <s v="North"/>
    <s v="Debit Card"/>
    <m/>
    <m/>
  </r>
  <r>
    <n v="1317"/>
    <n v="5625"/>
    <x v="220"/>
    <n v="3291.84"/>
    <s v="Completed"/>
    <s v="West"/>
    <s v="Debit Card"/>
    <m/>
    <m/>
  </r>
  <r>
    <n v="1318"/>
    <n v="2655"/>
    <x v="102"/>
    <n v="3291.84"/>
    <s v="Completed"/>
    <s v="East"/>
    <s v="Credit Card"/>
    <m/>
    <m/>
  </r>
  <r>
    <n v="1319"/>
    <n v="1326"/>
    <x v="151"/>
    <n v="3291.84"/>
    <s v="Completed"/>
    <s v="West"/>
    <s v="Credit Card"/>
    <m/>
    <m/>
  </r>
  <r>
    <n v="1320"/>
    <n v="2591"/>
    <x v="355"/>
    <n v="3291.84"/>
    <s v="Completed"/>
    <s v="East"/>
    <s v="PayPal"/>
    <m/>
    <m/>
  </r>
  <r>
    <n v="1321"/>
    <n v="263"/>
    <x v="293"/>
    <n v="3291.84"/>
    <s v="Completed"/>
    <s v="North"/>
    <s v="Debit Card"/>
    <m/>
    <m/>
  </r>
  <r>
    <n v="1322"/>
    <n v="1634"/>
    <x v="356"/>
    <n v="3291.84"/>
    <s v="Completed"/>
    <s v="North"/>
    <s v="PayPal"/>
    <m/>
    <m/>
  </r>
  <r>
    <n v="1323"/>
    <n v="2236"/>
    <x v="190"/>
    <n v="3291.84"/>
    <s v="Completed"/>
    <s v="North"/>
    <s v="Debit Card"/>
    <m/>
    <m/>
  </r>
  <r>
    <n v="1324"/>
    <n v="2339"/>
    <x v="315"/>
    <n v="3291.84"/>
    <s v="Cancelled"/>
    <s v="others"/>
    <s v="Credit Card"/>
    <m/>
    <m/>
  </r>
  <r>
    <n v="1325"/>
    <n v="6621"/>
    <x v="202"/>
    <n v="3291.84"/>
    <s v="Completed"/>
    <s v="West"/>
    <s v="Apple Pay"/>
    <m/>
    <m/>
  </r>
  <r>
    <n v="1326"/>
    <n v="7821"/>
    <x v="259"/>
    <n v="3291.84"/>
    <s v="Completed"/>
    <s v="West"/>
    <s v="Debit Card"/>
    <m/>
    <m/>
  </r>
  <r>
    <n v="1327"/>
    <n v="7023"/>
    <x v="126"/>
    <n v="3291.84"/>
    <s v="Completed"/>
    <s v="others"/>
    <s v="Debit Card"/>
    <m/>
    <m/>
  </r>
  <r>
    <n v="1328"/>
    <n v="6710"/>
    <x v="85"/>
    <n v="3291.84"/>
    <s v="Completed"/>
    <s v="South"/>
    <s v="PayPal"/>
    <m/>
    <m/>
  </r>
  <r>
    <n v="1329"/>
    <n v="9620"/>
    <x v="101"/>
    <n v="3291.84"/>
    <s v="Completed"/>
    <s v="East"/>
    <s v="Credit Card"/>
    <m/>
    <m/>
  </r>
  <r>
    <n v="1330"/>
    <n v="7930"/>
    <x v="97"/>
    <n v="3291.84"/>
    <s v="Completed"/>
    <s v="North"/>
    <s v="Debit Card"/>
    <m/>
    <m/>
  </r>
  <r>
    <n v="1331"/>
    <n v="2140"/>
    <x v="318"/>
    <n v="3291.84"/>
    <s v="Completed"/>
    <s v="East"/>
    <s v="Apple Pay"/>
    <m/>
    <m/>
  </r>
  <r>
    <n v="1332"/>
    <n v="2311"/>
    <x v="272"/>
    <n v="3291.84"/>
    <s v="Completed"/>
    <s v="South"/>
    <s v="PayPal"/>
    <m/>
    <m/>
  </r>
  <r>
    <n v="1333"/>
    <n v="1202"/>
    <x v="69"/>
    <n v="3291.84"/>
    <s v="Completed"/>
    <s v="West"/>
    <s v="Credit Card"/>
    <m/>
    <m/>
  </r>
  <r>
    <n v="1334"/>
    <n v="6957"/>
    <x v="223"/>
    <n v="3291.84"/>
    <s v="Completed"/>
    <s v="East"/>
    <s v="Credit Card"/>
    <m/>
    <m/>
  </r>
  <r>
    <n v="1335"/>
    <n v="9180"/>
    <x v="356"/>
    <n v="3291.84"/>
    <s v="Completed"/>
    <s v="East"/>
    <s v="Debit Card"/>
    <m/>
    <m/>
  </r>
  <r>
    <n v="1336"/>
    <n v="1148"/>
    <x v="24"/>
    <n v="3291.84"/>
    <s v="Completed"/>
    <s v="West"/>
    <s v="PayPal"/>
    <m/>
    <m/>
  </r>
  <r>
    <n v="1337"/>
    <n v="9425"/>
    <x v="332"/>
    <n v="3291.84"/>
    <s v="Completed"/>
    <s v="South"/>
    <s v="PayPal"/>
    <m/>
    <m/>
  </r>
  <r>
    <n v="1338"/>
    <n v="6767"/>
    <x v="133"/>
    <n v="3291.84"/>
    <s v="Completed"/>
    <s v="East"/>
    <s v="Apple Pay"/>
    <m/>
    <m/>
  </r>
  <r>
    <n v="1339"/>
    <n v="5828"/>
    <x v="210"/>
    <n v="3291.84"/>
    <s v="Completed"/>
    <s v="West"/>
    <s v="PayPal"/>
    <m/>
    <m/>
  </r>
  <r>
    <n v="1340"/>
    <n v="1718"/>
    <x v="304"/>
    <n v="3291.84"/>
    <s v="Completed"/>
    <s v="South"/>
    <s v="PayPal"/>
    <m/>
    <m/>
  </r>
  <r>
    <n v="1341"/>
    <n v="8288"/>
    <x v="331"/>
    <n v="3291.84"/>
    <s v="Completed"/>
    <s v="East"/>
    <s v="Credit Card"/>
    <m/>
    <m/>
  </r>
  <r>
    <n v="1342"/>
    <n v="1583"/>
    <x v="220"/>
    <n v="3291.84"/>
    <s v="Completed"/>
    <s v="West"/>
    <s v="Debit Card"/>
    <m/>
    <m/>
  </r>
  <r>
    <n v="1343"/>
    <n v="5375"/>
    <x v="95"/>
    <n v="3291.84"/>
    <s v="Completed"/>
    <s v="East"/>
    <s v="Debit Card"/>
    <m/>
    <m/>
  </r>
  <r>
    <n v="1344"/>
    <n v="5609"/>
    <x v="81"/>
    <n v="3291.84"/>
    <s v="Completed"/>
    <s v="East"/>
    <s v="Credit Card"/>
    <m/>
    <m/>
  </r>
  <r>
    <n v="1345"/>
    <n v="8078"/>
    <x v="87"/>
    <n v="3291.84"/>
    <s v="Completed"/>
    <s v="West"/>
    <s v="PayPal"/>
    <m/>
    <m/>
  </r>
  <r>
    <n v="1346"/>
    <n v="258"/>
    <x v="260"/>
    <n v="3291.84"/>
    <s v="Completed"/>
    <s v="West"/>
    <s v="Credit Card"/>
    <m/>
    <m/>
  </r>
  <r>
    <n v="1347"/>
    <n v="6027"/>
    <x v="334"/>
    <n v="3291.84"/>
    <s v="Completed"/>
    <s v="North"/>
    <s v="PayPal"/>
    <m/>
    <m/>
  </r>
  <r>
    <n v="1348"/>
    <n v="1883"/>
    <x v="243"/>
    <n v="3291.84"/>
    <s v="Completed"/>
    <s v="Central"/>
    <s v="Debit Card"/>
    <m/>
    <m/>
  </r>
  <r>
    <n v="1349"/>
    <n v="2185"/>
    <x v="268"/>
    <n v="3291.84"/>
    <s v="Completed"/>
    <s v="East"/>
    <s v="Credit Card"/>
    <m/>
    <m/>
  </r>
  <r>
    <n v="1350"/>
    <n v="1180"/>
    <x v="123"/>
    <n v="3291.84"/>
    <s v="Completed"/>
    <s v="Central"/>
    <s v="Apple Pay"/>
    <m/>
    <m/>
  </r>
  <r>
    <n v="1351"/>
    <n v="3722"/>
    <x v="270"/>
    <n v="3291.84"/>
    <s v="Completed"/>
    <s v="Central"/>
    <s v="PayPal"/>
    <m/>
    <m/>
  </r>
  <r>
    <n v="1352"/>
    <n v="1348"/>
    <x v="202"/>
    <n v="3291.84"/>
    <s v="Cancelled"/>
    <s v="Central"/>
    <s v="Apple Pay"/>
    <m/>
    <m/>
  </r>
  <r>
    <n v="1353"/>
    <n v="8645"/>
    <x v="33"/>
    <n v="3291.84"/>
    <s v="Completed"/>
    <s v="North"/>
    <s v="Credit Card"/>
    <m/>
    <m/>
  </r>
  <r>
    <n v="1354"/>
    <n v="8666"/>
    <x v="340"/>
    <n v="3291.84"/>
    <s v="Completed"/>
    <s v="North"/>
    <s v="PayPal"/>
    <m/>
    <m/>
  </r>
  <r>
    <n v="1355"/>
    <n v="8389"/>
    <x v="126"/>
    <n v="3291.84"/>
    <s v="Completed"/>
    <s v="East"/>
    <s v="Debit Card"/>
    <m/>
    <m/>
  </r>
  <r>
    <n v="1356"/>
    <n v="2165"/>
    <x v="174"/>
    <n v="3291.84"/>
    <s v="Completed"/>
    <s v="South"/>
    <s v="Credit Card"/>
    <m/>
    <m/>
  </r>
  <r>
    <n v="1357"/>
    <n v="1262"/>
    <x v="250"/>
    <n v="3291.84"/>
    <s v="Completed"/>
    <s v="Central"/>
    <s v="Apple Pay"/>
    <m/>
    <m/>
  </r>
  <r>
    <n v="1358"/>
    <n v="2680"/>
    <x v="243"/>
    <n v="3291.84"/>
    <s v="Completed"/>
    <s v="East"/>
    <s v="Debit Card"/>
    <m/>
    <m/>
  </r>
  <r>
    <n v="1359"/>
    <n v="3159"/>
    <x v="108"/>
    <n v="3291.84"/>
    <s v="Completed"/>
    <s v="Central"/>
    <s v="Debit Card"/>
    <m/>
    <m/>
  </r>
  <r>
    <n v="1360"/>
    <n v="866"/>
    <x v="259"/>
    <n v="3291.84"/>
    <s v="Completed"/>
    <s v="North"/>
    <s v="Credit Card"/>
    <m/>
    <m/>
  </r>
  <r>
    <n v="1361"/>
    <n v="8218"/>
    <x v="245"/>
    <n v="3291.84"/>
    <s v="Completed"/>
    <s v="West"/>
    <s v="Debit Card"/>
    <m/>
    <m/>
  </r>
  <r>
    <n v="1362"/>
    <n v="6319"/>
    <x v="103"/>
    <n v="3291.84"/>
    <s v="Cancelled"/>
    <s v="North"/>
    <s v="Credit Card"/>
    <m/>
    <m/>
  </r>
  <r>
    <n v="1363"/>
    <n v="2977"/>
    <x v="255"/>
    <n v="3291.84"/>
    <s v="Completed"/>
    <s v="West"/>
    <s v="Apple Pay"/>
    <m/>
    <m/>
  </r>
  <r>
    <n v="1364"/>
    <n v="4394"/>
    <x v="290"/>
    <n v="3291.84"/>
    <s v="Completed"/>
    <s v="West"/>
    <s v="Credit Card"/>
    <m/>
    <m/>
  </r>
  <r>
    <n v="1365"/>
    <n v="4133"/>
    <x v="282"/>
    <n v="3291.84"/>
    <s v="Completed"/>
    <s v="Central"/>
    <s v="Debit Card"/>
    <m/>
    <m/>
  </r>
  <r>
    <n v="1366"/>
    <n v="218"/>
    <x v="215"/>
    <n v="3291.84"/>
    <s v="Completed"/>
    <s v="North"/>
    <s v="Apple Pay"/>
    <m/>
    <m/>
  </r>
  <r>
    <n v="1367"/>
    <n v="4307"/>
    <x v="277"/>
    <n v="3291.84"/>
    <s v="Completed"/>
    <s v="North"/>
    <s v="Debit Card"/>
    <m/>
    <m/>
  </r>
  <r>
    <n v="1368"/>
    <n v="8781"/>
    <x v="287"/>
    <n v="3291.84"/>
    <s v="Completed"/>
    <s v="Central"/>
    <s v="Apple Pay"/>
    <m/>
    <m/>
  </r>
  <r>
    <n v="1369"/>
    <n v="1240"/>
    <x v="124"/>
    <n v="3291.84"/>
    <s v="Completed"/>
    <s v="East"/>
    <s v="Debit Card"/>
    <m/>
    <m/>
  </r>
  <r>
    <n v="1370"/>
    <n v="5396"/>
    <x v="291"/>
    <n v="3291.84"/>
    <s v="Completed"/>
    <s v="East"/>
    <s v="Apple Pay"/>
    <m/>
    <m/>
  </r>
  <r>
    <n v="1371"/>
    <n v="1644"/>
    <x v="101"/>
    <n v="3291.84"/>
    <s v="Completed"/>
    <s v="West"/>
    <s v="Debit Card"/>
    <m/>
    <m/>
  </r>
  <r>
    <n v="1372"/>
    <n v="1319"/>
    <x v="180"/>
    <n v="3291.84"/>
    <s v="Completed"/>
    <s v="Central"/>
    <s v="PayPal"/>
    <m/>
    <m/>
  </r>
  <r>
    <n v="1373"/>
    <n v="2514"/>
    <x v="321"/>
    <n v="3291.84"/>
    <s v="Completed"/>
    <s v="West"/>
    <s v="Apple Pay"/>
    <m/>
    <m/>
  </r>
  <r>
    <n v="1374"/>
    <n v="9314"/>
    <x v="149"/>
    <n v="3291.84"/>
    <s v="Completed"/>
    <s v="South"/>
    <s v="PayPal"/>
    <m/>
    <m/>
  </r>
  <r>
    <n v="1375"/>
    <n v="2913"/>
    <x v="255"/>
    <n v="3291.84"/>
    <s v="Completed"/>
    <s v="South"/>
    <s v="Debit Card"/>
    <m/>
    <m/>
  </r>
  <r>
    <n v="1376"/>
    <n v="994"/>
    <x v="295"/>
    <n v="3291.84"/>
    <s v="Completed"/>
    <s v="South"/>
    <s v="Debit Card"/>
    <m/>
    <m/>
  </r>
  <r>
    <n v="1377"/>
    <n v="8078"/>
    <x v="28"/>
    <n v="3291.84"/>
    <s v="Completed"/>
    <s v="West"/>
    <s v="Credit Card"/>
    <m/>
    <m/>
  </r>
  <r>
    <n v="1378"/>
    <n v="7461"/>
    <x v="68"/>
    <n v="3291.84"/>
    <s v="Completed"/>
    <s v="South"/>
    <s v="Credit Card"/>
    <m/>
    <m/>
  </r>
  <r>
    <n v="1379"/>
    <n v="5138"/>
    <x v="142"/>
    <n v="3291.84"/>
    <s v="Completed"/>
    <s v="East"/>
    <s v="Debit Card"/>
    <m/>
    <m/>
  </r>
  <r>
    <n v="1380"/>
    <n v="3500"/>
    <x v="271"/>
    <n v="3291.84"/>
    <s v="Completed"/>
    <s v="West"/>
    <s v="Credit Card"/>
    <m/>
    <m/>
  </r>
  <r>
    <n v="1381"/>
    <n v="1092"/>
    <x v="224"/>
    <n v="3291.84"/>
    <s v="Completed"/>
    <s v="North"/>
    <s v="PayPal"/>
    <m/>
    <m/>
  </r>
  <r>
    <n v="1382"/>
    <n v="8625"/>
    <x v="168"/>
    <n v="3291.84"/>
    <s v="Completed"/>
    <s v="Central"/>
    <s v="Credit Card"/>
    <m/>
    <m/>
  </r>
  <r>
    <n v="1383"/>
    <n v="2523"/>
    <x v="231"/>
    <n v="3291.84"/>
    <s v="Completed"/>
    <s v="East"/>
    <s v="Debit Card"/>
    <m/>
    <m/>
  </r>
  <r>
    <n v="1384"/>
    <n v="6722"/>
    <x v="129"/>
    <n v="3291.84"/>
    <s v="Completed"/>
    <s v="South"/>
    <s v="PayPal"/>
    <m/>
    <m/>
  </r>
  <r>
    <n v="1385"/>
    <n v="3770"/>
    <x v="172"/>
    <n v="3291.84"/>
    <s v="Completed"/>
    <s v="Central"/>
    <s v="PayPal"/>
    <m/>
    <m/>
  </r>
  <r>
    <n v="1386"/>
    <n v="5875"/>
    <x v="205"/>
    <n v="3291.84"/>
    <s v="Completed"/>
    <s v="South"/>
    <s v="Debit Card"/>
    <m/>
    <m/>
  </r>
  <r>
    <n v="1387"/>
    <n v="7712"/>
    <x v="357"/>
    <n v="3291.84"/>
    <s v="Completed"/>
    <s v="West"/>
    <s v="Credit Card"/>
    <m/>
    <m/>
  </r>
  <r>
    <n v="1388"/>
    <n v="4979"/>
    <x v="248"/>
    <n v="3291.84"/>
    <s v="Completed"/>
    <s v="Central"/>
    <s v="Credit Card"/>
    <m/>
    <m/>
  </r>
  <r>
    <n v="1389"/>
    <n v="7402"/>
    <x v="135"/>
    <n v="3291.84"/>
    <s v="Completed"/>
    <s v="North"/>
    <s v="Debit Card"/>
    <m/>
    <m/>
  </r>
  <r>
    <n v="1390"/>
    <n v="720"/>
    <x v="84"/>
    <n v="3291.84"/>
    <s v="Completed"/>
    <s v="South"/>
    <s v="Credit Card"/>
    <m/>
    <m/>
  </r>
  <r>
    <n v="1391"/>
    <n v="2473"/>
    <x v="339"/>
    <n v="3291.84"/>
    <s v="Completed"/>
    <s v="Central"/>
    <s v="Apple Pay"/>
    <m/>
    <m/>
  </r>
  <r>
    <n v="1392"/>
    <n v="6054"/>
    <x v="114"/>
    <n v="3291.84"/>
    <s v="Completed"/>
    <s v="West"/>
    <s v="Debit Card"/>
    <m/>
    <m/>
  </r>
  <r>
    <n v="1393"/>
    <n v="1636"/>
    <x v="45"/>
    <n v="3291.84"/>
    <s v="Completed"/>
    <s v="North"/>
    <s v="Debit Card"/>
    <m/>
    <m/>
  </r>
  <r>
    <n v="1394"/>
    <n v="646"/>
    <x v="166"/>
    <n v="3291.84"/>
    <s v="Completed"/>
    <s v="East"/>
    <s v="Debit Card"/>
    <m/>
    <m/>
  </r>
  <r>
    <n v="1395"/>
    <n v="8773"/>
    <x v="152"/>
    <n v="3291.84"/>
    <s v="Completed"/>
    <s v="Central"/>
    <s v="Apple Pay"/>
    <m/>
    <m/>
  </r>
  <r>
    <n v="1396"/>
    <n v="3464"/>
    <x v="83"/>
    <n v="3291.84"/>
    <s v="Cancelled"/>
    <s v="West"/>
    <s v="Apple Pay"/>
    <m/>
    <m/>
  </r>
  <r>
    <n v="1397"/>
    <n v="9202"/>
    <x v="129"/>
    <n v="3291.84"/>
    <s v="Completed"/>
    <s v="Central"/>
    <s v="Apple Pay"/>
    <m/>
    <m/>
  </r>
  <r>
    <n v="1398"/>
    <n v="7504"/>
    <x v="103"/>
    <n v="3291.84"/>
    <s v="Completed"/>
    <s v="West"/>
    <s v="PayPal"/>
    <m/>
    <m/>
  </r>
  <r>
    <n v="1399"/>
    <n v="6443"/>
    <x v="160"/>
    <n v="3291.84"/>
    <s v="Completed"/>
    <s v="Central"/>
    <s v="PayPal"/>
    <m/>
    <m/>
  </r>
  <r>
    <n v="1400"/>
    <n v="2994"/>
    <x v="169"/>
    <n v="3291.84"/>
    <s v="Completed"/>
    <s v="West"/>
    <s v="PayPal"/>
    <m/>
    <m/>
  </r>
  <r>
    <n v="1401"/>
    <n v="3549"/>
    <x v="203"/>
    <n v="3291.84"/>
    <s v="Completed"/>
    <s v="others"/>
    <s v="Debit Card"/>
    <m/>
    <m/>
  </r>
  <r>
    <n v="1402"/>
    <n v="3808"/>
    <x v="48"/>
    <n v="3291.84"/>
    <s v="Completed"/>
    <s v="North"/>
    <s v="Debit Card"/>
    <m/>
    <m/>
  </r>
  <r>
    <n v="1403"/>
    <n v="8612"/>
    <x v="38"/>
    <n v="3291.84"/>
    <s v="Completed"/>
    <s v="South"/>
    <s v="PayPal"/>
    <m/>
    <m/>
  </r>
  <r>
    <n v="1404"/>
    <n v="1000"/>
    <x v="352"/>
    <n v="3291.84"/>
    <s v="Completed"/>
    <s v="North"/>
    <s v="Apple Pay"/>
    <m/>
    <m/>
  </r>
  <r>
    <n v="1405"/>
    <n v="1207"/>
    <x v="140"/>
    <n v="3291.84"/>
    <s v="Completed"/>
    <s v="South"/>
    <s v="Apple Pay"/>
    <m/>
    <m/>
  </r>
  <r>
    <n v="1406"/>
    <n v="5301"/>
    <x v="146"/>
    <n v="3291.84"/>
    <s v="Completed"/>
    <s v="West"/>
    <s v="Debit Card"/>
    <m/>
    <m/>
  </r>
  <r>
    <n v="1407"/>
    <n v="2393"/>
    <x v="227"/>
    <n v="3291.84"/>
    <s v="Completed"/>
    <s v="South"/>
    <s v="Debit Card"/>
    <m/>
    <m/>
  </r>
  <r>
    <n v="1408"/>
    <n v="6950"/>
    <x v="303"/>
    <n v="3291.84"/>
    <s v="Completed"/>
    <s v="South"/>
    <s v="Debit Card"/>
    <m/>
    <m/>
  </r>
  <r>
    <n v="1409"/>
    <n v="2572"/>
    <x v="180"/>
    <n v="3291.84"/>
    <s v="Completed"/>
    <s v="West"/>
    <s v="PayPal"/>
    <m/>
    <m/>
  </r>
  <r>
    <n v="1410"/>
    <n v="7569"/>
    <x v="28"/>
    <n v="3291.84"/>
    <s v="Completed"/>
    <s v="East"/>
    <s v="Debit Card"/>
    <m/>
    <m/>
  </r>
  <r>
    <n v="1411"/>
    <n v="606"/>
    <x v="6"/>
    <n v="3291.84"/>
    <s v="Completed"/>
    <s v="West"/>
    <s v="Apple Pay"/>
    <m/>
    <m/>
  </r>
  <r>
    <n v="1412"/>
    <n v="9239"/>
    <x v="141"/>
    <n v="3291.84"/>
    <s v="Completed"/>
    <s v="South"/>
    <s v="PayPal"/>
    <m/>
    <m/>
  </r>
  <r>
    <n v="1413"/>
    <n v="1455"/>
    <x v="322"/>
    <n v="3291.84"/>
    <s v="Completed"/>
    <s v="South"/>
    <s v="Apple Pay"/>
    <m/>
    <m/>
  </r>
  <r>
    <n v="1414"/>
    <n v="188"/>
    <x v="80"/>
    <n v="3291.84"/>
    <s v="Completed"/>
    <s v="East"/>
    <s v="Debit Card"/>
    <m/>
    <m/>
  </r>
  <r>
    <n v="1415"/>
    <n v="9123"/>
    <x v="73"/>
    <n v="3291.84"/>
    <s v="Completed"/>
    <s v="North"/>
    <s v="Credit Card"/>
    <m/>
    <m/>
  </r>
  <r>
    <n v="1416"/>
    <n v="9679"/>
    <x v="13"/>
    <n v="3291.84"/>
    <s v="Completed"/>
    <s v="West"/>
    <s v="Debit Card"/>
    <m/>
    <m/>
  </r>
  <r>
    <n v="1417"/>
    <n v="6668"/>
    <x v="208"/>
    <n v="3291.84"/>
    <s v="Completed"/>
    <s v="North"/>
    <s v="Debit Card"/>
    <m/>
    <m/>
  </r>
  <r>
    <n v="1418"/>
    <n v="1661"/>
    <x v="326"/>
    <n v="3291.84"/>
    <s v="Completed"/>
    <s v="South"/>
    <s v="Credit Card"/>
    <m/>
    <m/>
  </r>
  <r>
    <n v="1419"/>
    <n v="8836"/>
    <x v="98"/>
    <n v="3291.84"/>
    <s v="Completed"/>
    <s v="West"/>
    <s v="Apple Pay"/>
    <m/>
    <m/>
  </r>
  <r>
    <n v="1420"/>
    <n v="965"/>
    <x v="226"/>
    <n v="3291.84"/>
    <s v="Cancelled"/>
    <s v="North"/>
    <s v="Apple Pay"/>
    <m/>
    <m/>
  </r>
  <r>
    <n v="1421"/>
    <n v="8219"/>
    <x v="318"/>
    <n v="3291.84"/>
    <s v="Completed"/>
    <s v="South"/>
    <s v="PayPal"/>
    <m/>
    <m/>
  </r>
  <r>
    <n v="1422"/>
    <n v="2040"/>
    <x v="86"/>
    <n v="3291.84"/>
    <s v="Completed"/>
    <s v="South"/>
    <s v="Debit Card"/>
    <m/>
    <m/>
  </r>
  <r>
    <n v="1423"/>
    <n v="6872"/>
    <x v="349"/>
    <n v="3291.84"/>
    <s v="Completed"/>
    <s v="North"/>
    <s v="PayPal"/>
    <m/>
    <m/>
  </r>
  <r>
    <n v="1424"/>
    <n v="4451"/>
    <x v="305"/>
    <n v="3291.84"/>
    <s v="Completed"/>
    <s v="North"/>
    <s v="Credit Card"/>
    <m/>
    <m/>
  </r>
  <r>
    <n v="1425"/>
    <n v="7468"/>
    <x v="0"/>
    <n v="3291.84"/>
    <s v="Completed"/>
    <s v="others"/>
    <s v="Debit Card"/>
    <m/>
    <m/>
  </r>
  <r>
    <n v="1426"/>
    <n v="8566"/>
    <x v="124"/>
    <n v="3291.84"/>
    <s v="Completed"/>
    <s v="Central"/>
    <s v="PayPal"/>
    <m/>
    <m/>
  </r>
  <r>
    <n v="1427"/>
    <n v="4731"/>
    <x v="358"/>
    <n v="3291.84"/>
    <s v="Completed"/>
    <s v="Central"/>
    <s v="PayPal"/>
    <m/>
    <m/>
  </r>
  <r>
    <n v="1428"/>
    <n v="8560"/>
    <x v="211"/>
    <n v="3291.84"/>
    <s v="Completed"/>
    <s v="South"/>
    <s v="Debit Card"/>
    <m/>
    <m/>
  </r>
  <r>
    <n v="1429"/>
    <n v="5582"/>
    <x v="95"/>
    <n v="3291.84"/>
    <s v="Completed"/>
    <s v="North"/>
    <s v="Credit Card"/>
    <m/>
    <m/>
  </r>
  <r>
    <n v="1430"/>
    <n v="2279"/>
    <x v="346"/>
    <n v="3291.84"/>
    <s v="Completed"/>
    <s v="South"/>
    <s v="Debit Card"/>
    <m/>
    <m/>
  </r>
  <r>
    <n v="1431"/>
    <n v="2339"/>
    <x v="149"/>
    <n v="3291.84"/>
    <s v="Completed"/>
    <s v="Central"/>
    <s v="PayPal"/>
    <m/>
    <m/>
  </r>
  <r>
    <n v="1432"/>
    <n v="1148"/>
    <x v="302"/>
    <n v="3291.84"/>
    <s v="Completed"/>
    <s v="West"/>
    <s v="Credit Card"/>
    <m/>
    <m/>
  </r>
  <r>
    <n v="1433"/>
    <n v="8543"/>
    <x v="66"/>
    <n v="3291.84"/>
    <s v="Completed"/>
    <s v="West"/>
    <s v="Debit Card"/>
    <m/>
    <m/>
  </r>
  <r>
    <n v="1434"/>
    <n v="8354"/>
    <x v="104"/>
    <n v="3291.84"/>
    <s v="Completed"/>
    <s v="South"/>
    <s v="PayPal"/>
    <m/>
    <m/>
  </r>
  <r>
    <n v="1435"/>
    <n v="8642"/>
    <x v="55"/>
    <n v="3291.84"/>
    <s v="Completed"/>
    <s v="North"/>
    <s v="Credit Card"/>
    <m/>
    <m/>
  </r>
  <r>
    <n v="1436"/>
    <n v="8897"/>
    <x v="217"/>
    <n v="3291.84"/>
    <s v="Completed"/>
    <s v="Central"/>
    <s v="Apple Pay"/>
    <m/>
    <m/>
  </r>
  <r>
    <n v="1437"/>
    <n v="8098"/>
    <x v="79"/>
    <n v="3291.84"/>
    <s v="Completed"/>
    <s v="East"/>
    <s v="PayPal"/>
    <m/>
    <m/>
  </r>
  <r>
    <n v="1438"/>
    <n v="1062"/>
    <x v="42"/>
    <n v="3291.84"/>
    <s v="Completed"/>
    <s v="West"/>
    <s v="Credit Card"/>
    <m/>
    <m/>
  </r>
  <r>
    <n v="1439"/>
    <n v="6955"/>
    <x v="246"/>
    <n v="3291.84"/>
    <s v="Completed"/>
    <s v="Central"/>
    <s v="Debit Card"/>
    <m/>
    <m/>
  </r>
  <r>
    <n v="1440"/>
    <n v="6761"/>
    <x v="352"/>
    <n v="3291.84"/>
    <s v="Completed"/>
    <s v="West"/>
    <s v="PayPal"/>
    <m/>
    <m/>
  </r>
  <r>
    <n v="1441"/>
    <n v="7385"/>
    <x v="175"/>
    <n v="3291.84"/>
    <s v="Completed"/>
    <s v="Central"/>
    <s v="Apple Pay"/>
    <m/>
    <m/>
  </r>
  <r>
    <n v="1442"/>
    <n v="7044"/>
    <x v="170"/>
    <n v="3291.84"/>
    <s v="Completed"/>
    <s v="others"/>
    <s v="PayPal"/>
    <m/>
    <m/>
  </r>
  <r>
    <n v="1443"/>
    <n v="3970"/>
    <x v="201"/>
    <n v="3291.84"/>
    <s v="Completed"/>
    <s v="East"/>
    <s v="Credit Card"/>
    <m/>
    <m/>
  </r>
  <r>
    <n v="1444"/>
    <n v="6432"/>
    <x v="132"/>
    <n v="3291.84"/>
    <s v="Completed"/>
    <s v="Central"/>
    <s v="Credit Card"/>
    <m/>
    <m/>
  </r>
  <r>
    <n v="1445"/>
    <n v="9681"/>
    <x v="282"/>
    <n v="3291.84"/>
    <s v="Completed"/>
    <s v="Central"/>
    <s v="Apple Pay"/>
    <m/>
    <m/>
  </r>
  <r>
    <n v="1446"/>
    <n v="546"/>
    <x v="92"/>
    <n v="3291.84"/>
    <s v="Completed"/>
    <s v="East"/>
    <s v="Credit Card"/>
    <m/>
    <m/>
  </r>
  <r>
    <n v="1447"/>
    <n v="4142"/>
    <x v="309"/>
    <n v="3291.84"/>
    <s v="Completed"/>
    <s v="Central"/>
    <s v="Apple Pay"/>
    <m/>
    <m/>
  </r>
  <r>
    <n v="1448"/>
    <n v="8100"/>
    <x v="6"/>
    <n v="3291.84"/>
    <s v="Completed"/>
    <s v="North"/>
    <s v="Credit Card"/>
    <m/>
    <m/>
  </r>
  <r>
    <n v="1449"/>
    <n v="3958"/>
    <x v="50"/>
    <n v="3291.84"/>
    <s v="Completed"/>
    <s v="South"/>
    <s v="Credit Card"/>
    <m/>
    <m/>
  </r>
  <r>
    <n v="1450"/>
    <n v="4031"/>
    <x v="58"/>
    <n v="3291.84"/>
    <s v="Completed"/>
    <s v="South"/>
    <s v="Apple Pay"/>
    <m/>
    <m/>
  </r>
  <r>
    <n v="1451"/>
    <n v="731"/>
    <x v="341"/>
    <n v="3291.84"/>
    <s v="Completed"/>
    <s v="East"/>
    <s v="Credit Card"/>
    <m/>
    <m/>
  </r>
  <r>
    <n v="1452"/>
    <n v="253"/>
    <x v="136"/>
    <n v="3291.84"/>
    <s v="Completed"/>
    <s v="East"/>
    <s v="Credit Card"/>
    <m/>
    <m/>
  </r>
  <r>
    <n v="1453"/>
    <n v="4486"/>
    <x v="112"/>
    <n v="3291.84"/>
    <s v="Completed"/>
    <s v="Central"/>
    <s v="Apple Pay"/>
    <m/>
    <m/>
  </r>
  <r>
    <n v="1454"/>
    <n v="2736"/>
    <x v="210"/>
    <n v="3291.84"/>
    <s v="Cancelled"/>
    <s v="Central"/>
    <s v="Apple Pay"/>
    <m/>
    <m/>
  </r>
  <r>
    <n v="1455"/>
    <n v="3084"/>
    <x v="18"/>
    <n v="3291.84"/>
    <s v="Completed"/>
    <s v="West"/>
    <s v="Debit Card"/>
    <m/>
    <m/>
  </r>
  <r>
    <n v="1456"/>
    <n v="6588"/>
    <x v="153"/>
    <n v="3291.84"/>
    <s v="Completed"/>
    <s v="South"/>
    <s v="Debit Card"/>
    <m/>
    <m/>
  </r>
  <r>
    <n v="1457"/>
    <n v="2810"/>
    <x v="210"/>
    <n v="3291.84"/>
    <s v="Completed"/>
    <s v="Central"/>
    <s v="PayPal"/>
    <m/>
    <m/>
  </r>
  <r>
    <n v="1458"/>
    <n v="306"/>
    <x v="95"/>
    <n v="3291.84"/>
    <s v="Completed"/>
    <s v="Central"/>
    <s v="PayPal"/>
    <m/>
    <m/>
  </r>
  <r>
    <n v="1459"/>
    <n v="7827"/>
    <x v="278"/>
    <n v="3291.84"/>
    <s v="Completed"/>
    <s v="East"/>
    <s v="PayPal"/>
    <m/>
    <m/>
  </r>
  <r>
    <n v="1460"/>
    <n v="2665"/>
    <x v="48"/>
    <n v="3291.84"/>
    <s v="Completed"/>
    <s v="West"/>
    <s v="Credit Card"/>
    <m/>
    <m/>
  </r>
  <r>
    <n v="1461"/>
    <n v="8063"/>
    <x v="131"/>
    <n v="3291.84"/>
    <s v="Completed"/>
    <s v="West"/>
    <s v="Apple Pay"/>
    <m/>
    <m/>
  </r>
  <r>
    <n v="1462"/>
    <n v="2018"/>
    <x v="335"/>
    <n v="3291.84"/>
    <s v="Completed"/>
    <s v="Central"/>
    <s v="Debit Card"/>
    <m/>
    <m/>
  </r>
  <r>
    <n v="1463"/>
    <n v="653"/>
    <x v="93"/>
    <n v="3291.84"/>
    <s v="Completed"/>
    <s v="South"/>
    <s v="Apple Pay"/>
    <m/>
    <m/>
  </r>
  <r>
    <n v="1464"/>
    <n v="590"/>
    <x v="246"/>
    <n v="3291.84"/>
    <s v="Completed"/>
    <s v="North"/>
    <s v="Debit Card"/>
    <m/>
    <m/>
  </r>
  <r>
    <n v="1465"/>
    <n v="1797"/>
    <x v="206"/>
    <n v="3291.84"/>
    <s v="Completed"/>
    <s v="North"/>
    <s v="Apple Pay"/>
    <m/>
    <m/>
  </r>
  <r>
    <n v="1466"/>
    <n v="1056"/>
    <x v="294"/>
    <n v="3291.84"/>
    <s v="Completed"/>
    <s v="West"/>
    <s v="Apple Pay"/>
    <m/>
    <m/>
  </r>
  <r>
    <n v="1467"/>
    <n v="2716"/>
    <x v="334"/>
    <n v="3291.84"/>
    <s v="Completed"/>
    <s v="Central"/>
    <s v="Debit Card"/>
    <m/>
    <m/>
  </r>
  <r>
    <n v="1468"/>
    <n v="431"/>
    <x v="251"/>
    <n v="3291.84"/>
    <s v="Completed"/>
    <s v="West"/>
    <s v="Debit Card"/>
    <m/>
    <m/>
  </r>
  <r>
    <n v="1469"/>
    <n v="3857"/>
    <x v="250"/>
    <n v="3291.84"/>
    <s v="Completed"/>
    <s v="East"/>
    <s v="Apple Pay"/>
    <m/>
    <m/>
  </r>
  <r>
    <n v="1470"/>
    <n v="577"/>
    <x v="139"/>
    <n v="3291.84"/>
    <s v="Completed"/>
    <s v="North"/>
    <s v="Credit Card"/>
    <m/>
    <m/>
  </r>
  <r>
    <n v="1471"/>
    <n v="9997"/>
    <x v="221"/>
    <n v="3291.84"/>
    <s v="Completed"/>
    <s v="South"/>
    <s v="Debit Card"/>
    <m/>
    <m/>
  </r>
  <r>
    <n v="1472"/>
    <n v="9483"/>
    <x v="358"/>
    <n v="3291.84"/>
    <s v="Completed"/>
    <s v="West"/>
    <s v="Debit Card"/>
    <m/>
    <m/>
  </r>
  <r>
    <n v="1473"/>
    <n v="1136"/>
    <x v="172"/>
    <n v="3291.84"/>
    <s v="Completed"/>
    <s v="North"/>
    <s v="Apple Pay"/>
    <m/>
    <m/>
  </r>
  <r>
    <n v="1474"/>
    <n v="5216"/>
    <x v="248"/>
    <n v="3291.84"/>
    <s v="Completed"/>
    <s v="West"/>
    <s v="Credit Card"/>
    <m/>
    <m/>
  </r>
  <r>
    <n v="1475"/>
    <n v="6766"/>
    <x v="262"/>
    <n v="3291.84"/>
    <s v="Completed"/>
    <s v="East"/>
    <s v="PayPal"/>
    <m/>
    <m/>
  </r>
  <r>
    <n v="1476"/>
    <n v="3963"/>
    <x v="303"/>
    <n v="3291.84"/>
    <s v="Completed"/>
    <s v="Central"/>
    <s v="Apple Pay"/>
    <m/>
    <m/>
  </r>
  <r>
    <n v="1477"/>
    <n v="8982"/>
    <x v="63"/>
    <n v="3291.84"/>
    <s v="Completed"/>
    <s v="others"/>
    <s v="Credit Card"/>
    <m/>
    <m/>
  </r>
  <r>
    <n v="1478"/>
    <n v="7099"/>
    <x v="312"/>
    <n v="3291.84"/>
    <s v="Completed"/>
    <s v="West"/>
    <s v="Debit Card"/>
    <m/>
    <m/>
  </r>
  <r>
    <n v="1479"/>
    <n v="6822"/>
    <x v="274"/>
    <n v="3291.84"/>
    <s v="Completed"/>
    <s v="North"/>
    <s v="PayPal"/>
    <m/>
    <m/>
  </r>
  <r>
    <n v="1480"/>
    <n v="297"/>
    <x v="43"/>
    <n v="3291.84"/>
    <s v="Completed"/>
    <s v="East"/>
    <s v="PayPal"/>
    <m/>
    <m/>
  </r>
  <r>
    <n v="1481"/>
    <n v="624"/>
    <x v="86"/>
    <n v="3291.84"/>
    <s v="Cancelled"/>
    <s v="Central"/>
    <s v="Debit Card"/>
    <m/>
    <m/>
  </r>
  <r>
    <n v="1482"/>
    <n v="1643"/>
    <x v="236"/>
    <n v="3291.84"/>
    <s v="Completed"/>
    <s v="South"/>
    <s v="Debit Card"/>
    <m/>
    <m/>
  </r>
  <r>
    <n v="1483"/>
    <n v="8027"/>
    <x v="92"/>
    <n v="3291.84"/>
    <s v="Completed"/>
    <s v="South"/>
    <s v="Apple Pay"/>
    <m/>
    <m/>
  </r>
  <r>
    <n v="1484"/>
    <n v="2993"/>
    <x v="104"/>
    <n v="3291.84"/>
    <s v="Completed"/>
    <s v="West"/>
    <s v="Debit Card"/>
    <m/>
    <m/>
  </r>
  <r>
    <n v="1485"/>
    <n v="1962"/>
    <x v="86"/>
    <n v="3291.84"/>
    <s v="Completed"/>
    <s v="East"/>
    <s v="Apple Pay"/>
    <m/>
    <m/>
  </r>
  <r>
    <n v="1486"/>
    <n v="2471"/>
    <x v="93"/>
    <n v="3291.84"/>
    <s v="Completed"/>
    <s v="West"/>
    <s v="Apple Pay"/>
    <m/>
    <m/>
  </r>
  <r>
    <n v="1487"/>
    <n v="8951"/>
    <x v="135"/>
    <n v="3291.84"/>
    <s v="Completed"/>
    <s v="Central"/>
    <s v="Debit Card"/>
    <m/>
    <m/>
  </r>
  <r>
    <n v="1488"/>
    <n v="9199"/>
    <x v="337"/>
    <n v="3291.84"/>
    <s v="Completed"/>
    <s v="West"/>
    <s v="Credit Card"/>
    <m/>
    <m/>
  </r>
  <r>
    <n v="1489"/>
    <n v="8466"/>
    <x v="252"/>
    <n v="3291.84"/>
    <s v="Completed"/>
    <s v="West"/>
    <s v="Apple Pay"/>
    <m/>
    <m/>
  </r>
  <r>
    <n v="1490"/>
    <n v="4526"/>
    <x v="70"/>
    <n v="3291.84"/>
    <s v="Completed"/>
    <s v="South"/>
    <s v="Credit Card"/>
    <m/>
    <m/>
  </r>
  <r>
    <n v="1491"/>
    <n v="2243"/>
    <x v="196"/>
    <n v="3291.84"/>
    <s v="Completed"/>
    <s v="West"/>
    <s v="Apple Pay"/>
    <m/>
    <m/>
  </r>
  <r>
    <n v="1492"/>
    <n v="7822"/>
    <x v="3"/>
    <n v="3291.84"/>
    <s v="Completed"/>
    <s v="Central"/>
    <s v="Credit Card"/>
    <m/>
    <m/>
  </r>
  <r>
    <n v="1493"/>
    <n v="6912"/>
    <x v="116"/>
    <n v="3291.84"/>
    <s v="Completed"/>
    <s v="East"/>
    <s v="Apple Pay"/>
    <m/>
    <m/>
  </r>
  <r>
    <n v="1494"/>
    <n v="3468"/>
    <x v="165"/>
    <n v="3291.84"/>
    <s v="Completed"/>
    <s v="South"/>
    <s v="PayPal"/>
    <m/>
    <m/>
  </r>
  <r>
    <n v="1495"/>
    <n v="811"/>
    <x v="300"/>
    <n v="3291.84"/>
    <s v="Completed"/>
    <s v="Central"/>
    <s v="Debit Card"/>
    <m/>
    <m/>
  </r>
  <r>
    <n v="1496"/>
    <n v="1360"/>
    <x v="152"/>
    <n v="3291.84"/>
    <s v="Completed"/>
    <s v="Central"/>
    <s v="PayPal"/>
    <m/>
    <m/>
  </r>
  <r>
    <n v="1497"/>
    <n v="7631"/>
    <x v="21"/>
    <n v="3291.84"/>
    <s v="Completed"/>
    <s v="Central"/>
    <s v="Apple Pay"/>
    <m/>
    <m/>
  </r>
  <r>
    <n v="1498"/>
    <n v="4812"/>
    <x v="213"/>
    <n v="3291.84"/>
    <s v="Completed"/>
    <s v="East"/>
    <s v="Debit Card"/>
    <m/>
    <m/>
  </r>
  <r>
    <n v="1499"/>
    <n v="7074"/>
    <x v="93"/>
    <n v="3291.84"/>
    <s v="Completed"/>
    <s v="South"/>
    <s v="Debit Card"/>
    <m/>
    <m/>
  </r>
  <r>
    <n v="1500"/>
    <n v="6605"/>
    <x v="313"/>
    <n v="3291.84"/>
    <s v="Completed"/>
    <s v="South"/>
    <s v="Debit Card"/>
    <m/>
    <m/>
  </r>
  <r>
    <n v="1501"/>
    <n v="5056"/>
    <x v="359"/>
    <n v="3291.84"/>
    <s v="Completed"/>
    <s v="North"/>
    <s v="Credit Card"/>
    <m/>
    <m/>
  </r>
  <r>
    <n v="1502"/>
    <n v="5920"/>
    <x v="193"/>
    <n v="3291.84"/>
    <s v="Completed"/>
    <s v="North"/>
    <s v="Apple Pay"/>
    <m/>
    <m/>
  </r>
  <r>
    <n v="1503"/>
    <n v="2667"/>
    <x v="59"/>
    <n v="3291.84"/>
    <s v="Completed"/>
    <s v="East"/>
    <s v="PayPal"/>
    <m/>
    <m/>
  </r>
  <r>
    <n v="1504"/>
    <n v="5119"/>
    <x v="122"/>
    <n v="3291.84"/>
    <s v="Completed"/>
    <s v="North"/>
    <s v="Apple Pay"/>
    <m/>
    <m/>
  </r>
  <r>
    <n v="1505"/>
    <n v="5184"/>
    <x v="67"/>
    <n v="3291.84"/>
    <s v="Completed"/>
    <s v="others"/>
    <s v="Credit Card"/>
    <m/>
    <m/>
  </r>
  <r>
    <n v="1506"/>
    <n v="2455"/>
    <x v="231"/>
    <n v="3291.84"/>
    <s v="Completed"/>
    <s v="West"/>
    <s v="PayPal"/>
    <m/>
    <m/>
  </r>
  <r>
    <n v="1507"/>
    <n v="2950"/>
    <x v="209"/>
    <n v="3291.84"/>
    <s v="Completed"/>
    <s v="North"/>
    <s v="Debit Card"/>
    <m/>
    <m/>
  </r>
  <r>
    <n v="1508"/>
    <n v="8926"/>
    <x v="222"/>
    <n v="3291.84"/>
    <s v="Completed"/>
    <s v="South"/>
    <s v="Debit Card"/>
    <m/>
    <m/>
  </r>
  <r>
    <n v="1509"/>
    <n v="5314"/>
    <x v="190"/>
    <n v="3291.84"/>
    <s v="Completed"/>
    <s v="South"/>
    <s v="Credit Card"/>
    <m/>
    <m/>
  </r>
  <r>
    <n v="1510"/>
    <n v="934"/>
    <x v="48"/>
    <n v="3291.84"/>
    <s v="Completed"/>
    <s v="Central"/>
    <s v="PayPal"/>
    <m/>
    <m/>
  </r>
  <r>
    <n v="1511"/>
    <n v="508"/>
    <x v="320"/>
    <n v="3291.84"/>
    <s v="Completed"/>
    <s v="Central"/>
    <s v="PayPal"/>
    <m/>
    <m/>
  </r>
  <r>
    <n v="1512"/>
    <n v="53"/>
    <x v="72"/>
    <n v="3291.84"/>
    <s v="Completed"/>
    <s v="South"/>
    <s v="Credit Card"/>
    <m/>
    <m/>
  </r>
  <r>
    <n v="1513"/>
    <n v="1291"/>
    <x v="197"/>
    <n v="3291.84"/>
    <s v="Completed"/>
    <s v="North"/>
    <s v="Debit Card"/>
    <m/>
    <m/>
  </r>
  <r>
    <n v="1514"/>
    <n v="3128"/>
    <x v="161"/>
    <n v="3291.84"/>
    <s v="Completed"/>
    <s v="North"/>
    <s v="Credit Card"/>
    <m/>
    <m/>
  </r>
  <r>
    <n v="1515"/>
    <n v="6801"/>
    <x v="131"/>
    <n v="3291.84"/>
    <s v="Completed"/>
    <s v="East"/>
    <s v="PayPal"/>
    <m/>
    <m/>
  </r>
  <r>
    <n v="1516"/>
    <n v="7472"/>
    <x v="6"/>
    <n v="3291.84"/>
    <s v="Completed"/>
    <s v="West"/>
    <s v="Debit Card"/>
    <m/>
    <m/>
  </r>
  <r>
    <n v="1517"/>
    <n v="8097"/>
    <x v="188"/>
    <n v="3291.84"/>
    <s v="Completed"/>
    <s v="West"/>
    <s v="Credit Card"/>
    <m/>
    <m/>
  </r>
  <r>
    <n v="1518"/>
    <n v="8081"/>
    <x v="44"/>
    <n v="3291.84"/>
    <s v="Completed"/>
    <s v="East"/>
    <s v="Credit Card"/>
    <m/>
    <m/>
  </r>
  <r>
    <n v="1519"/>
    <n v="6165"/>
    <x v="246"/>
    <n v="3291.84"/>
    <s v="Completed"/>
    <s v="North"/>
    <s v="Debit Card"/>
    <m/>
    <m/>
  </r>
  <r>
    <n v="1520"/>
    <n v="6345"/>
    <x v="123"/>
    <n v="3291.84"/>
    <s v="Completed"/>
    <s v="South"/>
    <s v="Debit Card"/>
    <m/>
    <m/>
  </r>
  <r>
    <n v="1521"/>
    <n v="9939"/>
    <x v="15"/>
    <n v="3291.84"/>
    <s v="Completed"/>
    <s v="South"/>
    <s v="Apple Pay"/>
    <m/>
    <m/>
  </r>
  <r>
    <n v="1522"/>
    <n v="53"/>
    <x v="346"/>
    <n v="3291.84"/>
    <s v="Completed"/>
    <s v="South"/>
    <s v="Credit Card"/>
    <m/>
    <m/>
  </r>
  <r>
    <n v="1523"/>
    <n v="1710"/>
    <x v="109"/>
    <n v="3291.84"/>
    <s v="Completed"/>
    <s v="South"/>
    <s v="PayPal"/>
    <m/>
    <m/>
  </r>
  <r>
    <n v="1524"/>
    <n v="3657"/>
    <x v="115"/>
    <n v="3291.84"/>
    <s v="Completed"/>
    <s v="Central"/>
    <s v="Debit Card"/>
    <m/>
    <m/>
  </r>
  <r>
    <n v="1525"/>
    <n v="9945"/>
    <x v="265"/>
    <n v="3291.84"/>
    <s v="Completed"/>
    <s v="Central"/>
    <s v="Apple Pay"/>
    <m/>
    <m/>
  </r>
  <r>
    <n v="1526"/>
    <n v="305"/>
    <x v="66"/>
    <n v="3291.84"/>
    <s v="Completed"/>
    <s v="Central"/>
    <s v="Apple Pay"/>
    <m/>
    <m/>
  </r>
  <r>
    <n v="1527"/>
    <n v="1526"/>
    <x v="52"/>
    <n v="3291.84"/>
    <s v="Completed"/>
    <s v="Central"/>
    <s v="Credit Card"/>
    <m/>
    <m/>
  </r>
  <r>
    <n v="1528"/>
    <n v="5547"/>
    <x v="324"/>
    <n v="3291.84"/>
    <s v="Completed"/>
    <s v="Central"/>
    <s v="PayPal"/>
    <m/>
    <m/>
  </r>
  <r>
    <n v="1529"/>
    <n v="2285"/>
    <x v="198"/>
    <n v="3291.84"/>
    <s v="Completed"/>
    <s v="East"/>
    <s v="Apple Pay"/>
    <m/>
    <m/>
  </r>
  <r>
    <n v="1530"/>
    <n v="8264"/>
    <x v="94"/>
    <n v="3291.84"/>
    <s v="Completed"/>
    <s v="North"/>
    <s v="PayPal"/>
    <m/>
    <m/>
  </r>
  <r>
    <n v="1531"/>
    <n v="8737"/>
    <x v="185"/>
    <n v="3291.84"/>
    <s v="Completed"/>
    <s v="West"/>
    <s v="Apple Pay"/>
    <m/>
    <m/>
  </r>
  <r>
    <n v="1532"/>
    <n v="6825"/>
    <x v="234"/>
    <n v="3291.84"/>
    <s v="Returned"/>
    <s v="Central"/>
    <s v="PayPal"/>
    <m/>
    <m/>
  </r>
  <r>
    <n v="1533"/>
    <n v="4394"/>
    <x v="87"/>
    <n v="3291.84"/>
    <s v="Completed"/>
    <s v="West"/>
    <s v="Debit Card"/>
    <m/>
    <m/>
  </r>
  <r>
    <n v="1534"/>
    <n v="9637"/>
    <x v="122"/>
    <n v="3291.84"/>
    <s v="Completed"/>
    <s v="West"/>
    <s v="Credit Card"/>
    <m/>
    <m/>
  </r>
  <r>
    <n v="1535"/>
    <n v="685"/>
    <x v="15"/>
    <n v="3291.84"/>
    <s v="Completed"/>
    <s v="South"/>
    <s v="Credit Card"/>
    <m/>
    <m/>
  </r>
  <r>
    <n v="1536"/>
    <n v="9611"/>
    <x v="4"/>
    <n v="3291.84"/>
    <s v="Completed"/>
    <s v="South"/>
    <s v="Debit Card"/>
    <m/>
    <m/>
  </r>
  <r>
    <n v="1537"/>
    <n v="134"/>
    <x v="14"/>
    <n v="3291.84"/>
    <s v="Completed"/>
    <s v="South"/>
    <s v="Apple Pay"/>
    <m/>
    <m/>
  </r>
  <r>
    <n v="1538"/>
    <n v="9681"/>
    <x v="358"/>
    <n v="3291.84"/>
    <s v="Completed"/>
    <s v="Central"/>
    <s v="Apple Pay"/>
    <m/>
    <m/>
  </r>
  <r>
    <n v="1539"/>
    <n v="6450"/>
    <x v="5"/>
    <n v="3291.84"/>
    <s v="Completed"/>
    <s v="South"/>
    <s v="Debit Card"/>
    <m/>
    <m/>
  </r>
  <r>
    <n v="1540"/>
    <n v="5804"/>
    <x v="247"/>
    <n v="3291.84"/>
    <s v="Completed"/>
    <s v="East"/>
    <s v="Debit Card"/>
    <m/>
    <m/>
  </r>
  <r>
    <n v="1541"/>
    <n v="3797"/>
    <x v="40"/>
    <n v="3291.84"/>
    <s v="Completed"/>
    <s v="South"/>
    <s v="Credit Card"/>
    <m/>
    <m/>
  </r>
  <r>
    <n v="1542"/>
    <n v="1005"/>
    <x v="341"/>
    <n v="3291.84"/>
    <s v="Completed"/>
    <s v="West"/>
    <s v="PayPal"/>
    <m/>
    <m/>
  </r>
  <r>
    <n v="1543"/>
    <n v="3035"/>
    <x v="28"/>
    <n v="3291.84"/>
    <s v="Completed"/>
    <s v="South"/>
    <s v="Debit Card"/>
    <m/>
    <m/>
  </r>
  <r>
    <n v="1544"/>
    <n v="4749"/>
    <x v="54"/>
    <n v="3291.84"/>
    <s v="Completed"/>
    <s v="East"/>
    <s v="Credit Card"/>
    <m/>
    <m/>
  </r>
  <r>
    <n v="1545"/>
    <n v="3876"/>
    <x v="74"/>
    <n v="3291.84"/>
    <s v="Completed"/>
    <s v="South"/>
    <s v="Debit Card"/>
    <m/>
    <m/>
  </r>
  <r>
    <n v="1546"/>
    <n v="6517"/>
    <x v="178"/>
    <n v="3291.84"/>
    <s v="Returned"/>
    <s v="South"/>
    <s v="Credit Card"/>
    <m/>
    <m/>
  </r>
  <r>
    <n v="1547"/>
    <n v="1192"/>
    <x v="151"/>
    <n v="3291.84"/>
    <s v="Completed"/>
    <s v="Central"/>
    <s v="Apple Pay"/>
    <m/>
    <m/>
  </r>
  <r>
    <n v="1548"/>
    <n v="8476"/>
    <x v="81"/>
    <n v="3291.84"/>
    <s v="Completed"/>
    <s v="South"/>
    <s v="Apple Pay"/>
    <m/>
    <m/>
  </r>
  <r>
    <n v="1549"/>
    <n v="1207"/>
    <x v="88"/>
    <n v="3291.84"/>
    <s v="Completed"/>
    <s v="South"/>
    <s v="Apple Pay"/>
    <m/>
    <m/>
  </r>
  <r>
    <n v="1550"/>
    <n v="7355"/>
    <x v="8"/>
    <n v="3291.84"/>
    <s v="Completed"/>
    <s v="Central"/>
    <s v="Credit Card"/>
    <m/>
    <m/>
  </r>
  <r>
    <n v="1551"/>
    <n v="1304"/>
    <x v="308"/>
    <n v="3291.84"/>
    <s v="Completed"/>
    <s v="East"/>
    <s v="Credit Card"/>
    <m/>
    <m/>
  </r>
  <r>
    <n v="1552"/>
    <n v="455"/>
    <x v="226"/>
    <n v="3291.84"/>
    <s v="Completed"/>
    <s v="South"/>
    <s v="PayPal"/>
    <m/>
    <m/>
  </r>
  <r>
    <n v="1553"/>
    <n v="8675"/>
    <x v="129"/>
    <n v="3291.84"/>
    <s v="Completed"/>
    <s v="South"/>
    <s v="PayPal"/>
    <m/>
    <m/>
  </r>
  <r>
    <n v="1554"/>
    <n v="2147"/>
    <x v="155"/>
    <n v="3291.84"/>
    <s v="Completed"/>
    <s v="East"/>
    <s v="Debit Card"/>
    <m/>
    <m/>
  </r>
  <r>
    <n v="1555"/>
    <n v="9038"/>
    <x v="238"/>
    <n v="3291.84"/>
    <s v="Completed"/>
    <s v="North"/>
    <s v="Credit Card"/>
    <m/>
    <m/>
  </r>
  <r>
    <n v="1556"/>
    <n v="6944"/>
    <x v="95"/>
    <n v="3291.84"/>
    <s v="Completed"/>
    <s v="South"/>
    <s v="PayPal"/>
    <m/>
    <m/>
  </r>
  <r>
    <n v="1557"/>
    <n v="242"/>
    <x v="149"/>
    <n v="3291.84"/>
    <s v="Completed"/>
    <s v="Central"/>
    <s v="Debit Card"/>
    <m/>
    <m/>
  </r>
  <r>
    <n v="1558"/>
    <n v="2628"/>
    <x v="82"/>
    <n v="3291.84"/>
    <s v="Completed"/>
    <s v="West"/>
    <s v="Debit Card"/>
    <m/>
    <m/>
  </r>
  <r>
    <n v="1559"/>
    <n v="1988"/>
    <x v="205"/>
    <n v="3291.84"/>
    <s v="Completed"/>
    <s v="North"/>
    <s v="Credit Card"/>
    <m/>
    <m/>
  </r>
  <r>
    <n v="1560"/>
    <n v="7243"/>
    <x v="59"/>
    <n v="3291.84"/>
    <s v="Completed"/>
    <s v="North"/>
    <s v="Debit Card"/>
    <m/>
    <m/>
  </r>
  <r>
    <n v="1561"/>
    <n v="6284"/>
    <x v="50"/>
    <n v="3291.84"/>
    <s v="Completed"/>
    <s v="West"/>
    <s v="PayPal"/>
    <m/>
    <m/>
  </r>
  <r>
    <n v="1562"/>
    <n v="23"/>
    <x v="360"/>
    <n v="3291.84"/>
    <s v="Completed"/>
    <s v="Central"/>
    <s v="Apple Pay"/>
    <m/>
    <m/>
  </r>
  <r>
    <n v="1563"/>
    <n v="1842"/>
    <x v="48"/>
    <n v="3291.84"/>
    <s v="Completed"/>
    <s v="West"/>
    <s v="PayPal"/>
    <m/>
    <m/>
  </r>
  <r>
    <n v="1564"/>
    <n v="4880"/>
    <x v="351"/>
    <n v="3291.84"/>
    <s v="Completed"/>
    <s v="West"/>
    <s v="PayPal"/>
    <m/>
    <m/>
  </r>
  <r>
    <n v="1565"/>
    <n v="6463"/>
    <x v="145"/>
    <n v="3291.84"/>
    <s v="Completed"/>
    <s v="South"/>
    <s v="Debit Card"/>
    <m/>
    <m/>
  </r>
  <r>
    <n v="1566"/>
    <n v="4829"/>
    <x v="188"/>
    <n v="3291.84"/>
    <s v="Completed"/>
    <s v="Central"/>
    <s v="PayPal"/>
    <m/>
    <m/>
  </r>
  <r>
    <n v="1567"/>
    <n v="1608"/>
    <x v="31"/>
    <n v="3291.84"/>
    <s v="Completed"/>
    <s v="North"/>
    <s v="PayPal"/>
    <m/>
    <m/>
  </r>
  <r>
    <n v="1568"/>
    <n v="4797"/>
    <x v="252"/>
    <n v="3291.84"/>
    <s v="Completed"/>
    <s v="West"/>
    <s v="Credit Card"/>
    <m/>
    <m/>
  </r>
  <r>
    <n v="1569"/>
    <n v="1047"/>
    <x v="90"/>
    <n v="3291.84"/>
    <s v="Completed"/>
    <s v="North"/>
    <s v="PayPal"/>
    <m/>
    <m/>
  </r>
  <r>
    <n v="1570"/>
    <n v="3500"/>
    <x v="123"/>
    <n v="3291.84"/>
    <s v="Completed"/>
    <s v="West"/>
    <s v="Apple Pay"/>
    <m/>
    <m/>
  </r>
  <r>
    <n v="1571"/>
    <n v="9332"/>
    <x v="34"/>
    <n v="3291.84"/>
    <s v="Completed"/>
    <s v="South"/>
    <s v="Debit Card"/>
    <m/>
    <m/>
  </r>
  <r>
    <n v="1572"/>
    <n v="203"/>
    <x v="56"/>
    <n v="3291.84"/>
    <s v="Completed"/>
    <s v="others"/>
    <s v="Apple Pay"/>
    <m/>
    <m/>
  </r>
  <r>
    <n v="1573"/>
    <n v="7040"/>
    <x v="25"/>
    <n v="3291.84"/>
    <s v="Completed"/>
    <s v="West"/>
    <s v="Apple Pay"/>
    <m/>
    <m/>
  </r>
  <r>
    <n v="1574"/>
    <n v="9555"/>
    <x v="211"/>
    <n v="3291.84"/>
    <s v="Completed"/>
    <s v="East"/>
    <s v="PayPal"/>
    <m/>
    <m/>
  </r>
  <r>
    <n v="1575"/>
    <n v="3659"/>
    <x v="202"/>
    <n v="3291.84"/>
    <s v="Completed"/>
    <s v="North"/>
    <s v="PayPal"/>
    <m/>
    <m/>
  </r>
  <r>
    <n v="1576"/>
    <n v="2681"/>
    <x v="58"/>
    <n v="3291.84"/>
    <s v="Completed"/>
    <s v="Central"/>
    <s v="Apple Pay"/>
    <m/>
    <m/>
  </r>
  <r>
    <n v="1577"/>
    <n v="741"/>
    <x v="277"/>
    <n v="3291.84"/>
    <s v="Completed"/>
    <s v="Central"/>
    <s v="Credit Card"/>
    <m/>
    <m/>
  </r>
  <r>
    <n v="1578"/>
    <n v="5549"/>
    <x v="224"/>
    <n v="3291.84"/>
    <s v="Completed"/>
    <s v="South"/>
    <s v="PayPal"/>
    <m/>
    <m/>
  </r>
  <r>
    <n v="1579"/>
    <n v="5108"/>
    <x v="120"/>
    <n v="3291.84"/>
    <s v="Completed"/>
    <s v="Central"/>
    <s v="Credit Card"/>
    <m/>
    <m/>
  </r>
  <r>
    <n v="1580"/>
    <n v="3583"/>
    <x v="159"/>
    <n v="3291.84"/>
    <s v="Cancelled"/>
    <s v="South"/>
    <s v="PayPal"/>
    <m/>
    <m/>
  </r>
  <r>
    <n v="1581"/>
    <n v="1304"/>
    <x v="32"/>
    <n v="3291.84"/>
    <s v="Completed"/>
    <s v="East"/>
    <s v="PayPal"/>
    <m/>
    <m/>
  </r>
  <r>
    <n v="1582"/>
    <n v="8691"/>
    <x v="79"/>
    <n v="3291.84"/>
    <s v="Completed"/>
    <s v="Central"/>
    <s v="Debit Card"/>
    <m/>
    <m/>
  </r>
  <r>
    <n v="1583"/>
    <n v="7330"/>
    <x v="189"/>
    <n v="3291.84"/>
    <s v="Completed"/>
    <s v="East"/>
    <s v="Debit Card"/>
    <m/>
    <m/>
  </r>
  <r>
    <n v="1584"/>
    <n v="546"/>
    <x v="141"/>
    <n v="3291.84"/>
    <s v="Completed"/>
    <s v="East"/>
    <s v="PayPal"/>
    <m/>
    <m/>
  </r>
  <r>
    <n v="1585"/>
    <n v="9930"/>
    <x v="128"/>
    <n v="3291.84"/>
    <s v="Cancelled"/>
    <s v="East"/>
    <s v="Apple Pay"/>
    <m/>
    <m/>
  </r>
  <r>
    <n v="1586"/>
    <n v="5341"/>
    <x v="335"/>
    <n v="3291.84"/>
    <s v="Completed"/>
    <s v="West"/>
    <s v="Credit Card"/>
    <m/>
    <m/>
  </r>
  <r>
    <n v="1587"/>
    <n v="8161"/>
    <x v="12"/>
    <n v="3291.84"/>
    <s v="Completed"/>
    <s v="East"/>
    <s v="PayPal"/>
    <m/>
    <m/>
  </r>
  <r>
    <n v="1588"/>
    <n v="9893"/>
    <x v="296"/>
    <n v="3291.84"/>
    <s v="Completed"/>
    <s v="East"/>
    <s v="PayPal"/>
    <m/>
    <m/>
  </r>
  <r>
    <n v="1589"/>
    <n v="5548"/>
    <x v="228"/>
    <n v="3291.84"/>
    <s v="Completed"/>
    <s v="North"/>
    <s v="Apple Pay"/>
    <m/>
    <m/>
  </r>
  <r>
    <n v="1590"/>
    <n v="8137"/>
    <x v="23"/>
    <n v="3291.84"/>
    <s v="Completed"/>
    <s v="Central"/>
    <s v="Apple Pay"/>
    <m/>
    <m/>
  </r>
  <r>
    <n v="1591"/>
    <n v="6898"/>
    <x v="114"/>
    <n v="3291.84"/>
    <s v="Completed"/>
    <s v="Central"/>
    <s v="PayPal"/>
    <m/>
    <m/>
  </r>
  <r>
    <n v="1592"/>
    <n v="3287"/>
    <x v="60"/>
    <n v="3291.84"/>
    <s v="Completed"/>
    <s v="others"/>
    <s v="Credit Card"/>
    <m/>
    <m/>
  </r>
  <r>
    <n v="1593"/>
    <n v="4869"/>
    <x v="247"/>
    <n v="3291.84"/>
    <s v="Completed"/>
    <s v="West"/>
    <s v="Apple Pay"/>
    <m/>
    <m/>
  </r>
  <r>
    <n v="1594"/>
    <n v="9091"/>
    <x v="131"/>
    <n v="3291.84"/>
    <s v="Completed"/>
    <s v="Central"/>
    <s v="Apple Pay"/>
    <m/>
    <m/>
  </r>
  <r>
    <n v="1595"/>
    <n v="6969"/>
    <x v="41"/>
    <n v="3291.84"/>
    <s v="Completed"/>
    <s v="South"/>
    <s v="PayPal"/>
    <m/>
    <m/>
  </r>
  <r>
    <n v="1596"/>
    <n v="438"/>
    <x v="222"/>
    <n v="3291.84"/>
    <s v="Completed"/>
    <s v="South"/>
    <s v="Apple Pay"/>
    <m/>
    <m/>
  </r>
  <r>
    <n v="1597"/>
    <n v="3172"/>
    <x v="55"/>
    <n v="3291.84"/>
    <s v="Completed"/>
    <s v="North"/>
    <s v="PayPal"/>
    <m/>
    <m/>
  </r>
  <r>
    <n v="1598"/>
    <n v="3742"/>
    <x v="146"/>
    <n v="3291.84"/>
    <s v="Completed"/>
    <s v="Central"/>
    <s v="PayPal"/>
    <m/>
    <m/>
  </r>
  <r>
    <n v="1599"/>
    <n v="646"/>
    <x v="319"/>
    <n v="3291.84"/>
    <s v="Completed"/>
    <s v="East"/>
    <s v="Debit Card"/>
    <m/>
    <m/>
  </r>
  <r>
    <n v="1600"/>
    <n v="8683"/>
    <x v="300"/>
    <n v="3291.84"/>
    <s v="Completed"/>
    <s v="North"/>
    <s v="Credit Card"/>
    <m/>
    <m/>
  </r>
  <r>
    <n v="1601"/>
    <n v="8098"/>
    <x v="217"/>
    <n v="3291.84"/>
    <s v="Completed"/>
    <s v="East"/>
    <s v="PayPal"/>
    <m/>
    <m/>
  </r>
  <r>
    <n v="1602"/>
    <n v="8657"/>
    <x v="177"/>
    <n v="3291.84"/>
    <s v="Completed"/>
    <s v="Central"/>
    <s v="PayPal"/>
    <m/>
    <m/>
  </r>
  <r>
    <n v="1603"/>
    <n v="1528"/>
    <x v="1"/>
    <n v="3291.84"/>
    <s v="Completed"/>
    <s v="South"/>
    <s v="Credit Card"/>
    <m/>
    <m/>
  </r>
  <r>
    <n v="1604"/>
    <n v="5751"/>
    <x v="312"/>
    <n v="3291.84"/>
    <s v="Completed"/>
    <s v="Central"/>
    <s v="Apple Pay"/>
    <m/>
    <m/>
  </r>
  <r>
    <n v="1605"/>
    <n v="1739"/>
    <x v="85"/>
    <n v="3291.84"/>
    <s v="Completed"/>
    <s v="Central"/>
    <s v="Credit Card"/>
    <m/>
    <m/>
  </r>
  <r>
    <n v="1606"/>
    <n v="1036"/>
    <x v="28"/>
    <n v="3291.84"/>
    <s v="Completed"/>
    <s v="West"/>
    <s v="PayPal"/>
    <m/>
    <m/>
  </r>
  <r>
    <n v="1607"/>
    <n v="8982"/>
    <x v="353"/>
    <n v="3291.84"/>
    <s v="Completed"/>
    <s v="North"/>
    <s v="Apple Pay"/>
    <m/>
    <m/>
  </r>
  <r>
    <n v="1608"/>
    <n v="2505"/>
    <x v="21"/>
    <n v="3291.84"/>
    <s v="Completed"/>
    <s v="Central"/>
    <s v="PayPal"/>
    <m/>
    <m/>
  </r>
  <r>
    <n v="1609"/>
    <n v="6529"/>
    <x v="293"/>
    <n v="3291.84"/>
    <s v="Completed"/>
    <s v="Central"/>
    <s v="Debit Card"/>
    <m/>
    <m/>
  </r>
  <r>
    <n v="1610"/>
    <n v="3899"/>
    <x v="216"/>
    <n v="3291.84"/>
    <s v="Completed"/>
    <s v="West"/>
    <s v="Credit Card"/>
    <m/>
    <m/>
  </r>
  <r>
    <n v="1611"/>
    <n v="3946"/>
    <x v="329"/>
    <n v="3291.84"/>
    <s v="Completed"/>
    <s v="West"/>
    <s v="Credit Card"/>
    <m/>
    <m/>
  </r>
  <r>
    <n v="1612"/>
    <n v="5840"/>
    <x v="296"/>
    <n v="3291.84"/>
    <s v="Completed"/>
    <s v="West"/>
    <s v="Credit Card"/>
    <m/>
    <m/>
  </r>
  <r>
    <n v="1613"/>
    <n v="8012"/>
    <x v="358"/>
    <n v="3291.84"/>
    <s v="Completed"/>
    <s v="West"/>
    <s v="Credit Card"/>
    <m/>
    <m/>
  </r>
  <r>
    <n v="1614"/>
    <n v="4214"/>
    <x v="316"/>
    <n v="3291.84"/>
    <s v="Completed"/>
    <s v="East"/>
    <s v="Apple Pay"/>
    <m/>
    <m/>
  </r>
  <r>
    <n v="1615"/>
    <n v="4075"/>
    <x v="242"/>
    <n v="3291.84"/>
    <s v="Completed"/>
    <s v="West"/>
    <s v="Apple Pay"/>
    <m/>
    <m/>
  </r>
  <r>
    <n v="1616"/>
    <n v="7653"/>
    <x v="161"/>
    <n v="3291.84"/>
    <s v="Completed"/>
    <s v="South"/>
    <s v="Apple Pay"/>
    <m/>
    <m/>
  </r>
  <r>
    <n v="1617"/>
    <n v="192"/>
    <x v="70"/>
    <n v="3291.84"/>
    <s v="Completed"/>
    <s v="East"/>
    <s v="Credit Card"/>
    <m/>
    <m/>
  </r>
  <r>
    <n v="1618"/>
    <n v="8108"/>
    <x v="53"/>
    <n v="3291.84"/>
    <s v="Completed"/>
    <s v="South"/>
    <s v="Credit Card"/>
    <m/>
    <m/>
  </r>
  <r>
    <n v="1619"/>
    <n v="9004"/>
    <x v="304"/>
    <n v="3291.84"/>
    <s v="Completed"/>
    <s v="East"/>
    <s v="Debit Card"/>
    <m/>
    <m/>
  </r>
  <r>
    <n v="1620"/>
    <n v="6650"/>
    <x v="93"/>
    <n v="3291.84"/>
    <s v="Completed"/>
    <s v="others"/>
    <s v="PayPal"/>
    <m/>
    <m/>
  </r>
  <r>
    <n v="1621"/>
    <n v="8890"/>
    <x v="281"/>
    <n v="3291.84"/>
    <s v="Completed"/>
    <s v="East"/>
    <s v="Credit Card"/>
    <m/>
    <m/>
  </r>
  <r>
    <n v="1622"/>
    <n v="6924"/>
    <x v="157"/>
    <n v="3291.84"/>
    <s v="Completed"/>
    <s v="Central"/>
    <s v="Credit Card"/>
    <m/>
    <m/>
  </r>
  <r>
    <n v="1623"/>
    <n v="3548"/>
    <x v="168"/>
    <n v="3291.84"/>
    <s v="Completed"/>
    <s v="West"/>
    <s v="Apple Pay"/>
    <m/>
    <m/>
  </r>
  <r>
    <n v="1624"/>
    <n v="5376"/>
    <x v="16"/>
    <n v="3291.84"/>
    <s v="Completed"/>
    <s v="West"/>
    <s v="Credit Card"/>
    <m/>
    <m/>
  </r>
  <r>
    <n v="1625"/>
    <n v="3332"/>
    <x v="350"/>
    <n v="3291.84"/>
    <s v="Completed"/>
    <s v="South"/>
    <s v="Credit Card"/>
    <m/>
    <m/>
  </r>
  <r>
    <n v="1626"/>
    <n v="7884"/>
    <x v="166"/>
    <n v="3291.84"/>
    <s v="Completed"/>
    <s v="West"/>
    <s v="PayPal"/>
    <m/>
    <m/>
  </r>
  <r>
    <n v="1627"/>
    <n v="5872"/>
    <x v="181"/>
    <n v="3291.84"/>
    <s v="Completed"/>
    <s v="West"/>
    <s v="PayPal"/>
    <m/>
    <m/>
  </r>
  <r>
    <n v="1628"/>
    <n v="1866"/>
    <x v="25"/>
    <n v="3291.84"/>
    <s v="Completed"/>
    <s v="South"/>
    <s v="Debit Card"/>
    <m/>
    <m/>
  </r>
  <r>
    <n v="1629"/>
    <n v="6336"/>
    <x v="41"/>
    <n v="3291.84"/>
    <s v="Completed"/>
    <s v="North"/>
    <s v="Debit Card"/>
    <m/>
    <m/>
  </r>
  <r>
    <n v="1630"/>
    <n v="9502"/>
    <x v="339"/>
    <n v="3291.84"/>
    <s v="Completed"/>
    <s v="North"/>
    <s v="PayPal"/>
    <m/>
    <m/>
  </r>
  <r>
    <n v="1631"/>
    <n v="461"/>
    <x v="246"/>
    <n v="3291.84"/>
    <s v="Completed"/>
    <s v="Central"/>
    <s v="Apple Pay"/>
    <m/>
    <m/>
  </r>
  <r>
    <n v="1632"/>
    <n v="1337"/>
    <x v="221"/>
    <n v="3291.84"/>
    <s v="Completed"/>
    <s v="East"/>
    <s v="Debit Card"/>
    <m/>
    <m/>
  </r>
  <r>
    <n v="1633"/>
    <n v="3678"/>
    <x v="36"/>
    <n v="3291.84"/>
    <s v="Completed"/>
    <s v="East"/>
    <s v="Apple Pay"/>
    <m/>
    <m/>
  </r>
  <r>
    <n v="1634"/>
    <n v="8430"/>
    <x v="60"/>
    <n v="3291.84"/>
    <s v="Completed"/>
    <s v="West"/>
    <s v="Debit Card"/>
    <m/>
    <m/>
  </r>
  <r>
    <n v="1635"/>
    <n v="5454"/>
    <x v="307"/>
    <n v="3291.84"/>
    <s v="Completed"/>
    <s v="North"/>
    <s v="PayPal"/>
    <m/>
    <m/>
  </r>
  <r>
    <n v="1636"/>
    <n v="5840"/>
    <x v="252"/>
    <n v="3291.84"/>
    <s v="Cancelled"/>
    <s v="West"/>
    <s v="Apple Pay"/>
    <m/>
    <m/>
  </r>
  <r>
    <n v="1637"/>
    <n v="1094"/>
    <x v="361"/>
    <n v="3291.84"/>
    <s v="Completed"/>
    <s v="South"/>
    <s v="PayPal"/>
    <m/>
    <m/>
  </r>
  <r>
    <n v="1638"/>
    <n v="8542"/>
    <x v="67"/>
    <n v="3291.84"/>
    <s v="Returned"/>
    <s v="South"/>
    <s v="Apple Pay"/>
    <m/>
    <m/>
  </r>
  <r>
    <n v="1639"/>
    <n v="1655"/>
    <x v="52"/>
    <n v="3291.84"/>
    <s v="Completed"/>
    <s v="East"/>
    <s v="Credit Card"/>
    <m/>
    <m/>
  </r>
  <r>
    <n v="1640"/>
    <n v="7374"/>
    <x v="162"/>
    <n v="3291.84"/>
    <s v="Completed"/>
    <s v="West"/>
    <s v="Debit Card"/>
    <m/>
    <m/>
  </r>
  <r>
    <n v="1641"/>
    <n v="7047"/>
    <x v="4"/>
    <n v="3291.84"/>
    <s v="Completed"/>
    <s v="West"/>
    <s v="Debit Card"/>
    <m/>
    <m/>
  </r>
  <r>
    <n v="1642"/>
    <n v="3886"/>
    <x v="198"/>
    <n v="3291.84"/>
    <s v="Completed"/>
    <s v="others"/>
    <s v="Apple Pay"/>
    <m/>
    <m/>
  </r>
  <r>
    <n v="1643"/>
    <n v="4158"/>
    <x v="48"/>
    <n v="3291.84"/>
    <s v="Completed"/>
    <s v="West"/>
    <s v="Credit Card"/>
    <m/>
    <m/>
  </r>
  <r>
    <n v="1644"/>
    <n v="3974"/>
    <x v="162"/>
    <n v="3291.84"/>
    <s v="Completed"/>
    <s v="West"/>
    <s v="Debit Card"/>
    <m/>
    <m/>
  </r>
  <r>
    <n v="1645"/>
    <n v="8590"/>
    <x v="116"/>
    <n v="3291.84"/>
    <s v="Completed"/>
    <s v="South"/>
    <s v="Apple Pay"/>
    <m/>
    <m/>
  </r>
  <r>
    <n v="1646"/>
    <n v="3987"/>
    <x v="62"/>
    <n v="3291.84"/>
    <s v="Completed"/>
    <s v="South"/>
    <s v="Apple Pay"/>
    <m/>
    <m/>
  </r>
  <r>
    <n v="1647"/>
    <n v="1592"/>
    <x v="337"/>
    <n v="3291.84"/>
    <s v="Completed"/>
    <s v="Central"/>
    <s v="Debit Card"/>
    <m/>
    <m/>
  </r>
  <r>
    <n v="1648"/>
    <n v="7736"/>
    <x v="143"/>
    <n v="3291.84"/>
    <s v="Completed"/>
    <s v="South"/>
    <s v="Apple Pay"/>
    <m/>
    <m/>
  </r>
  <r>
    <n v="1649"/>
    <n v="5887"/>
    <x v="225"/>
    <n v="3291.84"/>
    <s v="Completed"/>
    <s v="Central"/>
    <s v="Apple Pay"/>
    <m/>
    <m/>
  </r>
  <r>
    <n v="1650"/>
    <n v="8027"/>
    <x v="83"/>
    <n v="3291.84"/>
    <s v="Completed"/>
    <s v="South"/>
    <s v="Apple Pay"/>
    <m/>
    <m/>
  </r>
  <r>
    <n v="1651"/>
    <n v="6756"/>
    <x v="174"/>
    <n v="3291.84"/>
    <s v="Completed"/>
    <s v="West"/>
    <s v="PayPal"/>
    <m/>
    <m/>
  </r>
  <r>
    <n v="1652"/>
    <n v="4788"/>
    <x v="64"/>
    <n v="3291.84"/>
    <s v="Completed"/>
    <s v="South"/>
    <s v="Apple Pay"/>
    <m/>
    <m/>
  </r>
  <r>
    <n v="1653"/>
    <n v="1787"/>
    <x v="13"/>
    <n v="3291.84"/>
    <s v="Completed"/>
    <s v="Central"/>
    <s v="PayPal"/>
    <m/>
    <m/>
  </r>
  <r>
    <n v="1654"/>
    <n v="2189"/>
    <x v="27"/>
    <n v="3291.84"/>
    <s v="Completed"/>
    <s v="others"/>
    <s v="PayPal"/>
    <m/>
    <m/>
  </r>
  <r>
    <n v="1655"/>
    <n v="1413"/>
    <x v="322"/>
    <n v="3291.84"/>
    <s v="Completed"/>
    <s v="East"/>
    <s v="PayPal"/>
    <m/>
    <m/>
  </r>
  <r>
    <n v="1656"/>
    <n v="6066"/>
    <x v="190"/>
    <n v="3291.84"/>
    <s v="Completed"/>
    <s v="East"/>
    <s v="Apple Pay"/>
    <m/>
    <m/>
  </r>
  <r>
    <n v="1657"/>
    <n v="5630"/>
    <x v="175"/>
    <n v="3291.84"/>
    <s v="Completed"/>
    <s v="East"/>
    <s v="Credit Card"/>
    <m/>
    <m/>
  </r>
  <r>
    <n v="1658"/>
    <n v="1832"/>
    <x v="22"/>
    <n v="3291.84"/>
    <s v="Completed"/>
    <s v="North"/>
    <s v="Credit Card"/>
    <m/>
    <m/>
  </r>
  <r>
    <n v="1659"/>
    <n v="1784"/>
    <x v="176"/>
    <n v="3291.84"/>
    <s v="Completed"/>
    <s v="West"/>
    <s v="PayPal"/>
    <m/>
    <m/>
  </r>
  <r>
    <n v="1660"/>
    <n v="5924"/>
    <x v="18"/>
    <n v="3291.84"/>
    <s v="Completed"/>
    <s v="East"/>
    <s v="Credit Card"/>
    <m/>
    <m/>
  </r>
  <r>
    <n v="1661"/>
    <n v="1477"/>
    <x v="217"/>
    <n v="3291.84"/>
    <s v="Completed"/>
    <s v="South"/>
    <s v="Credit Card"/>
    <m/>
    <m/>
  </r>
  <r>
    <n v="1662"/>
    <n v="3640"/>
    <x v="125"/>
    <n v="3291.84"/>
    <s v="Completed"/>
    <s v="Central"/>
    <s v="Credit Card"/>
    <m/>
    <m/>
  </r>
  <r>
    <n v="1663"/>
    <n v="6736"/>
    <x v="33"/>
    <n v="3291.84"/>
    <s v="Completed"/>
    <s v="West"/>
    <s v="Apple Pay"/>
    <m/>
    <m/>
  </r>
  <r>
    <n v="1664"/>
    <n v="9882"/>
    <x v="27"/>
    <n v="3291.84"/>
    <s v="Completed"/>
    <s v="Central"/>
    <s v="PayPal"/>
    <m/>
    <m/>
  </r>
  <r>
    <n v="1665"/>
    <n v="1750"/>
    <x v="98"/>
    <n v="3291.84"/>
    <s v="Completed"/>
    <s v="Central"/>
    <s v="Credit Card"/>
    <m/>
    <m/>
  </r>
  <r>
    <n v="1666"/>
    <n v="88"/>
    <x v="172"/>
    <n v="3291.84"/>
    <s v="Completed"/>
    <s v="North"/>
    <s v="Debit Card"/>
    <m/>
    <m/>
  </r>
  <r>
    <n v="1667"/>
    <n v="2720"/>
    <x v="208"/>
    <n v="3291.84"/>
    <s v="Completed"/>
    <s v="West"/>
    <s v="Debit Card"/>
    <m/>
    <m/>
  </r>
  <r>
    <n v="1668"/>
    <n v="427"/>
    <x v="212"/>
    <n v="3291.84"/>
    <s v="Completed"/>
    <s v="East"/>
    <s v="PayPal"/>
    <m/>
    <m/>
  </r>
  <r>
    <n v="1669"/>
    <n v="2265"/>
    <x v="266"/>
    <n v="3291.84"/>
    <s v="Completed"/>
    <s v="North"/>
    <s v="Apple Pay"/>
    <m/>
    <m/>
  </r>
  <r>
    <n v="1670"/>
    <n v="8144"/>
    <x v="152"/>
    <n v="3291.84"/>
    <s v="Completed"/>
    <s v="North"/>
    <s v="Apple Pay"/>
    <m/>
    <m/>
  </r>
  <r>
    <n v="1671"/>
    <n v="2406"/>
    <x v="221"/>
    <n v="3291.84"/>
    <s v="Completed"/>
    <s v="East"/>
    <s v="Apple Pay"/>
    <m/>
    <m/>
  </r>
  <r>
    <n v="1672"/>
    <n v="404"/>
    <x v="357"/>
    <n v="3291.84"/>
    <s v="Completed"/>
    <s v="East"/>
    <s v="PayPal"/>
    <m/>
    <m/>
  </r>
  <r>
    <n v="1673"/>
    <n v="3740"/>
    <x v="161"/>
    <n v="3291.84"/>
    <s v="Completed"/>
    <s v="South"/>
    <s v="Apple Pay"/>
    <m/>
    <m/>
  </r>
  <r>
    <n v="1674"/>
    <n v="5209"/>
    <x v="224"/>
    <n v="3291.84"/>
    <s v="Completed"/>
    <s v="South"/>
    <s v="Apple Pay"/>
    <m/>
    <m/>
  </r>
  <r>
    <n v="1675"/>
    <n v="5221"/>
    <x v="303"/>
    <n v="3291.84"/>
    <s v="Completed"/>
    <s v="Central"/>
    <s v="Debit Card"/>
    <m/>
    <m/>
  </r>
  <r>
    <n v="1676"/>
    <n v="7820"/>
    <x v="39"/>
    <n v="3291.84"/>
    <s v="Completed"/>
    <s v="Central"/>
    <s v="Apple Pay"/>
    <m/>
    <m/>
  </r>
  <r>
    <n v="1677"/>
    <n v="1941"/>
    <x v="271"/>
    <n v="3291.84"/>
    <s v="Completed"/>
    <s v="North"/>
    <s v="Apple Pay"/>
    <m/>
    <m/>
  </r>
  <r>
    <n v="1678"/>
    <n v="1545"/>
    <x v="114"/>
    <n v="3291.84"/>
    <s v="Completed"/>
    <s v="East"/>
    <s v="PayPal"/>
    <m/>
    <m/>
  </r>
  <r>
    <n v="1679"/>
    <n v="3266"/>
    <x v="128"/>
    <n v="3291.84"/>
    <s v="Completed"/>
    <s v="Central"/>
    <s v="PayPal"/>
    <m/>
    <m/>
  </r>
  <r>
    <n v="1680"/>
    <n v="1146"/>
    <x v="180"/>
    <n v="3291.84"/>
    <s v="Completed"/>
    <s v="North"/>
    <s v="Debit Card"/>
    <m/>
    <m/>
  </r>
  <r>
    <n v="1681"/>
    <n v="946"/>
    <x v="122"/>
    <n v="3291.84"/>
    <s v="Completed"/>
    <s v="others"/>
    <s v="Debit Card"/>
    <m/>
    <m/>
  </r>
  <r>
    <n v="1682"/>
    <n v="4630"/>
    <x v="153"/>
    <n v="3291.84"/>
    <s v="Completed"/>
    <s v="South"/>
    <s v="Apple Pay"/>
    <m/>
    <m/>
  </r>
  <r>
    <n v="1683"/>
    <n v="4825"/>
    <x v="200"/>
    <n v="3291.84"/>
    <s v="Completed"/>
    <s v="North"/>
    <s v="Debit Card"/>
    <m/>
    <m/>
  </r>
  <r>
    <n v="1684"/>
    <n v="431"/>
    <x v="34"/>
    <n v="3291.84"/>
    <s v="Completed"/>
    <s v="West"/>
    <s v="Credit Card"/>
    <m/>
    <m/>
  </r>
  <r>
    <n v="1685"/>
    <n v="2450"/>
    <x v="176"/>
    <n v="3291.84"/>
    <s v="Completed"/>
    <s v="South"/>
    <s v="PayPal"/>
    <m/>
    <m/>
  </r>
  <r>
    <n v="1686"/>
    <n v="6607"/>
    <x v="301"/>
    <n v="3291.84"/>
    <s v="Completed"/>
    <s v="West"/>
    <s v="PayPal"/>
    <m/>
    <m/>
  </r>
  <r>
    <n v="1687"/>
    <n v="7592"/>
    <x v="224"/>
    <n v="3291.84"/>
    <s v="Completed"/>
    <s v="Central"/>
    <s v="Apple Pay"/>
    <m/>
    <m/>
  </r>
  <r>
    <n v="1688"/>
    <n v="2245"/>
    <x v="50"/>
    <n v="3291.84"/>
    <s v="Completed"/>
    <s v="East"/>
    <s v="Credit Card"/>
    <m/>
    <m/>
  </r>
  <r>
    <n v="1689"/>
    <n v="3136"/>
    <x v="96"/>
    <n v="3291.84"/>
    <s v="Completed"/>
    <s v="East"/>
    <s v="Credit Card"/>
    <m/>
    <m/>
  </r>
  <r>
    <n v="1690"/>
    <n v="8781"/>
    <x v="136"/>
    <n v="3291.84"/>
    <s v="Completed"/>
    <s v="Central"/>
    <s v="Credit Card"/>
    <m/>
    <m/>
  </r>
  <r>
    <n v="1691"/>
    <n v="2144"/>
    <x v="291"/>
    <n v="3291.84"/>
    <s v="Completed"/>
    <s v="West"/>
    <s v="Debit Card"/>
    <m/>
    <m/>
  </r>
  <r>
    <n v="1692"/>
    <n v="9695"/>
    <x v="139"/>
    <n v="3291.84"/>
    <s v="Completed"/>
    <s v="West"/>
    <s v="Credit Card"/>
    <m/>
    <m/>
  </r>
  <r>
    <n v="1693"/>
    <n v="4076"/>
    <x v="259"/>
    <n v="3291.84"/>
    <s v="Completed"/>
    <s v="West"/>
    <s v="Credit Card"/>
    <m/>
    <m/>
  </r>
  <r>
    <n v="1694"/>
    <n v="1234"/>
    <x v="146"/>
    <n v="3291.84"/>
    <s v="Completed"/>
    <s v="North"/>
    <s v="Apple Pay"/>
    <m/>
    <m/>
  </r>
  <r>
    <n v="1695"/>
    <n v="287"/>
    <x v="50"/>
    <n v="3291.84"/>
    <s v="Completed"/>
    <s v="Central"/>
    <s v="PayPal"/>
    <m/>
    <m/>
  </r>
  <r>
    <n v="1696"/>
    <n v="3589"/>
    <x v="336"/>
    <n v="3291.84"/>
    <s v="Completed"/>
    <s v="North"/>
    <s v="Debit Card"/>
    <m/>
    <m/>
  </r>
  <r>
    <n v="1697"/>
    <n v="7825"/>
    <x v="51"/>
    <n v="3291.84"/>
    <s v="Completed"/>
    <s v="South"/>
    <s v="Debit Card"/>
    <m/>
    <m/>
  </r>
  <r>
    <n v="1698"/>
    <n v="9685"/>
    <x v="146"/>
    <n v="3291.84"/>
    <s v="Completed"/>
    <s v="East"/>
    <s v="PayPal"/>
    <m/>
    <m/>
  </r>
  <r>
    <n v="1699"/>
    <n v="625"/>
    <x v="18"/>
    <n v="3291.84"/>
    <s v="Completed"/>
    <s v="South"/>
    <s v="Apple Pay"/>
    <m/>
    <m/>
  </r>
  <r>
    <n v="1700"/>
    <n v="8276"/>
    <x v="142"/>
    <n v="3291.84"/>
    <s v="Completed"/>
    <s v="West"/>
    <s v="PayPal"/>
    <m/>
    <m/>
  </r>
  <r>
    <n v="1701"/>
    <n v="2632"/>
    <x v="326"/>
    <n v="3291.84"/>
    <s v="Completed"/>
    <s v="North"/>
    <s v="PayPal"/>
    <m/>
    <m/>
  </r>
  <r>
    <n v="1702"/>
    <n v="1137"/>
    <x v="158"/>
    <n v="3291.84"/>
    <s v="Completed"/>
    <s v="East"/>
    <s v="Credit Card"/>
    <m/>
    <m/>
  </r>
  <r>
    <n v="1703"/>
    <n v="2600"/>
    <x v="219"/>
    <n v="3291.84"/>
    <s v="Completed"/>
    <s v="Central"/>
    <s v="Credit Card"/>
    <m/>
    <m/>
  </r>
  <r>
    <n v="1704"/>
    <n v="6536"/>
    <x v="127"/>
    <n v="3291.84"/>
    <s v="Completed"/>
    <s v="West"/>
    <s v="Credit Card"/>
    <m/>
    <m/>
  </r>
  <r>
    <n v="1705"/>
    <n v="5759"/>
    <x v="224"/>
    <n v="3291.84"/>
    <s v="Completed"/>
    <s v="West"/>
    <s v="Debit Card"/>
    <m/>
    <m/>
  </r>
  <r>
    <n v="1706"/>
    <n v="7011"/>
    <x v="143"/>
    <n v="3291.84"/>
    <s v="Completed"/>
    <s v="Central"/>
    <s v="Credit Card"/>
    <m/>
    <m/>
  </r>
  <r>
    <n v="1707"/>
    <n v="5422"/>
    <x v="282"/>
    <n v="3291.84"/>
    <s v="Completed"/>
    <s v="South"/>
    <s v="PayPal"/>
    <m/>
    <m/>
  </r>
  <r>
    <n v="1708"/>
    <n v="2839"/>
    <x v="20"/>
    <n v="3291.84"/>
    <s v="Completed"/>
    <s v="East"/>
    <s v="Debit Card"/>
    <m/>
    <m/>
  </r>
  <r>
    <n v="1709"/>
    <n v="3991"/>
    <x v="295"/>
    <n v="3291.84"/>
    <s v="Completed"/>
    <s v="South"/>
    <s v="PayPal"/>
    <m/>
    <m/>
  </r>
  <r>
    <n v="1710"/>
    <n v="3421"/>
    <x v="0"/>
    <n v="3291.84"/>
    <s v="Completed"/>
    <s v="South"/>
    <s v="Credit Card"/>
    <m/>
    <m/>
  </r>
  <r>
    <n v="1711"/>
    <n v="923"/>
    <x v="338"/>
    <n v="3291.84"/>
    <s v="Completed"/>
    <s v="Central"/>
    <s v="PayPal"/>
    <m/>
    <m/>
  </r>
  <r>
    <n v="1712"/>
    <n v="6063"/>
    <x v="332"/>
    <n v="3291.84"/>
    <s v="Completed"/>
    <s v="East"/>
    <s v="PayPal"/>
    <m/>
    <m/>
  </r>
  <r>
    <n v="1713"/>
    <n v="9691"/>
    <x v="40"/>
    <n v="3291.84"/>
    <s v="Completed"/>
    <s v="West"/>
    <s v="PayPal"/>
    <m/>
    <m/>
  </r>
  <r>
    <n v="1714"/>
    <n v="6688"/>
    <x v="9"/>
    <n v="3291.84"/>
    <s v="Completed"/>
    <s v="North"/>
    <s v="Credit Card"/>
    <m/>
    <m/>
  </r>
  <r>
    <n v="1715"/>
    <n v="950"/>
    <x v="300"/>
    <n v="3291.84"/>
    <s v="Completed"/>
    <s v="West"/>
    <s v="Credit Card"/>
    <m/>
    <m/>
  </r>
  <r>
    <n v="1716"/>
    <n v="6263"/>
    <x v="55"/>
    <n v="3291.84"/>
    <s v="Completed"/>
    <s v="North"/>
    <s v="Credit Card"/>
    <m/>
    <m/>
  </r>
  <r>
    <n v="1717"/>
    <n v="4622"/>
    <x v="314"/>
    <n v="3291.84"/>
    <s v="Completed"/>
    <s v="Central"/>
    <s v="Debit Card"/>
    <m/>
    <m/>
  </r>
  <r>
    <n v="1718"/>
    <n v="2375"/>
    <x v="248"/>
    <n v="3291.84"/>
    <s v="Completed"/>
    <s v="North"/>
    <s v="Debit Card"/>
    <m/>
    <m/>
  </r>
  <r>
    <n v="1719"/>
    <n v="5023"/>
    <x v="347"/>
    <n v="3291.84"/>
    <s v="Completed"/>
    <s v="South"/>
    <s v="Debit Card"/>
    <m/>
    <m/>
  </r>
  <r>
    <n v="1720"/>
    <n v="4834"/>
    <x v="106"/>
    <n v="3291.84"/>
    <s v="Completed"/>
    <s v="West"/>
    <s v="Debit Card"/>
    <m/>
    <m/>
  </r>
  <r>
    <n v="1721"/>
    <n v="4018"/>
    <x v="220"/>
    <n v="3291.84"/>
    <s v="Completed"/>
    <s v="South"/>
    <s v="Debit Card"/>
    <m/>
    <m/>
  </r>
  <r>
    <n v="1722"/>
    <n v="7587"/>
    <x v="126"/>
    <n v="3291.84"/>
    <s v="Completed"/>
    <s v="South"/>
    <s v="Debit Card"/>
    <m/>
    <m/>
  </r>
  <r>
    <n v="1723"/>
    <n v="2276"/>
    <x v="260"/>
    <n v="3291.84"/>
    <s v="Completed"/>
    <s v="South"/>
    <s v="Apple Pay"/>
    <m/>
    <m/>
  </r>
  <r>
    <n v="1724"/>
    <n v="6942"/>
    <x v="223"/>
    <n v="3291.84"/>
    <s v="Completed"/>
    <s v="East"/>
    <s v="PayPal"/>
    <m/>
    <m/>
  </r>
  <r>
    <n v="1725"/>
    <n v="5673"/>
    <x v="15"/>
    <n v="3291.84"/>
    <s v="Completed"/>
    <s v="West"/>
    <s v="Credit Card"/>
    <m/>
    <m/>
  </r>
  <r>
    <n v="1726"/>
    <n v="2628"/>
    <x v="157"/>
    <n v="3291.84"/>
    <s v="Completed"/>
    <s v="West"/>
    <s v="Debit Card"/>
    <m/>
    <m/>
  </r>
  <r>
    <n v="1727"/>
    <n v="1682"/>
    <x v="113"/>
    <n v="3291.84"/>
    <s v="Completed"/>
    <s v="West"/>
    <s v="Debit Card"/>
    <m/>
    <m/>
  </r>
  <r>
    <n v="1728"/>
    <n v="6281"/>
    <x v="287"/>
    <n v="3291.84"/>
    <s v="Completed"/>
    <s v="others"/>
    <s v="PayPal"/>
    <m/>
    <m/>
  </r>
  <r>
    <n v="1729"/>
    <n v="9106"/>
    <x v="149"/>
    <n v="3291.84"/>
    <s v="Completed"/>
    <s v="East"/>
    <s v="Apple Pay"/>
    <m/>
    <m/>
  </r>
  <r>
    <n v="1730"/>
    <n v="9555"/>
    <x v="10"/>
    <n v="3291.84"/>
    <s v="Completed"/>
    <s v="East"/>
    <s v="Apple Pay"/>
    <m/>
    <m/>
  </r>
  <r>
    <n v="1731"/>
    <n v="6378"/>
    <x v="88"/>
    <n v="3291.84"/>
    <s v="Completed"/>
    <s v="Central"/>
    <s v="Apple Pay"/>
    <m/>
    <m/>
  </r>
  <r>
    <n v="1732"/>
    <n v="4345"/>
    <x v="104"/>
    <n v="3291.84"/>
    <s v="Completed"/>
    <s v="East"/>
    <s v="PayPal"/>
    <m/>
    <m/>
  </r>
  <r>
    <n v="1733"/>
    <n v="2300"/>
    <x v="6"/>
    <n v="3291.84"/>
    <s v="Completed"/>
    <s v="South"/>
    <s v="Debit Card"/>
    <m/>
    <m/>
  </r>
  <r>
    <n v="1734"/>
    <n v="9376"/>
    <x v="194"/>
    <n v="3291.84"/>
    <s v="Completed"/>
    <s v="South"/>
    <s v="Debit Card"/>
    <m/>
    <m/>
  </r>
  <r>
    <n v="1735"/>
    <n v="7430"/>
    <x v="92"/>
    <n v="3291.84"/>
    <s v="Completed"/>
    <s v="South"/>
    <s v="Apple Pay"/>
    <m/>
    <m/>
  </r>
  <r>
    <n v="1736"/>
    <n v="3534"/>
    <x v="216"/>
    <n v="3291.84"/>
    <s v="Completed"/>
    <s v="Central"/>
    <s v="PayPal"/>
    <m/>
    <m/>
  </r>
  <r>
    <n v="1737"/>
    <n v="7095"/>
    <x v="292"/>
    <n v="3291.84"/>
    <s v="Completed"/>
    <s v="East"/>
    <s v="PayPal"/>
    <m/>
    <m/>
  </r>
  <r>
    <n v="1738"/>
    <n v="6174"/>
    <x v="90"/>
    <n v="3291.84"/>
    <s v="Completed"/>
    <s v="South"/>
    <s v="PayPal"/>
    <m/>
    <m/>
  </r>
  <r>
    <n v="1739"/>
    <n v="9328"/>
    <x v="144"/>
    <n v="3291.84"/>
    <s v="Completed"/>
    <s v="West"/>
    <s v="Credit Card"/>
    <m/>
    <m/>
  </r>
  <r>
    <n v="1740"/>
    <n v="3947"/>
    <x v="7"/>
    <n v="3291.84"/>
    <s v="Completed"/>
    <s v="others"/>
    <s v="Debit Card"/>
    <m/>
    <m/>
  </r>
  <r>
    <n v="1741"/>
    <n v="3125"/>
    <x v="276"/>
    <n v="3291.84"/>
    <s v="Completed"/>
    <s v="South"/>
    <s v="Apple Pay"/>
    <m/>
    <m/>
  </r>
  <r>
    <n v="1742"/>
    <n v="2133"/>
    <x v="103"/>
    <n v="3291.84"/>
    <s v="Completed"/>
    <s v="South"/>
    <s v="Debit Card"/>
    <m/>
    <m/>
  </r>
  <r>
    <n v="1743"/>
    <n v="897"/>
    <x v="274"/>
    <n v="3291.84"/>
    <s v="Completed"/>
    <s v="East"/>
    <s v="Apple Pay"/>
    <m/>
    <m/>
  </r>
  <r>
    <n v="1744"/>
    <n v="7832"/>
    <x v="89"/>
    <n v="3291.84"/>
    <s v="Completed"/>
    <s v="Central"/>
    <s v="PayPal"/>
    <m/>
    <m/>
  </r>
  <r>
    <n v="1745"/>
    <n v="3400"/>
    <x v="129"/>
    <n v="3291.84"/>
    <s v="Completed"/>
    <s v="North"/>
    <s v="Credit Card"/>
    <m/>
    <m/>
  </r>
  <r>
    <n v="1746"/>
    <n v="1027"/>
    <x v="92"/>
    <n v="3291.84"/>
    <s v="Completed"/>
    <s v="South"/>
    <s v="Apple Pay"/>
    <m/>
    <m/>
  </r>
  <r>
    <n v="1747"/>
    <n v="4102"/>
    <x v="16"/>
    <n v="3291.84"/>
    <s v="Completed"/>
    <s v="South"/>
    <s v="Debit Card"/>
    <m/>
    <m/>
  </r>
  <r>
    <n v="1748"/>
    <n v="6744"/>
    <x v="159"/>
    <n v="3291.84"/>
    <s v="Completed"/>
    <s v="Central"/>
    <s v="Apple Pay"/>
    <m/>
    <m/>
  </r>
  <r>
    <n v="1749"/>
    <n v="8361"/>
    <x v="252"/>
    <n v="3291.84"/>
    <s v="Completed"/>
    <s v="Central"/>
    <s v="Apple Pay"/>
    <m/>
    <m/>
  </r>
  <r>
    <n v="1750"/>
    <n v="3593"/>
    <x v="97"/>
    <n v="3291.84"/>
    <s v="Completed"/>
    <s v="South"/>
    <s v="Apple Pay"/>
    <m/>
    <m/>
  </r>
  <r>
    <n v="1751"/>
    <n v="4193"/>
    <x v="2"/>
    <n v="3291.84"/>
    <s v="Completed"/>
    <s v="Central"/>
    <s v="Apple Pay"/>
    <m/>
    <m/>
  </r>
  <r>
    <n v="1752"/>
    <n v="3292"/>
    <x v="165"/>
    <n v="3291.84"/>
    <s v="Completed"/>
    <s v="West"/>
    <s v="Credit Card"/>
    <m/>
    <m/>
  </r>
  <r>
    <n v="1753"/>
    <n v="5255"/>
    <x v="56"/>
    <n v="3291.84"/>
    <s v="Cancelled"/>
    <s v="West"/>
    <s v="PayPal"/>
    <m/>
    <m/>
  </r>
  <r>
    <n v="1754"/>
    <n v="4446"/>
    <x v="175"/>
    <n v="3291.84"/>
    <s v="Completed"/>
    <s v="South"/>
    <s v="Credit Card"/>
    <m/>
    <m/>
  </r>
  <r>
    <n v="1755"/>
    <n v="122"/>
    <x v="284"/>
    <n v="3291.84"/>
    <s v="Completed"/>
    <s v="Central"/>
    <s v="Debit Card"/>
    <m/>
    <m/>
  </r>
  <r>
    <n v="1756"/>
    <n v="4684"/>
    <x v="359"/>
    <n v="3291.84"/>
    <s v="Completed"/>
    <s v="Central"/>
    <s v="Apple Pay"/>
    <m/>
    <m/>
  </r>
  <r>
    <n v="1757"/>
    <n v="4368"/>
    <x v="326"/>
    <n v="3291.84"/>
    <s v="Completed"/>
    <s v="East"/>
    <s v="Debit Card"/>
    <m/>
    <m/>
  </r>
  <r>
    <n v="1758"/>
    <n v="4019"/>
    <x v="81"/>
    <n v="3291.84"/>
    <s v="Completed"/>
    <s v="South"/>
    <s v="PayPal"/>
    <m/>
    <m/>
  </r>
  <r>
    <n v="1759"/>
    <n v="4366"/>
    <x v="186"/>
    <n v="3291.84"/>
    <s v="Completed"/>
    <s v="South"/>
    <s v="Debit Card"/>
    <m/>
    <m/>
  </r>
  <r>
    <n v="1760"/>
    <n v="61"/>
    <x v="196"/>
    <n v="3291.84"/>
    <s v="Completed"/>
    <s v="North"/>
    <s v="Credit Card"/>
    <m/>
    <m/>
  </r>
  <r>
    <n v="1761"/>
    <n v="2505"/>
    <x v="309"/>
    <n v="3291.84"/>
    <s v="Returned"/>
    <s v="Central"/>
    <s v="Apple Pay"/>
    <m/>
    <m/>
  </r>
  <r>
    <n v="1762"/>
    <n v="6906"/>
    <x v="174"/>
    <n v="3291.84"/>
    <s v="Completed"/>
    <s v="West"/>
    <s v="PayPal"/>
    <m/>
    <m/>
  </r>
  <r>
    <n v="1763"/>
    <n v="179"/>
    <x v="295"/>
    <n v="3291.84"/>
    <s v="Completed"/>
    <s v="Central"/>
    <s v="Apple Pay"/>
    <m/>
    <m/>
  </r>
  <r>
    <n v="1764"/>
    <n v="7520"/>
    <x v="68"/>
    <n v="3291.84"/>
    <s v="Completed"/>
    <s v="others"/>
    <s v="Credit Card"/>
    <m/>
    <m/>
  </r>
  <r>
    <n v="1765"/>
    <n v="4676"/>
    <x v="183"/>
    <n v="3291.84"/>
    <s v="Cancelled"/>
    <s v="South"/>
    <s v="Credit Card"/>
    <m/>
    <m/>
  </r>
  <r>
    <n v="1766"/>
    <n v="6002"/>
    <x v="268"/>
    <n v="3291.84"/>
    <s v="Completed"/>
    <s v="North"/>
    <s v="Debit Card"/>
    <m/>
    <m/>
  </r>
  <r>
    <n v="1767"/>
    <n v="5257"/>
    <x v="4"/>
    <n v="3291.84"/>
    <s v="Completed"/>
    <s v="East"/>
    <s v="Credit Card"/>
    <m/>
    <m/>
  </r>
  <r>
    <n v="1768"/>
    <n v="1128"/>
    <x v="101"/>
    <n v="3291.84"/>
    <s v="Completed"/>
    <s v="North"/>
    <s v="PayPal"/>
    <m/>
    <m/>
  </r>
  <r>
    <n v="1769"/>
    <n v="4938"/>
    <x v="52"/>
    <n v="3291.84"/>
    <s v="Completed"/>
    <s v="South"/>
    <s v="PayPal"/>
    <m/>
    <m/>
  </r>
  <r>
    <n v="1770"/>
    <n v="3272"/>
    <x v="122"/>
    <n v="3291.84"/>
    <s v="Completed"/>
    <s v="South"/>
    <s v="Apple Pay"/>
    <m/>
    <m/>
  </r>
  <r>
    <n v="1771"/>
    <n v="3449"/>
    <x v="131"/>
    <n v="3291.84"/>
    <s v="Completed"/>
    <s v="East"/>
    <s v="Debit Card"/>
    <m/>
    <m/>
  </r>
  <r>
    <n v="1772"/>
    <n v="587"/>
    <x v="335"/>
    <n v="3291.84"/>
    <s v="Cancelled"/>
    <s v="North"/>
    <s v="Credit Card"/>
    <m/>
    <m/>
  </r>
  <r>
    <n v="1773"/>
    <n v="4021"/>
    <x v="268"/>
    <n v="3291.84"/>
    <s v="Completed"/>
    <s v="West"/>
    <s v="PayPal"/>
    <m/>
    <m/>
  </r>
  <r>
    <n v="1774"/>
    <n v="551"/>
    <x v="362"/>
    <n v="3291.84"/>
    <s v="Completed"/>
    <s v="East"/>
    <s v="Apple Pay"/>
    <m/>
    <m/>
  </r>
  <r>
    <n v="1775"/>
    <n v="7492"/>
    <x v="177"/>
    <n v="3291.84"/>
    <s v="Completed"/>
    <s v="Central"/>
    <s v="Credit Card"/>
    <m/>
    <m/>
  </r>
  <r>
    <n v="1776"/>
    <n v="4111"/>
    <x v="60"/>
    <n v="3291.84"/>
    <s v="Completed"/>
    <s v="West"/>
    <s v="PayPal"/>
    <m/>
    <m/>
  </r>
  <r>
    <n v="1777"/>
    <n v="4461"/>
    <x v="154"/>
    <n v="3291.84"/>
    <s v="Completed"/>
    <s v="West"/>
    <s v="Credit Card"/>
    <m/>
    <m/>
  </r>
  <r>
    <n v="1778"/>
    <n v="3621"/>
    <x v="259"/>
    <n v="3291.84"/>
    <s v="Completed"/>
    <s v="South"/>
    <s v="Credit Card"/>
    <m/>
    <m/>
  </r>
  <r>
    <n v="1779"/>
    <n v="6502"/>
    <x v="326"/>
    <n v="3291.84"/>
    <s v="Completed"/>
    <s v="South"/>
    <s v="Credit Card"/>
    <m/>
    <m/>
  </r>
  <r>
    <n v="1780"/>
    <n v="3705"/>
    <x v="8"/>
    <n v="3291.84"/>
    <s v="Completed"/>
    <s v="Central"/>
    <s v="Debit Card"/>
    <m/>
    <m/>
  </r>
  <r>
    <n v="1781"/>
    <n v="2682"/>
    <x v="194"/>
    <n v="3291.84"/>
    <s v="Completed"/>
    <s v="West"/>
    <s v="Credit Card"/>
    <m/>
    <m/>
  </r>
  <r>
    <n v="1782"/>
    <n v="7360"/>
    <x v="94"/>
    <n v="3291.84"/>
    <s v="Completed"/>
    <s v="Central"/>
    <s v="Debit Card"/>
    <m/>
    <m/>
  </r>
  <r>
    <n v="1783"/>
    <n v="1475"/>
    <x v="264"/>
    <n v="3291.84"/>
    <s v="Completed"/>
    <s v="West"/>
    <s v="Credit Card"/>
    <m/>
    <m/>
  </r>
  <r>
    <n v="1784"/>
    <n v="9069"/>
    <x v="120"/>
    <n v="3291.84"/>
    <s v="Completed"/>
    <s v="West"/>
    <s v="PayPal"/>
    <m/>
    <m/>
  </r>
  <r>
    <n v="1785"/>
    <n v="3921"/>
    <x v="84"/>
    <n v="3291.84"/>
    <s v="Completed"/>
    <s v="West"/>
    <s v="Debit Card"/>
    <m/>
    <m/>
  </r>
  <r>
    <n v="1786"/>
    <n v="9107"/>
    <x v="103"/>
    <n v="3291.84"/>
    <s v="Completed"/>
    <s v="South"/>
    <s v="PayPal"/>
    <m/>
    <m/>
  </r>
  <r>
    <n v="1787"/>
    <n v="3420"/>
    <x v="316"/>
    <n v="3291.84"/>
    <s v="Completed"/>
    <s v="North"/>
    <s v="Debit Card"/>
    <m/>
    <m/>
  </r>
  <r>
    <n v="1788"/>
    <n v="7424"/>
    <x v="363"/>
    <n v="3291.84"/>
    <s v="Completed"/>
    <s v="East"/>
    <s v="Credit Card"/>
    <m/>
    <m/>
  </r>
  <r>
    <n v="1789"/>
    <n v="182"/>
    <x v="272"/>
    <n v="3291.84"/>
    <s v="Completed"/>
    <s v="East"/>
    <s v="Apple Pay"/>
    <m/>
    <m/>
  </r>
  <r>
    <n v="1790"/>
    <n v="4966"/>
    <x v="49"/>
    <n v="3291.84"/>
    <s v="Completed"/>
    <s v="West"/>
    <s v="PayPal"/>
    <m/>
    <m/>
  </r>
  <r>
    <n v="1791"/>
    <n v="4608"/>
    <x v="211"/>
    <n v="3291.84"/>
    <s v="Completed"/>
    <s v="East"/>
    <s v="Credit Card"/>
    <m/>
    <m/>
  </r>
  <r>
    <n v="1792"/>
    <n v="7440"/>
    <x v="88"/>
    <n v="3291.84"/>
    <s v="Completed"/>
    <s v="North"/>
    <s v="PayPal"/>
    <m/>
    <m/>
  </r>
  <r>
    <n v="1793"/>
    <n v="9337"/>
    <x v="146"/>
    <n v="3291.84"/>
    <s v="Completed"/>
    <s v="North"/>
    <s v="Apple Pay"/>
    <m/>
    <m/>
  </r>
  <r>
    <n v="1794"/>
    <n v="8684"/>
    <x v="197"/>
    <n v="3291.84"/>
    <s v="Completed"/>
    <s v="West"/>
    <s v="Apple Pay"/>
    <m/>
    <m/>
  </r>
  <r>
    <n v="1795"/>
    <n v="8810"/>
    <x v="88"/>
    <n v="3291.84"/>
    <s v="Completed"/>
    <s v="Central"/>
    <s v="PayPal"/>
    <m/>
    <m/>
  </r>
  <r>
    <n v="1796"/>
    <n v="6881"/>
    <x v="267"/>
    <n v="3291.84"/>
    <s v="Completed"/>
    <s v="North"/>
    <s v="PayPal"/>
    <m/>
    <m/>
  </r>
  <r>
    <n v="1797"/>
    <n v="1850"/>
    <x v="17"/>
    <n v="3291.84"/>
    <s v="Completed"/>
    <s v="East"/>
    <s v="Apple Pay"/>
    <m/>
    <m/>
  </r>
  <r>
    <n v="1798"/>
    <n v="9437"/>
    <x v="113"/>
    <n v="3291.84"/>
    <s v="Completed"/>
    <s v="South"/>
    <s v="Apple Pay"/>
    <m/>
    <m/>
  </r>
  <r>
    <n v="1799"/>
    <n v="2191"/>
    <x v="131"/>
    <n v="3291.84"/>
    <s v="Completed"/>
    <s v="East"/>
    <s v="Apple Pay"/>
    <m/>
    <m/>
  </r>
  <r>
    <n v="1800"/>
    <n v="9768"/>
    <x v="180"/>
    <n v="3291.84"/>
    <s v="Completed"/>
    <s v="South"/>
    <s v="Apple Pay"/>
    <m/>
    <m/>
  </r>
  <r>
    <n v="1801"/>
    <n v="1786"/>
    <x v="146"/>
    <n v="3291.84"/>
    <s v="Completed"/>
    <s v="North"/>
    <s v="Debit Card"/>
    <m/>
    <m/>
  </r>
  <r>
    <n v="1802"/>
    <n v="7693"/>
    <x v="309"/>
    <n v="3291.84"/>
    <s v="Completed"/>
    <s v="West"/>
    <s v="Debit Card"/>
    <m/>
    <m/>
  </r>
  <r>
    <n v="1803"/>
    <n v="6506"/>
    <x v="211"/>
    <n v="3291.84"/>
    <s v="Completed"/>
    <s v="North"/>
    <s v="Apple Pay"/>
    <m/>
    <m/>
  </r>
  <r>
    <n v="1804"/>
    <n v="9710"/>
    <x v="47"/>
    <n v="3291.84"/>
    <s v="Completed"/>
    <s v="North"/>
    <s v="PayPal"/>
    <m/>
    <m/>
  </r>
  <r>
    <n v="1805"/>
    <n v="4874"/>
    <x v="354"/>
    <n v="3291.84"/>
    <s v="Completed"/>
    <s v="North"/>
    <s v="PayPal"/>
    <m/>
    <m/>
  </r>
  <r>
    <n v="1806"/>
    <n v="6483"/>
    <x v="105"/>
    <n v="3291.84"/>
    <s v="Completed"/>
    <s v="West"/>
    <s v="PayPal"/>
    <m/>
    <m/>
  </r>
  <r>
    <n v="1807"/>
    <n v="2758"/>
    <x v="158"/>
    <n v="3291.84"/>
    <s v="Completed"/>
    <s v="South"/>
    <s v="Credit Card"/>
    <m/>
    <m/>
  </r>
  <r>
    <n v="1808"/>
    <n v="5946"/>
    <x v="343"/>
    <n v="3291.84"/>
    <s v="Completed"/>
    <s v="West"/>
    <s v="Apple Pay"/>
    <m/>
    <m/>
  </r>
  <r>
    <n v="1809"/>
    <n v="2422"/>
    <x v="289"/>
    <n v="3291.84"/>
    <s v="Completed"/>
    <s v="East"/>
    <s v="Credit Card"/>
    <m/>
    <m/>
  </r>
  <r>
    <n v="1810"/>
    <n v="8742"/>
    <x v="357"/>
    <n v="3291.84"/>
    <s v="Completed"/>
    <s v="West"/>
    <s v="Credit Card"/>
    <m/>
    <m/>
  </r>
  <r>
    <n v="1811"/>
    <n v="1528"/>
    <x v="344"/>
    <n v="3291.84"/>
    <s v="Completed"/>
    <s v="South"/>
    <s v="Apple Pay"/>
    <m/>
    <m/>
  </r>
  <r>
    <n v="1812"/>
    <n v="6568"/>
    <x v="170"/>
    <n v="3291.84"/>
    <s v="Completed"/>
    <s v="South"/>
    <s v="Credit Card"/>
    <m/>
    <m/>
  </r>
  <r>
    <n v="1813"/>
    <n v="2444"/>
    <x v="316"/>
    <n v="3291.84"/>
    <s v="Completed"/>
    <s v="South"/>
    <s v="Debit Card"/>
    <m/>
    <m/>
  </r>
  <r>
    <n v="1814"/>
    <n v="3480"/>
    <x v="234"/>
    <n v="3291.84"/>
    <s v="Completed"/>
    <s v="East"/>
    <s v="Apple Pay"/>
    <m/>
    <m/>
  </r>
  <r>
    <n v="1815"/>
    <n v="8345"/>
    <x v="44"/>
    <n v="3291.84"/>
    <s v="Completed"/>
    <s v="Central"/>
    <s v="Apple Pay"/>
    <m/>
    <m/>
  </r>
  <r>
    <n v="1816"/>
    <n v="2880"/>
    <x v="338"/>
    <n v="3291.84"/>
    <s v="Completed"/>
    <s v="Central"/>
    <s v="PayPal"/>
    <m/>
    <m/>
  </r>
  <r>
    <n v="1817"/>
    <n v="4111"/>
    <x v="58"/>
    <n v="3291.84"/>
    <s v="Completed"/>
    <s v="West"/>
    <s v="PayPal"/>
    <m/>
    <m/>
  </r>
  <r>
    <n v="1818"/>
    <n v="1177"/>
    <x v="303"/>
    <n v="3291.84"/>
    <s v="Completed"/>
    <s v="others"/>
    <s v="Apple Pay"/>
    <m/>
    <m/>
  </r>
  <r>
    <n v="1819"/>
    <n v="5369"/>
    <x v="158"/>
    <n v="3291.84"/>
    <s v="Completed"/>
    <s v="South"/>
    <s v="Credit Card"/>
    <m/>
    <m/>
  </r>
  <r>
    <n v="1820"/>
    <n v="9397"/>
    <x v="287"/>
    <n v="3291.84"/>
    <s v="Completed"/>
    <s v="West"/>
    <s v="PayPal"/>
    <m/>
    <m/>
  </r>
  <r>
    <n v="1821"/>
    <n v="1433"/>
    <x v="278"/>
    <n v="3291.84"/>
    <s v="Completed"/>
    <s v="East"/>
    <s v="Credit Card"/>
    <m/>
    <m/>
  </r>
  <r>
    <n v="1822"/>
    <n v="8657"/>
    <x v="107"/>
    <n v="3291.84"/>
    <s v="Completed"/>
    <s v="Central"/>
    <s v="PayPal"/>
    <m/>
    <m/>
  </r>
  <r>
    <n v="1823"/>
    <n v="7897"/>
    <x v="155"/>
    <n v="3291.84"/>
    <s v="Completed"/>
    <s v="South"/>
    <s v="Apple Pay"/>
    <m/>
    <m/>
  </r>
  <r>
    <n v="1824"/>
    <n v="5034"/>
    <x v="284"/>
    <n v="3291.84"/>
    <s v="Completed"/>
    <s v="North"/>
    <s v="Apple Pay"/>
    <m/>
    <m/>
  </r>
  <r>
    <n v="1825"/>
    <n v="8505"/>
    <x v="290"/>
    <n v="3291.84"/>
    <s v="Completed"/>
    <s v="South"/>
    <s v="Apple Pay"/>
    <m/>
    <m/>
  </r>
  <r>
    <n v="1826"/>
    <n v="7798"/>
    <x v="340"/>
    <n v="3291.84"/>
    <s v="Completed"/>
    <s v="Central"/>
    <s v="Apple Pay"/>
    <m/>
    <m/>
  </r>
  <r>
    <n v="1827"/>
    <n v="5511"/>
    <x v="284"/>
    <n v="3291.84"/>
    <s v="Completed"/>
    <s v="North"/>
    <s v="PayPal"/>
    <m/>
    <m/>
  </r>
  <r>
    <n v="1828"/>
    <n v="9982"/>
    <x v="33"/>
    <n v="3291.84"/>
    <s v="Completed"/>
    <s v="North"/>
    <s v="Credit Card"/>
    <m/>
    <m/>
  </r>
  <r>
    <n v="1829"/>
    <n v="6284"/>
    <x v="352"/>
    <n v="3291.84"/>
    <s v="Completed"/>
    <s v="West"/>
    <s v="PayPal"/>
    <m/>
    <m/>
  </r>
  <r>
    <n v="1830"/>
    <n v="6283"/>
    <x v="27"/>
    <n v="3291.84"/>
    <s v="Completed"/>
    <s v="West"/>
    <s v="Apple Pay"/>
    <m/>
    <m/>
  </r>
  <r>
    <n v="1831"/>
    <n v="7220"/>
    <x v="28"/>
    <n v="3291.84"/>
    <s v="Completed"/>
    <s v="West"/>
    <s v="Apple Pay"/>
    <m/>
    <m/>
  </r>
  <r>
    <n v="1832"/>
    <n v="7343"/>
    <x v="127"/>
    <n v="3291.84"/>
    <s v="Completed"/>
    <s v="North"/>
    <s v="PayPal"/>
    <m/>
    <m/>
  </r>
  <r>
    <n v="1833"/>
    <n v="3385"/>
    <x v="219"/>
    <n v="3291.84"/>
    <s v="Completed"/>
    <s v="North"/>
    <s v="Debit Card"/>
    <m/>
    <m/>
  </r>
  <r>
    <n v="1834"/>
    <n v="7102"/>
    <x v="73"/>
    <n v="3291.84"/>
    <s v="Cancelled"/>
    <s v="West"/>
    <s v="Credit Card"/>
    <m/>
    <m/>
  </r>
  <r>
    <n v="1835"/>
    <n v="5743"/>
    <x v="23"/>
    <n v="3291.84"/>
    <s v="Completed"/>
    <s v="North"/>
    <s v="Apple Pay"/>
    <m/>
    <m/>
  </r>
  <r>
    <n v="1836"/>
    <n v="9268"/>
    <x v="285"/>
    <n v="3291.84"/>
    <s v="Completed"/>
    <s v="Central"/>
    <s v="Credit Card"/>
    <m/>
    <m/>
  </r>
  <r>
    <n v="1837"/>
    <n v="1983"/>
    <x v="97"/>
    <n v="3291.84"/>
    <s v="Completed"/>
    <s v="South"/>
    <s v="Debit Card"/>
    <m/>
    <m/>
  </r>
  <r>
    <n v="1838"/>
    <n v="6831"/>
    <x v="242"/>
    <n v="3291.84"/>
    <s v="Cancelled"/>
    <s v="West"/>
    <s v="Credit Card"/>
    <m/>
    <m/>
  </r>
  <r>
    <n v="1839"/>
    <n v="8713"/>
    <x v="10"/>
    <n v="3291.84"/>
    <s v="Completed"/>
    <s v="East"/>
    <s v="Credit Card"/>
    <m/>
    <m/>
  </r>
  <r>
    <n v="1840"/>
    <n v="7849"/>
    <x v="297"/>
    <n v="3291.84"/>
    <s v="Completed"/>
    <s v="South"/>
    <s v="Debit Card"/>
    <m/>
    <m/>
  </r>
  <r>
    <n v="1841"/>
    <n v="7074"/>
    <x v="345"/>
    <n v="3291.84"/>
    <s v="Completed"/>
    <s v="South"/>
    <s v="Apple Pay"/>
    <m/>
    <m/>
  </r>
  <r>
    <n v="1842"/>
    <n v="8227"/>
    <x v="363"/>
    <n v="3291.84"/>
    <s v="Cancelled"/>
    <s v="South"/>
    <s v="Debit Card"/>
    <m/>
    <m/>
  </r>
  <r>
    <n v="1843"/>
    <n v="6063"/>
    <x v="283"/>
    <n v="3291.84"/>
    <s v="Completed"/>
    <s v="East"/>
    <s v="Apple Pay"/>
    <m/>
    <m/>
  </r>
  <r>
    <n v="1844"/>
    <n v="8571"/>
    <x v="111"/>
    <n v="3291.84"/>
    <s v="Completed"/>
    <s v="North"/>
    <s v="Credit Card"/>
    <m/>
    <m/>
  </r>
  <r>
    <n v="1845"/>
    <n v="8678"/>
    <x v="72"/>
    <n v="3291.84"/>
    <s v="Completed"/>
    <s v="West"/>
    <s v="Credit Card"/>
    <m/>
    <m/>
  </r>
  <r>
    <n v="1846"/>
    <n v="6261"/>
    <x v="273"/>
    <n v="3291.84"/>
    <s v="Completed"/>
    <s v="Central"/>
    <s v="Credit Card"/>
    <m/>
    <m/>
  </r>
  <r>
    <n v="1847"/>
    <n v="9432"/>
    <x v="55"/>
    <n v="3291.84"/>
    <s v="Completed"/>
    <s v="East"/>
    <s v="Apple Pay"/>
    <m/>
    <m/>
  </r>
  <r>
    <n v="1848"/>
    <n v="626"/>
    <x v="269"/>
    <n v="3291.84"/>
    <s v="Cancelled"/>
    <s v="South"/>
    <s v="Debit Card"/>
    <m/>
    <m/>
  </r>
  <r>
    <n v="1849"/>
    <n v="6397"/>
    <x v="230"/>
    <n v="3291.84"/>
    <s v="Completed"/>
    <s v="East"/>
    <s v="PayPal"/>
    <m/>
    <m/>
  </r>
  <r>
    <n v="1850"/>
    <n v="8116"/>
    <x v="224"/>
    <n v="3291.84"/>
    <s v="Completed"/>
    <s v="West"/>
    <s v="Credit Card"/>
    <m/>
    <m/>
  </r>
  <r>
    <n v="1851"/>
    <n v="3005"/>
    <x v="150"/>
    <n v="3291.84"/>
    <s v="Completed"/>
    <s v="Central"/>
    <s v="Apple Pay"/>
    <m/>
    <m/>
  </r>
  <r>
    <n v="1852"/>
    <n v="6078"/>
    <x v="188"/>
    <n v="3291.84"/>
    <s v="Completed"/>
    <s v="Central"/>
    <s v="Debit Card"/>
    <m/>
    <m/>
  </r>
  <r>
    <n v="1853"/>
    <n v="2375"/>
    <x v="63"/>
    <n v="3291.84"/>
    <s v="Completed"/>
    <s v="North"/>
    <s v="Debit Card"/>
    <m/>
    <m/>
  </r>
  <r>
    <n v="1854"/>
    <n v="7039"/>
    <x v="345"/>
    <n v="3291.84"/>
    <s v="Completed"/>
    <s v="South"/>
    <s v="PayPal"/>
    <m/>
    <m/>
  </r>
  <r>
    <n v="1855"/>
    <n v="4102"/>
    <x v="145"/>
    <n v="3291.84"/>
    <s v="Completed"/>
    <s v="South"/>
    <s v="Credit Card"/>
    <m/>
    <m/>
  </r>
  <r>
    <n v="1856"/>
    <n v="6646"/>
    <x v="9"/>
    <n v="3291.84"/>
    <s v="Completed"/>
    <s v="North"/>
    <s v="Apple Pay"/>
    <m/>
    <m/>
  </r>
  <r>
    <n v="1857"/>
    <n v="5366"/>
    <x v="87"/>
    <n v="3291.84"/>
    <s v="Completed"/>
    <s v="West"/>
    <s v="PayPal"/>
    <m/>
    <m/>
  </r>
  <r>
    <n v="1858"/>
    <n v="5546"/>
    <x v="179"/>
    <n v="3291.84"/>
    <s v="Completed"/>
    <s v="Central"/>
    <s v="PayPal"/>
    <m/>
    <m/>
  </r>
  <r>
    <n v="1859"/>
    <n v="9139"/>
    <x v="90"/>
    <n v="3291.84"/>
    <s v="Completed"/>
    <s v="West"/>
    <s v="Apple Pay"/>
    <m/>
    <m/>
  </r>
  <r>
    <n v="1860"/>
    <n v="6215"/>
    <x v="5"/>
    <n v="3291.84"/>
    <s v="Completed"/>
    <s v="South"/>
    <s v="Credit Card"/>
    <m/>
    <m/>
  </r>
  <r>
    <n v="1861"/>
    <n v="1044"/>
    <x v="230"/>
    <n v="3291.84"/>
    <s v="Completed"/>
    <s v="South"/>
    <s v="Credit Card"/>
    <m/>
    <m/>
  </r>
  <r>
    <n v="1862"/>
    <n v="5914"/>
    <x v="153"/>
    <n v="3291.84"/>
    <s v="Completed"/>
    <s v="West"/>
    <s v="Apple Pay"/>
    <m/>
    <m/>
  </r>
  <r>
    <n v="1863"/>
    <n v="3468"/>
    <x v="358"/>
    <n v="3291.84"/>
    <s v="Completed"/>
    <s v="South"/>
    <s v="Debit Card"/>
    <m/>
    <m/>
  </r>
  <r>
    <n v="1864"/>
    <n v="7722"/>
    <x v="263"/>
    <n v="3291.84"/>
    <s v="Completed"/>
    <s v="East"/>
    <s v="PayPal"/>
    <m/>
    <m/>
  </r>
  <r>
    <n v="1865"/>
    <n v="4313"/>
    <x v="333"/>
    <n v="3291.84"/>
    <s v="Completed"/>
    <s v="South"/>
    <s v="Apple Pay"/>
    <m/>
    <m/>
  </r>
  <r>
    <n v="1866"/>
    <n v="3678"/>
    <x v="181"/>
    <n v="3291.84"/>
    <s v="Completed"/>
    <s v="East"/>
    <s v="Apple Pay"/>
    <m/>
    <m/>
  </r>
  <r>
    <n v="1867"/>
    <n v="4794"/>
    <x v="180"/>
    <n v="3291.84"/>
    <s v="Completed"/>
    <s v="South"/>
    <s v="Apple Pay"/>
    <m/>
    <m/>
  </r>
  <r>
    <n v="1868"/>
    <n v="3916"/>
    <x v="40"/>
    <n v="3291.84"/>
    <s v="Completed"/>
    <s v="Central"/>
    <s v="PayPal"/>
    <m/>
    <m/>
  </r>
  <r>
    <n v="1869"/>
    <n v="6425"/>
    <x v="203"/>
    <n v="3291.84"/>
    <s v="Completed"/>
    <s v="North"/>
    <s v="Apple Pay"/>
    <m/>
    <m/>
  </r>
  <r>
    <n v="1870"/>
    <n v="2857"/>
    <x v="26"/>
    <n v="3291.84"/>
    <s v="Completed"/>
    <s v="North"/>
    <s v="Debit Card"/>
    <m/>
    <m/>
  </r>
  <r>
    <n v="1871"/>
    <n v="5591"/>
    <x v="223"/>
    <n v="3291.84"/>
    <s v="Completed"/>
    <s v="West"/>
    <s v="Credit Card"/>
    <m/>
    <m/>
  </r>
  <r>
    <n v="1872"/>
    <n v="4626"/>
    <x v="87"/>
    <n v="3291.84"/>
    <s v="Completed"/>
    <s v="Central"/>
    <s v="PayPal"/>
    <m/>
    <m/>
  </r>
  <r>
    <n v="1873"/>
    <n v="3367"/>
    <x v="124"/>
    <n v="3291.84"/>
    <s v="Completed"/>
    <s v="East"/>
    <s v="Debit Card"/>
    <m/>
    <m/>
  </r>
  <r>
    <n v="1874"/>
    <n v="5771"/>
    <x v="6"/>
    <n v="3291.84"/>
    <s v="Completed"/>
    <s v="North"/>
    <s v="Credit Card"/>
    <m/>
    <m/>
  </r>
  <r>
    <n v="1875"/>
    <n v="7099"/>
    <x v="272"/>
    <n v="3291.84"/>
    <s v="Completed"/>
    <s v="West"/>
    <s v="Apple Pay"/>
    <m/>
    <m/>
  </r>
  <r>
    <n v="1876"/>
    <n v="3407"/>
    <x v="182"/>
    <n v="3291.84"/>
    <s v="Completed"/>
    <s v="East"/>
    <s v="PayPal"/>
    <m/>
    <m/>
  </r>
  <r>
    <n v="1877"/>
    <n v="7490"/>
    <x v="252"/>
    <n v="3291.84"/>
    <s v="Completed"/>
    <s v="North"/>
    <s v="Credit Card"/>
    <m/>
    <m/>
  </r>
  <r>
    <n v="1878"/>
    <n v="8092"/>
    <x v="97"/>
    <n v="3291.84"/>
    <s v="Completed"/>
    <s v="North"/>
    <s v="Credit Card"/>
    <m/>
    <m/>
  </r>
  <r>
    <n v="1879"/>
    <n v="6609"/>
    <x v="15"/>
    <n v="3291.84"/>
    <s v="Completed"/>
    <s v="West"/>
    <s v="Credit Card"/>
    <m/>
    <m/>
  </r>
  <r>
    <n v="1880"/>
    <n v="4668"/>
    <x v="96"/>
    <n v="3291.84"/>
    <s v="Completed"/>
    <s v="North"/>
    <s v="Debit Card"/>
    <m/>
    <m/>
  </r>
  <r>
    <n v="1881"/>
    <n v="2634"/>
    <x v="124"/>
    <n v="3291.84"/>
    <s v="Completed"/>
    <s v="West"/>
    <s v="Debit Card"/>
    <m/>
    <m/>
  </r>
  <r>
    <n v="1882"/>
    <n v="5617"/>
    <x v="82"/>
    <n v="3291.84"/>
    <s v="Completed"/>
    <s v="Central"/>
    <s v="PayPal"/>
    <m/>
    <m/>
  </r>
  <r>
    <n v="1883"/>
    <n v="5036"/>
    <x v="75"/>
    <n v="3291.84"/>
    <s v="Completed"/>
    <s v="Central"/>
    <s v="Credit Card"/>
    <m/>
    <m/>
  </r>
  <r>
    <n v="1884"/>
    <n v="3130"/>
    <x v="340"/>
    <n v="3291.84"/>
    <s v="Completed"/>
    <s v="Central"/>
    <s v="Apple Pay"/>
    <m/>
    <m/>
  </r>
  <r>
    <n v="1885"/>
    <n v="4445"/>
    <x v="153"/>
    <n v="3291.84"/>
    <s v="Completed"/>
    <s v="North"/>
    <s v="PayPal"/>
    <m/>
    <m/>
  </r>
  <r>
    <n v="1886"/>
    <n v="8428"/>
    <x v="103"/>
    <n v="3291.84"/>
    <s v="Completed"/>
    <s v="South"/>
    <s v="PayPal"/>
    <m/>
    <m/>
  </r>
  <r>
    <n v="1887"/>
    <n v="8759"/>
    <x v="170"/>
    <n v="3291.84"/>
    <s v="Completed"/>
    <s v="West"/>
    <s v="Credit Card"/>
    <m/>
    <m/>
  </r>
  <r>
    <n v="1888"/>
    <n v="8520"/>
    <x v="146"/>
    <n v="3291.84"/>
    <s v="Completed"/>
    <s v="South"/>
    <s v="PayPal"/>
    <m/>
    <m/>
  </r>
  <r>
    <n v="1889"/>
    <n v="8532"/>
    <x v="181"/>
    <n v="3291.84"/>
    <s v="Completed"/>
    <s v="South"/>
    <s v="Apple Pay"/>
    <m/>
    <m/>
  </r>
  <r>
    <n v="1890"/>
    <n v="6112"/>
    <x v="317"/>
    <n v="3291.84"/>
    <s v="Completed"/>
    <s v="West"/>
    <s v="Apple Pay"/>
    <m/>
    <m/>
  </r>
  <r>
    <n v="1891"/>
    <n v="1376"/>
    <x v="81"/>
    <n v="3291.84"/>
    <s v="Completed"/>
    <s v="East"/>
    <s v="PayPal"/>
    <m/>
    <m/>
  </r>
  <r>
    <n v="1892"/>
    <n v="2636"/>
    <x v="361"/>
    <n v="3291.84"/>
    <s v="Completed"/>
    <s v="East"/>
    <s v="Apple Pay"/>
    <m/>
    <m/>
  </r>
  <r>
    <n v="1893"/>
    <n v="1448"/>
    <x v="275"/>
    <n v="3291.84"/>
    <s v="Completed"/>
    <s v="East"/>
    <s v="Debit Card"/>
    <m/>
    <m/>
  </r>
  <r>
    <n v="1894"/>
    <n v="7528"/>
    <x v="321"/>
    <n v="3291.84"/>
    <s v="Completed"/>
    <s v="Central"/>
    <s v="Apple Pay"/>
    <m/>
    <m/>
  </r>
  <r>
    <n v="1895"/>
    <n v="7145"/>
    <x v="309"/>
    <n v="3291.84"/>
    <s v="Completed"/>
    <s v="East"/>
    <s v="PayPal"/>
    <m/>
    <m/>
  </r>
  <r>
    <n v="1896"/>
    <n v="9162"/>
    <x v="333"/>
    <n v="3291.84"/>
    <s v="Completed"/>
    <s v="West"/>
    <s v="PayPal"/>
    <m/>
    <m/>
  </r>
  <r>
    <n v="1897"/>
    <n v="4017"/>
    <x v="286"/>
    <n v="3291.84"/>
    <s v="Cancelled"/>
    <s v="Central"/>
    <s v="Debit Card"/>
    <m/>
    <m/>
  </r>
  <r>
    <n v="1898"/>
    <n v="9688"/>
    <x v="275"/>
    <n v="3291.84"/>
    <s v="Completed"/>
    <s v="Central"/>
    <s v="Credit Card"/>
    <m/>
    <m/>
  </r>
  <r>
    <n v="1899"/>
    <n v="7492"/>
    <x v="251"/>
    <n v="3291.84"/>
    <s v="Completed"/>
    <s v="Central"/>
    <s v="Credit Card"/>
    <m/>
    <m/>
  </r>
  <r>
    <n v="1900"/>
    <n v="6228"/>
    <x v="46"/>
    <n v="3291.84"/>
    <s v="Completed"/>
    <s v="Central"/>
    <s v="PayPal"/>
    <m/>
    <m/>
  </r>
  <r>
    <n v="1901"/>
    <n v="1028"/>
    <x v="30"/>
    <n v="3291.84"/>
    <s v="Completed"/>
    <s v="Central"/>
    <s v="Credit Card"/>
    <m/>
    <m/>
  </r>
  <r>
    <n v="1902"/>
    <n v="514"/>
    <x v="271"/>
    <n v="3291.84"/>
    <s v="Completed"/>
    <s v="West"/>
    <s v="PayPal"/>
    <m/>
    <m/>
  </r>
  <r>
    <n v="1903"/>
    <n v="8474"/>
    <x v="83"/>
    <n v="3291.84"/>
    <s v="Completed"/>
    <s v="North"/>
    <s v="Credit Card"/>
    <m/>
    <m/>
  </r>
  <r>
    <n v="1904"/>
    <n v="2878"/>
    <x v="99"/>
    <n v="3291.84"/>
    <s v="Completed"/>
    <s v="Central"/>
    <s v="Credit Card"/>
    <m/>
    <m/>
  </r>
  <r>
    <n v="1905"/>
    <n v="8692"/>
    <x v="93"/>
    <n v="3291.84"/>
    <s v="Completed"/>
    <s v="West"/>
    <s v="Apple Pay"/>
    <m/>
    <m/>
  </r>
  <r>
    <n v="1906"/>
    <n v="5513"/>
    <x v="122"/>
    <n v="3291.84"/>
    <s v="Completed"/>
    <s v="East"/>
    <s v="Debit Card"/>
    <m/>
    <m/>
  </r>
  <r>
    <n v="1907"/>
    <n v="4694"/>
    <x v="276"/>
    <n v="3291.84"/>
    <s v="Completed"/>
    <s v="Central"/>
    <s v="Credit Card"/>
    <m/>
    <m/>
  </r>
  <r>
    <n v="1908"/>
    <n v="8116"/>
    <x v="248"/>
    <n v="3291.84"/>
    <s v="Completed"/>
    <s v="West"/>
    <s v="Apple Pay"/>
    <m/>
    <m/>
  </r>
  <r>
    <n v="1909"/>
    <n v="155"/>
    <x v="300"/>
    <n v="3291.84"/>
    <s v="Completed"/>
    <s v="Central"/>
    <s v="Credit Card"/>
    <m/>
    <m/>
  </r>
  <r>
    <n v="1910"/>
    <n v="4362"/>
    <x v="85"/>
    <n v="3291.84"/>
    <s v="Completed"/>
    <s v="Central"/>
    <s v="Apple Pay"/>
    <m/>
    <m/>
  </r>
  <r>
    <n v="1911"/>
    <n v="1897"/>
    <x v="72"/>
    <n v="3291.84"/>
    <s v="Completed"/>
    <s v="North"/>
    <s v="Debit Card"/>
    <m/>
    <m/>
  </r>
  <r>
    <n v="1912"/>
    <n v="6483"/>
    <x v="315"/>
    <n v="3291.84"/>
    <s v="Completed"/>
    <s v="West"/>
    <s v="PayPal"/>
    <m/>
    <m/>
  </r>
  <r>
    <n v="1913"/>
    <n v="2184"/>
    <x v="33"/>
    <n v="3291.84"/>
    <s v="Completed"/>
    <s v="East"/>
    <s v="Apple Pay"/>
    <m/>
    <m/>
  </r>
  <r>
    <n v="1914"/>
    <n v="3087"/>
    <x v="193"/>
    <n v="3291.84"/>
    <s v="Completed"/>
    <s v="South"/>
    <s v="PayPal"/>
    <m/>
    <m/>
  </r>
  <r>
    <n v="1915"/>
    <n v="4961"/>
    <x v="296"/>
    <n v="3291.84"/>
    <s v="Completed"/>
    <s v="West"/>
    <s v="PayPal"/>
    <m/>
    <m/>
  </r>
  <r>
    <n v="1916"/>
    <n v="9010"/>
    <x v="90"/>
    <n v="3291.84"/>
    <s v="Completed"/>
    <s v="Central"/>
    <s v="PayPal"/>
    <m/>
    <m/>
  </r>
  <r>
    <n v="1917"/>
    <n v="3602"/>
    <x v="346"/>
    <n v="3291.84"/>
    <s v="Completed"/>
    <s v="North"/>
    <s v="Debit Card"/>
    <m/>
    <m/>
  </r>
  <r>
    <n v="1918"/>
    <n v="5426"/>
    <x v="149"/>
    <n v="3291.84"/>
    <s v="Completed"/>
    <s v="East"/>
    <s v="Credit Card"/>
    <m/>
    <m/>
  </r>
  <r>
    <n v="1919"/>
    <n v="4954"/>
    <x v="27"/>
    <n v="3291.84"/>
    <s v="Completed"/>
    <s v="East"/>
    <s v="PayPal"/>
    <m/>
    <m/>
  </r>
  <r>
    <n v="1920"/>
    <n v="641"/>
    <x v="301"/>
    <n v="3291.84"/>
    <s v="Completed"/>
    <s v="North"/>
    <s v="Apple Pay"/>
    <m/>
    <m/>
  </r>
  <r>
    <n v="1921"/>
    <n v="5199"/>
    <x v="179"/>
    <n v="3291.84"/>
    <s v="Completed"/>
    <s v="East"/>
    <s v="Apple Pay"/>
    <m/>
    <m/>
  </r>
  <r>
    <n v="1922"/>
    <n v="2816"/>
    <x v="346"/>
    <n v="3291.84"/>
    <s v="Completed"/>
    <s v="North"/>
    <s v="Credit Card"/>
    <m/>
    <m/>
  </r>
  <r>
    <n v="1923"/>
    <n v="1211"/>
    <x v="274"/>
    <n v="3291.84"/>
    <s v="Completed"/>
    <s v="West"/>
    <s v="PayPal"/>
    <m/>
    <m/>
  </r>
  <r>
    <n v="1924"/>
    <n v="9528"/>
    <x v="296"/>
    <n v="3291.84"/>
    <s v="Completed"/>
    <s v="East"/>
    <s v="Debit Card"/>
    <m/>
    <m/>
  </r>
  <r>
    <n v="1925"/>
    <n v="456"/>
    <x v="341"/>
    <n v="3291.84"/>
    <s v="Completed"/>
    <s v="West"/>
    <s v="Apple Pay"/>
    <m/>
    <m/>
  </r>
  <r>
    <n v="1926"/>
    <n v="9604"/>
    <x v="218"/>
    <n v="3291.84"/>
    <s v="Completed"/>
    <s v="South"/>
    <s v="Apple Pay"/>
    <m/>
    <m/>
  </r>
  <r>
    <n v="1927"/>
    <n v="9833"/>
    <x v="22"/>
    <n v="3291.84"/>
    <s v="Completed"/>
    <s v="Central"/>
    <s v="Apple Pay"/>
    <m/>
    <m/>
  </r>
  <r>
    <n v="1928"/>
    <n v="5389"/>
    <x v="39"/>
    <n v="3291.84"/>
    <s v="Completed"/>
    <s v="West"/>
    <s v="Credit Card"/>
    <m/>
    <m/>
  </r>
  <r>
    <n v="1929"/>
    <n v="1974"/>
    <x v="34"/>
    <n v="3291.84"/>
    <s v="Completed"/>
    <s v="Central"/>
    <s v="Credit Card"/>
    <m/>
    <m/>
  </r>
  <r>
    <n v="1930"/>
    <n v="6876"/>
    <x v="27"/>
    <n v="3291.84"/>
    <s v="Completed"/>
    <s v="South"/>
    <s v="PayPal"/>
    <m/>
    <m/>
  </r>
  <r>
    <n v="1931"/>
    <n v="956"/>
    <x v="239"/>
    <n v="3291.84"/>
    <s v="Completed"/>
    <s v="East"/>
    <s v="Credit Card"/>
    <m/>
    <m/>
  </r>
  <r>
    <n v="1932"/>
    <n v="3263"/>
    <x v="223"/>
    <n v="3291.84"/>
    <s v="Completed"/>
    <s v="East"/>
    <s v="Credit Card"/>
    <m/>
    <m/>
  </r>
  <r>
    <n v="1933"/>
    <n v="3351"/>
    <x v="320"/>
    <n v="3291.84"/>
    <s v="Completed"/>
    <s v="Central"/>
    <s v="PayPal"/>
    <m/>
    <m/>
  </r>
  <r>
    <n v="1934"/>
    <n v="5344"/>
    <x v="43"/>
    <n v="3291.84"/>
    <s v="Completed"/>
    <s v="South"/>
    <s v="Apple Pay"/>
    <m/>
    <m/>
  </r>
  <r>
    <n v="1935"/>
    <n v="6242"/>
    <x v="36"/>
    <n v="3291.84"/>
    <s v="Completed"/>
    <s v="West"/>
    <s v="PayPal"/>
    <m/>
    <m/>
  </r>
  <r>
    <n v="1936"/>
    <n v="5108"/>
    <x v="163"/>
    <n v="3291.84"/>
    <s v="Completed"/>
    <s v="Central"/>
    <s v="Apple Pay"/>
    <m/>
    <m/>
  </r>
  <r>
    <n v="1937"/>
    <n v="1842"/>
    <x v="270"/>
    <n v="3291.84"/>
    <s v="Completed"/>
    <s v="West"/>
    <s v="PayPal"/>
    <m/>
    <m/>
  </r>
  <r>
    <n v="1938"/>
    <n v="9928"/>
    <x v="318"/>
    <n v="3291.84"/>
    <s v="Completed"/>
    <s v="South"/>
    <s v="PayPal"/>
    <m/>
    <m/>
  </r>
  <r>
    <n v="1939"/>
    <n v="8345"/>
    <x v="175"/>
    <n v="3291.84"/>
    <s v="Completed"/>
    <s v="Central"/>
    <s v="Apple Pay"/>
    <m/>
    <m/>
  </r>
  <r>
    <n v="1940"/>
    <n v="4084"/>
    <x v="97"/>
    <n v="3291.84"/>
    <s v="Completed"/>
    <s v="East"/>
    <s v="PayPal"/>
    <m/>
    <m/>
  </r>
  <r>
    <n v="1941"/>
    <n v="4484"/>
    <x v="354"/>
    <n v="3291.84"/>
    <s v="Completed"/>
    <s v="North"/>
    <s v="Apple Pay"/>
    <m/>
    <m/>
  </r>
  <r>
    <n v="1942"/>
    <n v="6854"/>
    <x v="144"/>
    <n v="3291.84"/>
    <s v="Completed"/>
    <s v="West"/>
    <s v="Apple Pay"/>
    <m/>
    <m/>
  </r>
  <r>
    <n v="1943"/>
    <n v="3547"/>
    <x v="113"/>
    <n v="3291.84"/>
    <s v="Completed"/>
    <s v="West"/>
    <s v="Debit Card"/>
    <m/>
    <m/>
  </r>
  <r>
    <n v="1944"/>
    <n v="5644"/>
    <x v="337"/>
    <n v="3291.84"/>
    <s v="Completed"/>
    <s v="South"/>
    <s v="Debit Card"/>
    <m/>
    <m/>
  </r>
  <r>
    <n v="1945"/>
    <n v="5817"/>
    <x v="120"/>
    <n v="3291.84"/>
    <s v="Completed"/>
    <s v="East"/>
    <s v="Credit Card"/>
    <m/>
    <m/>
  </r>
  <r>
    <n v="1946"/>
    <n v="2684"/>
    <x v="14"/>
    <n v="3291.84"/>
    <s v="Completed"/>
    <s v="Central"/>
    <s v="PayPal"/>
    <m/>
    <m/>
  </r>
  <r>
    <n v="1947"/>
    <n v="3510"/>
    <x v="352"/>
    <n v="3291.84"/>
    <s v="Completed"/>
    <s v="West"/>
    <s v="Apple Pay"/>
    <m/>
    <m/>
  </r>
  <r>
    <n v="1948"/>
    <n v="8838"/>
    <x v="174"/>
    <n v="3291.84"/>
    <s v="Completed"/>
    <s v="East"/>
    <s v="Credit Card"/>
    <m/>
    <m/>
  </r>
  <r>
    <n v="1949"/>
    <n v="6921"/>
    <x v="149"/>
    <n v="3291.84"/>
    <s v="Completed"/>
    <s v="West"/>
    <s v="Apple Pay"/>
    <m/>
    <m/>
  </r>
  <r>
    <n v="1950"/>
    <n v="3050"/>
    <x v="161"/>
    <n v="3291.84"/>
    <s v="Completed"/>
    <s v="East"/>
    <s v="Debit Card"/>
    <m/>
    <m/>
  </r>
  <r>
    <n v="1951"/>
    <n v="6193"/>
    <x v="343"/>
    <n v="3291.84"/>
    <s v="Completed"/>
    <s v="West"/>
    <s v="Credit Card"/>
    <m/>
    <m/>
  </r>
  <r>
    <n v="1952"/>
    <n v="1434"/>
    <x v="7"/>
    <n v="3291.84"/>
    <s v="Completed"/>
    <s v="West"/>
    <s v="Apple Pay"/>
    <m/>
    <m/>
  </r>
  <r>
    <n v="1953"/>
    <n v="1988"/>
    <x v="327"/>
    <n v="3291.84"/>
    <s v="Completed"/>
    <s v="North"/>
    <s v="PayPal"/>
    <m/>
    <m/>
  </r>
  <r>
    <n v="1954"/>
    <n v="9176"/>
    <x v="216"/>
    <n v="3291.84"/>
    <s v="Completed"/>
    <s v="East"/>
    <s v="PayPal"/>
    <m/>
    <m/>
  </r>
  <r>
    <n v="1955"/>
    <n v="8989"/>
    <x v="161"/>
    <n v="3291.84"/>
    <s v="Completed"/>
    <s v="West"/>
    <s v="PayPal"/>
    <m/>
    <m/>
  </r>
  <r>
    <n v="1956"/>
    <n v="3736"/>
    <x v="88"/>
    <n v="3291.84"/>
    <s v="Completed"/>
    <s v="East"/>
    <s v="Apple Pay"/>
    <m/>
    <m/>
  </r>
  <r>
    <n v="1957"/>
    <n v="2796"/>
    <x v="116"/>
    <n v="3291.84"/>
    <s v="Completed"/>
    <s v="Central"/>
    <s v="PayPal"/>
    <m/>
    <m/>
  </r>
  <r>
    <n v="1958"/>
    <n v="5467"/>
    <x v="331"/>
    <n v="3291.84"/>
    <s v="Completed"/>
    <s v="North"/>
    <s v="Credit Card"/>
    <m/>
    <m/>
  </r>
  <r>
    <n v="1959"/>
    <n v="3515"/>
    <x v="188"/>
    <n v="3291.84"/>
    <s v="Completed"/>
    <s v="Central"/>
    <s v="Credit Card"/>
    <m/>
    <m/>
  </r>
  <r>
    <n v="1960"/>
    <n v="7391"/>
    <x v="229"/>
    <n v="3291.84"/>
    <s v="Completed"/>
    <s v="North"/>
    <s v="Debit Card"/>
    <m/>
    <m/>
  </r>
  <r>
    <n v="1961"/>
    <n v="7488"/>
    <x v="273"/>
    <n v="3291.84"/>
    <s v="Completed"/>
    <s v="South"/>
    <s v="Credit Card"/>
    <m/>
    <m/>
  </r>
  <r>
    <n v="1962"/>
    <n v="2574"/>
    <x v="312"/>
    <n v="3291.84"/>
    <s v="Completed"/>
    <s v="East"/>
    <s v="Apple Pay"/>
    <m/>
    <m/>
  </r>
  <r>
    <n v="1963"/>
    <n v="7337"/>
    <x v="126"/>
    <n v="3291.84"/>
    <s v="Completed"/>
    <s v="East"/>
    <s v="PayPal"/>
    <m/>
    <m/>
  </r>
  <r>
    <n v="1964"/>
    <n v="9569"/>
    <x v="241"/>
    <n v="3291.84"/>
    <s v="Completed"/>
    <s v="West"/>
    <s v="Debit Card"/>
    <m/>
    <m/>
  </r>
  <r>
    <n v="1965"/>
    <n v="7540"/>
    <x v="52"/>
    <n v="3291.84"/>
    <s v="Completed"/>
    <s v="West"/>
    <s v="PayPal"/>
    <m/>
    <m/>
  </r>
  <r>
    <n v="1966"/>
    <n v="9899"/>
    <x v="138"/>
    <n v="3291.84"/>
    <s v="Completed"/>
    <s v="South"/>
    <s v="Credit Card"/>
    <m/>
    <m/>
  </r>
  <r>
    <n v="1967"/>
    <n v="378"/>
    <x v="185"/>
    <n v="3291.84"/>
    <s v="Completed"/>
    <s v="South"/>
    <s v="PayPal"/>
    <m/>
    <m/>
  </r>
  <r>
    <n v="1968"/>
    <n v="9956"/>
    <x v="235"/>
    <n v="3291.84"/>
    <s v="Completed"/>
    <s v="West"/>
    <s v="Apple Pay"/>
    <m/>
    <m/>
  </r>
  <r>
    <n v="1969"/>
    <n v="3602"/>
    <x v="252"/>
    <n v="3291.84"/>
    <s v="Completed"/>
    <s v="North"/>
    <s v="Debit Card"/>
    <m/>
    <m/>
  </r>
  <r>
    <n v="1970"/>
    <n v="3567"/>
    <x v="252"/>
    <n v="3291.84"/>
    <s v="Completed"/>
    <s v="North"/>
    <s v="Apple Pay"/>
    <m/>
    <m/>
  </r>
  <r>
    <n v="1971"/>
    <n v="5485"/>
    <x v="172"/>
    <n v="3291.84"/>
    <s v="Completed"/>
    <s v="West"/>
    <s v="Apple Pay"/>
    <m/>
    <m/>
  </r>
  <r>
    <n v="1972"/>
    <n v="2265"/>
    <x v="63"/>
    <n v="3291.84"/>
    <s v="Cancelled"/>
    <s v="North"/>
    <s v="Apple Pay"/>
    <m/>
    <m/>
  </r>
  <r>
    <n v="1973"/>
    <n v="8622"/>
    <x v="180"/>
    <n v="3291.84"/>
    <s v="Completed"/>
    <s v="Central"/>
    <s v="Debit Card"/>
    <m/>
    <m/>
  </r>
  <r>
    <n v="1974"/>
    <n v="5825"/>
    <x v="174"/>
    <n v="3291.84"/>
    <s v="Completed"/>
    <s v="North"/>
    <s v="Credit Card"/>
    <m/>
    <m/>
  </r>
  <r>
    <n v="1975"/>
    <n v="9158"/>
    <x v="115"/>
    <n v="3291.84"/>
    <s v="Completed"/>
    <s v="West"/>
    <s v="PayPal"/>
    <m/>
    <m/>
  </r>
  <r>
    <n v="1976"/>
    <n v="2754"/>
    <x v="92"/>
    <n v="3291.84"/>
    <s v="Completed"/>
    <s v="South"/>
    <s v="PayPal"/>
    <m/>
    <m/>
  </r>
  <r>
    <n v="1977"/>
    <n v="1116"/>
    <x v="65"/>
    <n v="3291.84"/>
    <s v="Completed"/>
    <s v="South"/>
    <s v="Debit Card"/>
    <m/>
    <m/>
  </r>
  <r>
    <n v="1978"/>
    <n v="4808"/>
    <x v="241"/>
    <n v="3291.84"/>
    <s v="Completed"/>
    <s v="South"/>
    <s v="Credit Card"/>
    <m/>
    <m/>
  </r>
  <r>
    <n v="1979"/>
    <n v="3458"/>
    <x v="133"/>
    <n v="3291.84"/>
    <s v="Completed"/>
    <s v="South"/>
    <s v="Credit Card"/>
    <m/>
    <m/>
  </r>
  <r>
    <n v="1980"/>
    <n v="9246"/>
    <x v="187"/>
    <n v="3291.84"/>
    <s v="Completed"/>
    <s v="East"/>
    <s v="Debit Card"/>
    <m/>
    <m/>
  </r>
  <r>
    <n v="1981"/>
    <n v="3010"/>
    <x v="8"/>
    <n v="3291.84"/>
    <s v="Completed"/>
    <s v="North"/>
    <s v="Debit Card"/>
    <m/>
    <m/>
  </r>
  <r>
    <n v="1982"/>
    <n v="2087"/>
    <x v="340"/>
    <n v="3291.84"/>
    <s v="Completed"/>
    <s v="Central"/>
    <s v="Debit Card"/>
    <m/>
    <m/>
  </r>
  <r>
    <n v="1983"/>
    <n v="6263"/>
    <x v="215"/>
    <n v="3291.84"/>
    <s v="Completed"/>
    <s v="North"/>
    <s v="Apple Pay"/>
    <m/>
    <m/>
  </r>
  <r>
    <n v="1984"/>
    <n v="6825"/>
    <x v="301"/>
    <n v="3291.84"/>
    <s v="Completed"/>
    <s v="Central"/>
    <s v="Apple Pay"/>
    <m/>
    <m/>
  </r>
  <r>
    <n v="1985"/>
    <n v="7193"/>
    <x v="18"/>
    <n v="3291.84"/>
    <s v="Completed"/>
    <s v="Central"/>
    <s v="Debit Card"/>
    <m/>
    <m/>
  </r>
  <r>
    <n v="1986"/>
    <n v="8137"/>
    <x v="263"/>
    <n v="3291.84"/>
    <s v="Completed"/>
    <s v="Central"/>
    <s v="Debit Card"/>
    <m/>
    <m/>
  </r>
  <r>
    <n v="1987"/>
    <n v="7633"/>
    <x v="283"/>
    <n v="3291.84"/>
    <s v="Completed"/>
    <s v="West"/>
    <s v="PayPal"/>
    <m/>
    <m/>
  </r>
  <r>
    <n v="1988"/>
    <n v="6066"/>
    <x v="208"/>
    <n v="3291.84"/>
    <s v="Completed"/>
    <s v="East"/>
    <s v="Debit Card"/>
    <m/>
    <m/>
  </r>
  <r>
    <n v="1989"/>
    <n v="3264"/>
    <x v="288"/>
    <n v="3291.84"/>
    <s v="Completed"/>
    <s v="South"/>
    <s v="PayPal"/>
    <m/>
    <m/>
  </r>
  <r>
    <n v="1990"/>
    <n v="9180"/>
    <x v="104"/>
    <n v="3291.84"/>
    <s v="Completed"/>
    <s v="East"/>
    <s v="Apple Pay"/>
    <m/>
    <m/>
  </r>
  <r>
    <n v="1991"/>
    <n v="6141"/>
    <x v="221"/>
    <n v="3291.84"/>
    <s v="Completed"/>
    <s v="West"/>
    <s v="Apple Pay"/>
    <m/>
    <m/>
  </r>
  <r>
    <n v="1992"/>
    <n v="5027"/>
    <x v="7"/>
    <n v="3291.84"/>
    <s v="Completed"/>
    <s v="South"/>
    <s v="PayPal"/>
    <m/>
    <m/>
  </r>
  <r>
    <n v="1993"/>
    <n v="6201"/>
    <x v="220"/>
    <n v="3291.84"/>
    <s v="Completed"/>
    <s v="North"/>
    <s v="PayPal"/>
    <m/>
    <m/>
  </r>
  <r>
    <n v="1994"/>
    <n v="1206"/>
    <x v="321"/>
    <n v="3291.84"/>
    <s v="Completed"/>
    <s v="Central"/>
    <s v="PayPal"/>
    <m/>
    <m/>
  </r>
  <r>
    <n v="1995"/>
    <n v="4461"/>
    <x v="199"/>
    <n v="3291.84"/>
    <s v="Completed"/>
    <s v="West"/>
    <s v="PayPal"/>
    <m/>
    <m/>
  </r>
  <r>
    <n v="1996"/>
    <n v="532"/>
    <x v="31"/>
    <n v="3291.84"/>
    <s v="Completed"/>
    <s v="North"/>
    <s v="Credit Card"/>
    <m/>
    <m/>
  </r>
  <r>
    <n v="1997"/>
    <n v="2184"/>
    <x v="166"/>
    <n v="3291.84"/>
    <s v="Completed"/>
    <s v="East"/>
    <s v="PayPal"/>
    <m/>
    <m/>
  </r>
  <r>
    <n v="1998"/>
    <n v="9673"/>
    <x v="28"/>
    <n v="3291.84"/>
    <s v="Completed"/>
    <s v="North"/>
    <s v="Apple Pay"/>
    <m/>
    <m/>
  </r>
  <r>
    <n v="1999"/>
    <n v="3848"/>
    <x v="134"/>
    <n v="3291.84"/>
    <s v="Completed"/>
    <s v="South"/>
    <s v="Credit Card"/>
    <m/>
    <m/>
  </r>
  <r>
    <n v="2000"/>
    <n v="4869"/>
    <x v="26"/>
    <n v="3291.84"/>
    <s v="Completed"/>
    <s v="West"/>
    <s v="Apple Pay"/>
    <m/>
    <m/>
  </r>
  <r>
    <n v="2001"/>
    <n v="2445"/>
    <x v="8"/>
    <n v="3291.84"/>
    <s v="Completed"/>
    <s v="West"/>
    <s v="Apple Pay"/>
    <m/>
    <m/>
  </r>
  <r>
    <n v="2002"/>
    <n v="3919"/>
    <x v="2"/>
    <n v="3291.84"/>
    <s v="Completed"/>
    <s v="East"/>
    <s v="Debit Card"/>
    <m/>
    <m/>
  </r>
  <r>
    <n v="2003"/>
    <n v="3995"/>
    <x v="152"/>
    <n v="3291.84"/>
    <s v="Completed"/>
    <s v="South"/>
    <s v="Apple Pay"/>
    <m/>
    <m/>
  </r>
  <r>
    <n v="2004"/>
    <n v="344"/>
    <x v="164"/>
    <n v="3291.84"/>
    <s v="Completed"/>
    <s v="North"/>
    <s v="PayPal"/>
    <m/>
    <m/>
  </r>
  <r>
    <n v="2005"/>
    <n v="1435"/>
    <x v="19"/>
    <n v="3291.84"/>
    <s v="Completed"/>
    <s v="East"/>
    <s v="PayPal"/>
    <m/>
    <m/>
  </r>
  <r>
    <n v="2006"/>
    <n v="1312"/>
    <x v="351"/>
    <n v="3291.84"/>
    <s v="Completed"/>
    <s v="Central"/>
    <s v="Apple Pay"/>
    <m/>
    <m/>
  </r>
  <r>
    <n v="2007"/>
    <n v="9551"/>
    <x v="157"/>
    <n v="3291.84"/>
    <s v="Completed"/>
    <s v="Central"/>
    <s v="Apple Pay"/>
    <m/>
    <m/>
  </r>
  <r>
    <n v="2008"/>
    <n v="599"/>
    <x v="32"/>
    <n v="3291.84"/>
    <s v="Completed"/>
    <s v="Central"/>
    <s v="Credit Card"/>
    <m/>
    <m/>
  </r>
  <r>
    <n v="2009"/>
    <n v="447"/>
    <x v="284"/>
    <n v="3291.84"/>
    <s v="Completed"/>
    <s v="North"/>
    <s v="Debit Card"/>
    <m/>
    <m/>
  </r>
  <r>
    <n v="2010"/>
    <n v="59"/>
    <x v="85"/>
    <n v="3291.84"/>
    <s v="Completed"/>
    <s v="West"/>
    <s v="PayPal"/>
    <m/>
    <m/>
  </r>
  <r>
    <n v="2011"/>
    <n v="8551"/>
    <x v="224"/>
    <n v="3291.84"/>
    <s v="Completed"/>
    <s v="South"/>
    <s v="PayPal"/>
    <m/>
    <m/>
  </r>
  <r>
    <n v="2012"/>
    <n v="2243"/>
    <x v="240"/>
    <n v="3291.84"/>
    <s v="Completed"/>
    <s v="West"/>
    <s v="Apple Pay"/>
    <m/>
    <m/>
  </r>
  <r>
    <n v="2013"/>
    <n v="2679"/>
    <x v="64"/>
    <n v="3291.84"/>
    <s v="Completed"/>
    <s v="Central"/>
    <s v="Credit Card"/>
    <m/>
    <m/>
  </r>
  <r>
    <n v="2014"/>
    <n v="9138"/>
    <x v="300"/>
    <n v="3291.84"/>
    <s v="Completed"/>
    <s v="West"/>
    <s v="Credit Card"/>
    <m/>
    <m/>
  </r>
  <r>
    <n v="2015"/>
    <n v="9959"/>
    <x v="253"/>
    <n v="3291.84"/>
    <s v="Completed"/>
    <s v="Central"/>
    <s v="Apple Pay"/>
    <m/>
    <m/>
  </r>
  <r>
    <n v="2016"/>
    <n v="2628"/>
    <x v="305"/>
    <n v="3291.84"/>
    <s v="Completed"/>
    <s v="West"/>
    <s v="Debit Card"/>
    <m/>
    <m/>
  </r>
  <r>
    <n v="2017"/>
    <n v="8789"/>
    <x v="19"/>
    <n v="3291.84"/>
    <s v="Completed"/>
    <s v="East"/>
    <s v="Debit Card"/>
    <m/>
    <m/>
  </r>
  <r>
    <n v="2018"/>
    <n v="1508"/>
    <x v="256"/>
    <n v="3291.84"/>
    <s v="Completed"/>
    <s v="East"/>
    <s v="Credit Card"/>
    <m/>
    <m/>
  </r>
  <r>
    <n v="2019"/>
    <n v="6006"/>
    <x v="28"/>
    <n v="3291.84"/>
    <s v="Completed"/>
    <s v="Central"/>
    <s v="Debit Card"/>
    <m/>
    <m/>
  </r>
  <r>
    <n v="2020"/>
    <n v="3304"/>
    <x v="109"/>
    <n v="3291.84"/>
    <s v="Completed"/>
    <s v="North"/>
    <s v="Debit Card"/>
    <m/>
    <m/>
  </r>
  <r>
    <n v="2021"/>
    <n v="7197"/>
    <x v="240"/>
    <n v="3291.84"/>
    <s v="Completed"/>
    <s v="West"/>
    <s v="Apple Pay"/>
    <m/>
    <m/>
  </r>
  <r>
    <n v="2022"/>
    <n v="3030"/>
    <x v="195"/>
    <n v="3291.84"/>
    <s v="Completed"/>
    <s v="South"/>
    <s v="PayPal"/>
    <m/>
    <m/>
  </r>
  <r>
    <n v="2023"/>
    <n v="3517"/>
    <x v="139"/>
    <n v="3291.84"/>
    <s v="Completed"/>
    <s v="North"/>
    <s v="Credit Card"/>
    <m/>
    <m/>
  </r>
  <r>
    <n v="2024"/>
    <n v="8385"/>
    <x v="349"/>
    <n v="3291.84"/>
    <s v="Completed"/>
    <s v="North"/>
    <s v="Credit Card"/>
    <m/>
    <m/>
  </r>
  <r>
    <n v="2025"/>
    <n v="9482"/>
    <x v="167"/>
    <n v="3291.84"/>
    <s v="Completed"/>
    <s v="East"/>
    <s v="Credit Card"/>
    <m/>
    <m/>
  </r>
  <r>
    <n v="2026"/>
    <n v="3357"/>
    <x v="176"/>
    <n v="3291.84"/>
    <s v="Completed"/>
    <s v="North"/>
    <s v="Debit Card"/>
    <m/>
    <m/>
  </r>
  <r>
    <n v="2027"/>
    <n v="9146"/>
    <x v="223"/>
    <n v="3291.84"/>
    <s v="Completed"/>
    <s v="North"/>
    <s v="Apple Pay"/>
    <m/>
    <m/>
  </r>
  <r>
    <n v="2028"/>
    <n v="129"/>
    <x v="73"/>
    <n v="3291.84"/>
    <s v="Completed"/>
    <s v="South"/>
    <s v="Apple Pay"/>
    <m/>
    <m/>
  </r>
  <r>
    <n v="2029"/>
    <n v="5936"/>
    <x v="95"/>
    <n v="3291.84"/>
    <s v="Completed"/>
    <s v="South"/>
    <s v="Debit Card"/>
    <m/>
    <m/>
  </r>
  <r>
    <n v="2030"/>
    <n v="7403"/>
    <x v="107"/>
    <n v="3291.84"/>
    <s v="Completed"/>
    <s v="South"/>
    <s v="Credit Card"/>
    <m/>
    <m/>
  </r>
  <r>
    <n v="2031"/>
    <n v="2041"/>
    <x v="114"/>
    <n v="3291.84"/>
    <s v="Completed"/>
    <s v="North"/>
    <s v="Credit Card"/>
    <m/>
    <m/>
  </r>
  <r>
    <n v="2032"/>
    <n v="9349"/>
    <x v="307"/>
    <n v="3291.84"/>
    <s v="Completed"/>
    <s v="West"/>
    <s v="Apple Pay"/>
    <m/>
    <m/>
  </r>
  <r>
    <n v="2033"/>
    <n v="2641"/>
    <x v="272"/>
    <n v="3291.84"/>
    <s v="Completed"/>
    <s v="South"/>
    <s v="Apple Pay"/>
    <m/>
    <m/>
  </r>
  <r>
    <n v="2034"/>
    <n v="4917"/>
    <x v="203"/>
    <n v="3291.84"/>
    <s v="Completed"/>
    <s v="East"/>
    <s v="PayPal"/>
    <m/>
    <m/>
  </r>
  <r>
    <n v="2035"/>
    <n v="9304"/>
    <x v="84"/>
    <n v="3291.84"/>
    <s v="Completed"/>
    <s v="West"/>
    <s v="Credit Card"/>
    <m/>
    <m/>
  </r>
  <r>
    <n v="2036"/>
    <n v="7656"/>
    <x v="272"/>
    <n v="3291.84"/>
    <s v="Completed"/>
    <s v="South"/>
    <s v="Apple Pay"/>
    <m/>
    <m/>
  </r>
  <r>
    <n v="2037"/>
    <n v="4368"/>
    <x v="265"/>
    <n v="3291.84"/>
    <s v="Completed"/>
    <s v="East"/>
    <s v="Debit Card"/>
    <m/>
    <m/>
  </r>
  <r>
    <n v="2038"/>
    <n v="8286"/>
    <x v="106"/>
    <n v="3291.84"/>
    <s v="Returned"/>
    <s v="West"/>
    <s v="Debit Card"/>
    <m/>
    <m/>
  </r>
  <r>
    <n v="2039"/>
    <n v="4363"/>
    <x v="41"/>
    <n v="3291.84"/>
    <s v="Completed"/>
    <s v="East"/>
    <s v="PayPal"/>
    <m/>
    <m/>
  </r>
  <r>
    <n v="2040"/>
    <n v="7030"/>
    <x v="235"/>
    <n v="3291.84"/>
    <s v="Completed"/>
    <s v="East"/>
    <s v="Debit Card"/>
    <m/>
    <m/>
  </r>
  <r>
    <n v="2041"/>
    <n v="8989"/>
    <x v="92"/>
    <n v="3291.84"/>
    <s v="Completed"/>
    <s v="West"/>
    <s v="Credit Card"/>
    <m/>
    <m/>
  </r>
  <r>
    <n v="2042"/>
    <n v="6766"/>
    <x v="35"/>
    <n v="3291.84"/>
    <s v="Completed"/>
    <s v="East"/>
    <s v="PayPal"/>
    <m/>
    <m/>
  </r>
  <r>
    <n v="2043"/>
    <n v="3617"/>
    <x v="305"/>
    <n v="3291.84"/>
    <s v="Completed"/>
    <s v="North"/>
    <s v="PayPal"/>
    <m/>
    <m/>
  </r>
  <r>
    <n v="2044"/>
    <n v="843"/>
    <x v="364"/>
    <n v="3291.84"/>
    <s v="Completed"/>
    <s v="West"/>
    <s v="Credit Card"/>
    <m/>
    <m/>
  </r>
  <r>
    <n v="2045"/>
    <n v="7091"/>
    <x v="275"/>
    <n v="3291.84"/>
    <s v="Completed"/>
    <s v="West"/>
    <s v="PayPal"/>
    <m/>
    <m/>
  </r>
  <r>
    <n v="2046"/>
    <n v="6648"/>
    <x v="139"/>
    <n v="3291.84"/>
    <s v="Completed"/>
    <s v="South"/>
    <s v="Apple Pay"/>
    <m/>
    <m/>
  </r>
  <r>
    <n v="2047"/>
    <n v="4493"/>
    <x v="126"/>
    <n v="3291.84"/>
    <s v="Completed"/>
    <s v="others"/>
    <s v="Credit Card"/>
    <m/>
    <m/>
  </r>
  <r>
    <n v="2048"/>
    <n v="8030"/>
    <x v="352"/>
    <n v="3291.84"/>
    <s v="Completed"/>
    <s v="East"/>
    <s v="Debit Card"/>
    <m/>
    <m/>
  </r>
  <r>
    <n v="2049"/>
    <n v="4291"/>
    <x v="194"/>
    <n v="3291.84"/>
    <s v="Completed"/>
    <s v="East"/>
    <s v="Debit Card"/>
    <m/>
    <m/>
  </r>
  <r>
    <n v="2050"/>
    <n v="6670"/>
    <x v="241"/>
    <n v="3291.84"/>
    <s v="Completed"/>
    <s v="West"/>
    <s v="PayPal"/>
    <m/>
    <m/>
  </r>
  <r>
    <n v="2051"/>
    <n v="7903"/>
    <x v="281"/>
    <n v="3291.84"/>
    <s v="Completed"/>
    <s v="West"/>
    <s v="Apple Pay"/>
    <m/>
    <m/>
  </r>
  <r>
    <n v="2052"/>
    <n v="6744"/>
    <x v="253"/>
    <n v="3291.84"/>
    <s v="Completed"/>
    <s v="Central"/>
    <s v="Debit Card"/>
    <m/>
    <m/>
  </r>
  <r>
    <n v="2053"/>
    <n v="9268"/>
    <x v="274"/>
    <n v="3291.84"/>
    <s v="Completed"/>
    <s v="Central"/>
    <s v="Credit Card"/>
    <m/>
    <m/>
  </r>
  <r>
    <n v="2054"/>
    <n v="3517"/>
    <x v="299"/>
    <n v="3291.84"/>
    <s v="Completed"/>
    <s v="North"/>
    <s v="Apple Pay"/>
    <m/>
    <m/>
  </r>
  <r>
    <n v="2055"/>
    <n v="1119"/>
    <x v="224"/>
    <n v="3291.84"/>
    <s v="Completed"/>
    <s v="Central"/>
    <s v="Debit Card"/>
    <m/>
    <m/>
  </r>
  <r>
    <n v="2056"/>
    <n v="958"/>
    <x v="83"/>
    <n v="3291.84"/>
    <s v="Completed"/>
    <s v="West"/>
    <s v="Debit Card"/>
    <m/>
    <m/>
  </r>
  <r>
    <n v="2057"/>
    <n v="8759"/>
    <x v="162"/>
    <n v="3291.84"/>
    <s v="Completed"/>
    <s v="West"/>
    <s v="Debit Card"/>
    <m/>
    <m/>
  </r>
  <r>
    <n v="2058"/>
    <n v="4638"/>
    <x v="226"/>
    <n v="3291.84"/>
    <s v="Completed"/>
    <s v="East"/>
    <s v="PayPal"/>
    <m/>
    <m/>
  </r>
  <r>
    <n v="2059"/>
    <n v="4340"/>
    <x v="78"/>
    <n v="3291.84"/>
    <s v="Completed"/>
    <s v="East"/>
    <s v="Debit Card"/>
    <m/>
    <m/>
  </r>
  <r>
    <n v="2060"/>
    <n v="3740"/>
    <x v="90"/>
    <n v="3291.84"/>
    <s v="Completed"/>
    <s v="South"/>
    <s v="Debit Card"/>
    <m/>
    <m/>
  </r>
  <r>
    <n v="2061"/>
    <n v="3284"/>
    <x v="357"/>
    <n v="3291.84"/>
    <s v="Completed"/>
    <s v="East"/>
    <s v="Debit Card"/>
    <m/>
    <m/>
  </r>
  <r>
    <n v="2062"/>
    <n v="8738"/>
    <x v="30"/>
    <n v="3291.84"/>
    <s v="Returned"/>
    <s v="West"/>
    <s v="Apple Pay"/>
    <m/>
    <m/>
  </r>
  <r>
    <n v="2063"/>
    <n v="3336"/>
    <x v="258"/>
    <n v="3291.84"/>
    <s v="Completed"/>
    <s v="South"/>
    <s v="Debit Card"/>
    <m/>
    <m/>
  </r>
  <r>
    <n v="2064"/>
    <n v="8476"/>
    <x v="147"/>
    <n v="3291.84"/>
    <s v="Completed"/>
    <s v="South"/>
    <s v="PayPal"/>
    <m/>
    <m/>
  </r>
  <r>
    <n v="2065"/>
    <n v="6497"/>
    <x v="351"/>
    <n v="3291.84"/>
    <s v="Completed"/>
    <s v="North"/>
    <s v="Debit Card"/>
    <m/>
    <m/>
  </r>
  <r>
    <n v="2066"/>
    <n v="6034"/>
    <x v="118"/>
    <n v="3291.84"/>
    <s v="Completed"/>
    <s v="East"/>
    <s v="Debit Card"/>
    <m/>
    <m/>
  </r>
  <r>
    <n v="2067"/>
    <n v="6514"/>
    <x v="316"/>
    <n v="3291.84"/>
    <s v="Completed"/>
    <s v="North"/>
    <s v="Credit Card"/>
    <m/>
    <m/>
  </r>
  <r>
    <n v="2068"/>
    <n v="6170"/>
    <x v="209"/>
    <n v="3291.84"/>
    <s v="Completed"/>
    <s v="West"/>
    <s v="Apple Pay"/>
    <m/>
    <m/>
  </r>
  <r>
    <n v="2069"/>
    <n v="15"/>
    <x v="5"/>
    <n v="3291.84"/>
    <s v="Completed"/>
    <s v="South"/>
    <s v="Credit Card"/>
    <m/>
    <m/>
  </r>
  <r>
    <n v="2070"/>
    <n v="5056"/>
    <x v="104"/>
    <n v="3291.84"/>
    <s v="Completed"/>
    <s v="North"/>
    <s v="Credit Card"/>
    <m/>
    <m/>
  </r>
  <r>
    <n v="2071"/>
    <n v="1829"/>
    <x v="342"/>
    <n v="3291.84"/>
    <s v="Completed"/>
    <s v="East"/>
    <s v="Credit Card"/>
    <m/>
    <m/>
  </r>
  <r>
    <n v="2072"/>
    <n v="1893"/>
    <x v="279"/>
    <n v="3291.84"/>
    <s v="Completed"/>
    <s v="North"/>
    <s v="Apple Pay"/>
    <m/>
    <m/>
  </r>
  <r>
    <n v="2073"/>
    <n v="4676"/>
    <x v="178"/>
    <n v="3291.84"/>
    <s v="Completed"/>
    <s v="South"/>
    <s v="Apple Pay"/>
    <m/>
    <m/>
  </r>
  <r>
    <n v="2074"/>
    <n v="4032"/>
    <x v="140"/>
    <n v="3291.84"/>
    <s v="Completed"/>
    <s v="East"/>
    <s v="Credit Card"/>
    <m/>
    <m/>
  </r>
  <r>
    <n v="2075"/>
    <n v="7726"/>
    <x v="297"/>
    <n v="3291.84"/>
    <s v="Completed"/>
    <s v="East"/>
    <s v="Apple Pay"/>
    <m/>
    <m/>
  </r>
  <r>
    <n v="2076"/>
    <n v="1666"/>
    <x v="258"/>
    <n v="3291.84"/>
    <s v="Completed"/>
    <s v="North"/>
    <s v="Debit Card"/>
    <m/>
    <m/>
  </r>
  <r>
    <n v="2077"/>
    <n v="2608"/>
    <x v="51"/>
    <n v="3291.84"/>
    <s v="Completed"/>
    <s v="Central"/>
    <s v="Credit Card"/>
    <m/>
    <m/>
  </r>
  <r>
    <n v="2078"/>
    <n v="122"/>
    <x v="51"/>
    <n v="3291.84"/>
    <s v="Completed"/>
    <s v="Central"/>
    <s v="Credit Card"/>
    <m/>
    <m/>
  </r>
  <r>
    <n v="2079"/>
    <n v="7241"/>
    <x v="129"/>
    <n v="3291.84"/>
    <s v="Completed"/>
    <s v="East"/>
    <s v="Credit Card"/>
    <m/>
    <m/>
  </r>
  <r>
    <n v="2080"/>
    <n v="7047"/>
    <x v="29"/>
    <n v="3291.84"/>
    <s v="Completed"/>
    <s v="West"/>
    <s v="Apple Pay"/>
    <m/>
    <m/>
  </r>
  <r>
    <n v="2081"/>
    <n v="8341"/>
    <x v="98"/>
    <n v="3291.84"/>
    <s v="Completed"/>
    <s v="Central"/>
    <s v="PayPal"/>
    <m/>
    <m/>
  </r>
  <r>
    <n v="2082"/>
    <n v="5375"/>
    <x v="274"/>
    <n v="3291.84"/>
    <s v="Completed"/>
    <s v="East"/>
    <s v="Credit Card"/>
    <m/>
    <m/>
  </r>
  <r>
    <n v="2083"/>
    <n v="7305"/>
    <x v="140"/>
    <n v="3291.84"/>
    <s v="Completed"/>
    <s v="North"/>
    <s v="PayPal"/>
    <m/>
    <m/>
  </r>
  <r>
    <n v="2084"/>
    <n v="96"/>
    <x v="305"/>
    <n v="3291.84"/>
    <s v="Completed"/>
    <s v="South"/>
    <s v="PayPal"/>
    <m/>
    <m/>
  </r>
  <r>
    <n v="2085"/>
    <n v="7957"/>
    <x v="250"/>
    <n v="3291.84"/>
    <s v="Completed"/>
    <s v="North"/>
    <s v="Credit Card"/>
    <m/>
    <m/>
  </r>
  <r>
    <n v="2086"/>
    <n v="9906"/>
    <x v="337"/>
    <n v="3291.84"/>
    <s v="Completed"/>
    <s v="East"/>
    <s v="PayPal"/>
    <m/>
    <m/>
  </r>
  <r>
    <n v="2087"/>
    <n v="6319"/>
    <x v="60"/>
    <n v="3291.84"/>
    <s v="Completed"/>
    <s v="North"/>
    <s v="Debit Card"/>
    <m/>
    <m/>
  </r>
  <r>
    <n v="2088"/>
    <n v="8215"/>
    <x v="186"/>
    <n v="3291.84"/>
    <s v="Completed"/>
    <s v="Central"/>
    <s v="Apple Pay"/>
    <m/>
    <m/>
  </r>
  <r>
    <n v="2089"/>
    <n v="5259"/>
    <x v="89"/>
    <n v="3291.84"/>
    <s v="Completed"/>
    <s v="West"/>
    <s v="Credit Card"/>
    <m/>
    <m/>
  </r>
  <r>
    <n v="2090"/>
    <n v="6800"/>
    <x v="93"/>
    <n v="3291.84"/>
    <s v="Returned"/>
    <s v="North"/>
    <s v="Debit Card"/>
    <m/>
    <m/>
  </r>
  <r>
    <n v="2091"/>
    <n v="123"/>
    <x v="81"/>
    <n v="3291.84"/>
    <s v="Completed"/>
    <s v="North"/>
    <s v="Apple Pay"/>
    <m/>
    <m/>
  </r>
  <r>
    <n v="2092"/>
    <n v="1222"/>
    <x v="254"/>
    <n v="3291.84"/>
    <s v="Completed"/>
    <s v="South"/>
    <s v="Debit Card"/>
    <m/>
    <m/>
  </r>
  <r>
    <n v="2093"/>
    <n v="2303"/>
    <x v="176"/>
    <n v="3291.84"/>
    <s v="Completed"/>
    <s v="Central"/>
    <s v="Debit Card"/>
    <m/>
    <m/>
  </r>
  <r>
    <n v="2094"/>
    <n v="1088"/>
    <x v="340"/>
    <n v="3291.84"/>
    <s v="Completed"/>
    <s v="North"/>
    <s v="Debit Card"/>
    <m/>
    <m/>
  </r>
  <r>
    <n v="2095"/>
    <n v="3136"/>
    <x v="53"/>
    <n v="3291.84"/>
    <s v="Completed"/>
    <s v="East"/>
    <s v="PayPal"/>
    <m/>
    <m/>
  </r>
  <r>
    <n v="2096"/>
    <n v="8385"/>
    <x v="277"/>
    <n v="3291.84"/>
    <s v="Cancelled"/>
    <s v="North"/>
    <s v="Credit Card"/>
    <m/>
    <m/>
  </r>
  <r>
    <n v="2097"/>
    <n v="3585"/>
    <x v="11"/>
    <n v="3291.84"/>
    <s v="Completed"/>
    <s v="West"/>
    <s v="Credit Card"/>
    <m/>
    <m/>
  </r>
  <r>
    <n v="2098"/>
    <n v="2915"/>
    <x v="37"/>
    <n v="3291.84"/>
    <s v="Completed"/>
    <s v="West"/>
    <s v="Credit Card"/>
    <m/>
    <m/>
  </r>
  <r>
    <n v="2099"/>
    <n v="1605"/>
    <x v="88"/>
    <n v="3291.84"/>
    <s v="Completed"/>
    <s v="Central"/>
    <s v="Apple Pay"/>
    <m/>
    <m/>
  </r>
  <r>
    <n v="2100"/>
    <n v="4017"/>
    <x v="324"/>
    <n v="3291.84"/>
    <s v="Completed"/>
    <s v="Central"/>
    <s v="Debit Card"/>
    <m/>
    <m/>
  </r>
  <r>
    <n v="2101"/>
    <n v="9661"/>
    <x v="282"/>
    <n v="3291.84"/>
    <s v="Completed"/>
    <s v="East"/>
    <s v="Apple Pay"/>
    <m/>
    <m/>
  </r>
  <r>
    <n v="2102"/>
    <n v="8196"/>
    <x v="299"/>
    <n v="3291.84"/>
    <s v="Completed"/>
    <s v="Central"/>
    <s v="Apple Pay"/>
    <m/>
    <m/>
  </r>
  <r>
    <n v="2103"/>
    <n v="6983"/>
    <x v="268"/>
    <n v="3291.84"/>
    <s v="Completed"/>
    <s v="Central"/>
    <s v="Credit Card"/>
    <m/>
    <m/>
  </r>
  <r>
    <n v="2104"/>
    <n v="3931"/>
    <x v="162"/>
    <n v="3291.84"/>
    <s v="Completed"/>
    <s v="South"/>
    <s v="Apple Pay"/>
    <m/>
    <m/>
  </r>
  <r>
    <n v="2105"/>
    <n v="2424"/>
    <x v="48"/>
    <n v="3291.84"/>
    <s v="Completed"/>
    <s v="East"/>
    <s v="Debit Card"/>
    <m/>
    <m/>
  </r>
  <r>
    <n v="2106"/>
    <n v="6106"/>
    <x v="109"/>
    <n v="3291.84"/>
    <s v="Completed"/>
    <s v="South"/>
    <s v="PayPal"/>
    <m/>
    <m/>
  </r>
  <r>
    <n v="2107"/>
    <n v="2314"/>
    <x v="308"/>
    <n v="3291.84"/>
    <s v="Completed"/>
    <s v="West"/>
    <s v="PayPal"/>
    <m/>
    <m/>
  </r>
  <r>
    <n v="2108"/>
    <n v="3505"/>
    <x v="15"/>
    <n v="3291.84"/>
    <s v="Completed"/>
    <s v="West"/>
    <s v="Apple Pay"/>
    <m/>
    <m/>
  </r>
  <r>
    <n v="2109"/>
    <n v="7063"/>
    <x v="87"/>
    <n v="3291.84"/>
    <s v="Completed"/>
    <s v="Central"/>
    <s v="Credit Card"/>
    <m/>
    <m/>
  </r>
  <r>
    <n v="2110"/>
    <n v="716"/>
    <x v="166"/>
    <n v="3291.84"/>
    <s v="Completed"/>
    <s v="East"/>
    <s v="Debit Card"/>
    <m/>
    <m/>
  </r>
  <r>
    <n v="2111"/>
    <n v="2971"/>
    <x v="220"/>
    <n v="3291.84"/>
    <s v="Completed"/>
    <s v="North"/>
    <s v="Credit Card"/>
    <m/>
    <m/>
  </r>
  <r>
    <n v="2112"/>
    <n v="6392"/>
    <x v="167"/>
    <n v="3291.84"/>
    <s v="Completed"/>
    <s v="Central"/>
    <s v="PayPal"/>
    <m/>
    <m/>
  </r>
  <r>
    <n v="2113"/>
    <n v="3783"/>
    <x v="192"/>
    <n v="3291.84"/>
    <s v="Completed"/>
    <s v="others"/>
    <s v="Apple Pay"/>
    <m/>
    <m/>
  </r>
  <r>
    <n v="2114"/>
    <n v="9409"/>
    <x v="15"/>
    <n v="3291.84"/>
    <s v="Completed"/>
    <s v="South"/>
    <s v="PayPal"/>
    <m/>
    <m/>
  </r>
  <r>
    <n v="2115"/>
    <n v="4901"/>
    <x v="89"/>
    <n v="3291.84"/>
    <s v="Completed"/>
    <s v="South"/>
    <s v="PayPal"/>
    <m/>
    <m/>
  </r>
  <r>
    <n v="2116"/>
    <n v="657"/>
    <x v="6"/>
    <n v="3291.84"/>
    <s v="Completed"/>
    <s v="East"/>
    <s v="Debit Card"/>
    <m/>
    <m/>
  </r>
  <r>
    <n v="2117"/>
    <n v="2238"/>
    <x v="262"/>
    <n v="3291.84"/>
    <s v="Completed"/>
    <s v="West"/>
    <s v="Apple Pay"/>
    <m/>
    <m/>
  </r>
  <r>
    <n v="2118"/>
    <n v="1919"/>
    <x v="130"/>
    <n v="3291.84"/>
    <s v="Completed"/>
    <s v="Central"/>
    <s v="Apple Pay"/>
    <m/>
    <m/>
  </r>
  <r>
    <n v="2119"/>
    <n v="2998"/>
    <x v="44"/>
    <n v="3291.84"/>
    <s v="Completed"/>
    <s v="South"/>
    <s v="PayPal"/>
    <m/>
    <m/>
  </r>
  <r>
    <n v="2120"/>
    <n v="2049"/>
    <x v="119"/>
    <n v="3291.84"/>
    <s v="Completed"/>
    <s v="South"/>
    <s v="Credit Card"/>
    <m/>
    <m/>
  </r>
  <r>
    <n v="2121"/>
    <n v="2332"/>
    <x v="18"/>
    <n v="3291.84"/>
    <s v="Completed"/>
    <s v="North"/>
    <s v="PayPal"/>
    <m/>
    <m/>
  </r>
  <r>
    <n v="2122"/>
    <n v="3183"/>
    <x v="58"/>
    <n v="3291.84"/>
    <s v="Completed"/>
    <s v="South"/>
    <s v="Debit Card"/>
    <m/>
    <m/>
  </r>
  <r>
    <n v="2123"/>
    <n v="5957"/>
    <x v="341"/>
    <n v="3291.84"/>
    <s v="Completed"/>
    <s v="Central"/>
    <s v="Credit Card"/>
    <m/>
    <m/>
  </r>
  <r>
    <n v="2124"/>
    <n v="4313"/>
    <x v="215"/>
    <n v="3291.84"/>
    <s v="Completed"/>
    <s v="South"/>
    <s v="Debit Card"/>
    <m/>
    <m/>
  </r>
  <r>
    <n v="2125"/>
    <n v="1445"/>
    <x v="344"/>
    <n v="3291.84"/>
    <s v="Completed"/>
    <s v="East"/>
    <s v="Credit Card"/>
    <m/>
    <m/>
  </r>
  <r>
    <n v="2126"/>
    <n v="3924"/>
    <x v="16"/>
    <n v="3291.84"/>
    <s v="Completed"/>
    <s v="Central"/>
    <s v="Credit Card"/>
    <m/>
    <m/>
  </r>
  <r>
    <n v="2127"/>
    <n v="5759"/>
    <x v="210"/>
    <n v="3291.84"/>
    <s v="Completed"/>
    <s v="others"/>
    <s v="Apple Pay"/>
    <m/>
    <m/>
  </r>
  <r>
    <n v="2128"/>
    <n v="2056"/>
    <x v="341"/>
    <n v="3291.84"/>
    <s v="Completed"/>
    <s v="Central"/>
    <s v="Credit Card"/>
    <m/>
    <m/>
  </r>
  <r>
    <n v="2129"/>
    <n v="7439"/>
    <x v="224"/>
    <n v="3291.84"/>
    <s v="Completed"/>
    <s v="East"/>
    <s v="Debit Card"/>
    <m/>
    <m/>
  </r>
  <r>
    <n v="2130"/>
    <n v="5310"/>
    <x v="80"/>
    <n v="3291.84"/>
    <s v="Completed"/>
    <s v="North"/>
    <s v="Apple Pay"/>
    <m/>
    <m/>
  </r>
  <r>
    <n v="2131"/>
    <n v="182"/>
    <x v="291"/>
    <n v="3291.84"/>
    <s v="Completed"/>
    <s v="East"/>
    <s v="Apple Pay"/>
    <m/>
    <m/>
  </r>
  <r>
    <n v="2132"/>
    <n v="7292"/>
    <x v="273"/>
    <n v="3291.84"/>
    <s v="Completed"/>
    <s v="East"/>
    <s v="PayPal"/>
    <m/>
    <m/>
  </r>
  <r>
    <n v="2133"/>
    <n v="5360"/>
    <x v="251"/>
    <n v="3291.84"/>
    <s v="Completed"/>
    <s v="South"/>
    <s v="Credit Card"/>
    <m/>
    <m/>
  </r>
  <r>
    <n v="2134"/>
    <n v="5771"/>
    <x v="143"/>
    <n v="3291.84"/>
    <s v="Completed"/>
    <s v="North"/>
    <s v="Credit Card"/>
    <m/>
    <m/>
  </r>
  <r>
    <n v="2135"/>
    <n v="7101"/>
    <x v="143"/>
    <n v="3291.84"/>
    <s v="Completed"/>
    <s v="West"/>
    <s v="PayPal"/>
    <m/>
    <m/>
  </r>
  <r>
    <n v="2136"/>
    <n v="6880"/>
    <x v="212"/>
    <n v="3291.84"/>
    <s v="Completed"/>
    <s v="South"/>
    <s v="Apple Pay"/>
    <m/>
    <m/>
  </r>
  <r>
    <n v="2137"/>
    <n v="987"/>
    <x v="345"/>
    <n v="3291.84"/>
    <s v="Completed"/>
    <s v="East"/>
    <s v="Credit Card"/>
    <m/>
    <m/>
  </r>
  <r>
    <n v="2138"/>
    <n v="8072"/>
    <x v="91"/>
    <n v="3291.84"/>
    <s v="Completed"/>
    <s v="Central"/>
    <s v="Credit Card"/>
    <m/>
    <m/>
  </r>
  <r>
    <n v="2139"/>
    <n v="1798"/>
    <x v="91"/>
    <n v="3291.84"/>
    <s v="Completed"/>
    <s v="North"/>
    <s v="Apple Pay"/>
    <m/>
    <m/>
  </r>
  <r>
    <n v="2140"/>
    <n v="6318"/>
    <x v="96"/>
    <n v="3291.84"/>
    <s v="Completed"/>
    <s v="West"/>
    <s v="Credit Card"/>
    <m/>
    <m/>
  </r>
  <r>
    <n v="2141"/>
    <n v="8173"/>
    <x v="268"/>
    <n v="3291.84"/>
    <s v="Completed"/>
    <s v="Central"/>
    <s v="Credit Card"/>
    <m/>
    <m/>
  </r>
  <r>
    <n v="2142"/>
    <n v="9494"/>
    <x v="330"/>
    <n v="3291.84"/>
    <s v="Completed"/>
    <s v="East"/>
    <s v="Apple Pay"/>
    <m/>
    <m/>
  </r>
  <r>
    <n v="2143"/>
    <n v="4688"/>
    <x v="13"/>
    <n v="3291.84"/>
    <s v="Completed"/>
    <s v="Central"/>
    <s v="Credit Card"/>
    <m/>
    <m/>
  </r>
  <r>
    <n v="2144"/>
    <n v="2812"/>
    <x v="264"/>
    <n v="3291.84"/>
    <s v="Completed"/>
    <s v="North"/>
    <s v="PayPal"/>
    <m/>
    <m/>
  </r>
  <r>
    <n v="2145"/>
    <n v="3529"/>
    <x v="305"/>
    <n v="3291.84"/>
    <s v="Completed"/>
    <s v="West"/>
    <s v="Apple Pay"/>
    <m/>
    <m/>
  </r>
  <r>
    <n v="2146"/>
    <n v="5360"/>
    <x v="109"/>
    <n v="3291.84"/>
    <s v="Completed"/>
    <s v="South"/>
    <s v="Credit Card"/>
    <m/>
    <m/>
  </r>
  <r>
    <n v="2147"/>
    <n v="7790"/>
    <x v="162"/>
    <n v="3291.84"/>
    <s v="Completed"/>
    <s v="West"/>
    <s v="Apple Pay"/>
    <m/>
    <m/>
  </r>
  <r>
    <n v="2148"/>
    <n v="1137"/>
    <x v="48"/>
    <n v="3291.84"/>
    <s v="Completed"/>
    <s v="East"/>
    <s v="Credit Card"/>
    <m/>
    <m/>
  </r>
  <r>
    <n v="2149"/>
    <n v="9889"/>
    <x v="106"/>
    <n v="3291.84"/>
    <s v="Completed"/>
    <s v="West"/>
    <s v="Credit Card"/>
    <m/>
    <m/>
  </r>
  <r>
    <n v="2150"/>
    <n v="9435"/>
    <x v="223"/>
    <n v="3291.84"/>
    <s v="Completed"/>
    <s v="East"/>
    <s v="Debit Card"/>
    <m/>
    <m/>
  </r>
  <r>
    <n v="2151"/>
    <n v="9618"/>
    <x v="328"/>
    <n v="3291.84"/>
    <s v="Completed"/>
    <s v="West"/>
    <s v="Credit Card"/>
    <m/>
    <m/>
  </r>
  <r>
    <n v="2152"/>
    <n v="1752"/>
    <x v="225"/>
    <n v="3291.84"/>
    <s v="Completed"/>
    <s v="South"/>
    <s v="Apple Pay"/>
    <m/>
    <m/>
  </r>
  <r>
    <n v="2153"/>
    <n v="3807"/>
    <x v="157"/>
    <n v="3291.84"/>
    <s v="Completed"/>
    <s v="Central"/>
    <s v="Debit Card"/>
    <m/>
    <m/>
  </r>
  <r>
    <n v="2154"/>
    <n v="6010"/>
    <x v="256"/>
    <n v="3291.84"/>
    <s v="Completed"/>
    <s v="North"/>
    <s v="Apple Pay"/>
    <m/>
    <m/>
  </r>
  <r>
    <n v="2155"/>
    <n v="6261"/>
    <x v="206"/>
    <n v="3291.84"/>
    <s v="Completed"/>
    <s v="Central"/>
    <s v="Credit Card"/>
    <m/>
    <m/>
  </r>
  <r>
    <n v="2156"/>
    <n v="1300"/>
    <x v="16"/>
    <n v="3291.84"/>
    <s v="Completed"/>
    <s v="Central"/>
    <s v="PayPal"/>
    <m/>
    <m/>
  </r>
  <r>
    <n v="2157"/>
    <n v="1821"/>
    <x v="113"/>
    <n v="3291.84"/>
    <s v="Completed"/>
    <s v="South"/>
    <s v="Debit Card"/>
    <m/>
    <m/>
  </r>
  <r>
    <n v="2158"/>
    <n v="2278"/>
    <x v="300"/>
    <n v="3291.84"/>
    <s v="Completed"/>
    <s v="West"/>
    <s v="Apple Pay"/>
    <m/>
    <m/>
  </r>
  <r>
    <n v="2159"/>
    <n v="1180"/>
    <x v="19"/>
    <n v="3291.84"/>
    <s v="Completed"/>
    <s v="Central"/>
    <s v="Apple Pay"/>
    <m/>
    <m/>
  </r>
  <r>
    <n v="2160"/>
    <n v="2902"/>
    <x v="22"/>
    <n v="3291.84"/>
    <s v="Completed"/>
    <s v="West"/>
    <s v="PayPal"/>
    <m/>
    <m/>
  </r>
  <r>
    <n v="2161"/>
    <n v="7021"/>
    <x v="130"/>
    <n v="3291.84"/>
    <s v="Completed"/>
    <s v="West"/>
    <s v="Debit Card"/>
    <m/>
    <m/>
  </r>
  <r>
    <n v="2162"/>
    <n v="9883"/>
    <x v="167"/>
    <n v="3291.84"/>
    <s v="Completed"/>
    <s v="North"/>
    <s v="Credit Card"/>
    <m/>
    <m/>
  </r>
  <r>
    <n v="2163"/>
    <n v="8675"/>
    <x v="271"/>
    <n v="3291.84"/>
    <s v="Completed"/>
    <s v="South"/>
    <s v="PayPal"/>
    <m/>
    <m/>
  </r>
  <r>
    <n v="2164"/>
    <n v="4382"/>
    <x v="201"/>
    <n v="3291.84"/>
    <s v="Completed"/>
    <s v="North"/>
    <s v="Credit Card"/>
    <m/>
    <m/>
  </r>
  <r>
    <n v="2165"/>
    <n v="1396"/>
    <x v="211"/>
    <n v="3291.84"/>
    <s v="Completed"/>
    <s v="West"/>
    <s v="PayPal"/>
    <m/>
    <m/>
  </r>
  <r>
    <n v="2166"/>
    <n v="2545"/>
    <x v="141"/>
    <n v="3291.84"/>
    <s v="Completed"/>
    <s v="South"/>
    <s v="Debit Card"/>
    <m/>
    <m/>
  </r>
  <r>
    <n v="2167"/>
    <n v="9250"/>
    <x v="328"/>
    <n v="3291.84"/>
    <s v="Completed"/>
    <s v="East"/>
    <s v="PayPal"/>
    <m/>
    <m/>
  </r>
  <r>
    <n v="2168"/>
    <n v="499"/>
    <x v="332"/>
    <n v="3291.84"/>
    <s v="Completed"/>
    <s v="West"/>
    <s v="Debit Card"/>
    <m/>
    <m/>
  </r>
  <r>
    <n v="2169"/>
    <n v="1349"/>
    <x v="273"/>
    <n v="3291.84"/>
    <s v="Completed"/>
    <s v="North"/>
    <s v="Credit Card"/>
    <m/>
    <m/>
  </r>
  <r>
    <n v="2170"/>
    <n v="1256"/>
    <x v="5"/>
    <n v="3291.84"/>
    <s v="Completed"/>
    <s v="South"/>
    <s v="Credit Card"/>
    <m/>
    <m/>
  </r>
  <r>
    <n v="2171"/>
    <n v="9871"/>
    <x v="246"/>
    <n v="3291.84"/>
    <s v="Completed"/>
    <s v="West"/>
    <s v="Credit Card"/>
    <m/>
    <m/>
  </r>
  <r>
    <n v="2172"/>
    <n v="2140"/>
    <x v="163"/>
    <n v="3291.84"/>
    <s v="Completed"/>
    <s v="East"/>
    <s v="Apple Pay"/>
    <m/>
    <m/>
  </r>
  <r>
    <n v="2173"/>
    <n v="1097"/>
    <x v="325"/>
    <n v="3291.84"/>
    <s v="Completed"/>
    <s v="Central"/>
    <s v="Credit Card"/>
    <m/>
    <m/>
  </r>
  <r>
    <n v="2174"/>
    <n v="5821"/>
    <x v="196"/>
    <n v="3291.84"/>
    <s v="Completed"/>
    <s v="North"/>
    <s v="Credit Card"/>
    <m/>
    <m/>
  </r>
  <r>
    <n v="2175"/>
    <n v="7820"/>
    <x v="180"/>
    <n v="3291.84"/>
    <s v="Completed"/>
    <s v="Central"/>
    <s v="Apple Pay"/>
    <m/>
    <m/>
  </r>
  <r>
    <n v="2176"/>
    <n v="5644"/>
    <x v="192"/>
    <n v="3291.84"/>
    <s v="Completed"/>
    <s v="South"/>
    <s v="PayPal"/>
    <m/>
    <m/>
  </r>
  <r>
    <n v="2177"/>
    <n v="3443"/>
    <x v="227"/>
    <n v="3291.84"/>
    <s v="Completed"/>
    <s v="Central"/>
    <s v="Debit Card"/>
    <m/>
    <m/>
  </r>
  <r>
    <n v="2178"/>
    <n v="4437"/>
    <x v="90"/>
    <n v="3291.84"/>
    <s v="Completed"/>
    <s v="Central"/>
    <s v="Debit Card"/>
    <m/>
    <m/>
  </r>
  <r>
    <n v="2179"/>
    <n v="4169"/>
    <x v="195"/>
    <n v="3291.84"/>
    <s v="Completed"/>
    <s v="West"/>
    <s v="PayPal"/>
    <m/>
    <m/>
  </r>
  <r>
    <n v="2180"/>
    <n v="3232"/>
    <x v="360"/>
    <n v="3291.84"/>
    <s v="Completed"/>
    <s v="West"/>
    <s v="PayPal"/>
    <m/>
    <m/>
  </r>
  <r>
    <n v="2181"/>
    <n v="7846"/>
    <x v="78"/>
    <n v="3291.84"/>
    <s v="Completed"/>
    <s v="West"/>
    <s v="Apple Pay"/>
    <m/>
    <m/>
  </r>
  <r>
    <n v="2182"/>
    <n v="5944"/>
    <x v="52"/>
    <n v="3291.84"/>
    <s v="Completed"/>
    <s v="East"/>
    <s v="Credit Card"/>
    <m/>
    <m/>
  </r>
  <r>
    <n v="2183"/>
    <n v="9669"/>
    <x v="210"/>
    <n v="3291.84"/>
    <s v="Completed"/>
    <s v="West"/>
    <s v="PayPal"/>
    <m/>
    <m/>
  </r>
  <r>
    <n v="2184"/>
    <n v="3991"/>
    <x v="86"/>
    <n v="3291.84"/>
    <s v="Returned"/>
    <s v="South"/>
    <s v="PayPal"/>
    <m/>
    <m/>
  </r>
  <r>
    <n v="2185"/>
    <n v="5208"/>
    <x v="195"/>
    <n v="3291.84"/>
    <s v="Completed"/>
    <s v="North"/>
    <s v="Apple Pay"/>
    <m/>
    <m/>
  </r>
  <r>
    <n v="2186"/>
    <n v="6970"/>
    <x v="139"/>
    <n v="3291.84"/>
    <s v="Completed"/>
    <s v="Central"/>
    <s v="Credit Card"/>
    <m/>
    <m/>
  </r>
  <r>
    <n v="2187"/>
    <n v="9966"/>
    <x v="122"/>
    <n v="3291.84"/>
    <s v="Completed"/>
    <s v="North"/>
    <s v="Apple Pay"/>
    <m/>
    <m/>
  </r>
  <r>
    <n v="2188"/>
    <n v="6920"/>
    <x v="97"/>
    <n v="3291.84"/>
    <s v="Completed"/>
    <s v="Central"/>
    <s v="Debit Card"/>
    <m/>
    <m/>
  </r>
  <r>
    <n v="2189"/>
    <n v="9531"/>
    <x v="352"/>
    <n v="3291.84"/>
    <s v="Completed"/>
    <s v="South"/>
    <s v="PayPal"/>
    <m/>
    <m/>
  </r>
  <r>
    <n v="2190"/>
    <n v="564"/>
    <x v="115"/>
    <n v="3291.84"/>
    <s v="Completed"/>
    <s v="West"/>
    <s v="Apple Pay"/>
    <m/>
    <m/>
  </r>
  <r>
    <n v="2191"/>
    <n v="1353"/>
    <x v="45"/>
    <n v="3291.84"/>
    <s v="Completed"/>
    <s v="East"/>
    <s v="Debit Card"/>
    <m/>
    <m/>
  </r>
  <r>
    <n v="2192"/>
    <n v="716"/>
    <x v="107"/>
    <n v="3291.84"/>
    <s v="Completed"/>
    <s v="East"/>
    <s v="Debit Card"/>
    <m/>
    <m/>
  </r>
  <r>
    <n v="2193"/>
    <n v="8200"/>
    <x v="238"/>
    <n v="3291.84"/>
    <s v="Completed"/>
    <s v="South"/>
    <s v="Credit Card"/>
    <m/>
    <m/>
  </r>
  <r>
    <n v="2194"/>
    <n v="17"/>
    <x v="12"/>
    <n v="3291.84"/>
    <s v="Completed"/>
    <s v="West"/>
    <s v="Credit Card"/>
    <m/>
    <m/>
  </r>
  <r>
    <n v="2195"/>
    <n v="9661"/>
    <x v="271"/>
    <n v="3291.84"/>
    <s v="Completed"/>
    <s v="East"/>
    <s v="Apple Pay"/>
    <m/>
    <m/>
  </r>
  <r>
    <n v="2196"/>
    <n v="3164"/>
    <x v="353"/>
    <n v="3291.84"/>
    <s v="Completed"/>
    <s v="North"/>
    <s v="Apple Pay"/>
    <m/>
    <m/>
  </r>
  <r>
    <n v="2197"/>
    <n v="5417"/>
    <x v="166"/>
    <n v="3291.84"/>
    <s v="Completed"/>
    <s v="North"/>
    <s v="Debit Card"/>
    <m/>
    <m/>
  </r>
  <r>
    <n v="2198"/>
    <n v="9548"/>
    <x v="89"/>
    <n v="3291.84"/>
    <s v="Completed"/>
    <s v="East"/>
    <s v="PayPal"/>
    <m/>
    <m/>
  </r>
  <r>
    <n v="2199"/>
    <n v="1425"/>
    <x v="157"/>
    <n v="3291.84"/>
    <s v="Completed"/>
    <s v="East"/>
    <s v="Apple Pay"/>
    <m/>
    <m/>
  </r>
  <r>
    <n v="2200"/>
    <n v="5828"/>
    <x v="322"/>
    <n v="3291.84"/>
    <s v="Completed"/>
    <s v="West"/>
    <s v="Credit Card"/>
    <m/>
    <m/>
  </r>
  <r>
    <n v="2201"/>
    <n v="7461"/>
    <x v="22"/>
    <n v="3291.84"/>
    <s v="Completed"/>
    <s v="South"/>
    <s v="PayPal"/>
    <m/>
    <m/>
  </r>
  <r>
    <n v="2202"/>
    <n v="574"/>
    <x v="22"/>
    <n v="3291.84"/>
    <s v="Completed"/>
    <s v="West"/>
    <s v="PayPal"/>
    <m/>
    <m/>
  </r>
  <r>
    <n v="2203"/>
    <n v="2926"/>
    <x v="93"/>
    <n v="3291.84"/>
    <s v="Completed"/>
    <s v="West"/>
    <s v="Credit Card"/>
    <m/>
    <m/>
  </r>
  <r>
    <n v="2204"/>
    <n v="9100"/>
    <x v="112"/>
    <n v="3291.84"/>
    <s v="Returned"/>
    <s v="North"/>
    <s v="Credit Card"/>
    <m/>
    <m/>
  </r>
  <r>
    <n v="2205"/>
    <n v="4691"/>
    <x v="348"/>
    <n v="3291.84"/>
    <s v="Completed"/>
    <s v="East"/>
    <s v="PayPal"/>
    <m/>
    <m/>
  </r>
  <r>
    <n v="2206"/>
    <n v="3288"/>
    <x v="2"/>
    <n v="3291.84"/>
    <s v="Completed"/>
    <s v="East"/>
    <s v="Apple Pay"/>
    <m/>
    <m/>
  </r>
  <r>
    <n v="2207"/>
    <n v="3672"/>
    <x v="73"/>
    <n v="3291.84"/>
    <s v="Completed"/>
    <s v="South"/>
    <s v="Debit Card"/>
    <m/>
    <m/>
  </r>
  <r>
    <n v="2208"/>
    <n v="3406"/>
    <x v="240"/>
    <n v="3291.84"/>
    <s v="Completed"/>
    <s v="Central"/>
    <s v="PayPal"/>
    <m/>
    <m/>
  </r>
  <r>
    <n v="2209"/>
    <n v="2811"/>
    <x v="288"/>
    <n v="3291.84"/>
    <s v="Completed"/>
    <s v="East"/>
    <s v="Credit Card"/>
    <m/>
    <m/>
  </r>
  <r>
    <n v="2210"/>
    <n v="2455"/>
    <x v="218"/>
    <n v="3291.84"/>
    <s v="Cancelled"/>
    <s v="West"/>
    <s v="PayPal"/>
    <m/>
    <m/>
  </r>
  <r>
    <n v="2211"/>
    <n v="4347"/>
    <x v="102"/>
    <n v="3291.84"/>
    <s v="Completed"/>
    <s v="East"/>
    <s v="Apple Pay"/>
    <m/>
    <m/>
  </r>
  <r>
    <n v="2212"/>
    <n v="2795"/>
    <x v="139"/>
    <n v="3291.84"/>
    <s v="Completed"/>
    <s v="North"/>
    <s v="PayPal"/>
    <m/>
    <m/>
  </r>
  <r>
    <n v="2213"/>
    <n v="4917"/>
    <x v="26"/>
    <n v="3291.84"/>
    <s v="Completed"/>
    <s v="East"/>
    <s v="Apple Pay"/>
    <m/>
    <m/>
  </r>
  <r>
    <n v="2214"/>
    <n v="846"/>
    <x v="118"/>
    <n v="3291.84"/>
    <s v="Completed"/>
    <s v="West"/>
    <s v="Credit Card"/>
    <m/>
    <m/>
  </r>
  <r>
    <n v="2215"/>
    <n v="8978"/>
    <x v="113"/>
    <n v="3291.84"/>
    <s v="Completed"/>
    <s v="South"/>
    <s v="Debit Card"/>
    <m/>
    <m/>
  </r>
  <r>
    <n v="2216"/>
    <n v="8109"/>
    <x v="172"/>
    <n v="3291.84"/>
    <s v="Returned"/>
    <s v="South"/>
    <s v="Credit Card"/>
    <m/>
    <m/>
  </r>
  <r>
    <n v="2217"/>
    <n v="2303"/>
    <x v="17"/>
    <n v="3291.84"/>
    <s v="Completed"/>
    <s v="Central"/>
    <s v="PayPal"/>
    <m/>
    <m/>
  </r>
  <r>
    <n v="2218"/>
    <n v="1517"/>
    <x v="8"/>
    <n v="3291.84"/>
    <s v="Completed"/>
    <s v="Central"/>
    <s v="Debit Card"/>
    <m/>
    <m/>
  </r>
  <r>
    <n v="2219"/>
    <n v="9071"/>
    <x v="24"/>
    <n v="3291.84"/>
    <s v="Completed"/>
    <s v="East"/>
    <s v="Debit Card"/>
    <m/>
    <m/>
  </r>
  <r>
    <n v="2220"/>
    <n v="1791"/>
    <x v="261"/>
    <n v="3291.84"/>
    <s v="Completed"/>
    <s v="South"/>
    <s v="Credit Card"/>
    <m/>
    <m/>
  </r>
  <r>
    <n v="2221"/>
    <n v="4075"/>
    <x v="43"/>
    <n v="3291.84"/>
    <s v="Completed"/>
    <s v="West"/>
    <s v="Apple Pay"/>
    <m/>
    <m/>
  </r>
  <r>
    <n v="2222"/>
    <n v="7270"/>
    <x v="272"/>
    <n v="3291.84"/>
    <s v="Returned"/>
    <s v="East"/>
    <s v="Credit Card"/>
    <m/>
    <m/>
  </r>
  <r>
    <n v="2223"/>
    <n v="1929"/>
    <x v="313"/>
    <n v="3291.84"/>
    <s v="Completed"/>
    <s v="North"/>
    <s v="Debit Card"/>
    <m/>
    <m/>
  </r>
  <r>
    <n v="2224"/>
    <n v="1903"/>
    <x v="31"/>
    <n v="3291.84"/>
    <s v="Completed"/>
    <s v="Central"/>
    <s v="PayPal"/>
    <m/>
    <m/>
  </r>
  <r>
    <n v="2225"/>
    <n v="3947"/>
    <x v="265"/>
    <n v="3291.84"/>
    <s v="Completed"/>
    <s v="East"/>
    <s v="Credit Card"/>
    <m/>
    <m/>
  </r>
  <r>
    <n v="2226"/>
    <n v="3576"/>
    <x v="336"/>
    <n v="3291.84"/>
    <s v="Completed"/>
    <s v="South"/>
    <s v="Debit Card"/>
    <m/>
    <m/>
  </r>
  <r>
    <n v="2227"/>
    <n v="7773"/>
    <x v="60"/>
    <n v="3291.84"/>
    <s v="Completed"/>
    <s v="Central"/>
    <s v="Apple Pay"/>
    <m/>
    <m/>
  </r>
  <r>
    <n v="2228"/>
    <n v="3875"/>
    <x v="88"/>
    <n v="3291.84"/>
    <s v="Completed"/>
    <s v="North"/>
    <s v="Credit Card"/>
    <m/>
    <m/>
  </r>
  <r>
    <n v="2229"/>
    <n v="9327"/>
    <x v="101"/>
    <n v="3291.84"/>
    <s v="Completed"/>
    <s v="North"/>
    <s v="Apple Pay"/>
    <m/>
    <m/>
  </r>
  <r>
    <n v="2230"/>
    <n v="846"/>
    <x v="257"/>
    <n v="3291.84"/>
    <s v="Completed"/>
    <s v="West"/>
    <s v="Credit Card"/>
    <m/>
    <m/>
  </r>
  <r>
    <n v="2231"/>
    <n v="8146"/>
    <x v="261"/>
    <n v="3291.84"/>
    <s v="Completed"/>
    <s v="North"/>
    <s v="PayPal"/>
    <m/>
    <m/>
  </r>
  <r>
    <n v="2232"/>
    <n v="1566"/>
    <x v="2"/>
    <n v="3291.84"/>
    <s v="Returned"/>
    <s v="East"/>
    <s v="Debit Card"/>
    <m/>
    <m/>
  </r>
  <r>
    <n v="2233"/>
    <n v="4917"/>
    <x v="216"/>
    <n v="3291.84"/>
    <s v="Completed"/>
    <s v="East"/>
    <s v="Apple Pay"/>
    <m/>
    <m/>
  </r>
  <r>
    <n v="2234"/>
    <n v="3405"/>
    <x v="73"/>
    <n v="3291.84"/>
    <s v="Completed"/>
    <s v="North"/>
    <s v="Apple Pay"/>
    <m/>
    <m/>
  </r>
  <r>
    <n v="2235"/>
    <n v="4796"/>
    <x v="244"/>
    <n v="3291.84"/>
    <s v="Cancelled"/>
    <s v="South"/>
    <s v="Credit Card"/>
    <m/>
    <m/>
  </r>
  <r>
    <n v="2236"/>
    <n v="5467"/>
    <x v="213"/>
    <n v="3291.84"/>
    <s v="Completed"/>
    <s v="North"/>
    <s v="PayPal"/>
    <m/>
    <m/>
  </r>
  <r>
    <n v="2237"/>
    <n v="3960"/>
    <x v="34"/>
    <n v="3291.84"/>
    <s v="Completed"/>
    <s v="East"/>
    <s v="Credit Card"/>
    <m/>
    <m/>
  </r>
  <r>
    <n v="2238"/>
    <n v="8956"/>
    <x v="19"/>
    <n v="3291.84"/>
    <s v="Completed"/>
    <s v="South"/>
    <s v="Credit Card"/>
    <m/>
    <m/>
  </r>
  <r>
    <n v="2239"/>
    <n v="3440"/>
    <x v="59"/>
    <n v="3291.84"/>
    <s v="Completed"/>
    <s v="West"/>
    <s v="PayPal"/>
    <m/>
    <m/>
  </r>
  <r>
    <n v="2240"/>
    <n v="5990"/>
    <x v="142"/>
    <n v="3291.84"/>
    <s v="Completed"/>
    <s v="West"/>
    <s v="Apple Pay"/>
    <m/>
    <m/>
  </r>
  <r>
    <n v="2241"/>
    <n v="8325"/>
    <x v="183"/>
    <n v="3291.84"/>
    <s v="Completed"/>
    <s v="South"/>
    <s v="Debit Card"/>
    <m/>
    <m/>
  </r>
  <r>
    <n v="2242"/>
    <n v="2196"/>
    <x v="35"/>
    <n v="3291.84"/>
    <s v="Completed"/>
    <s v="West"/>
    <s v="Credit Card"/>
    <m/>
    <m/>
  </r>
  <r>
    <n v="2243"/>
    <n v="426"/>
    <x v="122"/>
    <n v="3291.84"/>
    <s v="Completed"/>
    <s v="West"/>
    <s v="Credit Card"/>
    <m/>
    <m/>
  </r>
  <r>
    <n v="2244"/>
    <n v="6838"/>
    <x v="216"/>
    <n v="3291.84"/>
    <s v="Completed"/>
    <s v="South"/>
    <s v="Apple Pay"/>
    <m/>
    <m/>
  </r>
  <r>
    <n v="2245"/>
    <n v="3008"/>
    <x v="273"/>
    <n v="3291.84"/>
    <s v="Completed"/>
    <s v="West"/>
    <s v="Credit Card"/>
    <m/>
    <m/>
  </r>
  <r>
    <n v="2246"/>
    <n v="1664"/>
    <x v="269"/>
    <n v="3291.84"/>
    <s v="Completed"/>
    <s v="others"/>
    <s v="Apple Pay"/>
    <m/>
    <m/>
  </r>
  <r>
    <n v="2247"/>
    <n v="620"/>
    <x v="293"/>
    <n v="3291.84"/>
    <s v="Completed"/>
    <s v="Central"/>
    <s v="Debit Card"/>
    <m/>
    <m/>
  </r>
  <r>
    <n v="2248"/>
    <n v="2107"/>
    <x v="91"/>
    <n v="3291.84"/>
    <s v="Completed"/>
    <s v="East"/>
    <s v="PayPal"/>
    <m/>
    <m/>
  </r>
  <r>
    <n v="2249"/>
    <n v="3558"/>
    <x v="328"/>
    <n v="3291.84"/>
    <s v="Completed"/>
    <s v="South"/>
    <s v="Debit Card"/>
    <m/>
    <m/>
  </r>
  <r>
    <n v="2250"/>
    <n v="9367"/>
    <x v="15"/>
    <n v="3291.84"/>
    <s v="Completed"/>
    <s v="North"/>
    <s v="PayPal"/>
    <m/>
    <m/>
  </r>
  <r>
    <n v="2251"/>
    <n v="4386"/>
    <x v="28"/>
    <n v="3291.84"/>
    <s v="Completed"/>
    <s v="Central"/>
    <s v="PayPal"/>
    <m/>
    <m/>
  </r>
  <r>
    <n v="2252"/>
    <n v="7021"/>
    <x v="292"/>
    <n v="3291.84"/>
    <s v="Completed"/>
    <s v="West"/>
    <s v="PayPal"/>
    <m/>
    <m/>
  </r>
  <r>
    <n v="2253"/>
    <n v="7084"/>
    <x v="347"/>
    <n v="3291.84"/>
    <s v="Completed"/>
    <s v="South"/>
    <s v="Credit Card"/>
    <m/>
    <m/>
  </r>
  <r>
    <n v="2254"/>
    <n v="117"/>
    <x v="282"/>
    <n v="3291.84"/>
    <s v="Completed"/>
    <s v="North"/>
    <s v="Apple Pay"/>
    <m/>
    <m/>
  </r>
  <r>
    <n v="2255"/>
    <n v="3256"/>
    <x v="116"/>
    <n v="3291.84"/>
    <s v="Completed"/>
    <s v="West"/>
    <s v="Credit Card"/>
    <m/>
    <m/>
  </r>
  <r>
    <n v="2256"/>
    <n v="1285"/>
    <x v="271"/>
    <n v="3291.84"/>
    <s v="Completed"/>
    <s v="Central"/>
    <s v="Apple Pay"/>
    <m/>
    <m/>
  </r>
  <r>
    <n v="2257"/>
    <n v="6665"/>
    <x v="197"/>
    <n v="3291.84"/>
    <s v="Completed"/>
    <s v="West"/>
    <s v="Debit Card"/>
    <m/>
    <m/>
  </r>
  <r>
    <n v="2258"/>
    <n v="3336"/>
    <x v="41"/>
    <n v="3291.84"/>
    <s v="Completed"/>
    <s v="South"/>
    <s v="PayPal"/>
    <m/>
    <m/>
  </r>
  <r>
    <n v="2259"/>
    <n v="4863"/>
    <x v="53"/>
    <n v="3291.84"/>
    <s v="Completed"/>
    <s v="West"/>
    <s v="Debit Card"/>
    <m/>
    <m/>
  </r>
  <r>
    <n v="2260"/>
    <n v="3325"/>
    <x v="43"/>
    <n v="3291.84"/>
    <s v="Completed"/>
    <s v="Central"/>
    <s v="PayPal"/>
    <m/>
    <m/>
  </r>
  <r>
    <n v="2261"/>
    <n v="1535"/>
    <x v="107"/>
    <n v="3291.84"/>
    <s v="Cancelled"/>
    <s v="North"/>
    <s v="PayPal"/>
    <m/>
    <m/>
  </r>
  <r>
    <n v="2262"/>
    <n v="3891"/>
    <x v="96"/>
    <n v="3291.84"/>
    <s v="Completed"/>
    <s v="North"/>
    <s v="Credit Card"/>
    <m/>
    <m/>
  </r>
  <r>
    <n v="2263"/>
    <n v="9589"/>
    <x v="3"/>
    <n v="3291.84"/>
    <s v="Completed"/>
    <s v="North"/>
    <s v="PayPal"/>
    <m/>
    <m/>
  </r>
  <r>
    <n v="2264"/>
    <n v="5818"/>
    <x v="249"/>
    <n v="3291.84"/>
    <s v="Completed"/>
    <s v="North"/>
    <s v="PayPal"/>
    <m/>
    <m/>
  </r>
  <r>
    <n v="2265"/>
    <n v="2877"/>
    <x v="92"/>
    <n v="3291.84"/>
    <s v="Completed"/>
    <s v="South"/>
    <s v="PayPal"/>
    <m/>
    <m/>
  </r>
  <r>
    <n v="2266"/>
    <n v="7439"/>
    <x v="186"/>
    <n v="3291.84"/>
    <s v="Completed"/>
    <s v="East"/>
    <s v="PayPal"/>
    <m/>
    <m/>
  </r>
  <r>
    <n v="2267"/>
    <n v="6137"/>
    <x v="221"/>
    <n v="3291.84"/>
    <s v="Completed"/>
    <s v="South"/>
    <s v="Debit Card"/>
    <m/>
    <m/>
  </r>
  <r>
    <n v="2268"/>
    <n v="255"/>
    <x v="356"/>
    <n v="3291.84"/>
    <s v="Completed"/>
    <s v="South"/>
    <s v="Apple Pay"/>
    <m/>
    <m/>
  </r>
  <r>
    <n v="2269"/>
    <n v="2134"/>
    <x v="56"/>
    <n v="3291.84"/>
    <s v="Completed"/>
    <s v="West"/>
    <s v="Credit Card"/>
    <m/>
    <m/>
  </r>
  <r>
    <n v="2270"/>
    <n v="1901"/>
    <x v="34"/>
    <n v="3291.84"/>
    <s v="Completed"/>
    <s v="South"/>
    <s v="PayPal"/>
    <m/>
    <m/>
  </r>
  <r>
    <n v="2271"/>
    <n v="4055"/>
    <x v="211"/>
    <n v="3291.84"/>
    <s v="Completed"/>
    <s v="East"/>
    <s v="PayPal"/>
    <m/>
    <m/>
  </r>
  <r>
    <n v="2272"/>
    <n v="6817"/>
    <x v="283"/>
    <n v="3291.84"/>
    <s v="Completed"/>
    <s v="North"/>
    <s v="Credit Card"/>
    <m/>
    <m/>
  </r>
  <r>
    <n v="2273"/>
    <n v="2575"/>
    <x v="326"/>
    <n v="3291.84"/>
    <s v="Completed"/>
    <s v="South"/>
    <s v="Credit Card"/>
    <m/>
    <m/>
  </r>
  <r>
    <n v="2274"/>
    <n v="9444"/>
    <x v="16"/>
    <n v="3291.84"/>
    <s v="Completed"/>
    <s v="East"/>
    <s v="Debit Card"/>
    <m/>
    <m/>
  </r>
  <r>
    <n v="2275"/>
    <n v="6086"/>
    <x v="5"/>
    <n v="3291.84"/>
    <s v="Returned"/>
    <s v="Central"/>
    <s v="Credit Card"/>
    <m/>
    <m/>
  </r>
  <r>
    <n v="2276"/>
    <n v="122"/>
    <x v="153"/>
    <n v="3291.84"/>
    <s v="Completed"/>
    <s v="Central"/>
    <s v="PayPal"/>
    <m/>
    <m/>
  </r>
  <r>
    <n v="2277"/>
    <n v="127"/>
    <x v="24"/>
    <n v="3291.84"/>
    <s v="Completed"/>
    <s v="North"/>
    <s v="Credit Card"/>
    <m/>
    <m/>
  </r>
  <r>
    <n v="2278"/>
    <n v="5490"/>
    <x v="332"/>
    <n v="3291.84"/>
    <s v="Completed"/>
    <s v="South"/>
    <s v="PayPal"/>
    <m/>
    <m/>
  </r>
  <r>
    <n v="2279"/>
    <n v="3682"/>
    <x v="339"/>
    <n v="3291.84"/>
    <s v="Completed"/>
    <s v="North"/>
    <s v="Apple Pay"/>
    <m/>
    <m/>
  </r>
  <r>
    <n v="2280"/>
    <n v="9008"/>
    <x v="84"/>
    <n v="3291.84"/>
    <s v="Completed"/>
    <s v="East"/>
    <s v="Credit Card"/>
    <m/>
    <m/>
  </r>
  <r>
    <n v="2281"/>
    <n v="6812"/>
    <x v="345"/>
    <n v="3291.84"/>
    <s v="Completed"/>
    <s v="North"/>
    <s v="Debit Card"/>
    <m/>
    <m/>
  </r>
  <r>
    <n v="2282"/>
    <n v="6690"/>
    <x v="24"/>
    <n v="3291.84"/>
    <s v="Completed"/>
    <s v="South"/>
    <s v="PayPal"/>
    <m/>
    <m/>
  </r>
  <r>
    <n v="2283"/>
    <n v="7177"/>
    <x v="211"/>
    <n v="3291.84"/>
    <s v="Completed"/>
    <s v="East"/>
    <s v="Apple Pay"/>
    <m/>
    <m/>
  </r>
  <r>
    <n v="2284"/>
    <n v="8684"/>
    <x v="165"/>
    <n v="3291.84"/>
    <s v="Completed"/>
    <s v="West"/>
    <s v="Apple Pay"/>
    <m/>
    <m/>
  </r>
  <r>
    <n v="2285"/>
    <n v="6837"/>
    <x v="8"/>
    <n v="3291.84"/>
    <s v="Completed"/>
    <s v="Central"/>
    <s v="Credit Card"/>
    <m/>
    <m/>
  </r>
  <r>
    <n v="2286"/>
    <n v="834"/>
    <x v="242"/>
    <n v="3291.84"/>
    <s v="Completed"/>
    <s v="South"/>
    <s v="Apple Pay"/>
    <m/>
    <m/>
  </r>
  <r>
    <n v="2287"/>
    <n v="431"/>
    <x v="207"/>
    <n v="3291.84"/>
    <s v="Completed"/>
    <s v="West"/>
    <s v="Debit Card"/>
    <m/>
    <m/>
  </r>
  <r>
    <n v="2288"/>
    <n v="655"/>
    <x v="315"/>
    <n v="3291.84"/>
    <s v="Completed"/>
    <s v="South"/>
    <s v="Debit Card"/>
    <m/>
    <m/>
  </r>
  <r>
    <n v="2289"/>
    <n v="6110"/>
    <x v="264"/>
    <n v="3291.84"/>
    <s v="Completed"/>
    <s v="West"/>
    <s v="Credit Card"/>
    <m/>
    <m/>
  </r>
  <r>
    <n v="2290"/>
    <n v="1845"/>
    <x v="164"/>
    <n v="3291.84"/>
    <s v="Completed"/>
    <s v="Central"/>
    <s v="Credit Card"/>
    <m/>
    <m/>
  </r>
  <r>
    <n v="2291"/>
    <n v="306"/>
    <x v="212"/>
    <n v="3291.84"/>
    <s v="Completed"/>
    <s v="Central"/>
    <s v="PayPal"/>
    <m/>
    <m/>
  </r>
  <r>
    <n v="2292"/>
    <n v="7748"/>
    <x v="210"/>
    <n v="3291.84"/>
    <s v="Completed"/>
    <s v="West"/>
    <s v="Debit Card"/>
    <m/>
    <m/>
  </r>
  <r>
    <n v="2293"/>
    <n v="2274"/>
    <x v="207"/>
    <n v="3291.84"/>
    <s v="Completed"/>
    <s v="Central"/>
    <s v="PayPal"/>
    <m/>
    <m/>
  </r>
  <r>
    <n v="2294"/>
    <n v="64"/>
    <x v="155"/>
    <n v="3291.84"/>
    <s v="Completed"/>
    <s v="South"/>
    <s v="Apple Pay"/>
    <m/>
    <m/>
  </r>
  <r>
    <n v="2295"/>
    <n v="7837"/>
    <x v="214"/>
    <n v="3291.84"/>
    <s v="Completed"/>
    <s v="West"/>
    <s v="Apple Pay"/>
    <m/>
    <m/>
  </r>
  <r>
    <n v="2296"/>
    <n v="7842"/>
    <x v="224"/>
    <n v="3291.84"/>
    <s v="Completed"/>
    <s v="West"/>
    <s v="Credit Card"/>
    <m/>
    <m/>
  </r>
  <r>
    <n v="2297"/>
    <n v="8262"/>
    <x v="291"/>
    <n v="3291.84"/>
    <s v="Completed"/>
    <s v="West"/>
    <s v="Credit Card"/>
    <m/>
    <m/>
  </r>
  <r>
    <n v="2298"/>
    <n v="7155"/>
    <x v="188"/>
    <n v="3291.84"/>
    <s v="Completed"/>
    <s v="West"/>
    <s v="Apple Pay"/>
    <m/>
    <m/>
  </r>
  <r>
    <n v="2299"/>
    <n v="5443"/>
    <x v="220"/>
    <n v="3291.84"/>
    <s v="Completed"/>
    <s v="others"/>
    <s v="PayPal"/>
    <m/>
    <m/>
  </r>
  <r>
    <n v="2300"/>
    <n v="1826"/>
    <x v="270"/>
    <n v="3291.84"/>
    <s v="Completed"/>
    <s v="others"/>
    <s v="Credit Card"/>
    <m/>
    <m/>
  </r>
  <r>
    <n v="2301"/>
    <n v="5828"/>
    <x v="83"/>
    <n v="3291.84"/>
    <s v="Completed"/>
    <s v="West"/>
    <s v="PayPal"/>
    <m/>
    <m/>
  </r>
  <r>
    <n v="2302"/>
    <n v="7339"/>
    <x v="4"/>
    <n v="3291.84"/>
    <s v="Completed"/>
    <s v="West"/>
    <s v="Credit Card"/>
    <m/>
    <m/>
  </r>
  <r>
    <n v="2303"/>
    <n v="352"/>
    <x v="138"/>
    <n v="3291.84"/>
    <s v="Completed"/>
    <s v="North"/>
    <s v="PayPal"/>
    <m/>
    <m/>
  </r>
  <r>
    <n v="2304"/>
    <n v="4363"/>
    <x v="67"/>
    <n v="3291.84"/>
    <s v="Completed"/>
    <s v="East"/>
    <s v="Debit Card"/>
    <m/>
    <m/>
  </r>
  <r>
    <n v="2305"/>
    <n v="2530"/>
    <x v="9"/>
    <n v="3291.84"/>
    <s v="Completed"/>
    <s v="South"/>
    <s v="PayPal"/>
    <m/>
    <m/>
  </r>
  <r>
    <n v="2306"/>
    <n v="4358"/>
    <x v="281"/>
    <n v="3291.84"/>
    <s v="Cancelled"/>
    <s v="West"/>
    <s v="Credit Card"/>
    <m/>
    <m/>
  </r>
  <r>
    <n v="2307"/>
    <n v="6562"/>
    <x v="170"/>
    <n v="3291.84"/>
    <s v="Completed"/>
    <s v="North"/>
    <s v="PayPal"/>
    <m/>
    <m/>
  </r>
  <r>
    <n v="2308"/>
    <n v="839"/>
    <x v="236"/>
    <n v="3291.84"/>
    <s v="Completed"/>
    <s v="West"/>
    <s v="Apple Pay"/>
    <m/>
    <m/>
  </r>
  <r>
    <n v="2309"/>
    <n v="3732"/>
    <x v="121"/>
    <n v="3291.84"/>
    <s v="Completed"/>
    <s v="Central"/>
    <s v="PayPal"/>
    <m/>
    <m/>
  </r>
  <r>
    <n v="2310"/>
    <n v="4084"/>
    <x v="7"/>
    <n v="3291.84"/>
    <s v="Completed"/>
    <s v="East"/>
    <s v="Apple Pay"/>
    <m/>
    <m/>
  </r>
  <r>
    <n v="2311"/>
    <n v="5802"/>
    <x v="196"/>
    <n v="3291.84"/>
    <s v="Returned"/>
    <s v="South"/>
    <s v="Debit Card"/>
    <m/>
    <m/>
  </r>
  <r>
    <n v="2312"/>
    <n v="1108"/>
    <x v="172"/>
    <n v="3291.84"/>
    <s v="Completed"/>
    <s v="West"/>
    <s v="Debit Card"/>
    <m/>
    <m/>
  </r>
  <r>
    <n v="2313"/>
    <n v="7784"/>
    <x v="140"/>
    <n v="3291.84"/>
    <s v="Completed"/>
    <s v="South"/>
    <s v="Apple Pay"/>
    <m/>
    <m/>
  </r>
  <r>
    <n v="2314"/>
    <n v="810"/>
    <x v="83"/>
    <n v="3291.84"/>
    <s v="Completed"/>
    <s v="South"/>
    <s v="Debit Card"/>
    <m/>
    <m/>
  </r>
  <r>
    <n v="2315"/>
    <n v="8966"/>
    <x v="157"/>
    <n v="3291.84"/>
    <s v="Completed"/>
    <s v="North"/>
    <s v="Debit Card"/>
    <m/>
    <m/>
  </r>
  <r>
    <n v="2316"/>
    <n v="2932"/>
    <x v="12"/>
    <n v="3291.84"/>
    <s v="Completed"/>
    <s v="West"/>
    <s v="Debit Card"/>
    <m/>
    <m/>
  </r>
  <r>
    <n v="2317"/>
    <n v="287"/>
    <x v="265"/>
    <n v="3291.84"/>
    <s v="Completed"/>
    <s v="Central"/>
    <s v="Credit Card"/>
    <m/>
    <m/>
  </r>
  <r>
    <n v="2318"/>
    <n v="5464"/>
    <x v="17"/>
    <n v="3291.84"/>
    <s v="Completed"/>
    <s v="West"/>
    <s v="Apple Pay"/>
    <m/>
    <m/>
  </r>
  <r>
    <n v="2319"/>
    <n v="7155"/>
    <x v="7"/>
    <n v="3291.84"/>
    <s v="Completed"/>
    <s v="West"/>
    <s v="Credit Card"/>
    <m/>
    <m/>
  </r>
  <r>
    <n v="2320"/>
    <n v="5418"/>
    <x v="1"/>
    <n v="3291.84"/>
    <s v="Completed"/>
    <s v="East"/>
    <s v="Debit Card"/>
    <m/>
    <m/>
  </r>
  <r>
    <n v="2321"/>
    <n v="3087"/>
    <x v="122"/>
    <n v="3291.84"/>
    <s v="Completed"/>
    <s v="South"/>
    <s v="Apple Pay"/>
    <m/>
    <m/>
  </r>
  <r>
    <n v="2322"/>
    <n v="4693"/>
    <x v="89"/>
    <n v="3291.84"/>
    <s v="Cancelled"/>
    <s v="South"/>
    <s v="Debit Card"/>
    <m/>
    <m/>
  </r>
  <r>
    <n v="2323"/>
    <n v="5630"/>
    <x v="188"/>
    <n v="3291.84"/>
    <s v="Completed"/>
    <s v="East"/>
    <s v="Debit Card"/>
    <m/>
    <m/>
  </r>
  <r>
    <n v="2324"/>
    <n v="4589"/>
    <x v="190"/>
    <n v="3291.84"/>
    <s v="Completed"/>
    <s v="North"/>
    <s v="Debit Card"/>
    <m/>
    <m/>
  </r>
  <r>
    <n v="2325"/>
    <n v="7349"/>
    <x v="3"/>
    <n v="3291.84"/>
    <s v="Completed"/>
    <s v="West"/>
    <s v="Credit Card"/>
    <m/>
    <m/>
  </r>
  <r>
    <n v="2326"/>
    <n v="218"/>
    <x v="111"/>
    <n v="3291.84"/>
    <s v="Cancelled"/>
    <s v="North"/>
    <s v="Credit Card"/>
    <m/>
    <m/>
  </r>
  <r>
    <n v="2327"/>
    <n v="8932"/>
    <x v="164"/>
    <n v="3291.84"/>
    <s v="Completed"/>
    <s v="South"/>
    <s v="Credit Card"/>
    <m/>
    <m/>
  </r>
  <r>
    <n v="2328"/>
    <n v="211"/>
    <x v="332"/>
    <n v="3291.84"/>
    <s v="Completed"/>
    <s v="Central"/>
    <s v="Debit Card"/>
    <m/>
    <m/>
  </r>
  <r>
    <n v="2329"/>
    <n v="5496"/>
    <x v="126"/>
    <n v="3291.84"/>
    <s v="Completed"/>
    <s v="West"/>
    <s v="PayPal"/>
    <m/>
    <m/>
  </r>
  <r>
    <n v="2330"/>
    <n v="2133"/>
    <x v="282"/>
    <n v="3291.84"/>
    <s v="Completed"/>
    <s v="South"/>
    <s v="Credit Card"/>
    <m/>
    <m/>
  </r>
  <r>
    <n v="2331"/>
    <n v="683"/>
    <x v="163"/>
    <n v="3291.84"/>
    <s v="Completed"/>
    <s v="Central"/>
    <s v="Apple Pay"/>
    <m/>
    <m/>
  </r>
  <r>
    <n v="2332"/>
    <n v="1848"/>
    <x v="162"/>
    <n v="3291.84"/>
    <s v="Completed"/>
    <s v="North"/>
    <s v="Credit Card"/>
    <m/>
    <m/>
  </r>
  <r>
    <n v="2333"/>
    <n v="8801"/>
    <x v="47"/>
    <n v="3291.84"/>
    <s v="Completed"/>
    <s v="West"/>
    <s v="Debit Card"/>
    <m/>
    <m/>
  </r>
  <r>
    <n v="2334"/>
    <n v="9630"/>
    <x v="110"/>
    <n v="3291.84"/>
    <s v="Completed"/>
    <s v="West"/>
    <s v="PayPal"/>
    <m/>
    <m/>
  </r>
  <r>
    <n v="2335"/>
    <n v="2720"/>
    <x v="324"/>
    <n v="3291.84"/>
    <s v="Completed"/>
    <s v="West"/>
    <s v="Debit Card"/>
    <m/>
    <m/>
  </r>
  <r>
    <n v="2336"/>
    <n v="8036"/>
    <x v="47"/>
    <n v="3291.84"/>
    <s v="Completed"/>
    <s v="South"/>
    <s v="Apple Pay"/>
    <m/>
    <m/>
  </r>
  <r>
    <n v="2337"/>
    <n v="5302"/>
    <x v="202"/>
    <n v="3291.84"/>
    <s v="Completed"/>
    <s v="East"/>
    <s v="Debit Card"/>
    <m/>
    <m/>
  </r>
  <r>
    <n v="2338"/>
    <n v="9633"/>
    <x v="137"/>
    <n v="3291.84"/>
    <s v="Returned"/>
    <s v="East"/>
    <s v="Credit Card"/>
    <m/>
    <m/>
  </r>
  <r>
    <n v="2339"/>
    <n v="9307"/>
    <x v="265"/>
    <n v="3291.84"/>
    <s v="Completed"/>
    <s v="East"/>
    <s v="Debit Card"/>
    <m/>
    <m/>
  </r>
  <r>
    <n v="2340"/>
    <n v="8294"/>
    <x v="31"/>
    <n v="3291.84"/>
    <s v="Completed"/>
    <s v="East"/>
    <s v="PayPal"/>
    <m/>
    <m/>
  </r>
  <r>
    <n v="2341"/>
    <n v="6324"/>
    <x v="192"/>
    <n v="3291.84"/>
    <s v="Completed"/>
    <s v="South"/>
    <s v="Debit Card"/>
    <m/>
    <m/>
  </r>
  <r>
    <n v="2342"/>
    <n v="3208"/>
    <x v="320"/>
    <n v="3291.84"/>
    <s v="Completed"/>
    <s v="others"/>
    <s v="Credit Card"/>
    <m/>
    <m/>
  </r>
  <r>
    <n v="2343"/>
    <n v="5057"/>
    <x v="131"/>
    <n v="3291.84"/>
    <s v="Completed"/>
    <s v="North"/>
    <s v="Debit Card"/>
    <m/>
    <m/>
  </r>
  <r>
    <n v="2344"/>
    <n v="3300"/>
    <x v="45"/>
    <n v="3291.84"/>
    <s v="Completed"/>
    <s v="South"/>
    <s v="Credit Card"/>
    <m/>
    <m/>
  </r>
  <r>
    <n v="2345"/>
    <n v="9201"/>
    <x v="92"/>
    <n v="3291.84"/>
    <s v="Completed"/>
    <s v="West"/>
    <s v="PayPal"/>
    <m/>
    <m/>
  </r>
  <r>
    <n v="2346"/>
    <n v="8745"/>
    <x v="283"/>
    <n v="3291.84"/>
    <s v="Completed"/>
    <s v="Central"/>
    <s v="Credit Card"/>
    <m/>
    <m/>
  </r>
  <r>
    <n v="2347"/>
    <n v="6460"/>
    <x v="12"/>
    <n v="3291.84"/>
    <s v="Completed"/>
    <s v="Central"/>
    <s v="Apple Pay"/>
    <m/>
    <m/>
  </r>
  <r>
    <n v="2348"/>
    <n v="2816"/>
    <x v="116"/>
    <n v="3291.84"/>
    <s v="Completed"/>
    <s v="North"/>
    <s v="PayPal"/>
    <m/>
    <m/>
  </r>
  <r>
    <n v="2349"/>
    <n v="9666"/>
    <x v="120"/>
    <n v="3291.84"/>
    <s v="Returned"/>
    <s v="South"/>
    <s v="Debit Card"/>
    <m/>
    <m/>
  </r>
  <r>
    <n v="2350"/>
    <n v="923"/>
    <x v="248"/>
    <n v="3291.84"/>
    <s v="Completed"/>
    <s v="Central"/>
    <s v="PayPal"/>
    <m/>
    <m/>
  </r>
  <r>
    <n v="2351"/>
    <n v="1328"/>
    <x v="33"/>
    <n v="3291.84"/>
    <s v="Completed"/>
    <s v="East"/>
    <s v="Apple Pay"/>
    <m/>
    <m/>
  </r>
  <r>
    <n v="2352"/>
    <n v="7828"/>
    <x v="212"/>
    <n v="3291.84"/>
    <s v="Completed"/>
    <s v="South"/>
    <s v="Apple Pay"/>
    <m/>
    <m/>
  </r>
  <r>
    <n v="2353"/>
    <n v="6265"/>
    <x v="263"/>
    <n v="3291.84"/>
    <s v="Completed"/>
    <s v="South"/>
    <s v="PayPal"/>
    <m/>
    <m/>
  </r>
  <r>
    <n v="2354"/>
    <n v="1127"/>
    <x v="157"/>
    <n v="3291.84"/>
    <s v="Completed"/>
    <s v="South"/>
    <s v="Apple Pay"/>
    <m/>
    <m/>
  </r>
  <r>
    <n v="2355"/>
    <n v="6672"/>
    <x v="232"/>
    <n v="3291.84"/>
    <s v="Cancelled"/>
    <s v="West"/>
    <s v="PayPal"/>
    <m/>
    <m/>
  </r>
  <r>
    <n v="2356"/>
    <n v="6106"/>
    <x v="340"/>
    <n v="3291.84"/>
    <s v="Completed"/>
    <s v="South"/>
    <s v="Debit Card"/>
    <m/>
    <m/>
  </r>
  <r>
    <n v="2357"/>
    <n v="1634"/>
    <x v="76"/>
    <n v="3291.84"/>
    <s v="Completed"/>
    <s v="North"/>
    <s v="Credit Card"/>
    <m/>
    <m/>
  </r>
  <r>
    <n v="2358"/>
    <n v="9035"/>
    <x v="24"/>
    <n v="3291.84"/>
    <s v="Completed"/>
    <s v="North"/>
    <s v="Debit Card"/>
    <m/>
    <m/>
  </r>
  <r>
    <n v="2359"/>
    <n v="673"/>
    <x v="114"/>
    <n v="3291.84"/>
    <s v="Completed"/>
    <s v="Central"/>
    <s v="Debit Card"/>
    <m/>
    <m/>
  </r>
  <r>
    <n v="2360"/>
    <n v="7568"/>
    <x v="46"/>
    <n v="3291.84"/>
    <s v="Completed"/>
    <s v="West"/>
    <s v="PayPal"/>
    <m/>
    <m/>
  </r>
  <r>
    <n v="2361"/>
    <n v="828"/>
    <x v="28"/>
    <n v="3291.84"/>
    <s v="Completed"/>
    <s v="East"/>
    <s v="Apple Pay"/>
    <m/>
    <m/>
  </r>
  <r>
    <n v="2362"/>
    <n v="1074"/>
    <x v="291"/>
    <n v="3291.84"/>
    <s v="Completed"/>
    <s v="Central"/>
    <s v="PayPal"/>
    <m/>
    <m/>
  </r>
  <r>
    <n v="2363"/>
    <n v="4081"/>
    <x v="273"/>
    <n v="3291.84"/>
    <s v="Returned"/>
    <s v="Central"/>
    <s v="Debit Card"/>
    <m/>
    <m/>
  </r>
  <r>
    <n v="2364"/>
    <n v="1425"/>
    <x v="343"/>
    <n v="3291.84"/>
    <s v="Completed"/>
    <s v="East"/>
    <s v="Apple Pay"/>
    <m/>
    <m/>
  </r>
  <r>
    <n v="2365"/>
    <n v="6335"/>
    <x v="28"/>
    <n v="3291.84"/>
    <s v="Completed"/>
    <s v="East"/>
    <s v="Apple Pay"/>
    <m/>
    <m/>
  </r>
  <r>
    <n v="2366"/>
    <n v="4713"/>
    <x v="310"/>
    <n v="3291.84"/>
    <s v="Completed"/>
    <s v="South"/>
    <s v="Debit Card"/>
    <m/>
    <m/>
  </r>
  <r>
    <n v="2367"/>
    <n v="439"/>
    <x v="169"/>
    <n v="3291.84"/>
    <s v="Completed"/>
    <s v="North"/>
    <s v="Debit Card"/>
    <m/>
    <m/>
  </r>
  <r>
    <n v="2368"/>
    <n v="6893"/>
    <x v="105"/>
    <n v="3291.84"/>
    <s v="Completed"/>
    <s v="South"/>
    <s v="PayPal"/>
    <m/>
    <m/>
  </r>
  <r>
    <n v="2369"/>
    <n v="835"/>
    <x v="113"/>
    <n v="3291.84"/>
    <s v="Completed"/>
    <s v="Central"/>
    <s v="Apple Pay"/>
    <m/>
    <m/>
  </r>
  <r>
    <n v="2370"/>
    <n v="5484"/>
    <x v="114"/>
    <n v="3291.84"/>
    <s v="Completed"/>
    <s v="North"/>
    <s v="Debit Card"/>
    <m/>
    <m/>
  </r>
  <r>
    <n v="2371"/>
    <n v="252"/>
    <x v="170"/>
    <n v="3291.84"/>
    <s v="Completed"/>
    <s v="East"/>
    <s v="Debit Card"/>
    <m/>
    <m/>
  </r>
  <r>
    <n v="2372"/>
    <n v="7101"/>
    <x v="25"/>
    <n v="3291.84"/>
    <s v="Returned"/>
    <s v="West"/>
    <s v="Apple Pay"/>
    <m/>
    <m/>
  </r>
  <r>
    <n v="2373"/>
    <n v="817"/>
    <x v="161"/>
    <n v="3291.84"/>
    <s v="Completed"/>
    <s v="South"/>
    <s v="Debit Card"/>
    <m/>
    <m/>
  </r>
  <r>
    <n v="2374"/>
    <n v="1232"/>
    <x v="205"/>
    <n v="3291.84"/>
    <s v="Completed"/>
    <s v="East"/>
    <s v="PayPal"/>
    <m/>
    <m/>
  </r>
  <r>
    <n v="2375"/>
    <n v="7305"/>
    <x v="242"/>
    <n v="3291.84"/>
    <s v="Completed"/>
    <s v="North"/>
    <s v="Credit Card"/>
    <m/>
    <m/>
  </r>
  <r>
    <n v="2376"/>
    <n v="2643"/>
    <x v="304"/>
    <n v="3291.84"/>
    <s v="Completed"/>
    <s v="West"/>
    <s v="Apple Pay"/>
    <m/>
    <m/>
  </r>
  <r>
    <n v="2377"/>
    <n v="1408"/>
    <x v="279"/>
    <n v="3291.84"/>
    <s v="Completed"/>
    <s v="South"/>
    <s v="Credit Card"/>
    <m/>
    <m/>
  </r>
  <r>
    <n v="2378"/>
    <n v="3394"/>
    <x v="222"/>
    <n v="3291.84"/>
    <s v="Completed"/>
    <s v="Central"/>
    <s v="Apple Pay"/>
    <m/>
    <m/>
  </r>
  <r>
    <n v="2379"/>
    <n v="6283"/>
    <x v="63"/>
    <n v="3291.84"/>
    <s v="Completed"/>
    <s v="West"/>
    <s v="Credit Card"/>
    <m/>
    <m/>
  </r>
  <r>
    <n v="2380"/>
    <n v="7732"/>
    <x v="332"/>
    <n v="3291.84"/>
    <s v="Completed"/>
    <s v="North"/>
    <s v="PayPal"/>
    <m/>
    <m/>
  </r>
  <r>
    <n v="2381"/>
    <n v="4211"/>
    <x v="42"/>
    <n v="3291.84"/>
    <s v="Completed"/>
    <s v="North"/>
    <s v="Credit Card"/>
    <m/>
    <m/>
  </r>
  <r>
    <n v="2382"/>
    <n v="960"/>
    <x v="354"/>
    <n v="3291.84"/>
    <s v="Completed"/>
    <s v="North"/>
    <s v="Credit Card"/>
    <m/>
    <m/>
  </r>
  <r>
    <n v="2383"/>
    <n v="1190"/>
    <x v="128"/>
    <n v="3291.84"/>
    <s v="Completed"/>
    <s v="East"/>
    <s v="Debit Card"/>
    <m/>
    <m/>
  </r>
  <r>
    <n v="2384"/>
    <n v="6688"/>
    <x v="272"/>
    <n v="3291.84"/>
    <s v="Completed"/>
    <s v="North"/>
    <s v="Credit Card"/>
    <m/>
    <m/>
  </r>
  <r>
    <n v="2385"/>
    <n v="251"/>
    <x v="271"/>
    <n v="3291.84"/>
    <s v="Completed"/>
    <s v="West"/>
    <s v="Debit Card"/>
    <m/>
    <m/>
  </r>
  <r>
    <n v="2386"/>
    <n v="5804"/>
    <x v="32"/>
    <n v="3291.84"/>
    <s v="Completed"/>
    <s v="East"/>
    <s v="PayPal"/>
    <m/>
    <m/>
  </r>
  <r>
    <n v="2387"/>
    <n v="8963"/>
    <x v="199"/>
    <n v="3291.84"/>
    <s v="Completed"/>
    <s v="South"/>
    <s v="PayPal"/>
    <m/>
    <m/>
  </r>
  <r>
    <n v="2388"/>
    <n v="3522"/>
    <x v="148"/>
    <n v="3291.84"/>
    <s v="Completed"/>
    <s v="West"/>
    <s v="Debit Card"/>
    <m/>
    <m/>
  </r>
  <r>
    <n v="2389"/>
    <n v="9954"/>
    <x v="27"/>
    <n v="3291.84"/>
    <s v="Completed"/>
    <s v="West"/>
    <s v="Credit Card"/>
    <m/>
    <m/>
  </r>
  <r>
    <n v="2390"/>
    <n v="1882"/>
    <x v="57"/>
    <n v="3291.84"/>
    <s v="Completed"/>
    <s v="North"/>
    <s v="PayPal"/>
    <m/>
    <m/>
  </r>
  <r>
    <n v="2391"/>
    <n v="3736"/>
    <x v="319"/>
    <n v="3291.84"/>
    <s v="Cancelled"/>
    <s v="East"/>
    <s v="PayPal"/>
    <m/>
    <m/>
  </r>
  <r>
    <n v="2392"/>
    <n v="9270"/>
    <x v="1"/>
    <n v="3291.84"/>
    <s v="Completed"/>
    <s v="East"/>
    <s v="PayPal"/>
    <m/>
    <m/>
  </r>
  <r>
    <n v="2393"/>
    <n v="3286"/>
    <x v="99"/>
    <n v="3291.84"/>
    <s v="Completed"/>
    <s v="North"/>
    <s v="PayPal"/>
    <m/>
    <m/>
  </r>
  <r>
    <n v="2394"/>
    <n v="9589"/>
    <x v="58"/>
    <n v="3291.84"/>
    <s v="Completed"/>
    <s v="North"/>
    <s v="Apple Pay"/>
    <m/>
    <m/>
  </r>
  <r>
    <n v="2395"/>
    <n v="768"/>
    <x v="161"/>
    <n v="3291.84"/>
    <s v="Completed"/>
    <s v="East"/>
    <s v="Debit Card"/>
    <m/>
    <m/>
  </r>
  <r>
    <n v="2396"/>
    <n v="2606"/>
    <x v="89"/>
    <n v="3291.84"/>
    <s v="Cancelled"/>
    <s v="North"/>
    <s v="PayPal"/>
    <m/>
    <m/>
  </r>
  <r>
    <n v="2397"/>
    <n v="2232"/>
    <x v="169"/>
    <n v="3291.84"/>
    <s v="Completed"/>
    <s v="East"/>
    <s v="Apple Pay"/>
    <m/>
    <m/>
  </r>
  <r>
    <n v="2398"/>
    <n v="6736"/>
    <x v="228"/>
    <n v="3291.84"/>
    <s v="Completed"/>
    <s v="West"/>
    <s v="Debit Card"/>
    <m/>
    <m/>
  </r>
  <r>
    <n v="2399"/>
    <n v="2816"/>
    <x v="285"/>
    <n v="3291.84"/>
    <s v="Completed"/>
    <s v="North"/>
    <s v="Apple Pay"/>
    <m/>
    <m/>
  </r>
  <r>
    <n v="2400"/>
    <n v="6696"/>
    <x v="85"/>
    <n v="3291.84"/>
    <s v="Completed"/>
    <s v="East"/>
    <s v="Debit Card"/>
    <m/>
    <m/>
  </r>
  <r>
    <n v="2401"/>
    <n v="3287"/>
    <x v="112"/>
    <n v="3291.84"/>
    <s v="Completed"/>
    <s v="North"/>
    <s v="Apple Pay"/>
    <m/>
    <m/>
  </r>
  <r>
    <n v="2402"/>
    <n v="2156"/>
    <x v="269"/>
    <n v="3291.84"/>
    <s v="Completed"/>
    <s v="North"/>
    <s v="PayPal"/>
    <m/>
    <m/>
  </r>
  <r>
    <n v="2403"/>
    <n v="9518"/>
    <x v="247"/>
    <n v="3291.84"/>
    <s v="Completed"/>
    <s v="West"/>
    <s v="PayPal"/>
    <m/>
    <m/>
  </r>
  <r>
    <n v="2404"/>
    <n v="8431"/>
    <x v="25"/>
    <n v="3291.84"/>
    <s v="Completed"/>
    <s v="South"/>
    <s v="Credit Card"/>
    <m/>
    <m/>
  </r>
  <r>
    <n v="2405"/>
    <n v="549"/>
    <x v="54"/>
    <n v="3291.84"/>
    <s v="Completed"/>
    <s v="Central"/>
    <s v="Apple Pay"/>
    <m/>
    <m/>
  </r>
  <r>
    <n v="2406"/>
    <n v="5346"/>
    <x v="236"/>
    <n v="3291.84"/>
    <s v="Completed"/>
    <s v="North"/>
    <s v="Credit Card"/>
    <m/>
    <m/>
  </r>
  <r>
    <n v="2407"/>
    <n v="1122"/>
    <x v="166"/>
    <n v="3291.84"/>
    <s v="Completed"/>
    <s v="West"/>
    <s v="Credit Card"/>
    <m/>
    <m/>
  </r>
  <r>
    <n v="2408"/>
    <n v="65"/>
    <x v="0"/>
    <n v="3291.84"/>
    <s v="Completed"/>
    <s v="Central"/>
    <s v="Debit Card"/>
    <m/>
    <m/>
  </r>
  <r>
    <n v="2409"/>
    <n v="1445"/>
    <x v="294"/>
    <n v="3291.84"/>
    <s v="Completed"/>
    <s v="East"/>
    <s v="Credit Card"/>
    <m/>
    <m/>
  </r>
  <r>
    <n v="2410"/>
    <n v="9595"/>
    <x v="318"/>
    <n v="3291.84"/>
    <s v="Completed"/>
    <s v="North"/>
    <s v="PayPal"/>
    <m/>
    <m/>
  </r>
  <r>
    <n v="2411"/>
    <n v="9242"/>
    <x v="226"/>
    <n v="3291.84"/>
    <s v="Completed"/>
    <s v="Central"/>
    <s v="Debit Card"/>
    <m/>
    <m/>
  </r>
  <r>
    <n v="2412"/>
    <n v="6727"/>
    <x v="233"/>
    <n v="3291.84"/>
    <s v="Completed"/>
    <s v="East"/>
    <s v="Debit Card"/>
    <m/>
    <m/>
  </r>
  <r>
    <n v="2413"/>
    <n v="4419"/>
    <x v="168"/>
    <n v="3291.84"/>
    <s v="Completed"/>
    <s v="West"/>
    <s v="Debit Card"/>
    <m/>
    <m/>
  </r>
  <r>
    <n v="2414"/>
    <n v="3741"/>
    <x v="141"/>
    <n v="3291.84"/>
    <s v="Completed"/>
    <s v="West"/>
    <s v="PayPal"/>
    <m/>
    <m/>
  </r>
  <r>
    <n v="2415"/>
    <n v="2434"/>
    <x v="221"/>
    <n v="3291.84"/>
    <s v="Completed"/>
    <s v="North"/>
    <s v="Apple Pay"/>
    <m/>
    <m/>
  </r>
  <r>
    <n v="2416"/>
    <n v="690"/>
    <x v="87"/>
    <n v="3291.84"/>
    <s v="Completed"/>
    <s v="West"/>
    <s v="Apple Pay"/>
    <m/>
    <m/>
  </r>
  <r>
    <n v="2417"/>
    <n v="9000"/>
    <x v="303"/>
    <n v="3291.84"/>
    <s v="Completed"/>
    <s v="South"/>
    <s v="Apple Pay"/>
    <m/>
    <m/>
  </r>
  <r>
    <n v="2418"/>
    <n v="9106"/>
    <x v="157"/>
    <n v="3291.84"/>
    <s v="Completed"/>
    <s v="East"/>
    <s v="Credit Card"/>
    <m/>
    <m/>
  </r>
  <r>
    <n v="2419"/>
    <n v="4789"/>
    <x v="356"/>
    <n v="3291.84"/>
    <s v="Completed"/>
    <s v="East"/>
    <s v="Debit Card"/>
    <m/>
    <m/>
  </r>
  <r>
    <n v="2420"/>
    <n v="4087"/>
    <x v="307"/>
    <n v="3291.84"/>
    <s v="Completed"/>
    <s v="West"/>
    <s v="Debit Card"/>
    <m/>
    <m/>
  </r>
  <r>
    <n v="2421"/>
    <n v="3742"/>
    <x v="338"/>
    <n v="3291.84"/>
    <s v="Returned"/>
    <s v="Central"/>
    <s v="PayPal"/>
    <m/>
    <m/>
  </r>
  <r>
    <n v="2422"/>
    <n v="1718"/>
    <x v="197"/>
    <n v="3291.84"/>
    <s v="Completed"/>
    <s v="South"/>
    <s v="Apple Pay"/>
    <m/>
    <m/>
  </r>
  <r>
    <n v="2423"/>
    <n v="5769"/>
    <x v="182"/>
    <n v="3291.84"/>
    <s v="Completed"/>
    <s v="East"/>
    <s v="Debit Card"/>
    <m/>
    <m/>
  </r>
  <r>
    <n v="2424"/>
    <n v="3407"/>
    <x v="167"/>
    <n v="3291.84"/>
    <s v="Completed"/>
    <s v="East"/>
    <s v="PayPal"/>
    <m/>
    <m/>
  </r>
  <r>
    <n v="2425"/>
    <n v="5976"/>
    <x v="134"/>
    <n v="3291.84"/>
    <s v="Completed"/>
    <s v="East"/>
    <s v="Credit Card"/>
    <m/>
    <m/>
  </r>
  <r>
    <n v="2426"/>
    <n v="7773"/>
    <x v="171"/>
    <n v="3291.84"/>
    <s v="Completed"/>
    <s v="Central"/>
    <s v="Apple Pay"/>
    <m/>
    <m/>
  </r>
  <r>
    <n v="2427"/>
    <n v="7305"/>
    <x v="167"/>
    <n v="3291.84"/>
    <s v="Completed"/>
    <s v="North"/>
    <s v="PayPal"/>
    <m/>
    <m/>
  </r>
  <r>
    <n v="2428"/>
    <n v="5177"/>
    <x v="56"/>
    <n v="3291.84"/>
    <s v="Completed"/>
    <s v="East"/>
    <s v="Credit Card"/>
    <m/>
    <m/>
  </r>
  <r>
    <n v="2429"/>
    <n v="9749"/>
    <x v="31"/>
    <n v="3291.84"/>
    <s v="Completed"/>
    <s v="West"/>
    <s v="PayPal"/>
    <m/>
    <m/>
  </r>
  <r>
    <n v="2430"/>
    <n v="6873"/>
    <x v="354"/>
    <n v="3291.84"/>
    <s v="Completed"/>
    <s v="West"/>
    <s v="Apple Pay"/>
    <m/>
    <m/>
  </r>
  <r>
    <n v="2431"/>
    <n v="5125"/>
    <x v="91"/>
    <n v="3291.84"/>
    <s v="Completed"/>
    <s v="North"/>
    <s v="Apple Pay"/>
    <m/>
    <m/>
  </r>
  <r>
    <n v="2432"/>
    <n v="8740"/>
    <x v="354"/>
    <n v="3291.84"/>
    <s v="Completed"/>
    <s v="West"/>
    <s v="Apple Pay"/>
    <m/>
    <m/>
  </r>
  <r>
    <n v="2433"/>
    <n v="1892"/>
    <x v="30"/>
    <n v="3291.84"/>
    <s v="Completed"/>
    <s v="West"/>
    <s v="Credit Card"/>
    <m/>
    <m/>
  </r>
  <r>
    <n v="2434"/>
    <n v="349"/>
    <x v="346"/>
    <n v="3291.84"/>
    <s v="Completed"/>
    <s v="East"/>
    <s v="Credit Card"/>
    <m/>
    <m/>
  </r>
  <r>
    <n v="2435"/>
    <n v="2296"/>
    <x v="301"/>
    <n v="3291.84"/>
    <s v="Completed"/>
    <s v="Central"/>
    <s v="Apple Pay"/>
    <m/>
    <m/>
  </r>
  <r>
    <n v="2436"/>
    <n v="4220"/>
    <x v="345"/>
    <n v="3291.84"/>
    <s v="Cancelled"/>
    <s v="Central"/>
    <s v="Debit Card"/>
    <m/>
    <m/>
  </r>
  <r>
    <n v="2437"/>
    <n v="6980"/>
    <x v="120"/>
    <n v="3291.84"/>
    <s v="Completed"/>
    <s v="Central"/>
    <s v="Debit Card"/>
    <m/>
    <m/>
  </r>
  <r>
    <n v="2438"/>
    <n v="9679"/>
    <x v="231"/>
    <n v="3291.84"/>
    <s v="Completed"/>
    <s v="West"/>
    <s v="Apple Pay"/>
    <m/>
    <m/>
  </r>
  <r>
    <n v="2439"/>
    <n v="2712"/>
    <x v="345"/>
    <n v="3291.84"/>
    <s v="Completed"/>
    <s v="South"/>
    <s v="Credit Card"/>
    <m/>
    <m/>
  </r>
  <r>
    <n v="2440"/>
    <n v="594"/>
    <x v="161"/>
    <n v="3291.84"/>
    <s v="Completed"/>
    <s v="South"/>
    <s v="Credit Card"/>
    <m/>
    <m/>
  </r>
  <r>
    <n v="2441"/>
    <n v="4220"/>
    <x v="84"/>
    <n v="3291.84"/>
    <s v="Completed"/>
    <s v="Central"/>
    <s v="Debit Card"/>
    <m/>
    <m/>
  </r>
  <r>
    <n v="2442"/>
    <n v="9072"/>
    <x v="316"/>
    <n v="3291.84"/>
    <s v="Cancelled"/>
    <s v="South"/>
    <s v="PayPal"/>
    <m/>
    <m/>
  </r>
  <r>
    <n v="2443"/>
    <n v="8239"/>
    <x v="130"/>
    <n v="3291.84"/>
    <s v="Completed"/>
    <s v="South"/>
    <s v="Credit Card"/>
    <m/>
    <m/>
  </r>
  <r>
    <n v="2444"/>
    <n v="6716"/>
    <x v="111"/>
    <n v="3291.84"/>
    <s v="Completed"/>
    <s v="Central"/>
    <s v="Credit Card"/>
    <m/>
    <m/>
  </r>
  <r>
    <n v="2445"/>
    <n v="4247"/>
    <x v="162"/>
    <n v="3291.84"/>
    <s v="Completed"/>
    <s v="South"/>
    <s v="PayPal"/>
    <m/>
    <m/>
  </r>
  <r>
    <n v="2446"/>
    <n v="1211"/>
    <x v="330"/>
    <n v="3291.84"/>
    <s v="Completed"/>
    <s v="West"/>
    <s v="PayPal"/>
    <m/>
    <m/>
  </r>
  <r>
    <n v="2447"/>
    <n v="5417"/>
    <x v="297"/>
    <n v="3291.84"/>
    <s v="Completed"/>
    <s v="North"/>
    <s v="Apple Pay"/>
    <m/>
    <m/>
  </r>
  <r>
    <n v="2448"/>
    <n v="7748"/>
    <x v="83"/>
    <n v="3291.84"/>
    <s v="Completed"/>
    <s v="West"/>
    <s v="Apple Pay"/>
    <m/>
    <m/>
  </r>
  <r>
    <n v="2449"/>
    <n v="4538"/>
    <x v="164"/>
    <n v="3291.84"/>
    <s v="Completed"/>
    <s v="North"/>
    <s v="PayPal"/>
    <m/>
    <m/>
  </r>
  <r>
    <n v="2450"/>
    <n v="9442"/>
    <x v="121"/>
    <n v="3291.84"/>
    <s v="Completed"/>
    <s v="North"/>
    <s v="Debit Card"/>
    <m/>
    <m/>
  </r>
  <r>
    <n v="2451"/>
    <n v="9012"/>
    <x v="209"/>
    <n v="3291.84"/>
    <s v="Completed"/>
    <s v="Central"/>
    <s v="Apple Pay"/>
    <m/>
    <m/>
  </r>
  <r>
    <n v="2452"/>
    <n v="7326"/>
    <x v="355"/>
    <n v="3291.84"/>
    <s v="Completed"/>
    <s v="East"/>
    <s v="Debit Card"/>
    <m/>
    <m/>
  </r>
  <r>
    <n v="2453"/>
    <n v="4493"/>
    <x v="159"/>
    <n v="3291.84"/>
    <s v="Completed"/>
    <s v="South"/>
    <s v="Apple Pay"/>
    <m/>
    <m/>
  </r>
  <r>
    <n v="2454"/>
    <n v="1326"/>
    <x v="340"/>
    <n v="3291.84"/>
    <s v="Completed"/>
    <s v="West"/>
    <s v="Debit Card"/>
    <m/>
    <m/>
  </r>
  <r>
    <n v="2455"/>
    <n v="284"/>
    <x v="186"/>
    <n v="3291.84"/>
    <s v="Completed"/>
    <s v="North"/>
    <s v="PayPal"/>
    <m/>
    <m/>
  </r>
  <r>
    <n v="2456"/>
    <n v="731"/>
    <x v="62"/>
    <n v="3291.84"/>
    <s v="Completed"/>
    <s v="East"/>
    <s v="Apple Pay"/>
    <m/>
    <m/>
  </r>
  <r>
    <n v="2457"/>
    <n v="5297"/>
    <x v="202"/>
    <n v="3291.84"/>
    <s v="Completed"/>
    <s v="South"/>
    <s v="PayPal"/>
    <m/>
    <m/>
  </r>
  <r>
    <n v="2458"/>
    <n v="6052"/>
    <x v="252"/>
    <n v="3291.84"/>
    <s v="Completed"/>
    <s v="Central"/>
    <s v="PayPal"/>
    <m/>
    <m/>
  </r>
  <r>
    <n v="2459"/>
    <n v="707"/>
    <x v="194"/>
    <n v="3291.84"/>
    <s v="Completed"/>
    <s v="Central"/>
    <s v="Debit Card"/>
    <m/>
    <m/>
  </r>
  <r>
    <n v="2460"/>
    <n v="2056"/>
    <x v="311"/>
    <n v="3291.84"/>
    <s v="Completed"/>
    <s v="Central"/>
    <s v="Apple Pay"/>
    <m/>
    <m/>
  </r>
  <r>
    <n v="2461"/>
    <n v="4109"/>
    <x v="301"/>
    <n v="3291.84"/>
    <s v="Completed"/>
    <s v="East"/>
    <s v="Debit Card"/>
    <m/>
    <m/>
  </r>
  <r>
    <n v="2462"/>
    <n v="7825"/>
    <x v="221"/>
    <n v="3291.84"/>
    <s v="Completed"/>
    <s v="South"/>
    <s v="Credit Card"/>
    <m/>
    <m/>
  </r>
  <r>
    <n v="2463"/>
    <n v="8952"/>
    <x v="223"/>
    <n v="3291.84"/>
    <s v="Completed"/>
    <s v="South"/>
    <s v="PayPal"/>
    <m/>
    <m/>
  </r>
  <r>
    <n v="2464"/>
    <n v="6854"/>
    <x v="200"/>
    <n v="3291.84"/>
    <s v="Completed"/>
    <s v="West"/>
    <s v="Credit Card"/>
    <m/>
    <m/>
  </r>
  <r>
    <n v="2465"/>
    <n v="2432"/>
    <x v="115"/>
    <n v="3291.84"/>
    <s v="Cancelled"/>
    <s v="North"/>
    <s v="Apple Pay"/>
    <m/>
    <m/>
  </r>
  <r>
    <n v="2466"/>
    <n v="1936"/>
    <x v="132"/>
    <n v="3291.84"/>
    <s v="Completed"/>
    <s v="North"/>
    <s v="Debit Card"/>
    <m/>
    <m/>
  </r>
  <r>
    <n v="2467"/>
    <n v="976"/>
    <x v="107"/>
    <n v="3291.84"/>
    <s v="Completed"/>
    <s v="North"/>
    <s v="Debit Card"/>
    <m/>
    <m/>
  </r>
  <r>
    <n v="2468"/>
    <n v="1433"/>
    <x v="149"/>
    <n v="3291.84"/>
    <s v="Completed"/>
    <s v="East"/>
    <s v="Debit Card"/>
    <m/>
    <m/>
  </r>
  <r>
    <n v="2469"/>
    <n v="8422"/>
    <x v="216"/>
    <n v="3291.84"/>
    <s v="Cancelled"/>
    <s v="West"/>
    <s v="Credit Card"/>
    <m/>
    <m/>
  </r>
  <r>
    <n v="2470"/>
    <n v="532"/>
    <x v="290"/>
    <n v="3291.84"/>
    <s v="Completed"/>
    <s v="North"/>
    <s v="Apple Pay"/>
    <m/>
    <m/>
  </r>
  <r>
    <n v="2471"/>
    <n v="370"/>
    <x v="171"/>
    <n v="3291.84"/>
    <s v="Completed"/>
    <s v="East"/>
    <s v="Debit Card"/>
    <m/>
    <m/>
  </r>
  <r>
    <n v="2472"/>
    <n v="9331"/>
    <x v="314"/>
    <n v="3291.84"/>
    <s v="Completed"/>
    <s v="North"/>
    <s v="Credit Card"/>
    <m/>
    <m/>
  </r>
  <r>
    <n v="2473"/>
    <n v="5572"/>
    <x v="58"/>
    <n v="3291.84"/>
    <s v="Completed"/>
    <s v="East"/>
    <s v="Apple Pay"/>
    <m/>
    <m/>
  </r>
  <r>
    <n v="2474"/>
    <n v="8808"/>
    <x v="142"/>
    <n v="3291.84"/>
    <s v="Completed"/>
    <s v="West"/>
    <s v="Apple Pay"/>
    <m/>
    <m/>
  </r>
  <r>
    <n v="2475"/>
    <n v="258"/>
    <x v="174"/>
    <n v="3291.84"/>
    <s v="Completed"/>
    <s v="West"/>
    <s v="Apple Pay"/>
    <m/>
    <m/>
  </r>
  <r>
    <n v="2476"/>
    <n v="3927"/>
    <x v="292"/>
    <n v="3291.84"/>
    <s v="Completed"/>
    <s v="South"/>
    <s v="Apple Pay"/>
    <m/>
    <m/>
  </r>
  <r>
    <n v="2477"/>
    <n v="5220"/>
    <x v="177"/>
    <n v="3291.84"/>
    <s v="Completed"/>
    <s v="West"/>
    <s v="PayPal"/>
    <m/>
    <m/>
  </r>
  <r>
    <n v="2478"/>
    <n v="9644"/>
    <x v="272"/>
    <n v="3291.84"/>
    <s v="Completed"/>
    <s v="Central"/>
    <s v="PayPal"/>
    <m/>
    <m/>
  </r>
  <r>
    <n v="2479"/>
    <n v="2274"/>
    <x v="328"/>
    <n v="3291.84"/>
    <s v="Completed"/>
    <s v="Central"/>
    <s v="Debit Card"/>
    <m/>
    <m/>
  </r>
  <r>
    <n v="2480"/>
    <n v="3826"/>
    <x v="166"/>
    <n v="3291.84"/>
    <s v="Completed"/>
    <s v="others"/>
    <s v="Apple Pay"/>
    <m/>
    <m/>
  </r>
  <r>
    <n v="2481"/>
    <n v="9945"/>
    <x v="258"/>
    <n v="3291.84"/>
    <s v="Returned"/>
    <s v="Central"/>
    <s v="PayPal"/>
    <m/>
    <m/>
  </r>
  <r>
    <n v="2482"/>
    <n v="3796"/>
    <x v="4"/>
    <n v="3291.84"/>
    <s v="Completed"/>
    <s v="North"/>
    <s v="PayPal"/>
    <m/>
    <m/>
  </r>
  <r>
    <n v="2483"/>
    <n v="2454"/>
    <x v="336"/>
    <n v="3291.84"/>
    <s v="Completed"/>
    <s v="South"/>
    <s v="Debit Card"/>
    <m/>
    <m/>
  </r>
  <r>
    <n v="2484"/>
    <n v="9679"/>
    <x v="292"/>
    <n v="3291.84"/>
    <s v="Completed"/>
    <s v="West"/>
    <s v="Debit Card"/>
    <m/>
    <m/>
  </r>
  <r>
    <n v="2485"/>
    <n v="7070"/>
    <x v="119"/>
    <n v="3291.84"/>
    <s v="Completed"/>
    <s v="West"/>
    <s v="Apple Pay"/>
    <m/>
    <m/>
  </r>
  <r>
    <n v="2486"/>
    <n v="1519"/>
    <x v="230"/>
    <n v="3291.84"/>
    <s v="Completed"/>
    <s v="Central"/>
    <s v="PayPal"/>
    <m/>
    <m/>
  </r>
  <r>
    <n v="2487"/>
    <n v="3300"/>
    <x v="106"/>
    <n v="3291.84"/>
    <s v="Completed"/>
    <s v="South"/>
    <s v="PayPal"/>
    <m/>
    <m/>
  </r>
  <r>
    <n v="2488"/>
    <n v="8325"/>
    <x v="34"/>
    <n v="3291.84"/>
    <s v="Completed"/>
    <s v="South"/>
    <s v="Apple Pay"/>
    <m/>
    <m/>
  </r>
  <r>
    <n v="2489"/>
    <n v="9005"/>
    <x v="281"/>
    <n v="3291.84"/>
    <s v="Completed"/>
    <s v="Central"/>
    <s v="Apple Pay"/>
    <m/>
    <m/>
  </r>
  <r>
    <n v="2490"/>
    <n v="4639"/>
    <x v="152"/>
    <n v="3291.84"/>
    <s v="Completed"/>
    <s v="North"/>
    <s v="Credit Card"/>
    <m/>
    <m/>
  </r>
  <r>
    <n v="2491"/>
    <n v="7718"/>
    <x v="60"/>
    <n v="3291.84"/>
    <s v="Completed"/>
    <s v="East"/>
    <s v="Debit Card"/>
    <m/>
    <m/>
  </r>
  <r>
    <n v="2492"/>
    <n v="653"/>
    <x v="348"/>
    <n v="3291.84"/>
    <s v="Completed"/>
    <s v="South"/>
    <s v="Credit Card"/>
    <m/>
    <m/>
  </r>
  <r>
    <n v="2493"/>
    <n v="6906"/>
    <x v="185"/>
    <n v="3291.84"/>
    <s v="Completed"/>
    <s v="West"/>
    <s v="Debit Card"/>
    <m/>
    <m/>
  </r>
  <r>
    <n v="2494"/>
    <n v="1417"/>
    <x v="8"/>
    <n v="3291.84"/>
    <s v="Completed"/>
    <s v="East"/>
    <s v="Credit Card"/>
    <m/>
    <m/>
  </r>
  <r>
    <n v="2495"/>
    <n v="1759"/>
    <x v="90"/>
    <n v="3291.84"/>
    <s v="Completed"/>
    <s v="West"/>
    <s v="PayPal"/>
    <m/>
    <m/>
  </r>
  <r>
    <n v="2496"/>
    <n v="7079"/>
    <x v="241"/>
    <n v="3291.84"/>
    <s v="Completed"/>
    <s v="Central"/>
    <s v="Apple Pay"/>
    <m/>
    <m/>
  </r>
  <r>
    <n v="2497"/>
    <n v="595"/>
    <x v="210"/>
    <n v="3291.84"/>
    <s v="Completed"/>
    <s v="North"/>
    <s v="Apple Pay"/>
    <m/>
    <m/>
  </r>
  <r>
    <n v="2498"/>
    <n v="5663"/>
    <x v="163"/>
    <n v="3291.84"/>
    <s v="Completed"/>
    <s v="East"/>
    <s v="Apple Pay"/>
    <m/>
    <m/>
  </r>
  <r>
    <n v="2499"/>
    <n v="3256"/>
    <x v="214"/>
    <n v="3291.84"/>
    <s v="Completed"/>
    <s v="West"/>
    <s v="Debit Card"/>
    <m/>
    <m/>
  </r>
  <r>
    <n v="2500"/>
    <n v="9376"/>
    <x v="228"/>
    <n v="3291.84"/>
    <s v="Completed"/>
    <s v="South"/>
    <s v="Apple Pay"/>
    <m/>
    <m/>
  </r>
  <r>
    <n v="2501"/>
    <n v="579"/>
    <x v="22"/>
    <n v="3291.84"/>
    <s v="Completed"/>
    <s v="South"/>
    <s v="PayPal"/>
    <m/>
    <m/>
  </r>
  <r>
    <n v="2502"/>
    <n v="567"/>
    <x v="332"/>
    <n v="3291.84"/>
    <s v="Completed"/>
    <s v="North"/>
    <s v="Credit Card"/>
    <m/>
    <m/>
  </r>
  <r>
    <n v="2503"/>
    <n v="2231"/>
    <x v="316"/>
    <n v="3291.84"/>
    <s v="Completed"/>
    <s v="South"/>
    <s v="Credit Card"/>
    <m/>
    <m/>
  </r>
  <r>
    <n v="2504"/>
    <n v="4644"/>
    <x v="5"/>
    <n v="3291.84"/>
    <s v="Completed"/>
    <s v="Central"/>
    <s v="Apple Pay"/>
    <m/>
    <m/>
  </r>
  <r>
    <n v="2505"/>
    <n v="1425"/>
    <x v="252"/>
    <n v="3291.84"/>
    <s v="Completed"/>
    <s v="East"/>
    <s v="PayPal"/>
    <m/>
    <m/>
  </r>
  <r>
    <n v="2506"/>
    <n v="334"/>
    <x v="102"/>
    <n v="3291.84"/>
    <s v="Completed"/>
    <s v="South"/>
    <s v="PayPal"/>
    <m/>
    <m/>
  </r>
  <r>
    <n v="2507"/>
    <n v="6027"/>
    <x v="9"/>
    <n v="3291.84"/>
    <s v="Completed"/>
    <s v="North"/>
    <s v="Debit Card"/>
    <m/>
    <m/>
  </r>
  <r>
    <n v="2508"/>
    <n v="6655"/>
    <x v="357"/>
    <n v="3291.84"/>
    <s v="Completed"/>
    <s v="North"/>
    <s v="PayPal"/>
    <m/>
    <m/>
  </r>
  <r>
    <n v="2509"/>
    <n v="1250"/>
    <x v="211"/>
    <n v="3291.84"/>
    <s v="Completed"/>
    <s v="West"/>
    <s v="PayPal"/>
    <m/>
    <m/>
  </r>
  <r>
    <n v="2510"/>
    <n v="7707"/>
    <x v="203"/>
    <n v="3291.84"/>
    <s v="Completed"/>
    <s v="Central"/>
    <s v="PayPal"/>
    <m/>
    <m/>
  </r>
  <r>
    <n v="2511"/>
    <n v="7680"/>
    <x v="199"/>
    <n v="3291.84"/>
    <s v="Completed"/>
    <s v="Central"/>
    <s v="Debit Card"/>
    <m/>
    <m/>
  </r>
  <r>
    <n v="2512"/>
    <n v="2424"/>
    <x v="313"/>
    <n v="3291.84"/>
    <s v="Completed"/>
    <s v="East"/>
    <s v="Debit Card"/>
    <m/>
    <m/>
  </r>
  <r>
    <n v="2513"/>
    <n v="6712"/>
    <x v="269"/>
    <n v="3291.84"/>
    <s v="Completed"/>
    <s v="Central"/>
    <s v="PayPal"/>
    <m/>
    <m/>
  </r>
  <r>
    <n v="2514"/>
    <n v="3217"/>
    <x v="189"/>
    <n v="3291.84"/>
    <s v="Completed"/>
    <s v="West"/>
    <s v="Credit Card"/>
    <m/>
    <m/>
  </r>
  <r>
    <n v="2515"/>
    <n v="5220"/>
    <x v="52"/>
    <n v="3291.84"/>
    <s v="Completed"/>
    <s v="West"/>
    <s v="Credit Card"/>
    <m/>
    <m/>
  </r>
  <r>
    <n v="2516"/>
    <n v="6304"/>
    <x v="169"/>
    <n v="3291.84"/>
    <s v="Completed"/>
    <s v="Central"/>
    <s v="Apple Pay"/>
    <m/>
    <m/>
  </r>
  <r>
    <n v="2517"/>
    <n v="4055"/>
    <x v="236"/>
    <n v="3291.84"/>
    <s v="Returned"/>
    <s v="East"/>
    <s v="Debit Card"/>
    <m/>
    <m/>
  </r>
  <r>
    <n v="2518"/>
    <n v="7062"/>
    <x v="229"/>
    <n v="3291.84"/>
    <s v="Completed"/>
    <s v="South"/>
    <s v="PayPal"/>
    <m/>
    <m/>
  </r>
  <r>
    <n v="2519"/>
    <n v="4169"/>
    <x v="159"/>
    <n v="3291.84"/>
    <s v="Completed"/>
    <s v="West"/>
    <s v="Debit Card"/>
    <m/>
    <m/>
  </r>
  <r>
    <n v="2520"/>
    <n v="1026"/>
    <x v="205"/>
    <n v="3291.84"/>
    <s v="Completed"/>
    <s v="West"/>
    <s v="Debit Card"/>
    <m/>
    <m/>
  </r>
  <r>
    <n v="2521"/>
    <n v="6423"/>
    <x v="310"/>
    <n v="3291.84"/>
    <s v="Completed"/>
    <s v="South"/>
    <s v="PayPal"/>
    <m/>
    <m/>
  </r>
  <r>
    <n v="2522"/>
    <n v="4021"/>
    <x v="255"/>
    <n v="3291.84"/>
    <s v="Completed"/>
    <s v="West"/>
    <s v="PayPal"/>
    <m/>
    <m/>
  </r>
  <r>
    <n v="2523"/>
    <n v="1263"/>
    <x v="166"/>
    <n v="3291.84"/>
    <s v="Completed"/>
    <s v="East"/>
    <s v="PayPal"/>
    <m/>
    <m/>
  </r>
  <r>
    <n v="2524"/>
    <n v="6834"/>
    <x v="76"/>
    <n v="3291.84"/>
    <s v="Completed"/>
    <s v="Central"/>
    <s v="Credit Card"/>
    <m/>
    <m/>
  </r>
  <r>
    <n v="2525"/>
    <n v="78"/>
    <x v="44"/>
    <n v="3291.84"/>
    <s v="Completed"/>
    <s v="East"/>
    <s v="PayPal"/>
    <m/>
    <m/>
  </r>
  <r>
    <n v="2526"/>
    <n v="3316"/>
    <x v="219"/>
    <n v="3291.84"/>
    <s v="Completed"/>
    <s v="East"/>
    <s v="Debit Card"/>
    <m/>
    <m/>
  </r>
  <r>
    <n v="2527"/>
    <n v="5621"/>
    <x v="216"/>
    <n v="3291.84"/>
    <s v="Completed"/>
    <s v="Central"/>
    <s v="Credit Card"/>
    <m/>
    <m/>
  </r>
  <r>
    <n v="2528"/>
    <n v="6122"/>
    <x v="296"/>
    <n v="3291.84"/>
    <s v="Completed"/>
    <s v="East"/>
    <s v="Debit Card"/>
    <m/>
    <m/>
  </r>
  <r>
    <n v="2529"/>
    <n v="5901"/>
    <x v="341"/>
    <n v="3291.84"/>
    <s v="Completed"/>
    <s v="East"/>
    <s v="PayPal"/>
    <m/>
    <m/>
  </r>
  <r>
    <n v="2530"/>
    <n v="2252"/>
    <x v="340"/>
    <n v="3291.84"/>
    <s v="Completed"/>
    <s v="East"/>
    <s v="Debit Card"/>
    <m/>
    <m/>
  </r>
  <r>
    <n v="2531"/>
    <n v="8463"/>
    <x v="346"/>
    <n v="3291.84"/>
    <s v="Completed"/>
    <s v="North"/>
    <s v="Debit Card"/>
    <m/>
    <m/>
  </r>
  <r>
    <n v="2532"/>
    <n v="8121"/>
    <x v="74"/>
    <n v="3291.84"/>
    <s v="Completed"/>
    <s v="South"/>
    <s v="Credit Card"/>
    <m/>
    <m/>
  </r>
  <r>
    <n v="2533"/>
    <n v="4998"/>
    <x v="164"/>
    <n v="3291.84"/>
    <s v="Completed"/>
    <s v="West"/>
    <s v="Credit Card"/>
    <m/>
    <m/>
  </r>
  <r>
    <n v="2534"/>
    <n v="8905"/>
    <x v="245"/>
    <n v="3291.84"/>
    <s v="Completed"/>
    <s v="North"/>
    <s v="Apple Pay"/>
    <m/>
    <m/>
  </r>
  <r>
    <n v="2535"/>
    <n v="1746"/>
    <x v="181"/>
    <n v="3291.84"/>
    <s v="Completed"/>
    <s v="West"/>
    <s v="Debit Card"/>
    <m/>
    <m/>
  </r>
  <r>
    <n v="2536"/>
    <n v="7021"/>
    <x v="56"/>
    <n v="3291.84"/>
    <s v="Completed"/>
    <s v="West"/>
    <s v="Debit Card"/>
    <m/>
    <m/>
  </r>
  <r>
    <n v="2537"/>
    <n v="5015"/>
    <x v="71"/>
    <n v="3291.84"/>
    <s v="Completed"/>
    <s v="West"/>
    <s v="Debit Card"/>
    <m/>
    <m/>
  </r>
  <r>
    <n v="2538"/>
    <n v="4163"/>
    <x v="146"/>
    <n v="3291.84"/>
    <s v="Completed"/>
    <s v="Central"/>
    <s v="Apple Pay"/>
    <m/>
    <m/>
  </r>
  <r>
    <n v="2539"/>
    <n v="5617"/>
    <x v="45"/>
    <n v="3291.84"/>
    <s v="Completed"/>
    <s v="Central"/>
    <s v="Credit Card"/>
    <m/>
    <m/>
  </r>
  <r>
    <n v="2540"/>
    <n v="9847"/>
    <x v="116"/>
    <n v="3291.84"/>
    <s v="Completed"/>
    <s v="South"/>
    <s v="Debit Card"/>
    <m/>
    <m/>
  </r>
  <r>
    <n v="2541"/>
    <n v="8166"/>
    <x v="151"/>
    <n v="3291.84"/>
    <s v="Completed"/>
    <s v="West"/>
    <s v="Credit Card"/>
    <m/>
    <m/>
  </r>
  <r>
    <n v="2542"/>
    <n v="8045"/>
    <x v="222"/>
    <n v="3291.84"/>
    <s v="Completed"/>
    <s v="East"/>
    <s v="PayPal"/>
    <m/>
    <m/>
  </r>
  <r>
    <n v="2543"/>
    <n v="1861"/>
    <x v="127"/>
    <n v="3291.84"/>
    <s v="Completed"/>
    <s v="North"/>
    <s v="Apple Pay"/>
    <m/>
    <m/>
  </r>
  <r>
    <n v="2544"/>
    <n v="5815"/>
    <x v="360"/>
    <n v="3291.84"/>
    <s v="Completed"/>
    <s v="North"/>
    <s v="Apple Pay"/>
    <m/>
    <m/>
  </r>
  <r>
    <n v="2545"/>
    <n v="5793"/>
    <x v="58"/>
    <n v="3291.84"/>
    <s v="Completed"/>
    <s v="South"/>
    <s v="Credit Card"/>
    <m/>
    <m/>
  </r>
  <r>
    <n v="2546"/>
    <n v="9200"/>
    <x v="315"/>
    <n v="3291.84"/>
    <s v="Completed"/>
    <s v="Central"/>
    <s v="Credit Card"/>
    <m/>
    <m/>
  </r>
  <r>
    <n v="2547"/>
    <n v="3155"/>
    <x v="204"/>
    <n v="3291.84"/>
    <s v="Completed"/>
    <s v="others"/>
    <s v="Credit Card"/>
    <m/>
    <m/>
  </r>
  <r>
    <n v="2548"/>
    <n v="8713"/>
    <x v="197"/>
    <n v="3291.84"/>
    <s v="Completed"/>
    <s v="East"/>
    <s v="Credit Card"/>
    <m/>
    <m/>
  </r>
  <r>
    <n v="2549"/>
    <n v="1538"/>
    <x v="73"/>
    <n v="3291.84"/>
    <s v="Completed"/>
    <s v="West"/>
    <s v="Debit Card"/>
    <m/>
    <m/>
  </r>
  <r>
    <n v="2550"/>
    <n v="8881"/>
    <x v="249"/>
    <n v="3291.84"/>
    <s v="Completed"/>
    <s v="South"/>
    <s v="Credit Card"/>
    <m/>
    <m/>
  </r>
  <r>
    <n v="2551"/>
    <n v="6812"/>
    <x v="72"/>
    <n v="3291.84"/>
    <s v="Completed"/>
    <s v="North"/>
    <s v="PayPal"/>
    <m/>
    <m/>
  </r>
  <r>
    <n v="2552"/>
    <n v="9161"/>
    <x v="123"/>
    <n v="3291.84"/>
    <s v="Completed"/>
    <s v="East"/>
    <s v="PayPal"/>
    <m/>
    <m/>
  </r>
  <r>
    <n v="2553"/>
    <n v="5724"/>
    <x v="96"/>
    <n v="3291.84"/>
    <s v="Completed"/>
    <s v="Central"/>
    <s v="PayPal"/>
    <m/>
    <m/>
  </r>
  <r>
    <n v="2554"/>
    <n v="7"/>
    <x v="89"/>
    <n v="3291.84"/>
    <s v="Completed"/>
    <s v="North"/>
    <s v="PayPal"/>
    <m/>
    <m/>
  </r>
  <r>
    <n v="2555"/>
    <n v="625"/>
    <x v="252"/>
    <n v="3291.84"/>
    <s v="Completed"/>
    <s v="South"/>
    <s v="Debit Card"/>
    <m/>
    <m/>
  </r>
  <r>
    <n v="2556"/>
    <n v="1064"/>
    <x v="25"/>
    <n v="3291.84"/>
    <s v="Completed"/>
    <s v="Central"/>
    <s v="Apple Pay"/>
    <m/>
    <m/>
  </r>
  <r>
    <n v="2557"/>
    <n v="7798"/>
    <x v="323"/>
    <n v="3291.84"/>
    <s v="Returned"/>
    <s v="Central"/>
    <s v="Debit Card"/>
    <m/>
    <m/>
  </r>
  <r>
    <n v="2558"/>
    <n v="7599"/>
    <x v="179"/>
    <n v="3291.84"/>
    <s v="Completed"/>
    <s v="West"/>
    <s v="Apple Pay"/>
    <m/>
    <m/>
  </r>
  <r>
    <n v="2559"/>
    <n v="5613"/>
    <x v="90"/>
    <n v="3291.84"/>
    <s v="Completed"/>
    <s v="Central"/>
    <s v="Credit Card"/>
    <m/>
    <m/>
  </r>
  <r>
    <n v="2560"/>
    <n v="3960"/>
    <x v="132"/>
    <n v="3291.84"/>
    <s v="Completed"/>
    <s v="East"/>
    <s v="PayPal"/>
    <m/>
    <m/>
  </r>
  <r>
    <n v="2561"/>
    <n v="7269"/>
    <x v="233"/>
    <n v="3291.84"/>
    <s v="Completed"/>
    <s v="North"/>
    <s v="PayPal"/>
    <m/>
    <m/>
  </r>
  <r>
    <n v="2562"/>
    <n v="6329"/>
    <x v="339"/>
    <n v="3291.84"/>
    <s v="Cancelled"/>
    <s v="Central"/>
    <s v="Credit Card"/>
    <m/>
    <m/>
  </r>
  <r>
    <n v="2563"/>
    <n v="4894"/>
    <x v="21"/>
    <n v="3291.84"/>
    <s v="Cancelled"/>
    <s v="West"/>
    <s v="Debit Card"/>
    <m/>
    <m/>
  </r>
  <r>
    <n v="2564"/>
    <n v="786"/>
    <x v="158"/>
    <n v="3291.84"/>
    <s v="Completed"/>
    <s v="East"/>
    <s v="PayPal"/>
    <m/>
    <m/>
  </r>
  <r>
    <n v="2565"/>
    <n v="188"/>
    <x v="115"/>
    <n v="3291.84"/>
    <s v="Completed"/>
    <s v="East"/>
    <s v="Debit Card"/>
    <m/>
    <m/>
  </r>
  <r>
    <n v="2566"/>
    <n v="7450"/>
    <x v="224"/>
    <n v="3291.84"/>
    <s v="Completed"/>
    <s v="East"/>
    <s v="PayPal"/>
    <m/>
    <m/>
  </r>
  <r>
    <n v="2567"/>
    <n v="6609"/>
    <x v="208"/>
    <n v="3291.84"/>
    <s v="Completed"/>
    <s v="others"/>
    <s v="Credit Card"/>
    <m/>
    <m/>
  </r>
  <r>
    <n v="2568"/>
    <n v="5182"/>
    <x v="299"/>
    <n v="3291.84"/>
    <s v="Completed"/>
    <s v="East"/>
    <s v="Credit Card"/>
    <m/>
    <m/>
  </r>
  <r>
    <n v="2569"/>
    <n v="298"/>
    <x v="320"/>
    <n v="3291.84"/>
    <s v="Completed"/>
    <s v="West"/>
    <s v="Apple Pay"/>
    <m/>
    <m/>
  </r>
  <r>
    <n v="2570"/>
    <n v="6878"/>
    <x v="131"/>
    <n v="3291.84"/>
    <s v="Completed"/>
    <s v="West"/>
    <s v="PayPal"/>
    <m/>
    <m/>
  </r>
  <r>
    <n v="2571"/>
    <n v="5216"/>
    <x v="67"/>
    <n v="3291.84"/>
    <s v="Completed"/>
    <s v="West"/>
    <s v="PayPal"/>
    <m/>
    <m/>
  </r>
  <r>
    <n v="2572"/>
    <n v="3264"/>
    <x v="5"/>
    <n v="3291.84"/>
    <s v="Completed"/>
    <s v="South"/>
    <s v="Credit Card"/>
    <m/>
    <m/>
  </r>
  <r>
    <n v="2573"/>
    <n v="9369"/>
    <x v="284"/>
    <n v="3291.84"/>
    <s v="Completed"/>
    <s v="West"/>
    <s v="Debit Card"/>
    <m/>
    <m/>
  </r>
  <r>
    <n v="2574"/>
    <n v="7320"/>
    <x v="300"/>
    <n v="3291.84"/>
    <s v="Completed"/>
    <s v="North"/>
    <s v="Apple Pay"/>
    <m/>
    <m/>
  </r>
  <r>
    <n v="2575"/>
    <n v="9994"/>
    <x v="161"/>
    <n v="3291.84"/>
    <s v="Completed"/>
    <s v="East"/>
    <s v="Credit Card"/>
    <m/>
    <m/>
  </r>
  <r>
    <n v="2576"/>
    <n v="2864"/>
    <x v="61"/>
    <n v="3291.84"/>
    <s v="Completed"/>
    <s v="South"/>
    <s v="Credit Card"/>
    <m/>
    <m/>
  </r>
  <r>
    <n v="2577"/>
    <n v="2686"/>
    <x v="191"/>
    <n v="3291.84"/>
    <s v="Completed"/>
    <s v="West"/>
    <s v="PayPal"/>
    <m/>
    <m/>
  </r>
  <r>
    <n v="2578"/>
    <n v="9442"/>
    <x v="326"/>
    <n v="3291.84"/>
    <s v="Completed"/>
    <s v="North"/>
    <s v="Apple Pay"/>
    <m/>
    <m/>
  </r>
  <r>
    <n v="2579"/>
    <n v="8087"/>
    <x v="116"/>
    <n v="3291.84"/>
    <s v="Completed"/>
    <s v="East"/>
    <s v="Credit Card"/>
    <m/>
    <m/>
  </r>
  <r>
    <n v="2580"/>
    <n v="8284"/>
    <x v="152"/>
    <n v="3291.84"/>
    <s v="Completed"/>
    <s v="East"/>
    <s v="Credit Card"/>
    <m/>
    <m/>
  </r>
  <r>
    <n v="2581"/>
    <n v="4171"/>
    <x v="223"/>
    <n v="3291.84"/>
    <s v="Completed"/>
    <s v="East"/>
    <s v="PayPal"/>
    <m/>
    <m/>
  </r>
  <r>
    <n v="2582"/>
    <n v="4793"/>
    <x v="360"/>
    <n v="3291.84"/>
    <s v="Completed"/>
    <s v="West"/>
    <s v="Apple Pay"/>
    <m/>
    <m/>
  </r>
  <r>
    <n v="2583"/>
    <n v="2236"/>
    <x v="295"/>
    <n v="3291.84"/>
    <s v="Completed"/>
    <s v="North"/>
    <s v="PayPal"/>
    <m/>
    <m/>
  </r>
  <r>
    <n v="2584"/>
    <n v="5927"/>
    <x v="41"/>
    <n v="3291.84"/>
    <s v="Completed"/>
    <s v="East"/>
    <s v="Credit Card"/>
    <m/>
    <m/>
  </r>
  <r>
    <n v="2585"/>
    <n v="1292"/>
    <x v="171"/>
    <n v="3291.84"/>
    <s v="Completed"/>
    <s v="West"/>
    <s v="PayPal"/>
    <m/>
    <m/>
  </r>
  <r>
    <n v="2586"/>
    <n v="255"/>
    <x v="57"/>
    <n v="3291.84"/>
    <s v="Completed"/>
    <s v="South"/>
    <s v="Credit Card"/>
    <m/>
    <m/>
  </r>
  <r>
    <n v="2587"/>
    <n v="5355"/>
    <x v="206"/>
    <n v="3291.84"/>
    <s v="Completed"/>
    <s v="East"/>
    <s v="Credit Card"/>
    <m/>
    <m/>
  </r>
  <r>
    <n v="2588"/>
    <n v="4569"/>
    <x v="114"/>
    <n v="3291.84"/>
    <s v="Completed"/>
    <s v="South"/>
    <s v="PayPal"/>
    <m/>
    <m/>
  </r>
  <r>
    <n v="2589"/>
    <n v="7253"/>
    <x v="82"/>
    <n v="3291.84"/>
    <s v="Completed"/>
    <s v="Central"/>
    <s v="Apple Pay"/>
    <m/>
    <m/>
  </r>
  <r>
    <n v="2590"/>
    <n v="8274"/>
    <x v="358"/>
    <n v="3291.84"/>
    <s v="Completed"/>
    <s v="Central"/>
    <s v="Debit Card"/>
    <m/>
    <m/>
  </r>
  <r>
    <n v="2591"/>
    <n v="4370"/>
    <x v="9"/>
    <n v="3291.84"/>
    <s v="Completed"/>
    <s v="North"/>
    <s v="PayPal"/>
    <m/>
    <m/>
  </r>
  <r>
    <n v="2592"/>
    <n v="5070"/>
    <x v="327"/>
    <n v="3291.84"/>
    <s v="Completed"/>
    <s v="East"/>
    <s v="Credit Card"/>
    <m/>
    <m/>
  </r>
  <r>
    <n v="2593"/>
    <n v="5242"/>
    <x v="57"/>
    <n v="3291.84"/>
    <s v="Completed"/>
    <s v="South"/>
    <s v="Credit Card"/>
    <m/>
    <m/>
  </r>
  <r>
    <n v="2594"/>
    <n v="445"/>
    <x v="302"/>
    <n v="3291.84"/>
    <s v="Completed"/>
    <s v="West"/>
    <s v="PayPal"/>
    <m/>
    <m/>
  </r>
  <r>
    <n v="2595"/>
    <n v="8781"/>
    <x v="99"/>
    <n v="3291.84"/>
    <s v="Completed"/>
    <s v="Central"/>
    <s v="Debit Card"/>
    <m/>
    <m/>
  </r>
  <r>
    <n v="2596"/>
    <n v="8953"/>
    <x v="126"/>
    <n v="3291.84"/>
    <s v="Completed"/>
    <s v="West"/>
    <s v="Credit Card"/>
    <m/>
    <m/>
  </r>
  <r>
    <n v="2597"/>
    <n v="7517"/>
    <x v="293"/>
    <n v="3291.84"/>
    <s v="Completed"/>
    <s v="North"/>
    <s v="Debit Card"/>
    <m/>
    <m/>
  </r>
  <r>
    <n v="2598"/>
    <n v="8902"/>
    <x v="354"/>
    <n v="3291.84"/>
    <s v="Completed"/>
    <s v="Central"/>
    <s v="Debit Card"/>
    <m/>
    <m/>
  </r>
  <r>
    <n v="2599"/>
    <n v="5978"/>
    <x v="223"/>
    <n v="3291.84"/>
    <s v="Completed"/>
    <s v="North"/>
    <s v="Debit Card"/>
    <m/>
    <m/>
  </r>
  <r>
    <n v="2600"/>
    <n v="2255"/>
    <x v="226"/>
    <n v="3291.84"/>
    <s v="Completed"/>
    <s v="South"/>
    <s v="PayPal"/>
    <m/>
    <m/>
  </r>
  <r>
    <n v="2601"/>
    <n v="4292"/>
    <x v="159"/>
    <n v="3291.84"/>
    <s v="Completed"/>
    <s v="South"/>
    <s v="PayPal"/>
    <m/>
    <m/>
  </r>
  <r>
    <n v="2602"/>
    <n v="3873"/>
    <x v="264"/>
    <n v="3291.84"/>
    <s v="Completed"/>
    <s v="North"/>
    <s v="PayPal"/>
    <m/>
    <m/>
  </r>
  <r>
    <n v="2603"/>
    <n v="9658"/>
    <x v="49"/>
    <n v="3291.84"/>
    <s v="Completed"/>
    <s v="South"/>
    <s v="PayPal"/>
    <m/>
    <m/>
  </r>
  <r>
    <n v="2604"/>
    <n v="824"/>
    <x v="26"/>
    <n v="3291.84"/>
    <s v="Completed"/>
    <s v="North"/>
    <s v="Credit Card"/>
    <m/>
    <m/>
  </r>
  <r>
    <n v="2605"/>
    <n v="8750"/>
    <x v="83"/>
    <n v="3291.84"/>
    <s v="Completed"/>
    <s v="East"/>
    <s v="Credit Card"/>
    <m/>
    <m/>
  </r>
  <r>
    <n v="2606"/>
    <n v="2388"/>
    <x v="237"/>
    <n v="3291.84"/>
    <s v="Completed"/>
    <s v="East"/>
    <s v="Apple Pay"/>
    <m/>
    <m/>
  </r>
  <r>
    <n v="2607"/>
    <n v="5422"/>
    <x v="85"/>
    <n v="3291.84"/>
    <s v="Completed"/>
    <s v="South"/>
    <s v="Debit Card"/>
    <m/>
    <m/>
  </r>
  <r>
    <n v="2608"/>
    <n v="9982"/>
    <x v="93"/>
    <n v="3291.84"/>
    <s v="Completed"/>
    <s v="North"/>
    <s v="Apple Pay"/>
    <m/>
    <m/>
  </r>
  <r>
    <n v="2609"/>
    <n v="2089"/>
    <x v="318"/>
    <n v="3291.84"/>
    <s v="Completed"/>
    <s v="Central"/>
    <s v="PayPal"/>
    <m/>
    <m/>
  </r>
  <r>
    <n v="2610"/>
    <n v="5162"/>
    <x v="155"/>
    <n v="3291.84"/>
    <s v="Completed"/>
    <s v="Central"/>
    <s v="Apple Pay"/>
    <m/>
    <m/>
  </r>
  <r>
    <n v="2611"/>
    <n v="3893"/>
    <x v="155"/>
    <n v="3291.84"/>
    <s v="Completed"/>
    <s v="West"/>
    <s v="PayPal"/>
    <m/>
    <m/>
  </r>
  <r>
    <n v="2612"/>
    <n v="2311"/>
    <x v="185"/>
    <n v="3291.84"/>
    <s v="Completed"/>
    <s v="South"/>
    <s v="Debit Card"/>
    <m/>
    <m/>
  </r>
  <r>
    <n v="2613"/>
    <n v="9040"/>
    <x v="123"/>
    <n v="3291.84"/>
    <s v="Completed"/>
    <s v="South"/>
    <s v="Credit Card"/>
    <m/>
    <m/>
  </r>
  <r>
    <n v="2614"/>
    <n v="8708"/>
    <x v="350"/>
    <n v="3291.84"/>
    <s v="Completed"/>
    <s v="North"/>
    <s v="PayPal"/>
    <m/>
    <m/>
  </r>
  <r>
    <n v="2615"/>
    <n v="6914"/>
    <x v="9"/>
    <n v="3291.84"/>
    <s v="Completed"/>
    <s v="South"/>
    <s v="Debit Card"/>
    <m/>
    <m/>
  </r>
  <r>
    <n v="2616"/>
    <n v="4042"/>
    <x v="280"/>
    <n v="3291.84"/>
    <s v="Completed"/>
    <s v="East"/>
    <s v="PayPal"/>
    <m/>
    <m/>
  </r>
  <r>
    <n v="2617"/>
    <n v="6094"/>
    <x v="7"/>
    <n v="3291.84"/>
    <s v="Completed"/>
    <s v="West"/>
    <s v="PayPal"/>
    <m/>
    <m/>
  </r>
  <r>
    <n v="2618"/>
    <n v="6876"/>
    <x v="100"/>
    <n v="3291.84"/>
    <s v="Completed"/>
    <s v="South"/>
    <s v="Debit Card"/>
    <m/>
    <m/>
  </r>
  <r>
    <n v="2619"/>
    <n v="2134"/>
    <x v="265"/>
    <n v="3291.84"/>
    <s v="Completed"/>
    <s v="West"/>
    <s v="Apple Pay"/>
    <m/>
    <m/>
  </r>
  <r>
    <n v="2620"/>
    <n v="4642"/>
    <x v="111"/>
    <n v="3291.84"/>
    <s v="Completed"/>
    <s v="South"/>
    <s v="PayPal"/>
    <m/>
    <m/>
  </r>
  <r>
    <n v="2621"/>
    <n v="7968"/>
    <x v="304"/>
    <n v="3291.84"/>
    <s v="Completed"/>
    <s v="North"/>
    <s v="Debit Card"/>
    <m/>
    <m/>
  </r>
  <r>
    <n v="2622"/>
    <n v="626"/>
    <x v="256"/>
    <n v="3291.84"/>
    <s v="Completed"/>
    <s v="South"/>
    <s v="Debit Card"/>
    <m/>
    <m/>
  </r>
  <r>
    <n v="2623"/>
    <n v="2501"/>
    <x v="313"/>
    <n v="3291.84"/>
    <s v="Completed"/>
    <s v="Central"/>
    <s v="PayPal"/>
    <m/>
    <m/>
  </r>
  <r>
    <n v="2624"/>
    <n v="7261"/>
    <x v="190"/>
    <n v="3291.84"/>
    <s v="Completed"/>
    <s v="South"/>
    <s v="PayPal"/>
    <m/>
    <m/>
  </r>
  <r>
    <n v="2625"/>
    <n v="2345"/>
    <x v="135"/>
    <n v="3291.84"/>
    <s v="Completed"/>
    <s v="Central"/>
    <s v="PayPal"/>
    <m/>
    <m/>
  </r>
  <r>
    <n v="2626"/>
    <n v="4728"/>
    <x v="144"/>
    <n v="3291.84"/>
    <s v="Completed"/>
    <s v="North"/>
    <s v="Debit Card"/>
    <m/>
    <m/>
  </r>
  <r>
    <n v="2627"/>
    <n v="434"/>
    <x v="285"/>
    <n v="3291.84"/>
    <s v="Completed"/>
    <s v="North"/>
    <s v="PayPal"/>
    <m/>
    <m/>
  </r>
  <r>
    <n v="2628"/>
    <n v="2510"/>
    <x v="176"/>
    <n v="3291.84"/>
    <s v="Completed"/>
    <s v="North"/>
    <s v="Debit Card"/>
    <m/>
    <m/>
  </r>
  <r>
    <n v="2629"/>
    <n v="9236"/>
    <x v="251"/>
    <n v="3291.84"/>
    <s v="Completed"/>
    <s v="South"/>
    <s v="Credit Card"/>
    <m/>
    <m/>
  </r>
  <r>
    <n v="2630"/>
    <n v="3771"/>
    <x v="221"/>
    <n v="3291.84"/>
    <s v="Completed"/>
    <s v="North"/>
    <s v="Credit Card"/>
    <m/>
    <m/>
  </r>
  <r>
    <n v="2631"/>
    <n v="4934"/>
    <x v="252"/>
    <n v="3291.84"/>
    <s v="Completed"/>
    <s v="South"/>
    <s v="Apple Pay"/>
    <m/>
    <m/>
  </r>
  <r>
    <n v="2632"/>
    <n v="9366"/>
    <x v="115"/>
    <n v="3291.84"/>
    <s v="Completed"/>
    <s v="West"/>
    <s v="Credit Card"/>
    <m/>
    <m/>
  </r>
  <r>
    <n v="2633"/>
    <n v="1528"/>
    <x v="178"/>
    <n v="3291.84"/>
    <s v="Completed"/>
    <s v="South"/>
    <s v="Apple Pay"/>
    <m/>
    <m/>
  </r>
  <r>
    <n v="2634"/>
    <n v="5942"/>
    <x v="111"/>
    <n v="3291.84"/>
    <s v="Completed"/>
    <s v="North"/>
    <s v="Credit Card"/>
    <m/>
    <m/>
  </r>
  <r>
    <n v="2635"/>
    <n v="1900"/>
    <x v="203"/>
    <n v="3291.84"/>
    <s v="Completed"/>
    <s v="Central"/>
    <s v="Apple Pay"/>
    <m/>
    <m/>
  </r>
  <r>
    <n v="2636"/>
    <n v="1929"/>
    <x v="166"/>
    <n v="3291.84"/>
    <s v="Completed"/>
    <s v="North"/>
    <s v="Debit Card"/>
    <m/>
    <m/>
  </r>
  <r>
    <n v="2637"/>
    <n v="9606"/>
    <x v="123"/>
    <n v="3291.84"/>
    <s v="Completed"/>
    <s v="East"/>
    <s v="PayPal"/>
    <m/>
    <m/>
  </r>
  <r>
    <n v="2638"/>
    <n v="7362"/>
    <x v="199"/>
    <n v="3291.84"/>
    <s v="Completed"/>
    <s v="Central"/>
    <s v="Debit Card"/>
    <m/>
    <m/>
  </r>
  <r>
    <n v="2639"/>
    <n v="2385"/>
    <x v="219"/>
    <n v="3291.84"/>
    <s v="Completed"/>
    <s v="West"/>
    <s v="Apple Pay"/>
    <m/>
    <m/>
  </r>
  <r>
    <n v="2640"/>
    <n v="1826"/>
    <x v="200"/>
    <n v="3291.84"/>
    <s v="Completed"/>
    <s v="East"/>
    <s v="Credit Card"/>
    <m/>
    <m/>
  </r>
  <r>
    <n v="2641"/>
    <n v="296"/>
    <x v="40"/>
    <n v="3291.84"/>
    <s v="Completed"/>
    <s v="East"/>
    <s v="Debit Card"/>
    <m/>
    <m/>
  </r>
  <r>
    <n v="2642"/>
    <n v="6402"/>
    <x v="328"/>
    <n v="3291.84"/>
    <s v="Completed"/>
    <s v="South"/>
    <s v="Debit Card"/>
    <m/>
    <m/>
  </r>
  <r>
    <n v="2643"/>
    <n v="1435"/>
    <x v="74"/>
    <n v="3291.84"/>
    <s v="Completed"/>
    <s v="East"/>
    <s v="PayPal"/>
    <m/>
    <m/>
  </r>
  <r>
    <n v="2644"/>
    <n v="4279"/>
    <x v="112"/>
    <n v="3291.84"/>
    <s v="Completed"/>
    <s v="Central"/>
    <s v="PayPal"/>
    <m/>
    <m/>
  </r>
  <r>
    <n v="2645"/>
    <n v="6472"/>
    <x v="356"/>
    <n v="3291.84"/>
    <s v="Completed"/>
    <s v="South"/>
    <s v="PayPal"/>
    <m/>
    <m/>
  </r>
  <r>
    <n v="2646"/>
    <n v="5644"/>
    <x v="351"/>
    <n v="3291.84"/>
    <s v="Completed"/>
    <s v="South"/>
    <s v="PayPal"/>
    <m/>
    <m/>
  </r>
  <r>
    <n v="2647"/>
    <n v="7175"/>
    <x v="202"/>
    <n v="3291.84"/>
    <s v="Completed"/>
    <s v="East"/>
    <s v="PayPal"/>
    <m/>
    <m/>
  </r>
  <r>
    <n v="2648"/>
    <n v="6565"/>
    <x v="298"/>
    <n v="3291.84"/>
    <s v="Completed"/>
    <s v="Central"/>
    <s v="Credit Card"/>
    <m/>
    <m/>
  </r>
  <r>
    <n v="2649"/>
    <n v="1345"/>
    <x v="306"/>
    <n v="3291.84"/>
    <s v="Completed"/>
    <s v="Central"/>
    <s v="Credit Card"/>
    <m/>
    <m/>
  </r>
  <r>
    <n v="2650"/>
    <n v="6335"/>
    <x v="233"/>
    <n v="3291.84"/>
    <s v="Completed"/>
    <s v="East"/>
    <s v="Apple Pay"/>
    <m/>
    <m/>
  </r>
  <r>
    <n v="2651"/>
    <n v="140"/>
    <x v="107"/>
    <n v="3291.84"/>
    <s v="Returned"/>
    <s v="Central"/>
    <s v="Apple Pay"/>
    <m/>
    <m/>
  </r>
  <r>
    <n v="2652"/>
    <n v="7124"/>
    <x v="308"/>
    <n v="3291.84"/>
    <s v="Completed"/>
    <s v="East"/>
    <s v="Debit Card"/>
    <m/>
    <m/>
  </r>
  <r>
    <n v="2653"/>
    <n v="7109"/>
    <x v="159"/>
    <n v="3291.84"/>
    <s v="Completed"/>
    <s v="North"/>
    <s v="Apple Pay"/>
    <m/>
    <m/>
  </r>
  <r>
    <n v="2654"/>
    <n v="557"/>
    <x v="89"/>
    <n v="3291.84"/>
    <s v="Completed"/>
    <s v="others"/>
    <s v="Credit Card"/>
    <m/>
    <m/>
  </r>
  <r>
    <n v="2655"/>
    <n v="5712"/>
    <x v="340"/>
    <n v="3291.84"/>
    <s v="Completed"/>
    <s v="Central"/>
    <s v="Apple Pay"/>
    <m/>
    <m/>
  </r>
  <r>
    <n v="2656"/>
    <n v="5078"/>
    <x v="249"/>
    <n v="3291.84"/>
    <s v="Completed"/>
    <s v="Central"/>
    <s v="Apple Pay"/>
    <m/>
    <m/>
  </r>
  <r>
    <n v="2657"/>
    <n v="7147"/>
    <x v="340"/>
    <n v="3291.84"/>
    <s v="Completed"/>
    <s v="West"/>
    <s v="Debit Card"/>
    <m/>
    <m/>
  </r>
  <r>
    <n v="2658"/>
    <n v="1202"/>
    <x v="198"/>
    <n v="3291.84"/>
    <s v="Completed"/>
    <s v="West"/>
    <s v="Debit Card"/>
    <m/>
    <m/>
  </r>
  <r>
    <n v="2659"/>
    <n v="9603"/>
    <x v="37"/>
    <n v="3291.84"/>
    <s v="Completed"/>
    <s v="North"/>
    <s v="PayPal"/>
    <m/>
    <m/>
  </r>
  <r>
    <n v="2660"/>
    <n v="9689"/>
    <x v="278"/>
    <n v="3291.84"/>
    <s v="Completed"/>
    <s v="East"/>
    <s v="Credit Card"/>
    <m/>
    <m/>
  </r>
  <r>
    <n v="2661"/>
    <n v="5762"/>
    <x v="163"/>
    <n v="3291.84"/>
    <s v="Completed"/>
    <s v="others"/>
    <s v="Credit Card"/>
    <m/>
    <m/>
  </r>
  <r>
    <n v="2662"/>
    <n v="6017"/>
    <x v="212"/>
    <n v="3291.84"/>
    <s v="Completed"/>
    <s v="Central"/>
    <s v="PayPal"/>
    <m/>
    <m/>
  </r>
  <r>
    <n v="2663"/>
    <n v="6036"/>
    <x v="286"/>
    <n v="3291.84"/>
    <s v="Completed"/>
    <s v="East"/>
    <s v="Debit Card"/>
    <m/>
    <m/>
  </r>
  <r>
    <n v="2664"/>
    <n v="1069"/>
    <x v="77"/>
    <n v="3291.84"/>
    <s v="Completed"/>
    <s v="North"/>
    <s v="Debit Card"/>
    <m/>
    <m/>
  </r>
  <r>
    <n v="2665"/>
    <n v="883"/>
    <x v="345"/>
    <n v="3291.84"/>
    <s v="Completed"/>
    <s v="South"/>
    <s v="Debit Card"/>
    <m/>
    <m/>
  </r>
  <r>
    <n v="2666"/>
    <n v="6930"/>
    <x v="125"/>
    <n v="3291.84"/>
    <s v="Completed"/>
    <s v="North"/>
    <s v="PayPal"/>
    <m/>
    <m/>
  </r>
  <r>
    <n v="2667"/>
    <n v="8437"/>
    <x v="51"/>
    <n v="3291.84"/>
    <s v="Completed"/>
    <s v="South"/>
    <s v="Debit Card"/>
    <m/>
    <m/>
  </r>
  <r>
    <n v="2668"/>
    <n v="537"/>
    <x v="65"/>
    <n v="3291.84"/>
    <s v="Completed"/>
    <s v="West"/>
    <s v="Debit Card"/>
    <m/>
    <m/>
  </r>
  <r>
    <n v="2669"/>
    <n v="5114"/>
    <x v="234"/>
    <n v="3291.84"/>
    <s v="Completed"/>
    <s v="South"/>
    <s v="Debit Card"/>
    <m/>
    <m/>
  </r>
  <r>
    <n v="2670"/>
    <n v="651"/>
    <x v="89"/>
    <n v="3291.84"/>
    <s v="Completed"/>
    <s v="West"/>
    <s v="PayPal"/>
    <m/>
    <m/>
  </r>
  <r>
    <n v="2671"/>
    <n v="2577"/>
    <x v="254"/>
    <n v="3291.84"/>
    <s v="Completed"/>
    <s v="North"/>
    <s v="Credit Card"/>
    <m/>
    <m/>
  </r>
  <r>
    <n v="2672"/>
    <n v="2342"/>
    <x v="84"/>
    <n v="3291.84"/>
    <s v="Completed"/>
    <s v="West"/>
    <s v="PayPal"/>
    <m/>
    <m/>
  </r>
  <r>
    <n v="2673"/>
    <n v="3394"/>
    <x v="34"/>
    <n v="3291.84"/>
    <s v="Completed"/>
    <s v="Central"/>
    <s v="Apple Pay"/>
    <m/>
    <m/>
  </r>
  <r>
    <n v="2674"/>
    <n v="4877"/>
    <x v="215"/>
    <n v="3291.84"/>
    <s v="Completed"/>
    <s v="South"/>
    <s v="Debit Card"/>
    <m/>
    <m/>
  </r>
  <r>
    <n v="2675"/>
    <n v="9287"/>
    <x v="174"/>
    <n v="3291.84"/>
    <s v="Completed"/>
    <s v="North"/>
    <s v="Apple Pay"/>
    <m/>
    <m/>
  </r>
  <r>
    <n v="2676"/>
    <n v="3163"/>
    <x v="116"/>
    <n v="3291.84"/>
    <s v="Completed"/>
    <s v="West"/>
    <s v="PayPal"/>
    <m/>
    <m/>
  </r>
  <r>
    <n v="2677"/>
    <n v="2884"/>
    <x v="193"/>
    <n v="3291.84"/>
    <s v="Completed"/>
    <s v="South"/>
    <s v="Apple Pay"/>
    <m/>
    <m/>
  </r>
  <r>
    <n v="2678"/>
    <n v="7086"/>
    <x v="306"/>
    <n v="3291.84"/>
    <s v="Completed"/>
    <s v="North"/>
    <s v="Apple Pay"/>
    <m/>
    <m/>
  </r>
  <r>
    <n v="2679"/>
    <n v="1152"/>
    <x v="87"/>
    <n v="3291.84"/>
    <s v="Completed"/>
    <s v="North"/>
    <s v="Credit Card"/>
    <m/>
    <m/>
  </r>
  <r>
    <n v="2680"/>
    <n v="5168"/>
    <x v="113"/>
    <n v="3291.84"/>
    <s v="Completed"/>
    <s v="West"/>
    <s v="Debit Card"/>
    <m/>
    <m/>
  </r>
  <r>
    <n v="2681"/>
    <n v="2665"/>
    <x v="220"/>
    <n v="3291.84"/>
    <s v="Completed"/>
    <s v="others"/>
    <s v="Debit Card"/>
    <m/>
    <m/>
  </r>
  <r>
    <n v="2682"/>
    <n v="883"/>
    <x v="182"/>
    <n v="3291.84"/>
    <s v="Completed"/>
    <s v="others"/>
    <s v="Apple Pay"/>
    <m/>
    <m/>
  </r>
  <r>
    <n v="2683"/>
    <n v="2603"/>
    <x v="160"/>
    <n v="3291.84"/>
    <s v="Completed"/>
    <s v="East"/>
    <s v="Apple Pay"/>
    <m/>
    <m/>
  </r>
  <r>
    <n v="2684"/>
    <n v="590"/>
    <x v="43"/>
    <n v="3291.84"/>
    <s v="Completed"/>
    <s v="North"/>
    <s v="PayPal"/>
    <m/>
    <m/>
  </r>
  <r>
    <n v="2685"/>
    <n v="7731"/>
    <x v="335"/>
    <n v="3291.84"/>
    <s v="Completed"/>
    <s v="North"/>
    <s v="Debit Card"/>
    <m/>
    <m/>
  </r>
  <r>
    <n v="2686"/>
    <n v="4791"/>
    <x v="340"/>
    <n v="3291.84"/>
    <s v="Completed"/>
    <s v="East"/>
    <s v="Debit Card"/>
    <m/>
    <m/>
  </r>
  <r>
    <n v="2687"/>
    <n v="6170"/>
    <x v="113"/>
    <n v="3291.84"/>
    <s v="Completed"/>
    <s v="West"/>
    <s v="Credit Card"/>
    <m/>
    <m/>
  </r>
  <r>
    <n v="2688"/>
    <n v="5867"/>
    <x v="19"/>
    <n v="3291.84"/>
    <s v="Completed"/>
    <s v="North"/>
    <s v="Debit Card"/>
    <m/>
    <m/>
  </r>
  <r>
    <n v="2689"/>
    <n v="4944"/>
    <x v="248"/>
    <n v="3291.84"/>
    <s v="Completed"/>
    <s v="East"/>
    <s v="Apple Pay"/>
    <m/>
    <m/>
  </r>
  <r>
    <n v="2690"/>
    <n v="9637"/>
    <x v="347"/>
    <n v="3291.84"/>
    <s v="Completed"/>
    <s v="West"/>
    <s v="Credit Card"/>
    <m/>
    <m/>
  </r>
  <r>
    <n v="2691"/>
    <n v="4323"/>
    <x v="83"/>
    <n v="3291.84"/>
    <s v="Completed"/>
    <s v="South"/>
    <s v="Debit Card"/>
    <m/>
    <m/>
  </r>
  <r>
    <n v="2692"/>
    <n v="5246"/>
    <x v="280"/>
    <n v="3291.84"/>
    <s v="Completed"/>
    <s v="North"/>
    <s v="Debit Card"/>
    <m/>
    <m/>
  </r>
  <r>
    <n v="2693"/>
    <n v="3506"/>
    <x v="194"/>
    <n v="3291.84"/>
    <s v="Completed"/>
    <s v="West"/>
    <s v="Apple Pay"/>
    <m/>
    <m/>
  </r>
  <r>
    <n v="2694"/>
    <n v="8670"/>
    <x v="304"/>
    <n v="3291.84"/>
    <s v="Completed"/>
    <s v="South"/>
    <s v="Apple Pay"/>
    <m/>
    <m/>
  </r>
  <r>
    <n v="2695"/>
    <n v="2775"/>
    <x v="16"/>
    <n v="3291.84"/>
    <s v="Completed"/>
    <s v="Central"/>
    <s v="PayPal"/>
    <m/>
    <m/>
  </r>
  <r>
    <n v="2696"/>
    <n v="1169"/>
    <x v="90"/>
    <n v="3291.84"/>
    <s v="Completed"/>
    <s v="East"/>
    <s v="Apple Pay"/>
    <m/>
    <m/>
  </r>
  <r>
    <n v="2697"/>
    <n v="8072"/>
    <x v="28"/>
    <n v="3291.84"/>
    <s v="Completed"/>
    <s v="Central"/>
    <s v="PayPal"/>
    <m/>
    <m/>
  </r>
  <r>
    <n v="2698"/>
    <n v="8721"/>
    <x v="126"/>
    <n v="3291.84"/>
    <s v="Cancelled"/>
    <s v="North"/>
    <s v="Credit Card"/>
    <m/>
    <m/>
  </r>
  <r>
    <n v="2699"/>
    <n v="2501"/>
    <x v="270"/>
    <n v="3291.84"/>
    <s v="Completed"/>
    <s v="Central"/>
    <s v="Apple Pay"/>
    <m/>
    <m/>
  </r>
  <r>
    <n v="2700"/>
    <n v="1099"/>
    <x v="11"/>
    <n v="3291.84"/>
    <s v="Completed"/>
    <s v="Central"/>
    <s v="PayPal"/>
    <m/>
    <m/>
  </r>
  <r>
    <n v="2701"/>
    <n v="828"/>
    <x v="275"/>
    <n v="3291.84"/>
    <s v="Completed"/>
    <s v="East"/>
    <s v="Credit Card"/>
    <m/>
    <m/>
  </r>
  <r>
    <n v="2702"/>
    <n v="2797"/>
    <x v="271"/>
    <n v="3291.84"/>
    <s v="Completed"/>
    <s v="West"/>
    <s v="PayPal"/>
    <m/>
    <m/>
  </r>
  <r>
    <n v="2703"/>
    <n v="4998"/>
    <x v="203"/>
    <n v="3291.84"/>
    <s v="Completed"/>
    <s v="West"/>
    <s v="Credit Card"/>
    <m/>
    <m/>
  </r>
  <r>
    <n v="2704"/>
    <n v="6508"/>
    <x v="58"/>
    <n v="3291.84"/>
    <s v="Returned"/>
    <s v="West"/>
    <s v="PayPal"/>
    <m/>
    <m/>
  </r>
  <r>
    <n v="2705"/>
    <n v="1608"/>
    <x v="113"/>
    <n v="3291.84"/>
    <s v="Completed"/>
    <s v="North"/>
    <s v="Apple Pay"/>
    <m/>
    <m/>
  </r>
  <r>
    <n v="2706"/>
    <n v="1476"/>
    <x v="89"/>
    <n v="3291.84"/>
    <s v="Completed"/>
    <s v="Central"/>
    <s v="PayPal"/>
    <m/>
    <m/>
  </r>
  <r>
    <n v="2707"/>
    <n v="1857"/>
    <x v="191"/>
    <n v="3291.84"/>
    <s v="Completed"/>
    <s v="Central"/>
    <s v="Credit Card"/>
    <m/>
    <m/>
  </r>
  <r>
    <n v="2708"/>
    <n v="3585"/>
    <x v="190"/>
    <n v="3291.84"/>
    <s v="Completed"/>
    <s v="West"/>
    <s v="Apple Pay"/>
    <m/>
    <m/>
  </r>
  <r>
    <n v="2709"/>
    <n v="945"/>
    <x v="260"/>
    <n v="3291.84"/>
    <s v="Completed"/>
    <s v="Central"/>
    <s v="Debit Card"/>
    <m/>
    <m/>
  </r>
  <r>
    <n v="2710"/>
    <n v="8633"/>
    <x v="211"/>
    <n v="3291.84"/>
    <s v="Completed"/>
    <s v="East"/>
    <s v="Credit Card"/>
    <m/>
    <m/>
  </r>
  <r>
    <n v="2711"/>
    <n v="142"/>
    <x v="336"/>
    <n v="3291.84"/>
    <s v="Cancelled"/>
    <s v="Central"/>
    <s v="PayPal"/>
    <m/>
    <m/>
  </r>
  <r>
    <n v="2712"/>
    <n v="2278"/>
    <x v="209"/>
    <n v="3291.84"/>
    <s v="Completed"/>
    <s v="West"/>
    <s v="Credit Card"/>
    <m/>
    <m/>
  </r>
  <r>
    <n v="2713"/>
    <n v="1189"/>
    <x v="86"/>
    <n v="3291.84"/>
    <s v="Completed"/>
    <s v="Central"/>
    <s v="Debit Card"/>
    <m/>
    <m/>
  </r>
  <r>
    <n v="2714"/>
    <n v="2341"/>
    <x v="1"/>
    <n v="3291.84"/>
    <s v="Returned"/>
    <s v="South"/>
    <s v="Credit Card"/>
    <m/>
    <m/>
  </r>
  <r>
    <n v="2715"/>
    <n v="4954"/>
    <x v="122"/>
    <n v="3291.84"/>
    <s v="Completed"/>
    <s v="East"/>
    <s v="Apple Pay"/>
    <m/>
    <m/>
  </r>
  <r>
    <n v="2716"/>
    <n v="3971"/>
    <x v="0"/>
    <n v="3291.84"/>
    <s v="Completed"/>
    <s v="West"/>
    <s v="Apple Pay"/>
    <m/>
    <m/>
  </r>
  <r>
    <n v="2717"/>
    <n v="843"/>
    <x v="344"/>
    <n v="3291.84"/>
    <s v="Completed"/>
    <s v="West"/>
    <s v="PayPal"/>
    <m/>
    <m/>
  </r>
  <r>
    <n v="2718"/>
    <n v="7589"/>
    <x v="31"/>
    <n v="3291.84"/>
    <s v="Completed"/>
    <s v="East"/>
    <s v="PayPal"/>
    <m/>
    <m/>
  </r>
  <r>
    <n v="2719"/>
    <n v="6621"/>
    <x v="19"/>
    <n v="3291.84"/>
    <s v="Completed"/>
    <s v="West"/>
    <s v="Apple Pay"/>
    <m/>
    <m/>
  </r>
  <r>
    <n v="2720"/>
    <n v="8946"/>
    <x v="42"/>
    <n v="3291.84"/>
    <s v="Completed"/>
    <s v="North"/>
    <s v="Apple Pay"/>
    <m/>
    <m/>
  </r>
  <r>
    <n v="2721"/>
    <n v="5897"/>
    <x v="352"/>
    <n v="3291.84"/>
    <s v="Completed"/>
    <s v="West"/>
    <s v="Debit Card"/>
    <m/>
    <m/>
  </r>
  <r>
    <n v="2722"/>
    <n v="97"/>
    <x v="125"/>
    <n v="3291.84"/>
    <s v="Completed"/>
    <s v="South"/>
    <s v="Apple Pay"/>
    <m/>
    <m/>
  </r>
  <r>
    <n v="2723"/>
    <n v="3926"/>
    <x v="58"/>
    <n v="3291.84"/>
    <s v="Completed"/>
    <s v="East"/>
    <s v="Debit Card"/>
    <m/>
    <m/>
  </r>
  <r>
    <n v="2724"/>
    <n v="4340"/>
    <x v="117"/>
    <n v="3291.84"/>
    <s v="Completed"/>
    <s v="East"/>
    <s v="Credit Card"/>
    <m/>
    <m/>
  </r>
  <r>
    <n v="2725"/>
    <n v="5705"/>
    <x v="17"/>
    <n v="3291.84"/>
    <s v="Completed"/>
    <s v="Central"/>
    <s v="Credit Card"/>
    <m/>
    <m/>
  </r>
  <r>
    <n v="2726"/>
    <n v="9820"/>
    <x v="357"/>
    <n v="3291.84"/>
    <s v="Completed"/>
    <s v="West"/>
    <s v="Credit Card"/>
    <m/>
    <m/>
  </r>
  <r>
    <n v="2727"/>
    <n v="4766"/>
    <x v="354"/>
    <n v="3291.84"/>
    <s v="Completed"/>
    <s v="East"/>
    <s v="Credit Card"/>
    <m/>
    <m/>
  </r>
  <r>
    <n v="2728"/>
    <n v="7722"/>
    <x v="286"/>
    <n v="3291.84"/>
    <s v="Completed"/>
    <s v="others"/>
    <s v="Debit Card"/>
    <m/>
    <m/>
  </r>
  <r>
    <n v="2729"/>
    <n v="5450"/>
    <x v="315"/>
    <n v="3291.84"/>
    <s v="Completed"/>
    <s v="South"/>
    <s v="Debit Card"/>
    <m/>
    <m/>
  </r>
  <r>
    <n v="2730"/>
    <n v="3125"/>
    <x v="100"/>
    <n v="3291.84"/>
    <s v="Completed"/>
    <s v="South"/>
    <s v="PayPal"/>
    <m/>
    <m/>
  </r>
  <r>
    <n v="2731"/>
    <n v="6199"/>
    <x v="363"/>
    <n v="3291.84"/>
    <s v="Completed"/>
    <s v="East"/>
    <s v="Apple Pay"/>
    <m/>
    <m/>
  </r>
  <r>
    <n v="2732"/>
    <n v="5302"/>
    <x v="90"/>
    <n v="3291.84"/>
    <s v="Completed"/>
    <s v="East"/>
    <s v="PayPal"/>
    <m/>
    <m/>
  </r>
  <r>
    <n v="2733"/>
    <n v="3826"/>
    <x v="1"/>
    <n v="3291.84"/>
    <s v="Completed"/>
    <s v="North"/>
    <s v="Apple Pay"/>
    <m/>
    <m/>
  </r>
  <r>
    <n v="2734"/>
    <n v="3324"/>
    <x v="102"/>
    <n v="3291.84"/>
    <s v="Completed"/>
    <s v="South"/>
    <s v="PayPal"/>
    <m/>
    <m/>
  </r>
  <r>
    <n v="2735"/>
    <n v="3787"/>
    <x v="261"/>
    <n v="3291.84"/>
    <s v="Completed"/>
    <s v="West"/>
    <s v="Credit Card"/>
    <m/>
    <m/>
  </r>
  <r>
    <n v="2736"/>
    <n v="259"/>
    <x v="163"/>
    <n v="3291.84"/>
    <s v="Returned"/>
    <s v="West"/>
    <s v="PayPal"/>
    <m/>
    <m/>
  </r>
  <r>
    <n v="2737"/>
    <n v="5946"/>
    <x v="55"/>
    <n v="3291.84"/>
    <s v="Completed"/>
    <s v="West"/>
    <s v="PayPal"/>
    <m/>
    <m/>
  </r>
  <r>
    <n v="2738"/>
    <n v="2661"/>
    <x v="325"/>
    <n v="3291.84"/>
    <s v="Completed"/>
    <s v="West"/>
    <s v="Credit Card"/>
    <m/>
    <m/>
  </r>
  <r>
    <n v="2739"/>
    <n v="8741"/>
    <x v="266"/>
    <n v="3291.84"/>
    <s v="Completed"/>
    <s v="West"/>
    <s v="Apple Pay"/>
    <m/>
    <m/>
  </r>
  <r>
    <n v="2740"/>
    <n v="2428"/>
    <x v="59"/>
    <n v="3291.84"/>
    <s v="Completed"/>
    <s v="East"/>
    <s v="Debit Card"/>
    <m/>
    <m/>
  </r>
  <r>
    <n v="2741"/>
    <n v="3672"/>
    <x v="184"/>
    <n v="3291.84"/>
    <s v="Completed"/>
    <s v="South"/>
    <s v="Apple Pay"/>
    <m/>
    <m/>
  </r>
  <r>
    <n v="2742"/>
    <n v="9282"/>
    <x v="147"/>
    <n v="3291.84"/>
    <s v="Completed"/>
    <s v="Central"/>
    <s v="Apple Pay"/>
    <m/>
    <m/>
  </r>
  <r>
    <n v="2743"/>
    <n v="3818"/>
    <x v="265"/>
    <n v="3291.84"/>
    <s v="Completed"/>
    <s v="East"/>
    <s v="Credit Card"/>
    <m/>
    <m/>
  </r>
  <r>
    <n v="2744"/>
    <n v="5451"/>
    <x v="75"/>
    <n v="3291.84"/>
    <s v="Completed"/>
    <s v="North"/>
    <s v="Debit Card"/>
    <m/>
    <m/>
  </r>
  <r>
    <n v="2745"/>
    <n v="4278"/>
    <x v="89"/>
    <n v="3291.84"/>
    <s v="Completed"/>
    <s v="East"/>
    <s v="Apple Pay"/>
    <m/>
    <m/>
  </r>
  <r>
    <n v="2746"/>
    <n v="9946"/>
    <x v="32"/>
    <n v="3291.84"/>
    <s v="Completed"/>
    <s v="South"/>
    <s v="Credit Card"/>
    <m/>
    <m/>
  </r>
  <r>
    <n v="2747"/>
    <n v="1374"/>
    <x v="277"/>
    <n v="3291.84"/>
    <s v="Completed"/>
    <s v="West"/>
    <s v="Credit Card"/>
    <m/>
    <m/>
  </r>
  <r>
    <n v="2748"/>
    <n v="7177"/>
    <x v="247"/>
    <n v="3291.84"/>
    <s v="Completed"/>
    <s v="East"/>
    <s v="Credit Card"/>
    <m/>
    <m/>
  </r>
  <r>
    <n v="2749"/>
    <n v="1176"/>
    <x v="40"/>
    <n v="3291.84"/>
    <s v="Completed"/>
    <s v="Central"/>
    <s v="Credit Card"/>
    <m/>
    <m/>
  </r>
  <r>
    <n v="2750"/>
    <n v="6437"/>
    <x v="113"/>
    <n v="3291.84"/>
    <s v="Completed"/>
    <s v="North"/>
    <s v="Apple Pay"/>
    <m/>
    <m/>
  </r>
  <r>
    <n v="2751"/>
    <n v="4469"/>
    <x v="103"/>
    <n v="3291.84"/>
    <s v="Completed"/>
    <s v="Central"/>
    <s v="Apple Pay"/>
    <m/>
    <m/>
  </r>
  <r>
    <n v="2752"/>
    <n v="5990"/>
    <x v="283"/>
    <n v="3291.84"/>
    <s v="Completed"/>
    <s v="West"/>
    <s v="Credit Card"/>
    <m/>
    <m/>
  </r>
  <r>
    <n v="2753"/>
    <n v="8479"/>
    <x v="154"/>
    <n v="3291.84"/>
    <s v="Completed"/>
    <s v="South"/>
    <s v="Credit Card"/>
    <m/>
    <m/>
  </r>
  <r>
    <n v="2754"/>
    <n v="2256"/>
    <x v="116"/>
    <n v="3291.84"/>
    <s v="Returned"/>
    <s v="North"/>
    <s v="PayPal"/>
    <m/>
    <m/>
  </r>
  <r>
    <n v="2755"/>
    <n v="1498"/>
    <x v="224"/>
    <n v="3291.84"/>
    <s v="Completed"/>
    <s v="North"/>
    <s v="Apple Pay"/>
    <m/>
    <m/>
  </r>
  <r>
    <n v="2756"/>
    <n v="7909"/>
    <x v="86"/>
    <n v="3291.84"/>
    <s v="Completed"/>
    <s v="North"/>
    <s v="Debit Card"/>
    <m/>
    <m/>
  </r>
  <r>
    <n v="2757"/>
    <n v="8233"/>
    <x v="315"/>
    <n v="3291.84"/>
    <s v="Completed"/>
    <s v="Central"/>
    <s v="Credit Card"/>
    <m/>
    <m/>
  </r>
  <r>
    <n v="2758"/>
    <n v="6142"/>
    <x v="157"/>
    <n v="3291.84"/>
    <s v="Completed"/>
    <s v="North"/>
    <s v="Apple Pay"/>
    <m/>
    <m/>
  </r>
  <r>
    <n v="2759"/>
    <n v="1664"/>
    <x v="228"/>
    <n v="3291.84"/>
    <s v="Completed"/>
    <s v="East"/>
    <s v="Debit Card"/>
    <m/>
    <m/>
  </r>
  <r>
    <n v="2760"/>
    <n v="5463"/>
    <x v="285"/>
    <n v="3291.84"/>
    <s v="Completed"/>
    <s v="South"/>
    <s v="Credit Card"/>
    <m/>
    <m/>
  </r>
  <r>
    <n v="2761"/>
    <n v="5031"/>
    <x v="173"/>
    <n v="3291.84"/>
    <s v="Completed"/>
    <s v="East"/>
    <s v="Debit Card"/>
    <m/>
    <m/>
  </r>
  <r>
    <n v="2762"/>
    <n v="4304"/>
    <x v="57"/>
    <n v="3291.84"/>
    <s v="Completed"/>
    <s v="South"/>
    <s v="Apple Pay"/>
    <m/>
    <m/>
  </r>
  <r>
    <n v="2763"/>
    <n v="8805"/>
    <x v="16"/>
    <n v="3291.84"/>
    <s v="Completed"/>
    <s v="West"/>
    <s v="Debit Card"/>
    <m/>
    <m/>
  </r>
  <r>
    <n v="2764"/>
    <n v="7825"/>
    <x v="58"/>
    <n v="3291.84"/>
    <s v="Completed"/>
    <s v="South"/>
    <s v="Apple Pay"/>
    <m/>
    <m/>
  </r>
  <r>
    <n v="2765"/>
    <n v="3046"/>
    <x v="134"/>
    <n v="3291.84"/>
    <s v="Completed"/>
    <s v="South"/>
    <s v="Debit Card"/>
    <m/>
    <m/>
  </r>
  <r>
    <n v="2766"/>
    <n v="4431"/>
    <x v="80"/>
    <n v="3291.84"/>
    <s v="Completed"/>
    <s v="West"/>
    <s v="Apple Pay"/>
    <m/>
    <m/>
  </r>
  <r>
    <n v="2767"/>
    <n v="1674"/>
    <x v="40"/>
    <n v="3291.84"/>
    <s v="Completed"/>
    <s v="South"/>
    <s v="PayPal"/>
    <m/>
    <m/>
  </r>
  <r>
    <n v="2768"/>
    <n v="2530"/>
    <x v="237"/>
    <n v="3291.84"/>
    <s v="Completed"/>
    <s v="South"/>
    <s v="PayPal"/>
    <m/>
    <m/>
  </r>
  <r>
    <n v="2769"/>
    <n v="8307"/>
    <x v="16"/>
    <n v="3291.84"/>
    <s v="Completed"/>
    <s v="others"/>
    <s v="Apple Pay"/>
    <m/>
    <m/>
  </r>
  <r>
    <n v="2770"/>
    <n v="6902"/>
    <x v="194"/>
    <n v="3291.84"/>
    <s v="Completed"/>
    <s v="West"/>
    <s v="Apple Pay"/>
    <m/>
    <m/>
  </r>
  <r>
    <n v="2771"/>
    <n v="8719"/>
    <x v="37"/>
    <n v="3291.84"/>
    <s v="Completed"/>
    <s v="East"/>
    <s v="Debit Card"/>
    <m/>
    <m/>
  </r>
  <r>
    <n v="2772"/>
    <n v="7054"/>
    <x v="0"/>
    <n v="3291.84"/>
    <s v="Completed"/>
    <s v="Central"/>
    <s v="Apple Pay"/>
    <m/>
    <m/>
  </r>
  <r>
    <n v="2773"/>
    <n v="4173"/>
    <x v="76"/>
    <n v="3291.84"/>
    <s v="Completed"/>
    <s v="West"/>
    <s v="Apple Pay"/>
    <m/>
    <m/>
  </r>
  <r>
    <n v="2774"/>
    <n v="641"/>
    <x v="254"/>
    <n v="3291.84"/>
    <s v="Completed"/>
    <s v="North"/>
    <s v="Credit Card"/>
    <m/>
    <m/>
  </r>
  <r>
    <n v="2775"/>
    <n v="3637"/>
    <x v="236"/>
    <n v="3291.84"/>
    <s v="Completed"/>
    <s v="West"/>
    <s v="Credit Card"/>
    <m/>
    <m/>
  </r>
  <r>
    <n v="2776"/>
    <n v="6228"/>
    <x v="188"/>
    <n v="3291.84"/>
    <s v="Completed"/>
    <s v="Central"/>
    <s v="Apple Pay"/>
    <m/>
    <m/>
  </r>
  <r>
    <n v="2777"/>
    <n v="551"/>
    <x v="153"/>
    <n v="3291.84"/>
    <s v="Returned"/>
    <s v="East"/>
    <s v="PayPal"/>
    <m/>
    <m/>
  </r>
  <r>
    <n v="2778"/>
    <n v="3540"/>
    <x v="225"/>
    <n v="3291.84"/>
    <s v="Completed"/>
    <s v="Central"/>
    <s v="Debit Card"/>
    <m/>
    <m/>
  </r>
  <r>
    <n v="2779"/>
    <n v="9956"/>
    <x v="112"/>
    <n v="3291.84"/>
    <s v="Completed"/>
    <s v="West"/>
    <s v="Apple Pay"/>
    <m/>
    <m/>
  </r>
  <r>
    <n v="2780"/>
    <n v="2812"/>
    <x v="152"/>
    <n v="3291.84"/>
    <s v="Completed"/>
    <s v="North"/>
    <s v="PayPal"/>
    <m/>
    <m/>
  </r>
  <r>
    <n v="2781"/>
    <n v="308"/>
    <x v="45"/>
    <n v="3291.84"/>
    <s v="Cancelled"/>
    <s v="South"/>
    <s v="Credit Card"/>
    <m/>
    <m/>
  </r>
  <r>
    <n v="2782"/>
    <n v="8084"/>
    <x v="124"/>
    <n v="3291.84"/>
    <s v="Completed"/>
    <s v="South"/>
    <s v="PayPal"/>
    <m/>
    <m/>
  </r>
  <r>
    <n v="2783"/>
    <n v="3039"/>
    <x v="344"/>
    <n v="3291.84"/>
    <s v="Completed"/>
    <s v="South"/>
    <s v="Debit Card"/>
    <m/>
    <m/>
  </r>
  <r>
    <n v="2784"/>
    <n v="9262"/>
    <x v="308"/>
    <n v="3291.84"/>
    <s v="Completed"/>
    <s v="East"/>
    <s v="Apple Pay"/>
    <m/>
    <m/>
  </r>
  <r>
    <n v="2785"/>
    <n v="9273"/>
    <x v="39"/>
    <n v="3291.84"/>
    <s v="Completed"/>
    <s v="Central"/>
    <s v="Apple Pay"/>
    <m/>
    <m/>
  </r>
  <r>
    <n v="2786"/>
    <n v="5056"/>
    <x v="232"/>
    <n v="3291.84"/>
    <s v="Completed"/>
    <s v="North"/>
    <s v="Apple Pay"/>
    <m/>
    <m/>
  </r>
  <r>
    <n v="2787"/>
    <n v="6622"/>
    <x v="282"/>
    <n v="3291.84"/>
    <s v="Completed"/>
    <s v="East"/>
    <s v="Apple Pay"/>
    <m/>
    <m/>
  </r>
  <r>
    <n v="2788"/>
    <n v="1072"/>
    <x v="139"/>
    <n v="3291.84"/>
    <s v="Completed"/>
    <s v="North"/>
    <s v="PayPal"/>
    <m/>
    <m/>
  </r>
  <r>
    <n v="2789"/>
    <n v="7261"/>
    <x v="211"/>
    <n v="3291.84"/>
    <s v="Completed"/>
    <s v="South"/>
    <s v="Apple Pay"/>
    <m/>
    <m/>
  </r>
  <r>
    <n v="2790"/>
    <n v="9997"/>
    <x v="77"/>
    <n v="3291.84"/>
    <s v="Completed"/>
    <s v="South"/>
    <s v="Credit Card"/>
    <m/>
    <m/>
  </r>
  <r>
    <n v="2791"/>
    <n v="4048"/>
    <x v="347"/>
    <n v="3291.84"/>
    <s v="Returned"/>
    <s v="West"/>
    <s v="Apple Pay"/>
    <m/>
    <m/>
  </r>
  <r>
    <n v="2792"/>
    <n v="8670"/>
    <x v="35"/>
    <n v="3291.84"/>
    <s v="Completed"/>
    <s v="South"/>
    <s v="PayPal"/>
    <m/>
    <m/>
  </r>
  <r>
    <n v="2793"/>
    <n v="2802"/>
    <x v="167"/>
    <n v="3291.84"/>
    <s v="Completed"/>
    <s v="North"/>
    <s v="PayPal"/>
    <m/>
    <m/>
  </r>
  <r>
    <n v="2794"/>
    <n v="8541"/>
    <x v="293"/>
    <n v="3291.84"/>
    <s v="Cancelled"/>
    <s v="North"/>
    <s v="PayPal"/>
    <m/>
    <m/>
  </r>
  <r>
    <n v="2795"/>
    <n v="604"/>
    <x v="139"/>
    <n v="3291.84"/>
    <s v="Completed"/>
    <s v="East"/>
    <s v="PayPal"/>
    <m/>
    <m/>
  </r>
  <r>
    <n v="2796"/>
    <n v="2391"/>
    <x v="325"/>
    <n v="3291.84"/>
    <s v="Completed"/>
    <s v="Central"/>
    <s v="PayPal"/>
    <m/>
    <m/>
  </r>
  <r>
    <n v="2797"/>
    <n v="6079"/>
    <x v="321"/>
    <n v="3291.84"/>
    <s v="Completed"/>
    <s v="Central"/>
    <s v="Credit Card"/>
    <m/>
    <m/>
  </r>
  <r>
    <n v="2798"/>
    <n v="4164"/>
    <x v="67"/>
    <n v="3291.84"/>
    <s v="Completed"/>
    <s v="Central"/>
    <s v="Apple Pay"/>
    <m/>
    <m/>
  </r>
  <r>
    <n v="2799"/>
    <n v="543"/>
    <x v="39"/>
    <n v="3291.84"/>
    <s v="Completed"/>
    <s v="South"/>
    <s v="Debit Card"/>
    <m/>
    <m/>
  </r>
  <r>
    <n v="2800"/>
    <n v="5887"/>
    <x v="228"/>
    <n v="3291.84"/>
    <s v="Completed"/>
    <s v="Central"/>
    <s v="Apple Pay"/>
    <m/>
    <m/>
  </r>
  <r>
    <n v="2801"/>
    <n v="2738"/>
    <x v="250"/>
    <n v="3291.84"/>
    <s v="Completed"/>
    <s v="West"/>
    <s v="Debit Card"/>
    <m/>
    <m/>
  </r>
  <r>
    <n v="2802"/>
    <n v="5677"/>
    <x v="325"/>
    <n v="3291.84"/>
    <s v="Completed"/>
    <s v="South"/>
    <s v="Credit Card"/>
    <m/>
    <m/>
  </r>
  <r>
    <n v="2803"/>
    <n v="4406"/>
    <x v="135"/>
    <n v="3291.84"/>
    <s v="Completed"/>
    <s v="South"/>
    <s v="Credit Card"/>
    <m/>
    <m/>
  </r>
  <r>
    <n v="2804"/>
    <n v="9052"/>
    <x v="52"/>
    <n v="3291.84"/>
    <s v="Completed"/>
    <s v="South"/>
    <s v="PayPal"/>
    <m/>
    <m/>
  </r>
  <r>
    <n v="2805"/>
    <n v="3875"/>
    <x v="184"/>
    <n v="3291.84"/>
    <s v="Completed"/>
    <s v="North"/>
    <s v="Debit Card"/>
    <m/>
    <m/>
  </r>
  <r>
    <n v="2806"/>
    <n v="3690"/>
    <x v="116"/>
    <n v="3291.84"/>
    <s v="Completed"/>
    <s v="Central"/>
    <s v="Debit Card"/>
    <m/>
    <m/>
  </r>
  <r>
    <n v="2807"/>
    <n v="8801"/>
    <x v="7"/>
    <n v="3291.84"/>
    <s v="Completed"/>
    <s v="West"/>
    <s v="Debit Card"/>
    <m/>
    <m/>
  </r>
  <r>
    <n v="2808"/>
    <n v="6170"/>
    <x v="192"/>
    <n v="3291.84"/>
    <s v="Completed"/>
    <s v="West"/>
    <s v="Credit Card"/>
    <m/>
    <m/>
  </r>
  <r>
    <n v="2809"/>
    <n v="4156"/>
    <x v="103"/>
    <n v="3291.84"/>
    <s v="Completed"/>
    <s v="South"/>
    <s v="Apple Pay"/>
    <m/>
    <m/>
  </r>
  <r>
    <n v="2810"/>
    <n v="5024"/>
    <x v="60"/>
    <n v="3291.84"/>
    <s v="Completed"/>
    <s v="North"/>
    <s v="PayPal"/>
    <m/>
    <m/>
  </r>
  <r>
    <n v="2811"/>
    <n v="1047"/>
    <x v="355"/>
    <n v="3291.84"/>
    <s v="Completed"/>
    <s v="North"/>
    <s v="PayPal"/>
    <m/>
    <m/>
  </r>
  <r>
    <n v="2812"/>
    <n v="6640"/>
    <x v="156"/>
    <n v="3291.84"/>
    <s v="Completed"/>
    <s v="West"/>
    <s v="Debit Card"/>
    <m/>
    <m/>
  </r>
  <r>
    <n v="2813"/>
    <n v="6561"/>
    <x v="84"/>
    <n v="3291.84"/>
    <s v="Completed"/>
    <s v="South"/>
    <s v="Apple Pay"/>
    <m/>
    <m/>
  </r>
  <r>
    <n v="2814"/>
    <n v="3267"/>
    <x v="5"/>
    <n v="3291.84"/>
    <s v="Completed"/>
    <s v="others"/>
    <s v="Apple Pay"/>
    <m/>
    <m/>
  </r>
  <r>
    <n v="2815"/>
    <n v="3454"/>
    <x v="333"/>
    <n v="3291.84"/>
    <s v="Completed"/>
    <s v="East"/>
    <s v="Credit Card"/>
    <m/>
    <m/>
  </r>
  <r>
    <n v="2816"/>
    <n v="5581"/>
    <x v="289"/>
    <n v="3291.84"/>
    <s v="Completed"/>
    <s v="West"/>
    <s v="Apple Pay"/>
    <m/>
    <m/>
  </r>
  <r>
    <n v="2817"/>
    <n v="3744"/>
    <x v="275"/>
    <n v="3291.84"/>
    <s v="Completed"/>
    <s v="North"/>
    <s v="Apple Pay"/>
    <m/>
    <m/>
  </r>
  <r>
    <n v="2818"/>
    <n v="1060"/>
    <x v="92"/>
    <n v="3291.84"/>
    <s v="Completed"/>
    <s v="South"/>
    <s v="Credit Card"/>
    <m/>
    <m/>
  </r>
  <r>
    <n v="2819"/>
    <n v="6079"/>
    <x v="349"/>
    <n v="3291.84"/>
    <s v="Completed"/>
    <s v="Central"/>
    <s v="Credit Card"/>
    <m/>
    <m/>
  </r>
  <r>
    <n v="2820"/>
    <n v="2265"/>
    <x v="204"/>
    <n v="3291.84"/>
    <s v="Completed"/>
    <s v="North"/>
    <s v="Apple Pay"/>
    <m/>
    <m/>
  </r>
  <r>
    <n v="2821"/>
    <n v="5022"/>
    <x v="330"/>
    <n v="3291.84"/>
    <s v="Completed"/>
    <s v="East"/>
    <s v="Debit Card"/>
    <m/>
    <m/>
  </r>
  <r>
    <n v="2822"/>
    <n v="5036"/>
    <x v="134"/>
    <n v="3291.84"/>
    <s v="Completed"/>
    <s v="Central"/>
    <s v="Apple Pay"/>
    <m/>
    <m/>
  </r>
  <r>
    <n v="2823"/>
    <n v="6587"/>
    <x v="65"/>
    <n v="3291.84"/>
    <s v="Completed"/>
    <s v="North"/>
    <s v="PayPal"/>
    <m/>
    <m/>
  </r>
  <r>
    <n v="2824"/>
    <n v="4642"/>
    <x v="336"/>
    <n v="3291.84"/>
    <s v="Completed"/>
    <s v="South"/>
    <s v="Debit Card"/>
    <m/>
    <m/>
  </r>
  <r>
    <n v="2825"/>
    <n v="1667"/>
    <x v="252"/>
    <n v="3291.84"/>
    <s v="Completed"/>
    <s v="North"/>
    <s v="Credit Card"/>
    <m/>
    <m/>
  </r>
  <r>
    <n v="2826"/>
    <n v="2781"/>
    <x v="90"/>
    <n v="3291.84"/>
    <s v="Completed"/>
    <s v="West"/>
    <s v="Credit Card"/>
    <m/>
    <m/>
  </r>
  <r>
    <n v="2827"/>
    <n v="975"/>
    <x v="320"/>
    <n v="3291.84"/>
    <s v="Completed"/>
    <s v="others"/>
    <s v="Apple Pay"/>
    <m/>
    <m/>
  </r>
  <r>
    <n v="2828"/>
    <n v="1890"/>
    <x v="6"/>
    <n v="3291.84"/>
    <s v="Completed"/>
    <s v="West"/>
    <s v="Debit Card"/>
    <m/>
    <m/>
  </r>
  <r>
    <n v="2829"/>
    <n v="2526"/>
    <x v="52"/>
    <n v="3291.84"/>
    <s v="Completed"/>
    <s v="Central"/>
    <s v="Apple Pay"/>
    <m/>
    <m/>
  </r>
  <r>
    <n v="2830"/>
    <n v="3672"/>
    <x v="25"/>
    <n v="3291.84"/>
    <s v="Completed"/>
    <s v="South"/>
    <s v="Debit Card"/>
    <m/>
    <m/>
  </r>
  <r>
    <n v="2831"/>
    <n v="674"/>
    <x v="153"/>
    <n v="3291.84"/>
    <s v="Completed"/>
    <s v="South"/>
    <s v="Debit Card"/>
    <m/>
    <m/>
  </r>
  <r>
    <n v="2832"/>
    <n v="7348"/>
    <x v="234"/>
    <n v="3291.84"/>
    <s v="Completed"/>
    <s v="Central"/>
    <s v="Debit Card"/>
    <m/>
    <m/>
  </r>
  <r>
    <n v="2833"/>
    <n v="2988"/>
    <x v="219"/>
    <n v="3291.84"/>
    <s v="Completed"/>
    <s v="Central"/>
    <s v="Apple Pay"/>
    <m/>
    <m/>
  </r>
  <r>
    <n v="2834"/>
    <n v="7592"/>
    <x v="275"/>
    <n v="3291.84"/>
    <s v="Completed"/>
    <s v="Central"/>
    <s v="Credit Card"/>
    <m/>
    <m/>
  </r>
  <r>
    <n v="2835"/>
    <n v="4051"/>
    <x v="325"/>
    <n v="3291.84"/>
    <s v="Completed"/>
    <s v="South"/>
    <s v="Apple Pay"/>
    <m/>
    <m/>
  </r>
  <r>
    <n v="2836"/>
    <n v="8759"/>
    <x v="250"/>
    <n v="3291.84"/>
    <s v="Completed"/>
    <s v="West"/>
    <s v="Apple Pay"/>
    <m/>
    <m/>
  </r>
  <r>
    <n v="2837"/>
    <n v="9187"/>
    <x v="135"/>
    <n v="3291.84"/>
    <s v="Completed"/>
    <s v="Central"/>
    <s v="Credit Card"/>
    <m/>
    <m/>
  </r>
  <r>
    <n v="2838"/>
    <n v="4725"/>
    <x v="327"/>
    <n v="3291.84"/>
    <s v="Completed"/>
    <s v="North"/>
    <s v="Apple Pay"/>
    <m/>
    <m/>
  </r>
  <r>
    <n v="2839"/>
    <n v="3640"/>
    <x v="22"/>
    <n v="3291.84"/>
    <s v="Completed"/>
    <s v="Central"/>
    <s v="Apple Pay"/>
    <m/>
    <m/>
  </r>
  <r>
    <n v="2840"/>
    <n v="3926"/>
    <x v="305"/>
    <n v="3291.84"/>
    <s v="Completed"/>
    <s v="East"/>
    <s v="Apple Pay"/>
    <m/>
    <m/>
  </r>
  <r>
    <n v="2841"/>
    <n v="1308"/>
    <x v="293"/>
    <n v="3291.84"/>
    <s v="Completed"/>
    <s v="West"/>
    <s v="Apple Pay"/>
    <m/>
    <m/>
  </r>
  <r>
    <n v="2842"/>
    <n v="2485"/>
    <x v="246"/>
    <n v="3291.84"/>
    <s v="Completed"/>
    <s v="East"/>
    <s v="PayPal"/>
    <m/>
    <m/>
  </r>
  <r>
    <n v="2843"/>
    <n v="9699"/>
    <x v="100"/>
    <n v="3291.84"/>
    <s v="Completed"/>
    <s v="East"/>
    <s v="PayPal"/>
    <m/>
    <m/>
  </r>
  <r>
    <n v="2844"/>
    <n v="5058"/>
    <x v="82"/>
    <n v="3291.84"/>
    <s v="Completed"/>
    <s v="East"/>
    <s v="Debit Card"/>
    <m/>
    <m/>
  </r>
  <r>
    <n v="2845"/>
    <n v="6884"/>
    <x v="340"/>
    <n v="3291.84"/>
    <s v="Completed"/>
    <s v="East"/>
    <s v="PayPal"/>
    <m/>
    <m/>
  </r>
  <r>
    <n v="2846"/>
    <n v="8487"/>
    <x v="84"/>
    <n v="3291.84"/>
    <s v="Completed"/>
    <s v="East"/>
    <s v="Debit Card"/>
    <m/>
    <m/>
  </r>
  <r>
    <n v="2847"/>
    <n v="3764"/>
    <x v="194"/>
    <n v="3291.84"/>
    <s v="Completed"/>
    <s v="North"/>
    <s v="Apple Pay"/>
    <m/>
    <m/>
  </r>
  <r>
    <n v="2848"/>
    <n v="4190"/>
    <x v="3"/>
    <n v="3291.84"/>
    <s v="Completed"/>
    <s v="West"/>
    <s v="PayPal"/>
    <m/>
    <m/>
  </r>
  <r>
    <n v="2849"/>
    <n v="1775"/>
    <x v="16"/>
    <n v="3291.84"/>
    <s v="Completed"/>
    <s v="West"/>
    <s v="PayPal"/>
    <m/>
    <m/>
  </r>
  <r>
    <n v="2850"/>
    <n v="3825"/>
    <x v="202"/>
    <n v="3291.84"/>
    <s v="Completed"/>
    <s v="South"/>
    <s v="Credit Card"/>
    <m/>
    <m/>
  </r>
  <r>
    <n v="2851"/>
    <n v="2934"/>
    <x v="314"/>
    <n v="3291.84"/>
    <s v="Completed"/>
    <s v="West"/>
    <s v="PayPal"/>
    <m/>
    <m/>
  </r>
  <r>
    <n v="2852"/>
    <n v="8223"/>
    <x v="191"/>
    <n v="3291.84"/>
    <s v="Completed"/>
    <s v="East"/>
    <s v="PayPal"/>
    <m/>
    <m/>
  </r>
  <r>
    <n v="2853"/>
    <n v="1141"/>
    <x v="186"/>
    <n v="3291.84"/>
    <s v="Completed"/>
    <s v="North"/>
    <s v="PayPal"/>
    <m/>
    <m/>
  </r>
  <r>
    <n v="2854"/>
    <n v="434"/>
    <x v="148"/>
    <n v="3291.84"/>
    <s v="Completed"/>
    <s v="North"/>
    <s v="PayPal"/>
    <m/>
    <m/>
  </r>
  <r>
    <n v="2855"/>
    <n v="5023"/>
    <x v="243"/>
    <n v="3291.84"/>
    <s v="Completed"/>
    <s v="South"/>
    <s v="Credit Card"/>
    <m/>
    <m/>
  </r>
  <r>
    <n v="2856"/>
    <n v="8912"/>
    <x v="264"/>
    <n v="3291.84"/>
    <s v="Completed"/>
    <s v="West"/>
    <s v="PayPal"/>
    <m/>
    <m/>
  </r>
  <r>
    <n v="2857"/>
    <n v="7909"/>
    <x v="133"/>
    <n v="3291.84"/>
    <s v="Completed"/>
    <s v="North"/>
    <s v="Apple Pay"/>
    <m/>
    <m/>
  </r>
  <r>
    <n v="2858"/>
    <n v="38"/>
    <x v="45"/>
    <n v="3291.84"/>
    <s v="Completed"/>
    <s v="South"/>
    <s v="Credit Card"/>
    <m/>
    <m/>
  </r>
  <r>
    <n v="2859"/>
    <n v="9803"/>
    <x v="248"/>
    <n v="3291.84"/>
    <s v="Completed"/>
    <s v="South"/>
    <s v="PayPal"/>
    <m/>
    <m/>
  </r>
  <r>
    <n v="2860"/>
    <n v="3928"/>
    <x v="146"/>
    <n v="3291.84"/>
    <s v="Completed"/>
    <s v="Central"/>
    <s v="Apple Pay"/>
    <m/>
    <m/>
  </r>
  <r>
    <n v="2861"/>
    <n v="8251"/>
    <x v="7"/>
    <n v="3291.84"/>
    <s v="Completed"/>
    <s v="East"/>
    <s v="PayPal"/>
    <m/>
    <m/>
  </r>
  <r>
    <n v="2862"/>
    <n v="4040"/>
    <x v="86"/>
    <n v="3291.84"/>
    <s v="Completed"/>
    <s v="Central"/>
    <s v="PayPal"/>
    <m/>
    <m/>
  </r>
  <r>
    <n v="2863"/>
    <n v="1348"/>
    <x v="247"/>
    <n v="3291.84"/>
    <s v="Completed"/>
    <s v="Central"/>
    <s v="Debit Card"/>
    <m/>
    <m/>
  </r>
  <r>
    <n v="2864"/>
    <n v="7058"/>
    <x v="9"/>
    <n v="3291.84"/>
    <s v="Completed"/>
    <s v="South"/>
    <s v="PayPal"/>
    <m/>
    <m/>
  </r>
  <r>
    <n v="2865"/>
    <n v="652"/>
    <x v="289"/>
    <n v="3291.84"/>
    <s v="Completed"/>
    <s v="North"/>
    <s v="Apple Pay"/>
    <m/>
    <m/>
  </r>
  <r>
    <n v="2866"/>
    <n v="2825"/>
    <x v="359"/>
    <n v="3291.84"/>
    <s v="Completed"/>
    <s v="East"/>
    <s v="Apple Pay"/>
    <m/>
    <m/>
  </r>
  <r>
    <n v="2867"/>
    <n v="2366"/>
    <x v="266"/>
    <n v="3291.84"/>
    <s v="Completed"/>
    <s v="East"/>
    <s v="Debit Card"/>
    <m/>
    <m/>
  </r>
  <r>
    <n v="2868"/>
    <n v="2395"/>
    <x v="65"/>
    <n v="3291.84"/>
    <s v="Completed"/>
    <s v="West"/>
    <s v="Credit Card"/>
    <m/>
    <m/>
  </r>
  <r>
    <n v="2869"/>
    <n v="5369"/>
    <x v="111"/>
    <n v="3291.84"/>
    <s v="Completed"/>
    <s v="South"/>
    <s v="Debit Card"/>
    <m/>
    <m/>
  </r>
  <r>
    <n v="2870"/>
    <n v="1815"/>
    <x v="247"/>
    <n v="3291.84"/>
    <s v="Completed"/>
    <s v="Central"/>
    <s v="PayPal"/>
    <m/>
    <m/>
  </r>
  <r>
    <n v="2871"/>
    <n v="7997"/>
    <x v="118"/>
    <n v="3291.84"/>
    <s v="Completed"/>
    <s v="West"/>
    <s v="Credit Card"/>
    <m/>
    <m/>
  </r>
  <r>
    <n v="2872"/>
    <n v="9906"/>
    <x v="270"/>
    <n v="3291.84"/>
    <s v="Completed"/>
    <s v="East"/>
    <s v="Apple Pay"/>
    <m/>
    <m/>
  </r>
  <r>
    <n v="2873"/>
    <n v="8437"/>
    <x v="49"/>
    <n v="3291.84"/>
    <s v="Returned"/>
    <s v="South"/>
    <s v="PayPal"/>
    <m/>
    <m/>
  </r>
  <r>
    <n v="2874"/>
    <n v="5828"/>
    <x v="38"/>
    <n v="3291.84"/>
    <s v="Completed"/>
    <s v="West"/>
    <s v="PayPal"/>
    <m/>
    <m/>
  </r>
  <r>
    <n v="2875"/>
    <n v="3277"/>
    <x v="252"/>
    <n v="3291.84"/>
    <s v="Completed"/>
    <s v="Central"/>
    <s v="PayPal"/>
    <m/>
    <m/>
  </r>
  <r>
    <n v="2876"/>
    <n v="2206"/>
    <x v="227"/>
    <n v="3291.84"/>
    <s v="Completed"/>
    <s v="West"/>
    <s v="Credit Card"/>
    <m/>
    <m/>
  </r>
  <r>
    <n v="2877"/>
    <n v="3822"/>
    <x v="38"/>
    <n v="3291.84"/>
    <s v="Completed"/>
    <s v="West"/>
    <s v="PayPal"/>
    <m/>
    <m/>
  </r>
  <r>
    <n v="2878"/>
    <n v="1912"/>
    <x v="62"/>
    <n v="3291.84"/>
    <s v="Completed"/>
    <s v="Central"/>
    <s v="PayPal"/>
    <m/>
    <m/>
  </r>
  <r>
    <n v="2879"/>
    <n v="6726"/>
    <x v="345"/>
    <n v="3291.84"/>
    <s v="Completed"/>
    <s v="East"/>
    <s v="Credit Card"/>
    <m/>
    <m/>
  </r>
  <r>
    <n v="2880"/>
    <n v="1435"/>
    <x v="182"/>
    <n v="3291.84"/>
    <s v="Completed"/>
    <s v="East"/>
    <s v="Credit Card"/>
    <m/>
    <m/>
  </r>
  <r>
    <n v="2881"/>
    <n v="9140"/>
    <x v="286"/>
    <n v="3291.84"/>
    <s v="Completed"/>
    <s v="West"/>
    <s v="PayPal"/>
    <m/>
    <m/>
  </r>
  <r>
    <n v="2882"/>
    <n v="97"/>
    <x v="256"/>
    <n v="3291.84"/>
    <s v="Completed"/>
    <s v="South"/>
    <s v="Debit Card"/>
    <m/>
    <m/>
  </r>
  <r>
    <n v="2883"/>
    <n v="5499"/>
    <x v="91"/>
    <n v="3291.84"/>
    <s v="Returned"/>
    <s v="East"/>
    <s v="Credit Card"/>
    <m/>
    <m/>
  </r>
  <r>
    <n v="2884"/>
    <n v="6919"/>
    <x v="161"/>
    <n v="3291.84"/>
    <s v="Completed"/>
    <s v="West"/>
    <s v="PayPal"/>
    <m/>
    <m/>
  </r>
  <r>
    <n v="2885"/>
    <n v="459"/>
    <x v="1"/>
    <n v="3291.84"/>
    <s v="Completed"/>
    <s v="East"/>
    <s v="Credit Card"/>
    <m/>
    <m/>
  </r>
  <r>
    <n v="2886"/>
    <n v="217"/>
    <x v="144"/>
    <n v="3291.84"/>
    <s v="Completed"/>
    <s v="Central"/>
    <s v="Credit Card"/>
    <m/>
    <m/>
  </r>
  <r>
    <n v="2887"/>
    <n v="5405"/>
    <x v="313"/>
    <n v="3291.84"/>
    <s v="Completed"/>
    <s v="East"/>
    <s v="PayPal"/>
    <m/>
    <m/>
  </r>
  <r>
    <n v="2888"/>
    <n v="9522"/>
    <x v="274"/>
    <n v="3291.84"/>
    <s v="Completed"/>
    <s v="North"/>
    <s v="PayPal"/>
    <m/>
    <m/>
  </r>
  <r>
    <n v="2889"/>
    <n v="659"/>
    <x v="170"/>
    <n v="3291.84"/>
    <s v="Completed"/>
    <s v="North"/>
    <s v="Debit Card"/>
    <m/>
    <m/>
  </r>
  <r>
    <n v="2890"/>
    <n v="9974"/>
    <x v="137"/>
    <n v="3291.84"/>
    <s v="Completed"/>
    <s v="West"/>
    <s v="Apple Pay"/>
    <m/>
    <m/>
  </r>
  <r>
    <n v="2891"/>
    <n v="5057"/>
    <x v="88"/>
    <n v="3291.84"/>
    <s v="Completed"/>
    <s v="North"/>
    <s v="PayPal"/>
    <m/>
    <m/>
  </r>
  <r>
    <n v="2892"/>
    <n v="9947"/>
    <x v="234"/>
    <n v="3291.84"/>
    <s v="Completed"/>
    <s v="North"/>
    <s v="Debit Card"/>
    <m/>
    <m/>
  </r>
  <r>
    <n v="2893"/>
    <n v="4268"/>
    <x v="185"/>
    <n v="3291.84"/>
    <s v="Completed"/>
    <s v="Central"/>
    <s v="Apple Pay"/>
    <m/>
    <m/>
  </r>
  <r>
    <n v="2894"/>
    <n v="916"/>
    <x v="115"/>
    <n v="3291.84"/>
    <s v="Completed"/>
    <s v="others"/>
    <s v="Debit Card"/>
    <m/>
    <m/>
  </r>
  <r>
    <n v="2895"/>
    <n v="7302"/>
    <x v="238"/>
    <n v="3291.84"/>
    <s v="Completed"/>
    <s v="Central"/>
    <s v="Debit Card"/>
    <m/>
    <m/>
  </r>
  <r>
    <n v="2896"/>
    <n v="2241"/>
    <x v="304"/>
    <n v="3291.84"/>
    <s v="Completed"/>
    <s v="others"/>
    <s v="Debit Card"/>
    <m/>
    <m/>
  </r>
  <r>
    <n v="2897"/>
    <n v="7332"/>
    <x v="245"/>
    <n v="3291.84"/>
    <s v="Completed"/>
    <s v="Central"/>
    <s v="Apple Pay"/>
    <m/>
    <m/>
  </r>
  <r>
    <n v="2898"/>
    <n v="644"/>
    <x v="131"/>
    <n v="3291.84"/>
    <s v="Completed"/>
    <s v="Central"/>
    <s v="Debit Card"/>
    <m/>
    <m/>
  </r>
  <r>
    <n v="2899"/>
    <n v="9584"/>
    <x v="357"/>
    <n v="3291.84"/>
    <s v="Completed"/>
    <s v="North"/>
    <s v="Credit Card"/>
    <m/>
    <m/>
  </r>
  <r>
    <n v="2900"/>
    <n v="8837"/>
    <x v="4"/>
    <n v="3291.84"/>
    <s v="Completed"/>
    <s v="Central"/>
    <s v="Credit Card"/>
    <m/>
    <m/>
  </r>
  <r>
    <n v="2901"/>
    <n v="8999"/>
    <x v="39"/>
    <n v="3291.84"/>
    <s v="Completed"/>
    <s v="South"/>
    <s v="PayPal"/>
    <m/>
    <m/>
  </r>
  <r>
    <n v="2902"/>
    <n v="564"/>
    <x v="102"/>
    <n v="3291.84"/>
    <s v="Completed"/>
    <s v="West"/>
    <s v="Debit Card"/>
    <m/>
    <m/>
  </r>
  <r>
    <n v="2903"/>
    <n v="6082"/>
    <x v="135"/>
    <n v="3291.84"/>
    <s v="Completed"/>
    <s v="South"/>
    <s v="Debit Card"/>
    <m/>
    <m/>
  </r>
  <r>
    <n v="2904"/>
    <n v="7240"/>
    <x v="135"/>
    <n v="3291.84"/>
    <s v="Completed"/>
    <s v="West"/>
    <s v="Apple Pay"/>
    <m/>
    <m/>
  </r>
  <r>
    <n v="2905"/>
    <n v="1564"/>
    <x v="18"/>
    <n v="3291.84"/>
    <s v="Completed"/>
    <s v="South"/>
    <s v="PayPal"/>
    <m/>
    <m/>
  </r>
  <r>
    <n v="2906"/>
    <n v="3512"/>
    <x v="166"/>
    <n v="3291.84"/>
    <s v="Completed"/>
    <s v="Central"/>
    <s v="Credit Card"/>
    <m/>
    <m/>
  </r>
  <r>
    <n v="2907"/>
    <n v="2390"/>
    <x v="160"/>
    <n v="3291.84"/>
    <s v="Completed"/>
    <s v="East"/>
    <s v="Credit Card"/>
    <m/>
    <m/>
  </r>
  <r>
    <n v="2908"/>
    <n v="5775"/>
    <x v="6"/>
    <n v="3291.84"/>
    <s v="Completed"/>
    <s v="West"/>
    <s v="Debit Card"/>
    <m/>
    <m/>
  </r>
  <r>
    <n v="2909"/>
    <n v="3778"/>
    <x v="103"/>
    <n v="3291.84"/>
    <s v="Completed"/>
    <s v="East"/>
    <s v="Credit Card"/>
    <m/>
    <m/>
  </r>
  <r>
    <n v="2910"/>
    <n v="2821"/>
    <x v="92"/>
    <n v="3291.84"/>
    <s v="Completed"/>
    <s v="Central"/>
    <s v="Apple Pay"/>
    <m/>
    <m/>
  </r>
  <r>
    <n v="2911"/>
    <n v="5676"/>
    <x v="209"/>
    <n v="3291.84"/>
    <s v="Completed"/>
    <s v="North"/>
    <s v="PayPal"/>
    <m/>
    <m/>
  </r>
  <r>
    <n v="2912"/>
    <n v="9713"/>
    <x v="88"/>
    <n v="3291.84"/>
    <s v="Completed"/>
    <s v="East"/>
    <s v="PayPal"/>
    <m/>
    <m/>
  </r>
  <r>
    <n v="2913"/>
    <n v="6916"/>
    <x v="86"/>
    <n v="3291.84"/>
    <s v="Completed"/>
    <s v="West"/>
    <s v="Debit Card"/>
    <m/>
    <m/>
  </r>
  <r>
    <n v="2914"/>
    <n v="6143"/>
    <x v="138"/>
    <n v="3291.84"/>
    <s v="Completed"/>
    <s v="West"/>
    <s v="Credit Card"/>
    <m/>
    <m/>
  </r>
  <r>
    <n v="2915"/>
    <n v="4835"/>
    <x v="302"/>
    <n v="3291.84"/>
    <s v="Completed"/>
    <s v="West"/>
    <s v="Credit Card"/>
    <m/>
    <m/>
  </r>
  <r>
    <n v="2916"/>
    <n v="6326"/>
    <x v="44"/>
    <n v="3291.84"/>
    <s v="Completed"/>
    <s v="East"/>
    <s v="Credit Card"/>
    <m/>
    <m/>
  </r>
  <r>
    <n v="2917"/>
    <n v="4350"/>
    <x v="356"/>
    <n v="3291.84"/>
    <s v="Completed"/>
    <s v="North"/>
    <s v="Debit Card"/>
    <m/>
    <m/>
  </r>
  <r>
    <n v="2918"/>
    <n v="367"/>
    <x v="301"/>
    <n v="3291.84"/>
    <s v="Completed"/>
    <s v="Central"/>
    <s v="Credit Card"/>
    <m/>
    <m/>
  </r>
  <r>
    <n v="2919"/>
    <n v="5065"/>
    <x v="90"/>
    <n v="3291.84"/>
    <s v="Completed"/>
    <s v="Central"/>
    <s v="Debit Card"/>
    <m/>
    <m/>
  </r>
  <r>
    <n v="2920"/>
    <n v="8138"/>
    <x v="41"/>
    <n v="3291.84"/>
    <s v="Completed"/>
    <s v="North"/>
    <s v="PayPal"/>
    <m/>
    <m/>
  </r>
  <r>
    <n v="2921"/>
    <n v="3732"/>
    <x v="44"/>
    <n v="3291.84"/>
    <s v="Completed"/>
    <s v="Central"/>
    <s v="Debit Card"/>
    <m/>
    <m/>
  </r>
  <r>
    <n v="2922"/>
    <n v="4689"/>
    <x v="215"/>
    <n v="3291.84"/>
    <s v="Completed"/>
    <s v="North"/>
    <s v="Debit Card"/>
    <m/>
    <m/>
  </r>
  <r>
    <n v="2923"/>
    <n v="3218"/>
    <x v="29"/>
    <n v="3291.84"/>
    <s v="Completed"/>
    <s v="North"/>
    <s v="PayPal"/>
    <m/>
    <m/>
  </r>
  <r>
    <n v="2924"/>
    <n v="1669"/>
    <x v="27"/>
    <n v="3291.84"/>
    <s v="Completed"/>
    <s v="West"/>
    <s v="Apple Pay"/>
    <m/>
    <m/>
  </r>
  <r>
    <n v="2925"/>
    <n v="5368"/>
    <x v="224"/>
    <n v="3291.84"/>
    <s v="Completed"/>
    <s v="others"/>
    <s v="Credit Card"/>
    <m/>
    <m/>
  </r>
  <r>
    <n v="2926"/>
    <n v="561"/>
    <x v="35"/>
    <n v="3291.84"/>
    <s v="Completed"/>
    <s v="Central"/>
    <s v="Apple Pay"/>
    <m/>
    <m/>
  </r>
  <r>
    <n v="2927"/>
    <n v="4265"/>
    <x v="157"/>
    <n v="3291.84"/>
    <s v="Completed"/>
    <s v="Central"/>
    <s v="Credit Card"/>
    <m/>
    <m/>
  </r>
  <r>
    <n v="2928"/>
    <n v="7203"/>
    <x v="179"/>
    <n v="3291.84"/>
    <s v="Completed"/>
    <s v="Central"/>
    <s v="Debit Card"/>
    <m/>
    <m/>
  </r>
  <r>
    <n v="2929"/>
    <n v="7385"/>
    <x v="345"/>
    <n v="3291.84"/>
    <s v="Completed"/>
    <s v="Central"/>
    <s v="PayPal"/>
    <m/>
    <m/>
  </r>
  <r>
    <n v="2930"/>
    <n v="9000"/>
    <x v="351"/>
    <n v="3291.84"/>
    <s v="Completed"/>
    <s v="South"/>
    <s v="Debit Card"/>
    <m/>
    <m/>
  </r>
  <r>
    <n v="2931"/>
    <n v="5644"/>
    <x v="44"/>
    <n v="3291.84"/>
    <s v="Completed"/>
    <s v="others"/>
    <s v="Credit Card"/>
    <m/>
    <m/>
  </r>
  <r>
    <n v="2932"/>
    <n v="2231"/>
    <x v="266"/>
    <n v="3291.84"/>
    <s v="Completed"/>
    <s v="South"/>
    <s v="Debit Card"/>
    <m/>
    <m/>
  </r>
  <r>
    <n v="2933"/>
    <n v="7356"/>
    <x v="105"/>
    <n v="3291.84"/>
    <s v="Completed"/>
    <s v="Central"/>
    <s v="Apple Pay"/>
    <m/>
    <m/>
  </r>
  <r>
    <n v="2934"/>
    <n v="7688"/>
    <x v="4"/>
    <n v="3291.84"/>
    <s v="Completed"/>
    <s v="South"/>
    <s v="PayPal"/>
    <m/>
    <m/>
  </r>
  <r>
    <n v="2935"/>
    <n v="8165"/>
    <x v="246"/>
    <n v="3291.84"/>
    <s v="Completed"/>
    <s v="East"/>
    <s v="Apple Pay"/>
    <m/>
    <m/>
  </r>
  <r>
    <n v="2936"/>
    <n v="6638"/>
    <x v="68"/>
    <n v="3291.84"/>
    <s v="Cancelled"/>
    <s v="South"/>
    <s v="Apple Pay"/>
    <m/>
    <m/>
  </r>
  <r>
    <n v="2937"/>
    <n v="3618"/>
    <x v="289"/>
    <n v="3291.84"/>
    <s v="Returned"/>
    <s v="South"/>
    <s v="Apple Pay"/>
    <m/>
    <m/>
  </r>
  <r>
    <n v="2938"/>
    <n v="3635"/>
    <x v="193"/>
    <n v="3291.84"/>
    <s v="Completed"/>
    <s v="North"/>
    <s v="PayPal"/>
    <m/>
    <m/>
  </r>
  <r>
    <n v="2939"/>
    <n v="4136"/>
    <x v="286"/>
    <n v="3291.84"/>
    <s v="Completed"/>
    <s v="Central"/>
    <s v="Credit Card"/>
    <m/>
    <m/>
  </r>
  <r>
    <n v="2940"/>
    <n v="2341"/>
    <x v="123"/>
    <n v="3291.84"/>
    <s v="Completed"/>
    <s v="South"/>
    <s v="Debit Card"/>
    <m/>
    <m/>
  </r>
  <r>
    <n v="2941"/>
    <n v="5467"/>
    <x v="156"/>
    <n v="3291.84"/>
    <s v="Completed"/>
    <s v="North"/>
    <s v="Credit Card"/>
    <m/>
    <m/>
  </r>
  <r>
    <n v="2942"/>
    <n v="4622"/>
    <x v="10"/>
    <n v="3291.84"/>
    <s v="Completed"/>
    <s v="Central"/>
    <s v="Credit Card"/>
    <m/>
    <m/>
  </r>
  <r>
    <n v="2943"/>
    <n v="5850"/>
    <x v="117"/>
    <n v="3291.84"/>
    <s v="Completed"/>
    <s v="South"/>
    <s v="Apple Pay"/>
    <m/>
    <m/>
  </r>
  <r>
    <n v="2944"/>
    <n v="8283"/>
    <x v="65"/>
    <n v="3291.84"/>
    <s v="Completed"/>
    <s v="North"/>
    <s v="Apple Pay"/>
    <m/>
    <m/>
  </r>
  <r>
    <n v="2945"/>
    <n v="606"/>
    <x v="88"/>
    <n v="3291.84"/>
    <s v="Completed"/>
    <s v="West"/>
    <s v="Apple Pay"/>
    <m/>
    <m/>
  </r>
  <r>
    <n v="2946"/>
    <n v="5804"/>
    <x v="18"/>
    <n v="3291.84"/>
    <s v="Completed"/>
    <s v="East"/>
    <s v="Apple Pay"/>
    <m/>
    <m/>
  </r>
  <r>
    <n v="2947"/>
    <n v="945"/>
    <x v="48"/>
    <n v="3291.84"/>
    <s v="Completed"/>
    <s v="Central"/>
    <s v="Credit Card"/>
    <m/>
    <m/>
  </r>
  <r>
    <n v="2948"/>
    <n v="8277"/>
    <x v="153"/>
    <n v="3291.84"/>
    <s v="Completed"/>
    <s v="Central"/>
    <s v="Debit Card"/>
    <m/>
    <m/>
  </r>
  <r>
    <n v="2949"/>
    <n v="2392"/>
    <x v="151"/>
    <n v="3291.84"/>
    <s v="Completed"/>
    <s v="South"/>
    <s v="Apple Pay"/>
    <m/>
    <m/>
  </r>
  <r>
    <n v="2950"/>
    <n v="2324"/>
    <x v="262"/>
    <n v="3291.84"/>
    <s v="Completed"/>
    <s v="Central"/>
    <s v="Apple Pay"/>
    <m/>
    <m/>
  </r>
  <r>
    <n v="2951"/>
    <n v="1942"/>
    <x v="187"/>
    <n v="3291.84"/>
    <s v="Completed"/>
    <s v="North"/>
    <s v="Apple Pay"/>
    <m/>
    <m/>
  </r>
  <r>
    <n v="2952"/>
    <n v="6215"/>
    <x v="118"/>
    <n v="3291.84"/>
    <s v="Completed"/>
    <s v="South"/>
    <s v="Debit Card"/>
    <m/>
    <m/>
  </r>
  <r>
    <n v="2953"/>
    <n v="1620"/>
    <x v="103"/>
    <n v="3291.84"/>
    <s v="Completed"/>
    <s v="Central"/>
    <s v="Debit Card"/>
    <m/>
    <m/>
  </r>
  <r>
    <n v="2954"/>
    <n v="306"/>
    <x v="215"/>
    <n v="3291.84"/>
    <s v="Returned"/>
    <s v="Central"/>
    <s v="Credit Card"/>
    <m/>
    <m/>
  </r>
  <r>
    <n v="2955"/>
    <n v="2770"/>
    <x v="360"/>
    <n v="3291.84"/>
    <s v="Completed"/>
    <s v="West"/>
    <s v="PayPal"/>
    <m/>
    <m/>
  </r>
  <r>
    <n v="2956"/>
    <n v="9895"/>
    <x v="148"/>
    <n v="3291.84"/>
    <s v="Completed"/>
    <s v="East"/>
    <s v="Credit Card"/>
    <m/>
    <m/>
  </r>
  <r>
    <n v="2957"/>
    <n v="1183"/>
    <x v="6"/>
    <n v="3291.84"/>
    <s v="Completed"/>
    <s v="West"/>
    <s v="PayPal"/>
    <m/>
    <m/>
  </r>
  <r>
    <n v="2958"/>
    <n v="7964"/>
    <x v="17"/>
    <n v="3291.84"/>
    <s v="Completed"/>
    <s v="Central"/>
    <s v="PayPal"/>
    <m/>
    <m/>
  </r>
  <r>
    <n v="2959"/>
    <n v="3886"/>
    <x v="124"/>
    <n v="3291.84"/>
    <s v="Completed"/>
    <s v="Central"/>
    <s v="Credit Card"/>
    <m/>
    <m/>
  </r>
  <r>
    <n v="2960"/>
    <n v="1230"/>
    <x v="217"/>
    <n v="3291.84"/>
    <s v="Completed"/>
    <s v="West"/>
    <s v="Credit Card"/>
    <m/>
    <m/>
  </r>
  <r>
    <n v="2961"/>
    <n v="2861"/>
    <x v="109"/>
    <n v="3291.84"/>
    <s v="Completed"/>
    <s v="North"/>
    <s v="Credit Card"/>
    <m/>
    <m/>
  </r>
  <r>
    <n v="2962"/>
    <n v="1682"/>
    <x v="90"/>
    <n v="3291.84"/>
    <s v="Completed"/>
    <s v="West"/>
    <s v="Credit Card"/>
    <m/>
    <m/>
  </r>
  <r>
    <n v="2963"/>
    <n v="5558"/>
    <x v="173"/>
    <n v="3291.84"/>
    <s v="Completed"/>
    <s v="West"/>
    <s v="Apple Pay"/>
    <m/>
    <m/>
  </r>
  <r>
    <n v="2964"/>
    <n v="595"/>
    <x v="203"/>
    <n v="3291.84"/>
    <s v="Completed"/>
    <s v="North"/>
    <s v="PayPal"/>
    <m/>
    <m/>
  </r>
  <r>
    <n v="2965"/>
    <n v="2734"/>
    <x v="323"/>
    <n v="3291.84"/>
    <s v="Completed"/>
    <s v="West"/>
    <s v="Debit Card"/>
    <m/>
    <m/>
  </r>
  <r>
    <n v="2966"/>
    <n v="9664"/>
    <x v="226"/>
    <n v="3291.84"/>
    <s v="Completed"/>
    <s v="East"/>
    <s v="PayPal"/>
    <m/>
    <m/>
  </r>
  <r>
    <n v="2967"/>
    <n v="6242"/>
    <x v="200"/>
    <n v="3291.84"/>
    <s v="Completed"/>
    <s v="West"/>
    <s v="Debit Card"/>
    <m/>
    <m/>
  </r>
  <r>
    <n v="2968"/>
    <n v="5242"/>
    <x v="155"/>
    <n v="3291.84"/>
    <s v="Completed"/>
    <s v="South"/>
    <s v="PayPal"/>
    <m/>
    <m/>
  </r>
  <r>
    <n v="2969"/>
    <n v="4637"/>
    <x v="161"/>
    <n v="3291.84"/>
    <s v="Completed"/>
    <s v="North"/>
    <s v="PayPal"/>
    <m/>
    <m/>
  </r>
  <r>
    <n v="2970"/>
    <n v="6463"/>
    <x v="210"/>
    <n v="3291.84"/>
    <s v="Completed"/>
    <s v="South"/>
    <s v="Apple Pay"/>
    <m/>
    <m/>
  </r>
  <r>
    <n v="2971"/>
    <n v="4974"/>
    <x v="142"/>
    <n v="3291.84"/>
    <s v="Completed"/>
    <s v="East"/>
    <s v="PayPal"/>
    <m/>
    <m/>
  </r>
  <r>
    <n v="2972"/>
    <n v="5092"/>
    <x v="255"/>
    <n v="3291.84"/>
    <s v="Completed"/>
    <s v="South"/>
    <s v="Apple Pay"/>
    <m/>
    <m/>
  </r>
  <r>
    <n v="2973"/>
    <n v="8518"/>
    <x v="14"/>
    <n v="3291.84"/>
    <s v="Completed"/>
    <s v="West"/>
    <s v="Apple Pay"/>
    <m/>
    <m/>
  </r>
  <r>
    <n v="2974"/>
    <n v="8121"/>
    <x v="150"/>
    <n v="3291.84"/>
    <s v="Completed"/>
    <s v="others"/>
    <s v="Credit Card"/>
    <m/>
    <m/>
  </r>
  <r>
    <n v="2975"/>
    <n v="723"/>
    <x v="78"/>
    <n v="3291.84"/>
    <s v="Completed"/>
    <s v="East"/>
    <s v="PayPal"/>
    <m/>
    <m/>
  </r>
  <r>
    <n v="2976"/>
    <n v="9082"/>
    <x v="338"/>
    <n v="3291.84"/>
    <s v="Cancelled"/>
    <s v="West"/>
    <s v="Credit Card"/>
    <m/>
    <m/>
  </r>
  <r>
    <n v="2977"/>
    <n v="1934"/>
    <x v="195"/>
    <n v="3291.84"/>
    <s v="Completed"/>
    <s v="East"/>
    <s v="Apple Pay"/>
    <m/>
    <m/>
  </r>
  <r>
    <n v="2978"/>
    <n v="5729"/>
    <x v="109"/>
    <n v="3291.84"/>
    <s v="Completed"/>
    <s v="South"/>
    <s v="PayPal"/>
    <m/>
    <m/>
  </r>
  <r>
    <n v="2979"/>
    <n v="8494"/>
    <x v="296"/>
    <n v="3291.84"/>
    <s v="Completed"/>
    <s v="East"/>
    <s v="Debit Card"/>
    <m/>
    <m/>
  </r>
  <r>
    <n v="2980"/>
    <n v="8911"/>
    <x v="167"/>
    <n v="3291.84"/>
    <s v="Completed"/>
    <s v="North"/>
    <s v="Debit Card"/>
    <m/>
    <m/>
  </r>
  <r>
    <n v="2981"/>
    <n v="5337"/>
    <x v="248"/>
    <n v="3291.84"/>
    <s v="Completed"/>
    <s v="North"/>
    <s v="Apple Pay"/>
    <m/>
    <m/>
  </r>
  <r>
    <n v="2982"/>
    <n v="9705"/>
    <x v="143"/>
    <n v="3291.84"/>
    <s v="Completed"/>
    <s v="East"/>
    <s v="Credit Card"/>
    <m/>
    <m/>
  </r>
  <r>
    <n v="2983"/>
    <n v="1853"/>
    <x v="35"/>
    <n v="3291.84"/>
    <s v="Completed"/>
    <s v="South"/>
    <s v="Credit Card"/>
    <m/>
    <m/>
  </r>
  <r>
    <n v="2984"/>
    <n v="3132"/>
    <x v="211"/>
    <n v="3291.84"/>
    <s v="Completed"/>
    <s v="Central"/>
    <s v="PayPal"/>
    <m/>
    <m/>
  </r>
  <r>
    <n v="2985"/>
    <n v="5422"/>
    <x v="110"/>
    <n v="3291.84"/>
    <s v="Completed"/>
    <s v="South"/>
    <s v="PayPal"/>
    <m/>
    <m/>
  </r>
  <r>
    <n v="2986"/>
    <n v="6341"/>
    <x v="42"/>
    <n v="3291.84"/>
    <s v="Completed"/>
    <s v="North"/>
    <s v="PayPal"/>
    <m/>
    <m/>
  </r>
  <r>
    <n v="2987"/>
    <n v="1160"/>
    <x v="314"/>
    <n v="3291.84"/>
    <s v="Completed"/>
    <s v="Central"/>
    <s v="Debit Card"/>
    <m/>
    <m/>
  </r>
  <r>
    <n v="2988"/>
    <n v="3106"/>
    <x v="111"/>
    <n v="3291.84"/>
    <s v="Completed"/>
    <s v="Central"/>
    <s v="Debit Card"/>
    <m/>
    <m/>
  </r>
  <r>
    <n v="2989"/>
    <n v="8757"/>
    <x v="71"/>
    <n v="3291.84"/>
    <s v="Completed"/>
    <s v="South"/>
    <s v="Apple Pay"/>
    <m/>
    <m/>
  </r>
  <r>
    <n v="2990"/>
    <n v="1873"/>
    <x v="127"/>
    <n v="3291.84"/>
    <s v="Completed"/>
    <s v="North"/>
    <s v="PayPal"/>
    <m/>
    <m/>
  </r>
  <r>
    <n v="2991"/>
    <n v="4860"/>
    <x v="88"/>
    <n v="3291.84"/>
    <s v="Completed"/>
    <s v="South"/>
    <s v="Apple Pay"/>
    <m/>
    <m/>
  </r>
  <r>
    <n v="2992"/>
    <n v="1177"/>
    <x v="138"/>
    <n v="3291.84"/>
    <s v="Completed"/>
    <s v="Central"/>
    <s v="Credit Card"/>
    <m/>
    <m/>
  </r>
  <r>
    <n v="2993"/>
    <n v="1308"/>
    <x v="36"/>
    <n v="3291.84"/>
    <s v="Completed"/>
    <s v="West"/>
    <s v="Credit Card"/>
    <m/>
    <m/>
  </r>
  <r>
    <n v="2994"/>
    <n v="2365"/>
    <x v="278"/>
    <n v="3291.84"/>
    <s v="Completed"/>
    <s v="East"/>
    <s v="PayPal"/>
    <m/>
    <m/>
  </r>
  <r>
    <n v="2995"/>
    <n v="6783"/>
    <x v="325"/>
    <n v="3291.84"/>
    <s v="Completed"/>
    <s v="Central"/>
    <s v="Credit Card"/>
    <m/>
    <m/>
  </r>
  <r>
    <n v="2996"/>
    <n v="5158"/>
    <x v="271"/>
    <n v="3291.84"/>
    <s v="Completed"/>
    <s v="West"/>
    <s v="Credit Card"/>
    <m/>
    <m/>
  </r>
  <r>
    <n v="2997"/>
    <n v="8259"/>
    <x v="362"/>
    <n v="3291.84"/>
    <s v="Completed"/>
    <s v="East"/>
    <s v="Debit Card"/>
    <m/>
    <m/>
  </r>
  <r>
    <n v="2998"/>
    <n v="1094"/>
    <x v="313"/>
    <n v="3291.84"/>
    <s v="Completed"/>
    <s v="South"/>
    <s v="PayPal"/>
    <m/>
    <m/>
  </r>
  <r>
    <n v="2999"/>
    <n v="579"/>
    <x v="128"/>
    <n v="3291.84"/>
    <s v="Completed"/>
    <s v="South"/>
    <s v="Credit Card"/>
    <m/>
    <m/>
  </r>
  <r>
    <n v="3000"/>
    <n v="6142"/>
    <x v="59"/>
    <n v="3291.84"/>
    <s v="Completed"/>
    <s v="North"/>
    <s v="PayPal"/>
    <m/>
    <m/>
  </r>
  <r>
    <n v="3001"/>
    <n v="7638"/>
    <x v="201"/>
    <n v="3291.84"/>
    <s v="Completed"/>
    <s v="East"/>
    <s v="Apple Pay"/>
    <m/>
    <m/>
  </r>
  <r>
    <n v="3002"/>
    <n v="236"/>
    <x v="342"/>
    <n v="3291.84"/>
    <s v="Completed"/>
    <s v="Central"/>
    <s v="PayPal"/>
    <m/>
    <m/>
  </r>
  <r>
    <n v="3003"/>
    <n v="8087"/>
    <x v="224"/>
    <n v="3291.84"/>
    <s v="Completed"/>
    <s v="East"/>
    <s v="Debit Card"/>
    <m/>
    <m/>
  </r>
  <r>
    <n v="3004"/>
    <n v="9759"/>
    <x v="5"/>
    <n v="3291.84"/>
    <s v="Completed"/>
    <s v="West"/>
    <s v="Debit Card"/>
    <m/>
    <m/>
  </r>
  <r>
    <n v="3005"/>
    <n v="6346"/>
    <x v="204"/>
    <n v="3291.84"/>
    <s v="Completed"/>
    <s v="West"/>
    <s v="PayPal"/>
    <m/>
    <m/>
  </r>
  <r>
    <n v="3006"/>
    <n v="8437"/>
    <x v="42"/>
    <n v="3291.84"/>
    <s v="Completed"/>
    <s v="South"/>
    <s v="PayPal"/>
    <m/>
    <m/>
  </r>
  <r>
    <n v="3007"/>
    <n v="7487"/>
    <x v="287"/>
    <n v="3291.84"/>
    <s v="Completed"/>
    <s v="North"/>
    <s v="PayPal"/>
    <m/>
    <m/>
  </r>
  <r>
    <n v="3008"/>
    <n v="2491"/>
    <x v="346"/>
    <n v="3291.84"/>
    <s v="Completed"/>
    <s v="East"/>
    <s v="PayPal"/>
    <m/>
    <m/>
  </r>
  <r>
    <n v="3009"/>
    <n v="824"/>
    <x v="43"/>
    <n v="3291.84"/>
    <s v="Completed"/>
    <s v="others"/>
    <s v="PayPal"/>
    <m/>
    <m/>
  </r>
  <r>
    <n v="3010"/>
    <n v="2392"/>
    <x v="81"/>
    <n v="3291.84"/>
    <s v="Completed"/>
    <s v="South"/>
    <s v="Debit Card"/>
    <m/>
    <m/>
  </r>
  <r>
    <n v="3011"/>
    <n v="1440"/>
    <x v="278"/>
    <n v="3291.84"/>
    <s v="Completed"/>
    <s v="South"/>
    <s v="PayPal"/>
    <m/>
    <m/>
  </r>
  <r>
    <n v="3012"/>
    <n v="716"/>
    <x v="157"/>
    <n v="3291.84"/>
    <s v="Completed"/>
    <s v="East"/>
    <s v="Debit Card"/>
    <m/>
    <m/>
  </r>
  <r>
    <n v="3013"/>
    <n v="7148"/>
    <x v="53"/>
    <n v="3291.84"/>
    <s v="Cancelled"/>
    <s v="South"/>
    <s v="Credit Card"/>
    <m/>
    <m/>
  </r>
  <r>
    <n v="3014"/>
    <n v="3558"/>
    <x v="152"/>
    <n v="3291.84"/>
    <s v="Completed"/>
    <s v="South"/>
    <s v="Credit Card"/>
    <m/>
    <m/>
  </r>
  <r>
    <n v="3015"/>
    <n v="3454"/>
    <x v="113"/>
    <n v="3291.84"/>
    <s v="Returned"/>
    <s v="East"/>
    <s v="Apple Pay"/>
    <m/>
    <m/>
  </r>
  <r>
    <n v="3016"/>
    <n v="333"/>
    <x v="281"/>
    <n v="3291.84"/>
    <s v="Completed"/>
    <s v="South"/>
    <s v="Credit Card"/>
    <m/>
    <m/>
  </r>
  <r>
    <n v="3017"/>
    <n v="6701"/>
    <x v="9"/>
    <n v="3291.84"/>
    <s v="Completed"/>
    <s v="West"/>
    <s v="Debit Card"/>
    <m/>
    <m/>
  </r>
  <r>
    <n v="3018"/>
    <n v="8383"/>
    <x v="39"/>
    <n v="3291.84"/>
    <s v="Completed"/>
    <s v="East"/>
    <s v="Debit Card"/>
    <m/>
    <m/>
  </r>
  <r>
    <n v="3019"/>
    <n v="7070"/>
    <x v="265"/>
    <n v="3291.84"/>
    <s v="Completed"/>
    <s v="West"/>
    <s v="Apple Pay"/>
    <m/>
    <m/>
  </r>
  <r>
    <n v="3020"/>
    <n v="6363"/>
    <x v="257"/>
    <n v="3291.84"/>
    <s v="Completed"/>
    <s v="West"/>
    <s v="Apple Pay"/>
    <m/>
    <m/>
  </r>
  <r>
    <n v="3021"/>
    <n v="5804"/>
    <x v="291"/>
    <n v="3291.84"/>
    <s v="Completed"/>
    <s v="East"/>
    <s v="Credit Card"/>
    <m/>
    <m/>
  </r>
  <r>
    <n v="3022"/>
    <n v="6861"/>
    <x v="127"/>
    <n v="3291.84"/>
    <s v="Completed"/>
    <s v="South"/>
    <s v="Credit Card"/>
    <m/>
    <m/>
  </r>
  <r>
    <n v="3023"/>
    <n v="3657"/>
    <x v="245"/>
    <n v="3291.84"/>
    <s v="Completed"/>
    <s v="Central"/>
    <s v="Credit Card"/>
    <m/>
    <m/>
  </r>
  <r>
    <n v="3024"/>
    <n v="3316"/>
    <x v="165"/>
    <n v="3291.84"/>
    <s v="Completed"/>
    <s v="others"/>
    <s v="Apple Pay"/>
    <m/>
    <m/>
  </r>
  <r>
    <n v="3025"/>
    <n v="2094"/>
    <x v="288"/>
    <n v="3291.84"/>
    <s v="Completed"/>
    <s v="South"/>
    <s v="Apple Pay"/>
    <m/>
    <m/>
  </r>
  <r>
    <n v="3026"/>
    <n v="4002"/>
    <x v="28"/>
    <n v="3291.84"/>
    <s v="Completed"/>
    <s v="West"/>
    <s v="Apple Pay"/>
    <m/>
    <m/>
  </r>
  <r>
    <n v="3027"/>
    <n v="2775"/>
    <x v="313"/>
    <n v="3291.84"/>
    <s v="Returned"/>
    <s v="Central"/>
    <s v="Debit Card"/>
    <m/>
    <m/>
  </r>
  <r>
    <n v="3028"/>
    <n v="2877"/>
    <x v="223"/>
    <n v="3291.84"/>
    <s v="Completed"/>
    <s v="South"/>
    <s v="PayPal"/>
    <m/>
    <m/>
  </r>
  <r>
    <n v="3029"/>
    <n v="7423"/>
    <x v="165"/>
    <n v="3291.84"/>
    <s v="Completed"/>
    <s v="North"/>
    <s v="PayPal"/>
    <m/>
    <m/>
  </r>
  <r>
    <n v="3030"/>
    <n v="414"/>
    <x v="229"/>
    <n v="3291.84"/>
    <s v="Completed"/>
    <s v="North"/>
    <s v="Apple Pay"/>
    <m/>
    <m/>
  </r>
  <r>
    <n v="3031"/>
    <n v="1451"/>
    <x v="207"/>
    <n v="3291.84"/>
    <s v="Completed"/>
    <s v="Central"/>
    <s v="PayPal"/>
    <m/>
    <m/>
  </r>
  <r>
    <n v="3032"/>
    <n v="2287"/>
    <x v="134"/>
    <n v="3291.84"/>
    <s v="Completed"/>
    <s v="West"/>
    <s v="Apple Pay"/>
    <m/>
    <m/>
  </r>
  <r>
    <n v="3033"/>
    <n v="8464"/>
    <x v="140"/>
    <n v="3291.84"/>
    <s v="Completed"/>
    <s v="Central"/>
    <s v="Credit Card"/>
    <m/>
    <m/>
  </r>
  <r>
    <n v="3034"/>
    <n v="8217"/>
    <x v="351"/>
    <n v="3291.84"/>
    <s v="Completed"/>
    <s v="South"/>
    <s v="Credit Card"/>
    <m/>
    <m/>
  </r>
  <r>
    <n v="3035"/>
    <n v="7200"/>
    <x v="95"/>
    <n v="3291.84"/>
    <s v="Completed"/>
    <s v="South"/>
    <s v="Credit Card"/>
    <m/>
    <m/>
  </r>
  <r>
    <n v="3036"/>
    <n v="4965"/>
    <x v="228"/>
    <n v="3291.84"/>
    <s v="Completed"/>
    <s v="Central"/>
    <s v="Apple Pay"/>
    <m/>
    <m/>
  </r>
  <r>
    <n v="3037"/>
    <n v="6459"/>
    <x v="38"/>
    <n v="3291.84"/>
    <s v="Completed"/>
    <s v="West"/>
    <s v="PayPal"/>
    <m/>
    <m/>
  </r>
  <r>
    <n v="3038"/>
    <n v="4813"/>
    <x v="16"/>
    <n v="3291.84"/>
    <s v="Completed"/>
    <s v="East"/>
    <s v="PayPal"/>
    <m/>
    <m/>
  </r>
  <r>
    <n v="3039"/>
    <n v="1126"/>
    <x v="9"/>
    <n v="3291.84"/>
    <s v="Cancelled"/>
    <s v="East"/>
    <s v="Apple Pay"/>
    <m/>
    <m/>
  </r>
  <r>
    <n v="3040"/>
    <n v="2146"/>
    <x v="301"/>
    <n v="3291.84"/>
    <s v="Completed"/>
    <s v="Central"/>
    <s v="Credit Card"/>
    <m/>
    <m/>
  </r>
  <r>
    <n v="3041"/>
    <n v="2810"/>
    <x v="282"/>
    <n v="3291.84"/>
    <s v="Completed"/>
    <s v="Central"/>
    <s v="Apple Pay"/>
    <m/>
    <m/>
  </r>
  <r>
    <n v="3042"/>
    <n v="6907"/>
    <x v="68"/>
    <n v="3291.84"/>
    <s v="Completed"/>
    <s v="North"/>
    <s v="Debit Card"/>
    <m/>
    <m/>
  </r>
  <r>
    <n v="3043"/>
    <n v="8616"/>
    <x v="292"/>
    <n v="3291.84"/>
    <s v="Completed"/>
    <s v="East"/>
    <s v="PayPal"/>
    <m/>
    <m/>
  </r>
  <r>
    <n v="3044"/>
    <n v="9012"/>
    <x v="35"/>
    <n v="3291.84"/>
    <s v="Completed"/>
    <s v="Central"/>
    <s v="Credit Card"/>
    <m/>
    <m/>
  </r>
  <r>
    <n v="3045"/>
    <n v="4585"/>
    <x v="177"/>
    <n v="3291.84"/>
    <s v="Completed"/>
    <s v="East"/>
    <s v="Apple Pay"/>
    <m/>
    <m/>
  </r>
  <r>
    <n v="3046"/>
    <n v="5771"/>
    <x v="159"/>
    <n v="3291.84"/>
    <s v="Completed"/>
    <s v="North"/>
    <s v="PayPal"/>
    <m/>
    <m/>
  </r>
  <r>
    <n v="3047"/>
    <n v="2246"/>
    <x v="216"/>
    <n v="3291.84"/>
    <s v="Completed"/>
    <s v="South"/>
    <s v="Debit Card"/>
    <m/>
    <m/>
  </r>
  <r>
    <n v="3048"/>
    <n v="8100"/>
    <x v="224"/>
    <n v="3291.84"/>
    <s v="Completed"/>
    <s v="North"/>
    <s v="PayPal"/>
    <m/>
    <m/>
  </r>
  <r>
    <n v="3049"/>
    <n v="5399"/>
    <x v="56"/>
    <n v="3291.84"/>
    <s v="Completed"/>
    <s v="West"/>
    <s v="Debit Card"/>
    <m/>
    <m/>
  </r>
  <r>
    <n v="3050"/>
    <n v="8890"/>
    <x v="285"/>
    <n v="3291.84"/>
    <s v="Completed"/>
    <s v="East"/>
    <s v="PayPal"/>
    <m/>
    <m/>
  </r>
  <r>
    <n v="3051"/>
    <n v="1265"/>
    <x v="5"/>
    <n v="3291.84"/>
    <s v="Completed"/>
    <s v="Central"/>
    <s v="Debit Card"/>
    <m/>
    <m/>
  </r>
  <r>
    <n v="3052"/>
    <n v="4764"/>
    <x v="265"/>
    <n v="3291.84"/>
    <s v="Completed"/>
    <s v="Central"/>
    <s v="Debit Card"/>
    <m/>
    <m/>
  </r>
  <r>
    <n v="3053"/>
    <n v="7784"/>
    <x v="139"/>
    <n v="3291.84"/>
    <s v="Completed"/>
    <s v="South"/>
    <s v="Apple Pay"/>
    <m/>
    <m/>
  </r>
  <r>
    <n v="3054"/>
    <n v="3680"/>
    <x v="204"/>
    <n v="3291.84"/>
    <s v="Completed"/>
    <s v="North"/>
    <s v="Credit Card"/>
    <m/>
    <m/>
  </r>
  <r>
    <n v="3055"/>
    <n v="4527"/>
    <x v="38"/>
    <n v="3291.84"/>
    <s v="Completed"/>
    <s v="West"/>
    <s v="Apple Pay"/>
    <m/>
    <m/>
  </r>
  <r>
    <n v="3056"/>
    <n v="1352"/>
    <x v="1"/>
    <n v="3291.84"/>
    <s v="Completed"/>
    <s v="South"/>
    <s v="Apple Pay"/>
    <m/>
    <m/>
  </r>
  <r>
    <n v="3057"/>
    <n v="657"/>
    <x v="121"/>
    <n v="3291.84"/>
    <s v="Completed"/>
    <s v="East"/>
    <s v="Apple Pay"/>
    <m/>
    <m/>
  </r>
  <r>
    <n v="3058"/>
    <n v="9596"/>
    <x v="21"/>
    <n v="3291.84"/>
    <s v="Completed"/>
    <s v="West"/>
    <s v="Credit Card"/>
    <m/>
    <m/>
  </r>
  <r>
    <n v="3059"/>
    <n v="3592"/>
    <x v="321"/>
    <n v="3291.84"/>
    <s v="Completed"/>
    <s v="South"/>
    <s v="PayPal"/>
    <m/>
    <m/>
  </r>
  <r>
    <n v="3060"/>
    <n v="287"/>
    <x v="91"/>
    <n v="3291.84"/>
    <s v="Completed"/>
    <s v="Central"/>
    <s v="Apple Pay"/>
    <m/>
    <m/>
  </r>
  <r>
    <n v="3061"/>
    <n v="1709"/>
    <x v="152"/>
    <n v="3291.84"/>
    <s v="Completed"/>
    <s v="West"/>
    <s v="Credit Card"/>
    <m/>
    <m/>
  </r>
  <r>
    <n v="3062"/>
    <n v="9705"/>
    <x v="9"/>
    <n v="3291.84"/>
    <s v="Completed"/>
    <s v="East"/>
    <s v="Debit Card"/>
    <m/>
    <m/>
  </r>
  <r>
    <n v="3063"/>
    <n v="9589"/>
    <x v="178"/>
    <n v="3291.84"/>
    <s v="Cancelled"/>
    <s v="North"/>
    <s v="PayPal"/>
    <m/>
    <m/>
  </r>
  <r>
    <n v="3064"/>
    <n v="8478"/>
    <x v="132"/>
    <n v="3291.84"/>
    <s v="Completed"/>
    <s v="East"/>
    <s v="Debit Card"/>
    <m/>
    <m/>
  </r>
  <r>
    <n v="3065"/>
    <n v="5490"/>
    <x v="266"/>
    <n v="3291.84"/>
    <s v="Completed"/>
    <s v="South"/>
    <s v="Apple Pay"/>
    <m/>
    <m/>
  </r>
  <r>
    <n v="3066"/>
    <n v="8049"/>
    <x v="216"/>
    <n v="3291.84"/>
    <s v="Completed"/>
    <s v="North"/>
    <s v="Debit Card"/>
    <m/>
    <m/>
  </r>
  <r>
    <n v="3067"/>
    <n v="3336"/>
    <x v="48"/>
    <n v="3291.84"/>
    <s v="Returned"/>
    <s v="South"/>
    <s v="Credit Card"/>
    <m/>
    <m/>
  </r>
  <r>
    <n v="3068"/>
    <n v="8345"/>
    <x v="328"/>
    <n v="3291.84"/>
    <s v="Completed"/>
    <s v="Central"/>
    <s v="PayPal"/>
    <m/>
    <m/>
  </r>
  <r>
    <n v="3069"/>
    <n v="6912"/>
    <x v="278"/>
    <n v="3291.84"/>
    <s v="Completed"/>
    <s v="East"/>
    <s v="Debit Card"/>
    <m/>
    <m/>
  </r>
  <r>
    <n v="3070"/>
    <n v="7369"/>
    <x v="279"/>
    <n v="3291.84"/>
    <s v="Completed"/>
    <s v="North"/>
    <s v="Apple Pay"/>
    <m/>
    <m/>
  </r>
  <r>
    <n v="3071"/>
    <n v="5566"/>
    <x v="66"/>
    <n v="3291.84"/>
    <s v="Completed"/>
    <s v="North"/>
    <s v="Apple Pay"/>
    <m/>
    <m/>
  </r>
  <r>
    <n v="3072"/>
    <n v="4014"/>
    <x v="255"/>
    <n v="3291.84"/>
    <s v="Completed"/>
    <s v="West"/>
    <s v="Apple Pay"/>
    <m/>
    <m/>
  </r>
  <r>
    <n v="3073"/>
    <n v="5869"/>
    <x v="8"/>
    <n v="3291.84"/>
    <s v="Completed"/>
    <s v="West"/>
    <s v="Credit Card"/>
    <m/>
    <m/>
  </r>
  <r>
    <n v="3074"/>
    <n v="5907"/>
    <x v="158"/>
    <n v="3291.84"/>
    <s v="Completed"/>
    <s v="West"/>
    <s v="Debit Card"/>
    <m/>
    <m/>
  </r>
  <r>
    <n v="3075"/>
    <n v="6477"/>
    <x v="55"/>
    <n v="3291.84"/>
    <s v="Completed"/>
    <s v="North"/>
    <s v="Apple Pay"/>
    <m/>
    <m/>
  </r>
  <r>
    <n v="3076"/>
    <n v="3278"/>
    <x v="220"/>
    <n v="3291.84"/>
    <s v="Completed"/>
    <s v="North"/>
    <s v="PayPal"/>
    <m/>
    <m/>
  </r>
  <r>
    <n v="3077"/>
    <n v="2133"/>
    <x v="363"/>
    <n v="3291.84"/>
    <s v="Completed"/>
    <s v="South"/>
    <s v="Debit Card"/>
    <m/>
    <m/>
  </r>
  <r>
    <n v="3078"/>
    <n v="9000"/>
    <x v="1"/>
    <n v="3291.84"/>
    <s v="Completed"/>
    <s v="South"/>
    <s v="Apple Pay"/>
    <m/>
    <m/>
  </r>
  <r>
    <n v="3079"/>
    <n v="5897"/>
    <x v="99"/>
    <n v="3291.84"/>
    <s v="Completed"/>
    <s v="West"/>
    <s v="Debit Card"/>
    <m/>
    <m/>
  </r>
  <r>
    <n v="3080"/>
    <n v="9816"/>
    <x v="27"/>
    <n v="3291.84"/>
    <s v="Completed"/>
    <s v="East"/>
    <s v="PayPal"/>
    <m/>
    <m/>
  </r>
  <r>
    <n v="3081"/>
    <n v="7032"/>
    <x v="78"/>
    <n v="3291.84"/>
    <s v="Completed"/>
    <s v="West"/>
    <s v="Credit Card"/>
    <m/>
    <m/>
  </r>
  <r>
    <n v="3082"/>
    <n v="7008"/>
    <x v="17"/>
    <n v="3291.84"/>
    <s v="Completed"/>
    <s v="Central"/>
    <s v="PayPal"/>
    <m/>
    <m/>
  </r>
  <r>
    <n v="3083"/>
    <n v="916"/>
    <x v="115"/>
    <n v="3291.84"/>
    <s v="Completed"/>
    <s v="East"/>
    <s v="Credit Card"/>
    <m/>
    <m/>
  </r>
  <r>
    <n v="3084"/>
    <n v="6452"/>
    <x v="159"/>
    <n v="3291.84"/>
    <s v="Completed"/>
    <s v="Central"/>
    <s v="PayPal"/>
    <m/>
    <m/>
  </r>
  <r>
    <n v="3085"/>
    <n v="5798"/>
    <x v="68"/>
    <n v="3291.84"/>
    <s v="Completed"/>
    <s v="North"/>
    <s v="Debit Card"/>
    <m/>
    <m/>
  </r>
  <r>
    <n v="3086"/>
    <n v="8588"/>
    <x v="68"/>
    <n v="3291.84"/>
    <s v="Completed"/>
    <s v="West"/>
    <s v="Debit Card"/>
    <m/>
    <m/>
  </r>
  <r>
    <n v="3087"/>
    <n v="28"/>
    <x v="207"/>
    <n v="3291.84"/>
    <s v="Completed"/>
    <s v="East"/>
    <s v="PayPal"/>
    <m/>
    <m/>
  </r>
  <r>
    <n v="3088"/>
    <n v="4605"/>
    <x v="57"/>
    <n v="3291.84"/>
    <s v="Completed"/>
    <s v="Central"/>
    <s v="PayPal"/>
    <m/>
    <m/>
  </r>
  <r>
    <n v="3089"/>
    <n v="5529"/>
    <x v="306"/>
    <n v="3291.84"/>
    <s v="Completed"/>
    <s v="North"/>
    <s v="Debit Card"/>
    <m/>
    <m/>
  </r>
  <r>
    <n v="3090"/>
    <n v="4242"/>
    <x v="177"/>
    <n v="3291.84"/>
    <s v="Completed"/>
    <s v="South"/>
    <s v="Debit Card"/>
    <m/>
    <m/>
  </r>
  <r>
    <n v="3091"/>
    <n v="6070"/>
    <x v="192"/>
    <n v="3291.84"/>
    <s v="Completed"/>
    <s v="South"/>
    <s v="PayPal"/>
    <m/>
    <m/>
  </r>
  <r>
    <n v="3092"/>
    <n v="1321"/>
    <x v="98"/>
    <n v="3291.84"/>
    <s v="Completed"/>
    <s v="North"/>
    <s v="Credit Card"/>
    <m/>
    <m/>
  </r>
  <r>
    <n v="3093"/>
    <n v="1814"/>
    <x v="85"/>
    <n v="3291.84"/>
    <s v="Completed"/>
    <s v="East"/>
    <s v="Debit Card"/>
    <m/>
    <m/>
  </r>
  <r>
    <n v="3094"/>
    <n v="4666"/>
    <x v="152"/>
    <n v="3291.84"/>
    <s v="Completed"/>
    <s v="North"/>
    <s v="Apple Pay"/>
    <m/>
    <m/>
  </r>
  <r>
    <n v="3095"/>
    <n v="5337"/>
    <x v="357"/>
    <n v="3291.84"/>
    <s v="Completed"/>
    <s v="North"/>
    <s v="Apple Pay"/>
    <m/>
    <m/>
  </r>
  <r>
    <n v="3096"/>
    <n v="8232"/>
    <x v="146"/>
    <n v="3291.84"/>
    <s v="Completed"/>
    <s v="South"/>
    <s v="PayPal"/>
    <m/>
    <m/>
  </r>
  <r>
    <n v="3097"/>
    <n v="8417"/>
    <x v="152"/>
    <n v="3291.84"/>
    <s v="Completed"/>
    <s v="West"/>
    <s v="Debit Card"/>
    <m/>
    <m/>
  </r>
  <r>
    <n v="3098"/>
    <n v="4145"/>
    <x v="24"/>
    <n v="3291.84"/>
    <s v="Completed"/>
    <s v="North"/>
    <s v="Credit Card"/>
    <m/>
    <m/>
  </r>
  <r>
    <n v="3099"/>
    <n v="8945"/>
    <x v="0"/>
    <n v="3291.84"/>
    <s v="Completed"/>
    <s v="South"/>
    <s v="Credit Card"/>
    <m/>
    <m/>
  </r>
  <r>
    <n v="3100"/>
    <n v="7793"/>
    <x v="223"/>
    <n v="3291.84"/>
    <s v="Returned"/>
    <s v="Central"/>
    <s v="Debit Card"/>
    <m/>
    <m/>
  </r>
  <r>
    <n v="3101"/>
    <n v="1499"/>
    <x v="224"/>
    <n v="3291.84"/>
    <s v="Completed"/>
    <s v="East"/>
    <s v="Debit Card"/>
    <m/>
    <m/>
  </r>
  <r>
    <n v="3102"/>
    <n v="192"/>
    <x v="350"/>
    <n v="3291.84"/>
    <s v="Cancelled"/>
    <s v="East"/>
    <s v="PayPal"/>
    <m/>
    <m/>
  </r>
  <r>
    <n v="3103"/>
    <n v="9518"/>
    <x v="160"/>
    <n v="3291.84"/>
    <s v="Completed"/>
    <s v="West"/>
    <s v="PayPal"/>
    <m/>
    <m/>
  </r>
  <r>
    <n v="3104"/>
    <n v="2529"/>
    <x v="120"/>
    <n v="3291.84"/>
    <s v="Completed"/>
    <s v="West"/>
    <s v="Apple Pay"/>
    <m/>
    <m/>
  </r>
  <r>
    <n v="3105"/>
    <n v="1974"/>
    <x v="211"/>
    <n v="3291.84"/>
    <s v="Completed"/>
    <s v="Central"/>
    <s v="PayPal"/>
    <m/>
    <m/>
  </r>
  <r>
    <n v="3106"/>
    <n v="5376"/>
    <x v="133"/>
    <n v="3291.84"/>
    <s v="Completed"/>
    <s v="West"/>
    <s v="Apple Pay"/>
    <m/>
    <m/>
  </r>
  <r>
    <n v="3107"/>
    <n v="2679"/>
    <x v="100"/>
    <n v="3291.84"/>
    <s v="Completed"/>
    <s v="Central"/>
    <s v="Debit Card"/>
    <m/>
    <m/>
  </r>
  <r>
    <n v="3108"/>
    <n v="3776"/>
    <x v="324"/>
    <n v="3291.84"/>
    <s v="Completed"/>
    <s v="North"/>
    <s v="Apple Pay"/>
    <m/>
    <m/>
  </r>
  <r>
    <n v="3109"/>
    <n v="8493"/>
    <x v="111"/>
    <n v="3291.84"/>
    <s v="Completed"/>
    <s v="Central"/>
    <s v="Debit Card"/>
    <m/>
    <m/>
  </r>
  <r>
    <n v="3110"/>
    <n v="865"/>
    <x v="166"/>
    <n v="3291.84"/>
    <s v="Completed"/>
    <s v="Central"/>
    <s v="Credit Card"/>
    <m/>
    <m/>
  </r>
  <r>
    <n v="3111"/>
    <n v="3960"/>
    <x v="353"/>
    <n v="3291.84"/>
    <s v="Completed"/>
    <s v="East"/>
    <s v="Apple Pay"/>
    <m/>
    <m/>
  </r>
  <r>
    <n v="3112"/>
    <n v="4220"/>
    <x v="362"/>
    <n v="3291.84"/>
    <s v="Completed"/>
    <s v="Central"/>
    <s v="Debit Card"/>
    <m/>
    <m/>
  </r>
  <r>
    <n v="3113"/>
    <n v="881"/>
    <x v="332"/>
    <n v="3291.84"/>
    <s v="Completed"/>
    <s v="South"/>
    <s v="Credit Card"/>
    <m/>
    <m/>
  </r>
  <r>
    <n v="3114"/>
    <n v="3515"/>
    <x v="278"/>
    <n v="3291.84"/>
    <s v="Completed"/>
    <s v="Central"/>
    <s v="Debit Card"/>
    <m/>
    <m/>
  </r>
  <r>
    <n v="3115"/>
    <n v="7495"/>
    <x v="269"/>
    <n v="3291.84"/>
    <s v="Completed"/>
    <s v="South"/>
    <s v="Apple Pay"/>
    <m/>
    <m/>
  </r>
  <r>
    <n v="3116"/>
    <n v="2163"/>
    <x v="297"/>
    <n v="3291.84"/>
    <s v="Completed"/>
    <s v="East"/>
    <s v="Apple Pay"/>
    <m/>
    <m/>
  </r>
  <r>
    <n v="3117"/>
    <n v="9326"/>
    <x v="152"/>
    <n v="3291.84"/>
    <s v="Returned"/>
    <s v="North"/>
    <s v="Debit Card"/>
    <m/>
    <m/>
  </r>
  <r>
    <n v="3118"/>
    <n v="9001"/>
    <x v="131"/>
    <n v="3291.84"/>
    <s v="Returned"/>
    <s v="East"/>
    <s v="Credit Card"/>
    <m/>
    <m/>
  </r>
  <r>
    <n v="3119"/>
    <n v="8262"/>
    <x v="148"/>
    <n v="3291.84"/>
    <s v="Completed"/>
    <s v="West"/>
    <s v="Apple Pay"/>
    <m/>
    <m/>
  </r>
  <r>
    <n v="3120"/>
    <n v="1750"/>
    <x v="100"/>
    <n v="3291.84"/>
    <s v="Completed"/>
    <s v="Central"/>
    <s v="Debit Card"/>
    <m/>
    <m/>
  </r>
  <r>
    <n v="3121"/>
    <n v="8211"/>
    <x v="121"/>
    <n v="3291.84"/>
    <s v="Completed"/>
    <s v="North"/>
    <s v="Apple Pay"/>
    <m/>
    <m/>
  </r>
  <r>
    <n v="3122"/>
    <n v="3759"/>
    <x v="13"/>
    <n v="3291.84"/>
    <s v="Completed"/>
    <s v="East"/>
    <s v="PayPal"/>
    <m/>
    <m/>
  </r>
  <r>
    <n v="3123"/>
    <n v="1247"/>
    <x v="106"/>
    <n v="3291.84"/>
    <s v="Completed"/>
    <s v="West"/>
    <s v="Credit Card"/>
    <m/>
    <m/>
  </r>
  <r>
    <n v="3124"/>
    <n v="2943"/>
    <x v="345"/>
    <n v="3291.84"/>
    <s v="Completed"/>
    <s v="East"/>
    <s v="PayPal"/>
    <m/>
    <m/>
  </r>
  <r>
    <n v="3125"/>
    <n v="3851"/>
    <x v="139"/>
    <n v="3291.84"/>
    <s v="Completed"/>
    <s v="South"/>
    <s v="Apple Pay"/>
    <m/>
    <m/>
  </r>
  <r>
    <n v="3126"/>
    <n v="9164"/>
    <x v="355"/>
    <n v="3291.84"/>
    <s v="Completed"/>
    <s v="South"/>
    <s v="Apple Pay"/>
    <m/>
    <m/>
  </r>
  <r>
    <n v="3127"/>
    <n v="6691"/>
    <x v="218"/>
    <n v="3291.84"/>
    <s v="Completed"/>
    <s v="West"/>
    <s v="Debit Card"/>
    <m/>
    <m/>
  </r>
  <r>
    <n v="3128"/>
    <n v="6086"/>
    <x v="163"/>
    <n v="3291.84"/>
    <s v="Completed"/>
    <s v="Central"/>
    <s v="Apple Pay"/>
    <m/>
    <m/>
  </r>
  <r>
    <n v="3129"/>
    <n v="9946"/>
    <x v="97"/>
    <n v="3291.84"/>
    <s v="Completed"/>
    <s v="South"/>
    <s v="PayPal"/>
    <m/>
    <m/>
  </r>
  <r>
    <n v="3130"/>
    <n v="4891"/>
    <x v="48"/>
    <n v="3291.84"/>
    <s v="Completed"/>
    <s v="Central"/>
    <s v="PayPal"/>
    <m/>
    <m/>
  </r>
  <r>
    <n v="3131"/>
    <n v="8345"/>
    <x v="9"/>
    <n v="3291.84"/>
    <s v="Completed"/>
    <s v="Central"/>
    <s v="Credit Card"/>
    <m/>
    <m/>
  </r>
  <r>
    <n v="3132"/>
    <n v="4591"/>
    <x v="342"/>
    <n v="3291.84"/>
    <s v="Completed"/>
    <s v="South"/>
    <s v="PayPal"/>
    <m/>
    <m/>
  </r>
  <r>
    <n v="3133"/>
    <n v="5228"/>
    <x v="98"/>
    <n v="3291.84"/>
    <s v="Completed"/>
    <s v="West"/>
    <s v="PayPal"/>
    <m/>
    <m/>
  </r>
  <r>
    <n v="3134"/>
    <n v="7253"/>
    <x v="189"/>
    <n v="3291.84"/>
    <s v="Completed"/>
    <s v="Central"/>
    <s v="Apple Pay"/>
    <m/>
    <m/>
  </r>
  <r>
    <n v="3135"/>
    <n v="8607"/>
    <x v="239"/>
    <n v="3291.84"/>
    <s v="Completed"/>
    <s v="South"/>
    <s v="Credit Card"/>
    <m/>
    <m/>
  </r>
  <r>
    <n v="3136"/>
    <n v="4249"/>
    <x v="232"/>
    <n v="3291.84"/>
    <s v="Completed"/>
    <s v="West"/>
    <s v="Credit Card"/>
    <m/>
    <m/>
  </r>
  <r>
    <n v="3137"/>
    <n v="4901"/>
    <x v="356"/>
    <n v="3291.84"/>
    <s v="Completed"/>
    <s v="South"/>
    <s v="PayPal"/>
    <m/>
    <m/>
  </r>
  <r>
    <n v="3138"/>
    <n v="9073"/>
    <x v="143"/>
    <n v="3291.84"/>
    <s v="Completed"/>
    <s v="North"/>
    <s v="Credit Card"/>
    <m/>
    <m/>
  </r>
  <r>
    <n v="3139"/>
    <n v="6489"/>
    <x v="229"/>
    <n v="3291.84"/>
    <s v="Completed"/>
    <s v="South"/>
    <s v="PayPal"/>
    <m/>
    <m/>
  </r>
  <r>
    <n v="3140"/>
    <n v="822"/>
    <x v="103"/>
    <n v="3291.84"/>
    <s v="Cancelled"/>
    <s v="East"/>
    <s v="Apple Pay"/>
    <m/>
    <m/>
  </r>
  <r>
    <n v="3141"/>
    <n v="9342"/>
    <x v="214"/>
    <n v="3291.84"/>
    <s v="Completed"/>
    <s v="South"/>
    <s v="Apple Pay"/>
    <m/>
    <m/>
  </r>
  <r>
    <n v="3142"/>
    <n v="9349"/>
    <x v="147"/>
    <n v="3291.84"/>
    <s v="Completed"/>
    <s v="West"/>
    <s v="PayPal"/>
    <m/>
    <m/>
  </r>
  <r>
    <n v="3143"/>
    <n v="1265"/>
    <x v="109"/>
    <n v="3291.84"/>
    <s v="Completed"/>
    <s v="Central"/>
    <s v="Debit Card"/>
    <m/>
    <m/>
  </r>
  <r>
    <n v="3144"/>
    <n v="1787"/>
    <x v="21"/>
    <n v="3291.84"/>
    <s v="Completed"/>
    <s v="Central"/>
    <s v="Debit Card"/>
    <m/>
    <m/>
  </r>
  <r>
    <n v="3145"/>
    <n v="5205"/>
    <x v="94"/>
    <n v="3291.84"/>
    <s v="Completed"/>
    <s v="Central"/>
    <s v="Credit Card"/>
    <m/>
    <m/>
  </r>
  <r>
    <n v="3146"/>
    <n v="5138"/>
    <x v="71"/>
    <n v="3291.84"/>
    <s v="Completed"/>
    <s v="East"/>
    <s v="Credit Card"/>
    <m/>
    <m/>
  </r>
  <r>
    <n v="3147"/>
    <n v="9089"/>
    <x v="125"/>
    <n v="3291.84"/>
    <s v="Completed"/>
    <s v="West"/>
    <s v="Apple Pay"/>
    <m/>
    <m/>
  </r>
  <r>
    <n v="3148"/>
    <n v="8520"/>
    <x v="211"/>
    <n v="3291.84"/>
    <s v="Completed"/>
    <s v="South"/>
    <s v="Debit Card"/>
    <m/>
    <m/>
  </r>
  <r>
    <n v="3149"/>
    <n v="9109"/>
    <x v="242"/>
    <n v="3291.84"/>
    <s v="Completed"/>
    <s v="West"/>
    <s v="Debit Card"/>
    <m/>
    <m/>
  </r>
  <r>
    <n v="3150"/>
    <n v="848"/>
    <x v="103"/>
    <n v="3291.84"/>
    <s v="Completed"/>
    <s v="West"/>
    <s v="Credit Card"/>
    <m/>
    <m/>
  </r>
  <r>
    <n v="3151"/>
    <n v="9548"/>
    <x v="299"/>
    <n v="3291.84"/>
    <s v="Completed"/>
    <s v="East"/>
    <s v="Debit Card"/>
    <m/>
    <m/>
  </r>
  <r>
    <n v="3152"/>
    <n v="1504"/>
    <x v="145"/>
    <n v="3291.84"/>
    <s v="Completed"/>
    <s v="North"/>
    <s v="Credit Card"/>
    <m/>
    <m/>
  </r>
  <r>
    <n v="3153"/>
    <n v="2671"/>
    <x v="18"/>
    <n v="3291.84"/>
    <s v="Completed"/>
    <s v="East"/>
    <s v="Apple Pay"/>
    <m/>
    <m/>
  </r>
  <r>
    <n v="3154"/>
    <n v="6754"/>
    <x v="361"/>
    <n v="3291.84"/>
    <s v="Completed"/>
    <s v="South"/>
    <s v="PayPal"/>
    <m/>
    <m/>
  </r>
  <r>
    <n v="3155"/>
    <n v="741"/>
    <x v="300"/>
    <n v="3291.84"/>
    <s v="Completed"/>
    <s v="Central"/>
    <s v="Debit Card"/>
    <m/>
    <m/>
  </r>
  <r>
    <n v="3156"/>
    <n v="1744"/>
    <x v="186"/>
    <n v="3291.84"/>
    <s v="Completed"/>
    <s v="West"/>
    <s v="Debit Card"/>
    <m/>
    <m/>
  </r>
  <r>
    <n v="3157"/>
    <n v="4128"/>
    <x v="200"/>
    <n v="3291.84"/>
    <s v="Completed"/>
    <s v="South"/>
    <s v="Apple Pay"/>
    <m/>
    <m/>
  </r>
  <r>
    <n v="3158"/>
    <n v="3553"/>
    <x v="337"/>
    <n v="3291.84"/>
    <s v="Completed"/>
    <s v="East"/>
    <s v="Debit Card"/>
    <m/>
    <m/>
  </r>
  <r>
    <n v="3159"/>
    <n v="9871"/>
    <x v="126"/>
    <n v="3291.84"/>
    <s v="Returned"/>
    <s v="West"/>
    <s v="PayPal"/>
    <m/>
    <m/>
  </r>
  <r>
    <n v="3160"/>
    <n v="1374"/>
    <x v="140"/>
    <n v="3291.84"/>
    <s v="Completed"/>
    <s v="West"/>
    <s v="Debit Card"/>
    <m/>
    <m/>
  </r>
  <r>
    <n v="3161"/>
    <n v="8781"/>
    <x v="177"/>
    <n v="3291.84"/>
    <s v="Completed"/>
    <s v="Central"/>
    <s v="Debit Card"/>
    <m/>
    <m/>
  </r>
  <r>
    <n v="3162"/>
    <n v="3564"/>
    <x v="114"/>
    <n v="3291.84"/>
    <s v="Completed"/>
    <s v="West"/>
    <s v="Credit Card"/>
    <m/>
    <m/>
  </r>
  <r>
    <n v="3163"/>
    <n v="4319"/>
    <x v="276"/>
    <n v="3291.84"/>
    <s v="Completed"/>
    <s v="North"/>
    <s v="Credit Card"/>
    <m/>
    <m/>
  </r>
  <r>
    <n v="3164"/>
    <n v="4292"/>
    <x v="182"/>
    <n v="3291.84"/>
    <s v="Completed"/>
    <s v="South"/>
    <s v="Apple Pay"/>
    <m/>
    <m/>
  </r>
  <r>
    <n v="3165"/>
    <n v="1099"/>
    <x v="159"/>
    <n v="3291.84"/>
    <s v="Completed"/>
    <s v="Central"/>
    <s v="Apple Pay"/>
    <m/>
    <m/>
  </r>
  <r>
    <n v="3166"/>
    <n v="3663"/>
    <x v="335"/>
    <n v="3291.84"/>
    <s v="Completed"/>
    <s v="South"/>
    <s v="Debit Card"/>
    <m/>
    <m/>
  </r>
  <r>
    <n v="3167"/>
    <n v="5330"/>
    <x v="293"/>
    <n v="3291.84"/>
    <s v="Completed"/>
    <s v="South"/>
    <s v="Credit Card"/>
    <m/>
    <m/>
  </r>
  <r>
    <n v="3168"/>
    <n v="6448"/>
    <x v="92"/>
    <n v="3291.84"/>
    <s v="Cancelled"/>
    <s v="West"/>
    <s v="Credit Card"/>
    <m/>
    <m/>
  </r>
  <r>
    <n v="3169"/>
    <n v="6249"/>
    <x v="110"/>
    <n v="3291.84"/>
    <s v="Completed"/>
    <s v="West"/>
    <s v="Apple Pay"/>
    <m/>
    <m/>
  </r>
  <r>
    <n v="3170"/>
    <n v="5637"/>
    <x v="287"/>
    <n v="3291.84"/>
    <s v="Completed"/>
    <s v="North"/>
    <s v="PayPal"/>
    <m/>
    <m/>
  </r>
  <r>
    <n v="3171"/>
    <n v="1481"/>
    <x v="28"/>
    <n v="3291.84"/>
    <s v="Completed"/>
    <s v="North"/>
    <s v="PayPal"/>
    <m/>
    <m/>
  </r>
  <r>
    <n v="3172"/>
    <n v="7374"/>
    <x v="19"/>
    <n v="3291.84"/>
    <s v="Completed"/>
    <s v="West"/>
    <s v="Debit Card"/>
    <m/>
    <m/>
  </r>
  <r>
    <n v="3173"/>
    <n v="8288"/>
    <x v="191"/>
    <n v="3291.84"/>
    <s v="Completed"/>
    <s v="others"/>
    <s v="PayPal"/>
    <m/>
    <m/>
  </r>
  <r>
    <n v="3174"/>
    <n v="5451"/>
    <x v="16"/>
    <n v="3291.84"/>
    <s v="Completed"/>
    <s v="North"/>
    <s v="Apple Pay"/>
    <m/>
    <m/>
  </r>
  <r>
    <n v="3175"/>
    <n v="7359"/>
    <x v="116"/>
    <n v="3291.84"/>
    <s v="Completed"/>
    <s v="East"/>
    <s v="Debit Card"/>
    <m/>
    <m/>
  </r>
  <r>
    <n v="3176"/>
    <n v="6588"/>
    <x v="312"/>
    <n v="3291.84"/>
    <s v="Completed"/>
    <s v="South"/>
    <s v="Debit Card"/>
    <m/>
    <m/>
  </r>
  <r>
    <n v="3177"/>
    <n v="3314"/>
    <x v="186"/>
    <n v="3291.84"/>
    <s v="Completed"/>
    <s v="West"/>
    <s v="Credit Card"/>
    <m/>
    <m/>
  </r>
  <r>
    <n v="3178"/>
    <n v="5054"/>
    <x v="26"/>
    <n v="3291.84"/>
    <s v="Completed"/>
    <s v="East"/>
    <s v="Apple Pay"/>
    <m/>
    <m/>
  </r>
  <r>
    <n v="3179"/>
    <n v="1627"/>
    <x v="355"/>
    <n v="3291.84"/>
    <s v="Completed"/>
    <s v="East"/>
    <s v="Credit Card"/>
    <m/>
    <m/>
  </r>
  <r>
    <n v="3180"/>
    <n v="6696"/>
    <x v="11"/>
    <n v="3291.84"/>
    <s v="Completed"/>
    <s v="East"/>
    <s v="Debit Card"/>
    <m/>
    <m/>
  </r>
  <r>
    <n v="3181"/>
    <n v="6919"/>
    <x v="45"/>
    <n v="3291.84"/>
    <s v="Completed"/>
    <s v="West"/>
    <s v="Credit Card"/>
    <m/>
    <m/>
  </r>
  <r>
    <n v="3182"/>
    <n v="2549"/>
    <x v="220"/>
    <n v="3291.84"/>
    <s v="Completed"/>
    <s v="Central"/>
    <s v="Credit Card"/>
    <m/>
    <m/>
  </r>
  <r>
    <n v="3183"/>
    <n v="9835"/>
    <x v="284"/>
    <n v="3291.84"/>
    <s v="Completed"/>
    <s v="West"/>
    <s v="Apple Pay"/>
    <m/>
    <m/>
  </r>
  <r>
    <n v="3184"/>
    <n v="4373"/>
    <x v="202"/>
    <n v="3291.84"/>
    <s v="Completed"/>
    <s v="South"/>
    <s v="PayPal"/>
    <m/>
    <m/>
  </r>
  <r>
    <n v="3185"/>
    <n v="1786"/>
    <x v="247"/>
    <n v="3291.84"/>
    <s v="Completed"/>
    <s v="North"/>
    <s v="Credit Card"/>
    <m/>
    <m/>
  </r>
  <r>
    <n v="3186"/>
    <n v="6498"/>
    <x v="248"/>
    <n v="3291.84"/>
    <s v="Completed"/>
    <s v="West"/>
    <s v="PayPal"/>
    <m/>
    <m/>
  </r>
  <r>
    <n v="3187"/>
    <n v="8768"/>
    <x v="139"/>
    <n v="3291.84"/>
    <s v="Completed"/>
    <s v="Central"/>
    <s v="Debit Card"/>
    <m/>
    <m/>
  </r>
  <r>
    <n v="3188"/>
    <n v="9047"/>
    <x v="161"/>
    <n v="3291.84"/>
    <s v="Completed"/>
    <s v="Central"/>
    <s v="Debit Card"/>
    <m/>
    <m/>
  </r>
  <r>
    <n v="3189"/>
    <n v="206"/>
    <x v="166"/>
    <n v="3291.84"/>
    <s v="Completed"/>
    <s v="South"/>
    <s v="Apple Pay"/>
    <m/>
    <m/>
  </r>
  <r>
    <n v="3190"/>
    <n v="6046"/>
    <x v="73"/>
    <n v="3291.84"/>
    <s v="Completed"/>
    <s v="Central"/>
    <s v="Debit Card"/>
    <m/>
    <m/>
  </r>
  <r>
    <n v="3191"/>
    <n v="6143"/>
    <x v="55"/>
    <n v="3291.84"/>
    <s v="Completed"/>
    <s v="West"/>
    <s v="PayPal"/>
    <m/>
    <m/>
  </r>
  <r>
    <n v="3192"/>
    <n v="9543"/>
    <x v="19"/>
    <n v="3291.84"/>
    <s v="Completed"/>
    <s v="West"/>
    <s v="Debit Card"/>
    <m/>
    <m/>
  </r>
  <r>
    <n v="3193"/>
    <n v="223"/>
    <x v="298"/>
    <n v="3291.84"/>
    <s v="Completed"/>
    <s v="East"/>
    <s v="PayPal"/>
    <m/>
    <m/>
  </r>
  <r>
    <n v="3194"/>
    <n v="1602"/>
    <x v="62"/>
    <n v="3291.84"/>
    <s v="Completed"/>
    <s v="South"/>
    <s v="Apple Pay"/>
    <m/>
    <m/>
  </r>
  <r>
    <n v="3195"/>
    <n v="5453"/>
    <x v="308"/>
    <n v="3291.84"/>
    <s v="Completed"/>
    <s v="South"/>
    <s v="Credit Card"/>
    <m/>
    <m/>
  </r>
  <r>
    <n v="3196"/>
    <n v="2915"/>
    <x v="153"/>
    <n v="3291.84"/>
    <s v="Completed"/>
    <s v="West"/>
    <s v="PayPal"/>
    <m/>
    <m/>
  </r>
  <r>
    <n v="3197"/>
    <n v="2491"/>
    <x v="178"/>
    <n v="3291.84"/>
    <s v="Completed"/>
    <s v="East"/>
    <s v="PayPal"/>
    <m/>
    <m/>
  </r>
  <r>
    <n v="3198"/>
    <n v="3606"/>
    <x v="205"/>
    <n v="3291.84"/>
    <s v="Completed"/>
    <s v="West"/>
    <s v="Apple Pay"/>
    <m/>
    <m/>
  </r>
  <r>
    <n v="3199"/>
    <n v="3633"/>
    <x v="195"/>
    <n v="3291.84"/>
    <s v="Completed"/>
    <s v="West"/>
    <s v="Apple Pay"/>
    <m/>
    <m/>
  </r>
  <r>
    <n v="3200"/>
    <n v="7264"/>
    <x v="84"/>
    <n v="3291.84"/>
    <s v="Completed"/>
    <s v="West"/>
    <s v="Debit Card"/>
    <m/>
    <m/>
  </r>
  <r>
    <n v="3201"/>
    <n v="9090"/>
    <x v="211"/>
    <n v="3291.84"/>
    <s v="Completed"/>
    <s v="East"/>
    <s v="PayPal"/>
    <m/>
    <m/>
  </r>
  <r>
    <n v="3202"/>
    <n v="1975"/>
    <x v="308"/>
    <n v="3291.84"/>
    <s v="Completed"/>
    <s v="South"/>
    <s v="Apple Pay"/>
    <m/>
    <m/>
  </r>
  <r>
    <n v="3203"/>
    <n v="7070"/>
    <x v="96"/>
    <n v="3291.84"/>
    <s v="Completed"/>
    <s v="West"/>
    <s v="Apple Pay"/>
    <m/>
    <m/>
  </r>
  <r>
    <n v="3204"/>
    <n v="4511"/>
    <x v="3"/>
    <n v="3291.84"/>
    <s v="Completed"/>
    <s v="Central"/>
    <s v="Apple Pay"/>
    <m/>
    <m/>
  </r>
  <r>
    <n v="3205"/>
    <n v="7908"/>
    <x v="51"/>
    <n v="3291.84"/>
    <s v="Completed"/>
    <s v="West"/>
    <s v="Credit Card"/>
    <m/>
    <m/>
  </r>
  <r>
    <n v="3206"/>
    <n v="3314"/>
    <x v="302"/>
    <n v="3291.84"/>
    <s v="Completed"/>
    <s v="West"/>
    <s v="Debit Card"/>
    <m/>
    <m/>
  </r>
  <r>
    <n v="3207"/>
    <n v="2952"/>
    <x v="28"/>
    <n v="3291.84"/>
    <s v="Completed"/>
    <s v="Central"/>
    <s v="PayPal"/>
    <m/>
    <m/>
  </r>
  <r>
    <n v="3208"/>
    <n v="4823"/>
    <x v="322"/>
    <n v="3291.84"/>
    <s v="Completed"/>
    <s v="West"/>
    <s v="PayPal"/>
    <m/>
    <m/>
  </r>
  <r>
    <n v="3209"/>
    <n v="9315"/>
    <x v="349"/>
    <n v="3291.84"/>
    <s v="Completed"/>
    <s v="South"/>
    <s v="Apple Pay"/>
    <m/>
    <m/>
  </r>
  <r>
    <n v="3210"/>
    <n v="5852"/>
    <x v="85"/>
    <n v="3291.84"/>
    <s v="Completed"/>
    <s v="West"/>
    <s v="PayPal"/>
    <m/>
    <m/>
  </r>
  <r>
    <n v="3211"/>
    <n v="7021"/>
    <x v="210"/>
    <n v="3291.84"/>
    <s v="Completed"/>
    <s v="West"/>
    <s v="Debit Card"/>
    <m/>
    <m/>
  </r>
  <r>
    <n v="3212"/>
    <n v="1921"/>
    <x v="186"/>
    <n v="3291.84"/>
    <s v="Completed"/>
    <s v="South"/>
    <s v="Apple Pay"/>
    <m/>
    <m/>
  </r>
  <r>
    <n v="3213"/>
    <n v="7786"/>
    <x v="12"/>
    <n v="3291.84"/>
    <s v="Completed"/>
    <s v="West"/>
    <s v="Apple Pay"/>
    <m/>
    <m/>
  </r>
  <r>
    <n v="3214"/>
    <n v="8194"/>
    <x v="16"/>
    <n v="3291.84"/>
    <s v="Completed"/>
    <s v="North"/>
    <s v="PayPal"/>
    <m/>
    <m/>
  </r>
  <r>
    <n v="3215"/>
    <n v="6886"/>
    <x v="244"/>
    <n v="3291.84"/>
    <s v="Completed"/>
    <s v="West"/>
    <s v="PayPal"/>
    <m/>
    <m/>
  </r>
  <r>
    <n v="3216"/>
    <n v="7496"/>
    <x v="12"/>
    <n v="3291.84"/>
    <s v="Completed"/>
    <s v="Central"/>
    <s v="Credit Card"/>
    <m/>
    <m/>
  </r>
  <r>
    <n v="3217"/>
    <n v="1240"/>
    <x v="349"/>
    <n v="3291.84"/>
    <s v="Completed"/>
    <s v="East"/>
    <s v="Apple Pay"/>
    <m/>
    <m/>
  </r>
  <r>
    <n v="3218"/>
    <n v="8450"/>
    <x v="229"/>
    <n v="3291.84"/>
    <s v="Completed"/>
    <s v="East"/>
    <s v="PayPal"/>
    <m/>
    <m/>
  </r>
  <r>
    <n v="3219"/>
    <n v="7842"/>
    <x v="190"/>
    <n v="3291.84"/>
    <s v="Completed"/>
    <s v="West"/>
    <s v="Credit Card"/>
    <m/>
    <m/>
  </r>
  <r>
    <n v="3220"/>
    <n v="9503"/>
    <x v="298"/>
    <n v="3291.84"/>
    <s v="Completed"/>
    <s v="North"/>
    <s v="Debit Card"/>
    <m/>
    <m/>
  </r>
  <r>
    <n v="3221"/>
    <n v="4138"/>
    <x v="63"/>
    <n v="3291.84"/>
    <s v="Completed"/>
    <s v="South"/>
    <s v="Debit Card"/>
    <m/>
    <m/>
  </r>
  <r>
    <n v="3222"/>
    <n v="6987"/>
    <x v="35"/>
    <n v="3291.84"/>
    <s v="Cancelled"/>
    <s v="North"/>
    <s v="Credit Card"/>
    <m/>
    <m/>
  </r>
  <r>
    <n v="3223"/>
    <n v="5899"/>
    <x v="107"/>
    <n v="3291.84"/>
    <s v="Completed"/>
    <s v="Central"/>
    <s v="Debit Card"/>
    <m/>
    <m/>
  </r>
  <r>
    <n v="3224"/>
    <n v="4406"/>
    <x v="177"/>
    <n v="3291.84"/>
    <s v="Completed"/>
    <s v="South"/>
    <s v="Apple Pay"/>
    <m/>
    <m/>
  </r>
  <r>
    <n v="3225"/>
    <n v="8087"/>
    <x v="24"/>
    <n v="3291.84"/>
    <s v="Completed"/>
    <s v="East"/>
    <s v="Credit Card"/>
    <m/>
    <m/>
  </r>
  <r>
    <n v="3226"/>
    <n v="4208"/>
    <x v="2"/>
    <n v="3291.84"/>
    <s v="Completed"/>
    <s v="Central"/>
    <s v="Apple Pay"/>
    <m/>
    <m/>
  </r>
  <r>
    <n v="3227"/>
    <n v="2160"/>
    <x v="270"/>
    <n v="3291.84"/>
    <s v="Completed"/>
    <s v="West"/>
    <s v="Debit Card"/>
    <m/>
    <m/>
  </r>
  <r>
    <n v="3228"/>
    <n v="5825"/>
    <x v="91"/>
    <n v="3291.84"/>
    <s v="Completed"/>
    <s v="North"/>
    <s v="PayPal"/>
    <m/>
    <m/>
  </r>
  <r>
    <n v="3229"/>
    <n v="7225"/>
    <x v="192"/>
    <n v="3291.84"/>
    <s v="Completed"/>
    <s v="West"/>
    <s v="Apple Pay"/>
    <m/>
    <m/>
  </r>
  <r>
    <n v="3230"/>
    <n v="610"/>
    <x v="11"/>
    <n v="3291.84"/>
    <s v="Completed"/>
    <s v="North"/>
    <s v="PayPal"/>
    <m/>
    <m/>
  </r>
  <r>
    <n v="3231"/>
    <n v="5208"/>
    <x v="275"/>
    <n v="3291.84"/>
    <s v="Completed"/>
    <s v="North"/>
    <s v="PayPal"/>
    <m/>
    <m/>
  </r>
  <r>
    <n v="3232"/>
    <n v="7829"/>
    <x v="340"/>
    <n v="3291.84"/>
    <s v="Completed"/>
    <s v="West"/>
    <s v="Credit Card"/>
    <m/>
    <m/>
  </r>
  <r>
    <n v="3233"/>
    <n v="8322"/>
    <x v="218"/>
    <n v="3291.84"/>
    <s v="Completed"/>
    <s v="North"/>
    <s v="Debit Card"/>
    <m/>
    <m/>
  </r>
  <r>
    <n v="3234"/>
    <n v="8759"/>
    <x v="176"/>
    <n v="3291.84"/>
    <s v="Completed"/>
    <s v="West"/>
    <s v="Debit Card"/>
    <m/>
    <m/>
  </r>
  <r>
    <n v="3235"/>
    <n v="7678"/>
    <x v="160"/>
    <n v="3291.84"/>
    <s v="Cancelled"/>
    <s v="East"/>
    <s v="Credit Card"/>
    <m/>
    <m/>
  </r>
  <r>
    <n v="3236"/>
    <n v="1054"/>
    <x v="358"/>
    <n v="3291.84"/>
    <s v="Completed"/>
    <s v="North"/>
    <s v="PayPal"/>
    <m/>
    <m/>
  </r>
  <r>
    <n v="3237"/>
    <n v="3835"/>
    <x v="216"/>
    <n v="3291.84"/>
    <s v="Completed"/>
    <s v="North"/>
    <s v="Apple Pay"/>
    <m/>
    <m/>
  </r>
  <r>
    <n v="3238"/>
    <n v="4234"/>
    <x v="226"/>
    <n v="3291.84"/>
    <s v="Completed"/>
    <s v="South"/>
    <s v="Credit Card"/>
    <m/>
    <m/>
  </r>
  <r>
    <n v="3239"/>
    <n v="6322"/>
    <x v="125"/>
    <n v="3291.84"/>
    <s v="Completed"/>
    <s v="West"/>
    <s v="PayPal"/>
    <m/>
    <m/>
  </r>
  <r>
    <n v="3240"/>
    <n v="7359"/>
    <x v="59"/>
    <n v="3291.84"/>
    <s v="Completed"/>
    <s v="East"/>
    <s v="PayPal"/>
    <m/>
    <m/>
  </r>
  <r>
    <n v="3241"/>
    <n v="8832"/>
    <x v="318"/>
    <n v="3291.84"/>
    <s v="Completed"/>
    <s v="North"/>
    <s v="Credit Card"/>
    <m/>
    <m/>
  </r>
  <r>
    <n v="3242"/>
    <n v="3259"/>
    <x v="21"/>
    <n v="3291.84"/>
    <s v="Completed"/>
    <s v="West"/>
    <s v="Debit Card"/>
    <m/>
    <m/>
  </r>
  <r>
    <n v="3243"/>
    <n v="4710"/>
    <x v="162"/>
    <n v="3291.84"/>
    <s v="Completed"/>
    <s v="North"/>
    <s v="Apple Pay"/>
    <m/>
    <m/>
  </r>
  <r>
    <n v="3244"/>
    <n v="8173"/>
    <x v="161"/>
    <n v="3291.84"/>
    <s v="Completed"/>
    <s v="Central"/>
    <s v="Apple Pay"/>
    <m/>
    <m/>
  </r>
  <r>
    <n v="3245"/>
    <n v="9498"/>
    <x v="91"/>
    <n v="3291.84"/>
    <s v="Completed"/>
    <s v="Central"/>
    <s v="Credit Card"/>
    <m/>
    <m/>
  </r>
  <r>
    <n v="3246"/>
    <n v="6315"/>
    <x v="13"/>
    <n v="3291.84"/>
    <s v="Completed"/>
    <s v="West"/>
    <s v="PayPal"/>
    <m/>
    <m/>
  </r>
  <r>
    <n v="3247"/>
    <n v="8998"/>
    <x v="338"/>
    <n v="3291.84"/>
    <s v="Completed"/>
    <s v="West"/>
    <s v="Debit Card"/>
    <m/>
    <m/>
  </r>
  <r>
    <n v="3248"/>
    <n v="3267"/>
    <x v="210"/>
    <n v="3291.84"/>
    <s v="Returned"/>
    <s v="South"/>
    <s v="Debit Card"/>
    <m/>
    <m/>
  </r>
  <r>
    <n v="3249"/>
    <n v="863"/>
    <x v="93"/>
    <n v="3291.84"/>
    <s v="Cancelled"/>
    <s v="North"/>
    <s v="PayPal"/>
    <m/>
    <m/>
  </r>
  <r>
    <n v="3250"/>
    <n v="3102"/>
    <x v="313"/>
    <n v="3291.84"/>
    <s v="Completed"/>
    <s v="South"/>
    <s v="Debit Card"/>
    <m/>
    <m/>
  </r>
  <r>
    <n v="3251"/>
    <n v="6699"/>
    <x v="73"/>
    <n v="3291.84"/>
    <s v="Completed"/>
    <s v="East"/>
    <s v="Apple Pay"/>
    <m/>
    <m/>
  </r>
  <r>
    <n v="3252"/>
    <n v="4713"/>
    <x v="62"/>
    <n v="3291.84"/>
    <s v="Completed"/>
    <s v="South"/>
    <s v="Apple Pay"/>
    <m/>
    <m/>
  </r>
  <r>
    <n v="3253"/>
    <n v="1201"/>
    <x v="260"/>
    <n v="3291.84"/>
    <s v="Completed"/>
    <s v="East"/>
    <s v="PayPal"/>
    <m/>
    <m/>
  </r>
  <r>
    <n v="3254"/>
    <n v="4569"/>
    <x v="148"/>
    <n v="3291.84"/>
    <s v="Completed"/>
    <s v="South"/>
    <s v="Debit Card"/>
    <m/>
    <m/>
  </r>
  <r>
    <n v="3255"/>
    <n v="169"/>
    <x v="273"/>
    <n v="3291.84"/>
    <s v="Completed"/>
    <s v="others"/>
    <s v="Apple Pay"/>
    <m/>
    <m/>
  </r>
  <r>
    <n v="3256"/>
    <n v="5837"/>
    <x v="201"/>
    <n v="3291.84"/>
    <s v="Completed"/>
    <s v="South"/>
    <s v="PayPal"/>
    <m/>
    <m/>
  </r>
  <r>
    <n v="3257"/>
    <n v="4856"/>
    <x v="348"/>
    <n v="3291.84"/>
    <s v="Completed"/>
    <s v="South"/>
    <s v="Apple Pay"/>
    <m/>
    <m/>
  </r>
  <r>
    <n v="3258"/>
    <n v="5177"/>
    <x v="16"/>
    <n v="3291.84"/>
    <s v="Completed"/>
    <s v="East"/>
    <s v="Apple Pay"/>
    <m/>
    <m/>
  </r>
  <r>
    <n v="3259"/>
    <n v="581"/>
    <x v="122"/>
    <n v="3291.84"/>
    <s v="Completed"/>
    <s v="West"/>
    <s v="PayPal"/>
    <m/>
    <m/>
  </r>
  <r>
    <n v="3260"/>
    <n v="42"/>
    <x v="230"/>
    <n v="3291.84"/>
    <s v="Completed"/>
    <s v="West"/>
    <s v="Debit Card"/>
    <m/>
    <m/>
  </r>
  <r>
    <n v="3261"/>
    <n v="4492"/>
    <x v="80"/>
    <n v="3291.84"/>
    <s v="Completed"/>
    <s v="East"/>
    <s v="Debit Card"/>
    <m/>
    <m/>
  </r>
  <r>
    <n v="3262"/>
    <n v="2523"/>
    <x v="325"/>
    <n v="3291.84"/>
    <s v="Completed"/>
    <s v="East"/>
    <s v="Debit Card"/>
    <m/>
    <m/>
  </r>
  <r>
    <n v="3263"/>
    <n v="9009"/>
    <x v="110"/>
    <n v="3291.84"/>
    <s v="Completed"/>
    <s v="East"/>
    <s v="Debit Card"/>
    <m/>
    <m/>
  </r>
  <r>
    <n v="3264"/>
    <n v="3513"/>
    <x v="315"/>
    <n v="3291.84"/>
    <s v="Completed"/>
    <s v="East"/>
    <s v="Debit Card"/>
    <m/>
    <m/>
  </r>
  <r>
    <n v="3265"/>
    <n v="1921"/>
    <x v="339"/>
    <n v="3291.84"/>
    <s v="Completed"/>
    <s v="South"/>
    <s v="Debit Card"/>
    <m/>
    <m/>
  </r>
  <r>
    <n v="3266"/>
    <n v="9732"/>
    <x v="211"/>
    <n v="3291.84"/>
    <s v="Completed"/>
    <s v="East"/>
    <s v="Debit Card"/>
    <m/>
    <m/>
  </r>
  <r>
    <n v="3267"/>
    <n v="7155"/>
    <x v="236"/>
    <n v="3291.84"/>
    <s v="Completed"/>
    <s v="West"/>
    <s v="PayPal"/>
    <m/>
    <m/>
  </r>
  <r>
    <n v="3268"/>
    <n v="5289"/>
    <x v="56"/>
    <n v="3291.84"/>
    <s v="Completed"/>
    <s v="West"/>
    <s v="PayPal"/>
    <m/>
    <m/>
  </r>
  <r>
    <n v="3269"/>
    <n v="4419"/>
    <x v="278"/>
    <n v="3291.84"/>
    <s v="Completed"/>
    <s v="West"/>
    <s v="Credit Card"/>
    <m/>
    <m/>
  </r>
  <r>
    <n v="3270"/>
    <n v="5246"/>
    <x v="224"/>
    <n v="3291.84"/>
    <s v="Completed"/>
    <s v="others"/>
    <s v="Apple Pay"/>
    <m/>
    <m/>
  </r>
  <r>
    <n v="3271"/>
    <n v="4847"/>
    <x v="362"/>
    <n v="3291.84"/>
    <s v="Completed"/>
    <s v="North"/>
    <s v="PayPal"/>
    <m/>
    <m/>
  </r>
  <r>
    <n v="3272"/>
    <n v="2627"/>
    <x v="15"/>
    <n v="3291.84"/>
    <s v="Completed"/>
    <s v="East"/>
    <s v="Credit Card"/>
    <m/>
    <m/>
  </r>
  <r>
    <n v="3273"/>
    <n v="4110"/>
    <x v="155"/>
    <n v="3291.84"/>
    <s v="Completed"/>
    <s v="North"/>
    <s v="Debit Card"/>
    <m/>
    <m/>
  </r>
  <r>
    <n v="3274"/>
    <n v="9923"/>
    <x v="316"/>
    <n v="3291.84"/>
    <s v="Completed"/>
    <s v="North"/>
    <s v="Apple Pay"/>
    <m/>
    <m/>
  </r>
  <r>
    <n v="3275"/>
    <n v="4208"/>
    <x v="357"/>
    <n v="3291.84"/>
    <s v="Completed"/>
    <s v="Central"/>
    <s v="PayPal"/>
    <m/>
    <m/>
  </r>
  <r>
    <n v="3276"/>
    <n v="5635"/>
    <x v="166"/>
    <n v="3291.84"/>
    <s v="Completed"/>
    <s v="West"/>
    <s v="Credit Card"/>
    <m/>
    <m/>
  </r>
  <r>
    <n v="3277"/>
    <n v="8741"/>
    <x v="113"/>
    <n v="3291.84"/>
    <s v="Completed"/>
    <s v="West"/>
    <s v="Debit Card"/>
    <m/>
    <m/>
  </r>
  <r>
    <n v="3278"/>
    <n v="253"/>
    <x v="219"/>
    <n v="3291.84"/>
    <s v="Completed"/>
    <s v="East"/>
    <s v="Credit Card"/>
    <m/>
    <m/>
  </r>
  <r>
    <n v="3279"/>
    <n v="7875"/>
    <x v="196"/>
    <n v="3291.84"/>
    <s v="Completed"/>
    <s v="North"/>
    <s v="Apple Pay"/>
    <m/>
    <m/>
  </r>
  <r>
    <n v="3280"/>
    <n v="8099"/>
    <x v="24"/>
    <n v="3291.84"/>
    <s v="Completed"/>
    <s v="Central"/>
    <s v="Debit Card"/>
    <m/>
    <m/>
  </r>
  <r>
    <n v="3281"/>
    <n v="6232"/>
    <x v="6"/>
    <n v="3291.84"/>
    <s v="Completed"/>
    <s v="East"/>
    <s v="PayPal"/>
    <m/>
    <m/>
  </r>
  <r>
    <n v="3282"/>
    <n v="9281"/>
    <x v="107"/>
    <n v="3291.84"/>
    <s v="Completed"/>
    <s v="North"/>
    <s v="Debit Card"/>
    <m/>
    <m/>
  </r>
  <r>
    <n v="3283"/>
    <n v="3520"/>
    <x v="50"/>
    <n v="3291.84"/>
    <s v="Completed"/>
    <s v="South"/>
    <s v="Apple Pay"/>
    <m/>
    <m/>
  </r>
  <r>
    <n v="3284"/>
    <n v="8260"/>
    <x v="178"/>
    <n v="3291.84"/>
    <s v="Completed"/>
    <s v="South"/>
    <s v="Apple Pay"/>
    <m/>
    <m/>
  </r>
  <r>
    <n v="3285"/>
    <n v="5188"/>
    <x v="293"/>
    <n v="3291.84"/>
    <s v="Completed"/>
    <s v="North"/>
    <s v="Apple Pay"/>
    <m/>
    <m/>
  </r>
  <r>
    <n v="3286"/>
    <n v="5862"/>
    <x v="70"/>
    <n v="3291.84"/>
    <s v="Completed"/>
    <s v="East"/>
    <s v="PayPal"/>
    <m/>
    <m/>
  </r>
  <r>
    <n v="3287"/>
    <n v="954"/>
    <x v="253"/>
    <n v="3291.84"/>
    <s v="Completed"/>
    <s v="West"/>
    <s v="Credit Card"/>
    <m/>
    <m/>
  </r>
  <r>
    <n v="3288"/>
    <n v="8691"/>
    <x v="85"/>
    <n v="3291.84"/>
    <s v="Returned"/>
    <s v="Central"/>
    <s v="Apple Pay"/>
    <m/>
    <m/>
  </r>
  <r>
    <n v="3289"/>
    <n v="3123"/>
    <x v="58"/>
    <n v="3291.84"/>
    <s v="Completed"/>
    <s v="South"/>
    <s v="Credit Card"/>
    <m/>
    <m/>
  </r>
  <r>
    <n v="3290"/>
    <n v="8445"/>
    <x v="52"/>
    <n v="3291.84"/>
    <s v="Completed"/>
    <s v="Central"/>
    <s v="Credit Card"/>
    <m/>
    <m/>
  </r>
  <r>
    <n v="3291"/>
    <n v="7286"/>
    <x v="133"/>
    <n v="3291.84"/>
    <s v="Completed"/>
    <s v="South"/>
    <s v="Credit Card"/>
    <m/>
    <m/>
  </r>
  <r>
    <n v="3292"/>
    <n v="498"/>
    <x v="170"/>
    <n v="3291.84"/>
    <s v="Completed"/>
    <s v="North"/>
    <s v="Credit Card"/>
    <m/>
    <m/>
  </r>
  <r>
    <n v="3293"/>
    <n v="1059"/>
    <x v="185"/>
    <n v="3291.84"/>
    <s v="Completed"/>
    <s v="South"/>
    <s v="PayPal"/>
    <m/>
    <m/>
  </r>
  <r>
    <n v="3294"/>
    <n v="9630"/>
    <x v="53"/>
    <n v="3291.84"/>
    <s v="Completed"/>
    <s v="West"/>
    <s v="Apple Pay"/>
    <m/>
    <m/>
  </r>
  <r>
    <n v="3295"/>
    <n v="8464"/>
    <x v="274"/>
    <n v="3291.84"/>
    <s v="Cancelled"/>
    <s v="Central"/>
    <s v="PayPal"/>
    <m/>
    <m/>
  </r>
  <r>
    <n v="3296"/>
    <n v="2319"/>
    <x v="264"/>
    <n v="3291.84"/>
    <s v="Completed"/>
    <s v="East"/>
    <s v="PayPal"/>
    <m/>
    <m/>
  </r>
  <r>
    <n v="3297"/>
    <n v="1926"/>
    <x v="251"/>
    <n v="3291.84"/>
    <s v="Completed"/>
    <s v="West"/>
    <s v="Apple Pay"/>
    <m/>
    <m/>
  </r>
  <r>
    <n v="3298"/>
    <n v="2411"/>
    <x v="358"/>
    <n v="3291.84"/>
    <s v="Cancelled"/>
    <s v="Central"/>
    <s v="Debit Card"/>
    <m/>
    <m/>
  </r>
  <r>
    <n v="3299"/>
    <n v="4829"/>
    <x v="258"/>
    <n v="3291.84"/>
    <s v="Completed"/>
    <s v="Central"/>
    <s v="PayPal"/>
    <m/>
    <m/>
  </r>
  <r>
    <n v="3300"/>
    <n v="3692"/>
    <x v="203"/>
    <n v="3291.84"/>
    <s v="Completed"/>
    <s v="Central"/>
    <s v="Debit Card"/>
    <m/>
    <m/>
  </r>
  <r>
    <n v="3301"/>
    <n v="5504"/>
    <x v="211"/>
    <n v="3291.84"/>
    <s v="Completed"/>
    <s v="North"/>
    <s v="Debit Card"/>
    <m/>
    <m/>
  </r>
  <r>
    <n v="3302"/>
    <n v="516"/>
    <x v="100"/>
    <n v="3291.84"/>
    <s v="Completed"/>
    <s v="North"/>
    <s v="Credit Card"/>
    <m/>
    <m/>
  </r>
  <r>
    <n v="3303"/>
    <n v="461"/>
    <x v="213"/>
    <n v="3291.84"/>
    <s v="Completed"/>
    <s v="Central"/>
    <s v="PayPal"/>
    <m/>
    <m/>
  </r>
  <r>
    <n v="3304"/>
    <n v="1265"/>
    <x v="247"/>
    <n v="3291.84"/>
    <s v="Completed"/>
    <s v="Central"/>
    <s v="PayPal"/>
    <m/>
    <m/>
  </r>
  <r>
    <n v="3305"/>
    <n v="2422"/>
    <x v="254"/>
    <n v="3291.84"/>
    <s v="Completed"/>
    <s v="East"/>
    <s v="Credit Card"/>
    <m/>
    <m/>
  </r>
  <r>
    <n v="3306"/>
    <n v="9197"/>
    <x v="105"/>
    <n v="3291.84"/>
    <s v="Completed"/>
    <s v="East"/>
    <s v="Apple Pay"/>
    <m/>
    <m/>
  </r>
  <r>
    <n v="3307"/>
    <n v="4783"/>
    <x v="16"/>
    <n v="3291.84"/>
    <s v="Completed"/>
    <s v="West"/>
    <s v="PayPal"/>
    <m/>
    <m/>
  </r>
  <r>
    <n v="3308"/>
    <n v="7352"/>
    <x v="125"/>
    <n v="3291.84"/>
    <s v="Completed"/>
    <s v="South"/>
    <s v="PayPal"/>
    <m/>
    <m/>
  </r>
  <r>
    <n v="3309"/>
    <n v="2132"/>
    <x v="23"/>
    <n v="3291.84"/>
    <s v="Completed"/>
    <s v="West"/>
    <s v="Apple Pay"/>
    <m/>
    <m/>
  </r>
  <r>
    <n v="3310"/>
    <n v="8657"/>
    <x v="113"/>
    <n v="3291.84"/>
    <s v="Completed"/>
    <s v="Central"/>
    <s v="PayPal"/>
    <m/>
    <m/>
  </r>
  <r>
    <n v="3311"/>
    <n v="4321"/>
    <x v="3"/>
    <n v="3291.84"/>
    <s v="Completed"/>
    <s v="South"/>
    <s v="Debit Card"/>
    <m/>
    <m/>
  </r>
  <r>
    <n v="3312"/>
    <n v="9522"/>
    <x v="145"/>
    <n v="3291.84"/>
    <s v="Completed"/>
    <s v="North"/>
    <s v="PayPal"/>
    <m/>
    <m/>
  </r>
  <r>
    <n v="3313"/>
    <n v="2841"/>
    <x v="121"/>
    <n v="3291.84"/>
    <s v="Completed"/>
    <s v="South"/>
    <s v="PayPal"/>
    <m/>
    <m/>
  </r>
  <r>
    <n v="3314"/>
    <n v="7307"/>
    <x v="227"/>
    <n v="3291.84"/>
    <s v="Completed"/>
    <s v="North"/>
    <s v="Apple Pay"/>
    <m/>
    <m/>
  </r>
  <r>
    <n v="3315"/>
    <n v="8183"/>
    <x v="78"/>
    <n v="3291.84"/>
    <s v="Completed"/>
    <s v="West"/>
    <s v="Credit Card"/>
    <m/>
    <m/>
  </r>
  <r>
    <n v="3316"/>
    <n v="7688"/>
    <x v="282"/>
    <n v="3291.84"/>
    <s v="Completed"/>
    <s v="South"/>
    <s v="Apple Pay"/>
    <m/>
    <m/>
  </r>
  <r>
    <n v="3317"/>
    <n v="5692"/>
    <x v="13"/>
    <n v="3291.84"/>
    <s v="Completed"/>
    <s v="Central"/>
    <s v="PayPal"/>
    <m/>
    <m/>
  </r>
  <r>
    <n v="3318"/>
    <n v="3252"/>
    <x v="267"/>
    <n v="3291.84"/>
    <s v="Completed"/>
    <s v="North"/>
    <s v="Credit Card"/>
    <m/>
    <m/>
  </r>
  <r>
    <n v="3319"/>
    <n v="8046"/>
    <x v="236"/>
    <n v="3291.84"/>
    <s v="Completed"/>
    <s v="South"/>
    <s v="Credit Card"/>
    <m/>
    <m/>
  </r>
  <r>
    <n v="3320"/>
    <n v="8286"/>
    <x v="245"/>
    <n v="3291.84"/>
    <s v="Completed"/>
    <s v="West"/>
    <s v="Debit Card"/>
    <m/>
    <m/>
  </r>
  <r>
    <n v="3321"/>
    <n v="3891"/>
    <x v="119"/>
    <n v="3291.84"/>
    <s v="Completed"/>
    <s v="North"/>
    <s v="Credit Card"/>
    <m/>
    <m/>
  </r>
  <r>
    <n v="3322"/>
    <n v="6125"/>
    <x v="310"/>
    <n v="3291.84"/>
    <s v="Completed"/>
    <s v="South"/>
    <s v="Debit Card"/>
    <m/>
    <m/>
  </r>
  <r>
    <n v="3323"/>
    <n v="6309"/>
    <x v="304"/>
    <n v="3291.84"/>
    <s v="Completed"/>
    <s v="Central"/>
    <s v="Credit Card"/>
    <m/>
    <m/>
  </r>
  <r>
    <n v="3324"/>
    <n v="4042"/>
    <x v="73"/>
    <n v="3291.84"/>
    <s v="Completed"/>
    <s v="East"/>
    <s v="Credit Card"/>
    <m/>
    <m/>
  </r>
  <r>
    <n v="3325"/>
    <n v="2198"/>
    <x v="57"/>
    <n v="3291.84"/>
    <s v="Completed"/>
    <s v="North"/>
    <s v="Debit Card"/>
    <m/>
    <m/>
  </r>
  <r>
    <n v="3326"/>
    <n v="1045"/>
    <x v="128"/>
    <n v="3291.84"/>
    <s v="Completed"/>
    <s v="West"/>
    <s v="Debit Card"/>
    <m/>
    <m/>
  </r>
  <r>
    <n v="3327"/>
    <n v="2107"/>
    <x v="19"/>
    <n v="3291.84"/>
    <s v="Completed"/>
    <s v="East"/>
    <s v="PayPal"/>
    <m/>
    <m/>
  </r>
  <r>
    <n v="3328"/>
    <n v="431"/>
    <x v="203"/>
    <n v="3291.84"/>
    <s v="Completed"/>
    <s v="West"/>
    <s v="Credit Card"/>
    <m/>
    <m/>
  </r>
  <r>
    <n v="3329"/>
    <n v="5451"/>
    <x v="9"/>
    <n v="3291.84"/>
    <s v="Completed"/>
    <s v="North"/>
    <s v="PayPal"/>
    <m/>
    <m/>
  </r>
  <r>
    <n v="3330"/>
    <n v="9706"/>
    <x v="327"/>
    <n v="3291.84"/>
    <s v="Completed"/>
    <s v="North"/>
    <s v="Apple Pay"/>
    <m/>
    <m/>
  </r>
  <r>
    <n v="3331"/>
    <n v="1441"/>
    <x v="34"/>
    <n v="3291.84"/>
    <s v="Completed"/>
    <s v="East"/>
    <s v="PayPal"/>
    <m/>
    <m/>
  </r>
  <r>
    <n v="3332"/>
    <n v="584"/>
    <x v="41"/>
    <n v="3291.84"/>
    <s v="Completed"/>
    <s v="South"/>
    <s v="Credit Card"/>
    <m/>
    <m/>
  </r>
  <r>
    <n v="3333"/>
    <n v="4278"/>
    <x v="104"/>
    <n v="3291.84"/>
    <s v="Completed"/>
    <s v="East"/>
    <s v="Apple Pay"/>
    <m/>
    <m/>
  </r>
  <r>
    <n v="3334"/>
    <n v="3236"/>
    <x v="10"/>
    <n v="3291.84"/>
    <s v="Completed"/>
    <s v="South"/>
    <s v="Debit Card"/>
    <m/>
    <m/>
  </r>
  <r>
    <n v="3335"/>
    <n v="2292"/>
    <x v="222"/>
    <n v="3291.84"/>
    <s v="Completed"/>
    <s v="West"/>
    <s v="Apple Pay"/>
    <m/>
    <m/>
  </r>
  <r>
    <n v="3336"/>
    <n v="7621"/>
    <x v="340"/>
    <n v="3291.84"/>
    <s v="Completed"/>
    <s v="North"/>
    <s v="PayPal"/>
    <m/>
    <m/>
  </r>
  <r>
    <n v="3337"/>
    <n v="2136"/>
    <x v="113"/>
    <n v="3291.84"/>
    <s v="Completed"/>
    <s v="South"/>
    <s v="Credit Card"/>
    <m/>
    <m/>
  </r>
  <r>
    <n v="3338"/>
    <n v="6833"/>
    <x v="193"/>
    <n v="3291.84"/>
    <s v="Completed"/>
    <s v="West"/>
    <s v="PayPal"/>
    <m/>
    <m/>
  </r>
  <r>
    <n v="3339"/>
    <n v="2094"/>
    <x v="153"/>
    <n v="3291.84"/>
    <s v="Completed"/>
    <s v="South"/>
    <s v="Credit Card"/>
    <m/>
    <m/>
  </r>
  <r>
    <n v="3340"/>
    <n v="1954"/>
    <x v="283"/>
    <n v="3291.84"/>
    <s v="Completed"/>
    <s v="West"/>
    <s v="Debit Card"/>
    <m/>
    <m/>
  </r>
  <r>
    <n v="3341"/>
    <n v="2583"/>
    <x v="211"/>
    <n v="3291.84"/>
    <s v="Completed"/>
    <s v="Central"/>
    <s v="Credit Card"/>
    <m/>
    <m/>
  </r>
  <r>
    <n v="3342"/>
    <n v="3397"/>
    <x v="242"/>
    <n v="3291.84"/>
    <s v="Completed"/>
    <s v="East"/>
    <s v="Debit Card"/>
    <m/>
    <m/>
  </r>
  <r>
    <n v="3343"/>
    <n v="3896"/>
    <x v="51"/>
    <n v="3291.84"/>
    <s v="Returned"/>
    <s v="North"/>
    <s v="PayPal"/>
    <m/>
    <m/>
  </r>
  <r>
    <n v="3344"/>
    <n v="6526"/>
    <x v="327"/>
    <n v="3291.84"/>
    <s v="Completed"/>
    <s v="East"/>
    <s v="Apple Pay"/>
    <m/>
    <m/>
  </r>
  <r>
    <n v="3345"/>
    <n v="1263"/>
    <x v="304"/>
    <n v="3291.84"/>
    <s v="Completed"/>
    <s v="East"/>
    <s v="Credit Card"/>
    <m/>
    <m/>
  </r>
  <r>
    <n v="3346"/>
    <n v="9865"/>
    <x v="122"/>
    <n v="3291.84"/>
    <s v="Completed"/>
    <s v="Central"/>
    <s v="Debit Card"/>
    <m/>
    <m/>
  </r>
  <r>
    <n v="3347"/>
    <n v="5511"/>
    <x v="37"/>
    <n v="3291.84"/>
    <s v="Returned"/>
    <s v="North"/>
    <s v="Apple Pay"/>
    <m/>
    <m/>
  </r>
  <r>
    <n v="3348"/>
    <n v="4252"/>
    <x v="17"/>
    <n v="3291.84"/>
    <s v="Completed"/>
    <s v="East"/>
    <s v="Debit Card"/>
    <m/>
    <m/>
  </r>
  <r>
    <n v="3349"/>
    <n v="4298"/>
    <x v="265"/>
    <n v="3291.84"/>
    <s v="Completed"/>
    <s v="North"/>
    <s v="Credit Card"/>
    <m/>
    <m/>
  </r>
  <r>
    <n v="3350"/>
    <n v="2074"/>
    <x v="355"/>
    <n v="3291.84"/>
    <s v="Completed"/>
    <s v="North"/>
    <s v="Debit Card"/>
    <m/>
    <m/>
  </r>
  <r>
    <n v="3351"/>
    <n v="347"/>
    <x v="47"/>
    <n v="3291.84"/>
    <s v="Completed"/>
    <s v="West"/>
    <s v="PayPal"/>
    <m/>
    <m/>
  </r>
  <r>
    <n v="3352"/>
    <n v="5495"/>
    <x v="214"/>
    <n v="3291.84"/>
    <s v="Completed"/>
    <s v="North"/>
    <s v="PayPal"/>
    <m/>
    <m/>
  </r>
  <r>
    <n v="3353"/>
    <n v="476"/>
    <x v="311"/>
    <n v="3291.84"/>
    <s v="Completed"/>
    <s v="West"/>
    <s v="Apple Pay"/>
    <m/>
    <m/>
  </r>
  <r>
    <n v="3354"/>
    <n v="5073"/>
    <x v="152"/>
    <n v="3291.84"/>
    <s v="Completed"/>
    <s v="South"/>
    <s v="Debit Card"/>
    <m/>
    <m/>
  </r>
  <r>
    <n v="3355"/>
    <n v="6233"/>
    <x v="34"/>
    <n v="3291.84"/>
    <s v="Completed"/>
    <s v="North"/>
    <s v="Debit Card"/>
    <m/>
    <m/>
  </r>
  <r>
    <n v="3356"/>
    <n v="6733"/>
    <x v="3"/>
    <n v="3291.84"/>
    <s v="Completed"/>
    <s v="East"/>
    <s v="Debit Card"/>
    <m/>
    <m/>
  </r>
  <r>
    <n v="3357"/>
    <n v="6046"/>
    <x v="157"/>
    <n v="3291.84"/>
    <s v="Completed"/>
    <s v="Central"/>
    <s v="Apple Pay"/>
    <m/>
    <m/>
  </r>
  <r>
    <n v="3358"/>
    <n v="768"/>
    <x v="128"/>
    <n v="3291.84"/>
    <s v="Completed"/>
    <s v="East"/>
    <s v="Credit Card"/>
    <m/>
    <m/>
  </r>
  <r>
    <n v="3359"/>
    <n v="1556"/>
    <x v="199"/>
    <n v="3291.84"/>
    <s v="Completed"/>
    <s v="Central"/>
    <s v="Debit Card"/>
    <m/>
    <m/>
  </r>
  <r>
    <n v="3360"/>
    <n v="3573"/>
    <x v="198"/>
    <n v="3291.84"/>
    <s v="Completed"/>
    <s v="Central"/>
    <s v="Apple Pay"/>
    <m/>
    <m/>
  </r>
  <r>
    <n v="3361"/>
    <n v="297"/>
    <x v="308"/>
    <n v="3291.84"/>
    <s v="Completed"/>
    <s v="East"/>
    <s v="Credit Card"/>
    <m/>
    <m/>
  </r>
  <r>
    <n v="3362"/>
    <n v="7569"/>
    <x v="166"/>
    <n v="3291.84"/>
    <s v="Completed"/>
    <s v="East"/>
    <s v="PayPal"/>
    <m/>
    <m/>
  </r>
  <r>
    <n v="3363"/>
    <n v="8541"/>
    <x v="190"/>
    <n v="3291.84"/>
    <s v="Completed"/>
    <s v="North"/>
    <s v="Credit Card"/>
    <m/>
    <m/>
  </r>
  <r>
    <n v="3364"/>
    <n v="7235"/>
    <x v="353"/>
    <n v="3291.84"/>
    <s v="Completed"/>
    <s v="Central"/>
    <s v="PayPal"/>
    <m/>
    <m/>
  </r>
  <r>
    <n v="3365"/>
    <n v="18"/>
    <x v="85"/>
    <n v="3291.84"/>
    <s v="Completed"/>
    <s v="West"/>
    <s v="Credit Card"/>
    <m/>
    <m/>
  </r>
  <r>
    <n v="3366"/>
    <n v="1648"/>
    <x v="100"/>
    <n v="3291.84"/>
    <s v="Completed"/>
    <s v="South"/>
    <s v="Apple Pay"/>
    <m/>
    <m/>
  </r>
  <r>
    <n v="3367"/>
    <n v="1744"/>
    <x v="299"/>
    <n v="3291.84"/>
    <s v="Completed"/>
    <s v="West"/>
    <s v="Credit Card"/>
    <m/>
    <m/>
  </r>
  <r>
    <n v="3368"/>
    <n v="4121"/>
    <x v="169"/>
    <n v="3291.84"/>
    <s v="Completed"/>
    <s v="South"/>
    <s v="PayPal"/>
    <m/>
    <m/>
  </r>
  <r>
    <n v="3369"/>
    <n v="5687"/>
    <x v="15"/>
    <n v="3291.84"/>
    <s v="Completed"/>
    <s v="North"/>
    <s v="Credit Card"/>
    <m/>
    <m/>
  </r>
  <r>
    <n v="3370"/>
    <n v="4896"/>
    <x v="120"/>
    <n v="3291.84"/>
    <s v="Completed"/>
    <s v="West"/>
    <s v="Credit Card"/>
    <m/>
    <m/>
  </r>
  <r>
    <n v="3371"/>
    <n v="7388"/>
    <x v="223"/>
    <n v="3291.84"/>
    <s v="Completed"/>
    <s v="East"/>
    <s v="Debit Card"/>
    <m/>
    <m/>
  </r>
  <r>
    <n v="3372"/>
    <n v="2674"/>
    <x v="202"/>
    <n v="3291.84"/>
    <s v="Completed"/>
    <s v="others"/>
    <s v="Debit Card"/>
    <m/>
    <m/>
  </r>
  <r>
    <n v="3373"/>
    <n v="9749"/>
    <x v="309"/>
    <n v="3291.84"/>
    <s v="Completed"/>
    <s v="West"/>
    <s v="Debit Card"/>
    <m/>
    <m/>
  </r>
  <r>
    <n v="3374"/>
    <n v="3483"/>
    <x v="199"/>
    <n v="3291.84"/>
    <s v="Returned"/>
    <s v="West"/>
    <s v="PayPal"/>
    <m/>
    <m/>
  </r>
  <r>
    <n v="3375"/>
    <n v="4538"/>
    <x v="193"/>
    <n v="3291.84"/>
    <s v="Completed"/>
    <s v="North"/>
    <s v="Apple Pay"/>
    <m/>
    <m/>
  </r>
  <r>
    <n v="3376"/>
    <n v="5124"/>
    <x v="29"/>
    <n v="3291.84"/>
    <s v="Completed"/>
    <s v="West"/>
    <s v="Debit Card"/>
    <m/>
    <m/>
  </r>
  <r>
    <n v="3377"/>
    <n v="7914"/>
    <x v="189"/>
    <n v="3291.84"/>
    <s v="Completed"/>
    <s v="East"/>
    <s v="Credit Card"/>
    <m/>
    <m/>
  </r>
  <r>
    <n v="3378"/>
    <n v="7968"/>
    <x v="250"/>
    <n v="3291.84"/>
    <s v="Completed"/>
    <s v="North"/>
    <s v="Debit Card"/>
    <m/>
    <m/>
  </r>
  <r>
    <n v="3379"/>
    <n v="3714"/>
    <x v="352"/>
    <n v="3291.84"/>
    <s v="Cancelled"/>
    <s v="South"/>
    <s v="Apple Pay"/>
    <m/>
    <m/>
  </r>
  <r>
    <n v="3380"/>
    <n v="5251"/>
    <x v="9"/>
    <n v="3291.84"/>
    <s v="Completed"/>
    <s v="Central"/>
    <s v="Debit Card"/>
    <m/>
    <m/>
  </r>
  <r>
    <n v="3381"/>
    <n v="7395"/>
    <x v="208"/>
    <n v="3291.84"/>
    <s v="Completed"/>
    <s v="Central"/>
    <s v="Credit Card"/>
    <m/>
    <m/>
  </r>
  <r>
    <n v="3382"/>
    <n v="954"/>
    <x v="191"/>
    <n v="3291.84"/>
    <s v="Completed"/>
    <s v="West"/>
    <s v="Debit Card"/>
    <m/>
    <m/>
  </r>
  <r>
    <n v="3383"/>
    <n v="3006"/>
    <x v="53"/>
    <n v="3291.84"/>
    <s v="Completed"/>
    <s v="West"/>
    <s v="Apple Pay"/>
    <m/>
    <m/>
  </r>
  <r>
    <n v="3384"/>
    <n v="4786"/>
    <x v="32"/>
    <n v="3291.84"/>
    <s v="Completed"/>
    <s v="Central"/>
    <s v="Credit Card"/>
    <m/>
    <m/>
  </r>
  <r>
    <n v="3385"/>
    <n v="8730"/>
    <x v="124"/>
    <n v="3291.84"/>
    <s v="Completed"/>
    <s v="East"/>
    <s v="Apple Pay"/>
    <m/>
    <m/>
  </r>
  <r>
    <n v="3386"/>
    <n v="1047"/>
    <x v="344"/>
    <n v="3291.84"/>
    <s v="Cancelled"/>
    <s v="North"/>
    <s v="PayPal"/>
    <m/>
    <m/>
  </r>
  <r>
    <n v="3387"/>
    <n v="3406"/>
    <x v="119"/>
    <n v="3291.84"/>
    <s v="Completed"/>
    <s v="Central"/>
    <s v="Debit Card"/>
    <m/>
    <m/>
  </r>
  <r>
    <n v="3388"/>
    <n v="5206"/>
    <x v="125"/>
    <n v="3291.84"/>
    <s v="Completed"/>
    <s v="West"/>
    <s v="Credit Card"/>
    <m/>
    <m/>
  </r>
  <r>
    <n v="3389"/>
    <n v="678"/>
    <x v="275"/>
    <n v="3291.84"/>
    <s v="Completed"/>
    <s v="Central"/>
    <s v="PayPal"/>
    <m/>
    <m/>
  </r>
  <r>
    <n v="3390"/>
    <n v="4328"/>
    <x v="236"/>
    <n v="3291.84"/>
    <s v="Completed"/>
    <s v="South"/>
    <s v="Apple Pay"/>
    <m/>
    <m/>
  </r>
  <r>
    <n v="3391"/>
    <n v="7197"/>
    <x v="220"/>
    <n v="3291.84"/>
    <s v="Completed"/>
    <s v="West"/>
    <s v="Credit Card"/>
    <m/>
    <m/>
  </r>
  <r>
    <n v="3392"/>
    <n v="4367"/>
    <x v="185"/>
    <n v="3291.84"/>
    <s v="Completed"/>
    <s v="West"/>
    <s v="PayPal"/>
    <m/>
    <m/>
  </r>
  <r>
    <n v="3393"/>
    <n v="8728"/>
    <x v="304"/>
    <n v="3291.84"/>
    <s v="Completed"/>
    <s v="Central"/>
    <s v="PayPal"/>
    <m/>
    <m/>
  </r>
  <r>
    <n v="3394"/>
    <n v="4090"/>
    <x v="54"/>
    <n v="3291.84"/>
    <s v="Completed"/>
    <s v="West"/>
    <s v="PayPal"/>
    <m/>
    <m/>
  </r>
  <r>
    <n v="3395"/>
    <n v="2830"/>
    <x v="122"/>
    <n v="3291.84"/>
    <s v="Completed"/>
    <s v="Central"/>
    <s v="Credit Card"/>
    <m/>
    <m/>
  </r>
  <r>
    <n v="3396"/>
    <n v="6766"/>
    <x v="266"/>
    <n v="3291.84"/>
    <s v="Completed"/>
    <s v="East"/>
    <s v="PayPal"/>
    <m/>
    <m/>
  </r>
  <r>
    <n v="3397"/>
    <n v="4603"/>
    <x v="248"/>
    <n v="3291.84"/>
    <s v="Completed"/>
    <s v="others"/>
    <s v="Apple Pay"/>
    <m/>
    <m/>
  </r>
  <r>
    <n v="3398"/>
    <n v="4299"/>
    <x v="157"/>
    <n v="3291.84"/>
    <s v="Completed"/>
    <s v="West"/>
    <s v="PayPal"/>
    <m/>
    <m/>
  </r>
  <r>
    <n v="3399"/>
    <n v="3400"/>
    <x v="205"/>
    <n v="3291.84"/>
    <s v="Completed"/>
    <s v="North"/>
    <s v="Credit Card"/>
    <m/>
    <m/>
  </r>
  <r>
    <n v="3400"/>
    <n v="9731"/>
    <x v="229"/>
    <n v="3291.84"/>
    <s v="Completed"/>
    <s v="South"/>
    <s v="Apple Pay"/>
    <m/>
    <m/>
  </r>
  <r>
    <n v="3401"/>
    <n v="5458"/>
    <x v="161"/>
    <n v="3291.84"/>
    <s v="Completed"/>
    <s v="West"/>
    <s v="Credit Card"/>
    <m/>
    <m/>
  </r>
  <r>
    <n v="3402"/>
    <n v="5654"/>
    <x v="343"/>
    <n v="3291.84"/>
    <s v="Completed"/>
    <s v="Central"/>
    <s v="Credit Card"/>
    <m/>
    <m/>
  </r>
  <r>
    <n v="3403"/>
    <n v="4788"/>
    <x v="245"/>
    <n v="3291.84"/>
    <s v="Completed"/>
    <s v="South"/>
    <s v="Credit Card"/>
    <m/>
    <m/>
  </r>
  <r>
    <n v="3404"/>
    <n v="7255"/>
    <x v="287"/>
    <n v="3291.84"/>
    <s v="Completed"/>
    <s v="North"/>
    <s v="Apple Pay"/>
    <m/>
    <m/>
  </r>
  <r>
    <n v="3405"/>
    <n v="3250"/>
    <x v="18"/>
    <n v="3291.84"/>
    <s v="Completed"/>
    <s v="West"/>
    <s v="Debit Card"/>
    <m/>
    <m/>
  </r>
  <r>
    <n v="3406"/>
    <n v="946"/>
    <x v="65"/>
    <n v="3291.84"/>
    <s v="Completed"/>
    <s v="North"/>
    <s v="PayPal"/>
    <m/>
    <m/>
  </r>
  <r>
    <n v="3407"/>
    <n v="3601"/>
    <x v="245"/>
    <n v="3291.84"/>
    <s v="Completed"/>
    <s v="South"/>
    <s v="Debit Card"/>
    <m/>
    <m/>
  </r>
  <r>
    <n v="3408"/>
    <n v="8498"/>
    <x v="200"/>
    <n v="3291.84"/>
    <s v="Returned"/>
    <s v="South"/>
    <s v="Debit Card"/>
    <m/>
    <m/>
  </r>
  <r>
    <n v="3409"/>
    <n v="9069"/>
    <x v="227"/>
    <n v="3291.84"/>
    <s v="Completed"/>
    <s v="West"/>
    <s v="Credit Card"/>
    <m/>
    <m/>
  </r>
  <r>
    <n v="3410"/>
    <n v="822"/>
    <x v="310"/>
    <n v="3291.84"/>
    <s v="Completed"/>
    <s v="East"/>
    <s v="Credit Card"/>
    <m/>
    <m/>
  </r>
  <r>
    <n v="3411"/>
    <n v="7210"/>
    <x v="288"/>
    <n v="3291.84"/>
    <s v="Completed"/>
    <s v="West"/>
    <s v="Credit Card"/>
    <m/>
    <m/>
  </r>
  <r>
    <n v="3412"/>
    <n v="44"/>
    <x v="241"/>
    <n v="3291.84"/>
    <s v="Completed"/>
    <s v="Central"/>
    <s v="Credit Card"/>
    <m/>
    <m/>
  </r>
  <r>
    <n v="3413"/>
    <n v="2624"/>
    <x v="352"/>
    <n v="3291.84"/>
    <s v="Completed"/>
    <s v="West"/>
    <s v="Apple Pay"/>
    <m/>
    <m/>
  </r>
  <r>
    <n v="3414"/>
    <n v="2219"/>
    <x v="128"/>
    <n v="3291.84"/>
    <s v="Completed"/>
    <s v="South"/>
    <s v="Debit Card"/>
    <m/>
    <m/>
  </r>
  <r>
    <n v="3415"/>
    <n v="4379"/>
    <x v="265"/>
    <n v="3291.84"/>
    <s v="Completed"/>
    <s v="East"/>
    <s v="Apple Pay"/>
    <m/>
    <m/>
  </r>
  <r>
    <n v="3416"/>
    <n v="220"/>
    <x v="94"/>
    <n v="3291.84"/>
    <s v="Completed"/>
    <s v="Central"/>
    <s v="Apple Pay"/>
    <m/>
    <m/>
  </r>
  <r>
    <n v="3417"/>
    <n v="1617"/>
    <x v="58"/>
    <n v="3291.84"/>
    <s v="Completed"/>
    <s v="West"/>
    <s v="Apple Pay"/>
    <m/>
    <m/>
  </r>
  <r>
    <n v="3418"/>
    <n v="5169"/>
    <x v="125"/>
    <n v="3291.84"/>
    <s v="Completed"/>
    <s v="East"/>
    <s v="Debit Card"/>
    <m/>
    <m/>
  </r>
  <r>
    <n v="3419"/>
    <n v="1482"/>
    <x v="322"/>
    <n v="3291.84"/>
    <s v="Completed"/>
    <s v="South"/>
    <s v="Apple Pay"/>
    <m/>
    <m/>
  </r>
  <r>
    <n v="3420"/>
    <n v="720"/>
    <x v="329"/>
    <n v="3291.84"/>
    <s v="Completed"/>
    <s v="South"/>
    <s v="Credit Card"/>
    <m/>
    <m/>
  </r>
  <r>
    <n v="3421"/>
    <n v="8005"/>
    <x v="213"/>
    <n v="3291.84"/>
    <s v="Completed"/>
    <s v="Central"/>
    <s v="PayPal"/>
    <m/>
    <m/>
  </r>
  <r>
    <n v="3422"/>
    <n v="7807"/>
    <x v="260"/>
    <n v="3291.84"/>
    <s v="Completed"/>
    <s v="South"/>
    <s v="Debit Card"/>
    <m/>
    <m/>
  </r>
  <r>
    <n v="3423"/>
    <n v="2301"/>
    <x v="13"/>
    <n v="3291.84"/>
    <s v="Completed"/>
    <s v="East"/>
    <s v="Apple Pay"/>
    <m/>
    <m/>
  </r>
  <r>
    <n v="3424"/>
    <n v="13"/>
    <x v="7"/>
    <n v="3291.84"/>
    <s v="Completed"/>
    <s v="East"/>
    <s v="Apple Pay"/>
    <m/>
    <m/>
  </r>
  <r>
    <n v="3425"/>
    <n v="7882"/>
    <x v="199"/>
    <n v="3291.84"/>
    <s v="Completed"/>
    <s v="North"/>
    <s v="Apple Pay"/>
    <m/>
    <m/>
  </r>
  <r>
    <n v="3426"/>
    <n v="9442"/>
    <x v="126"/>
    <n v="3291.84"/>
    <s v="Completed"/>
    <s v="North"/>
    <s v="Credit Card"/>
    <m/>
    <m/>
  </r>
  <r>
    <n v="3427"/>
    <n v="6950"/>
    <x v="38"/>
    <n v="3291.84"/>
    <s v="Completed"/>
    <s v="South"/>
    <s v="Apple Pay"/>
    <m/>
    <m/>
  </r>
  <r>
    <n v="3428"/>
    <n v="426"/>
    <x v="351"/>
    <n v="3291.84"/>
    <s v="Completed"/>
    <s v="West"/>
    <s v="PayPal"/>
    <m/>
    <m/>
  </r>
  <r>
    <n v="3429"/>
    <n v="8695"/>
    <x v="166"/>
    <n v="3291.84"/>
    <s v="Completed"/>
    <s v="North"/>
    <s v="Debit Card"/>
    <m/>
    <m/>
  </r>
  <r>
    <n v="3430"/>
    <n v="2924"/>
    <x v="19"/>
    <n v="3291.84"/>
    <s v="Completed"/>
    <s v="South"/>
    <s v="Credit Card"/>
    <m/>
    <m/>
  </r>
  <r>
    <n v="3431"/>
    <n v="5992"/>
    <x v="5"/>
    <n v="3291.84"/>
    <s v="Completed"/>
    <s v="Central"/>
    <s v="PayPal"/>
    <m/>
    <m/>
  </r>
  <r>
    <n v="3432"/>
    <n v="4808"/>
    <x v="247"/>
    <n v="3291.84"/>
    <s v="Completed"/>
    <s v="others"/>
    <s v="Debit Card"/>
    <m/>
    <m/>
  </r>
  <r>
    <n v="3433"/>
    <n v="9956"/>
    <x v="231"/>
    <n v="3291.84"/>
    <s v="Completed"/>
    <s v="West"/>
    <s v="Credit Card"/>
    <m/>
    <m/>
  </r>
  <r>
    <n v="3434"/>
    <n v="24"/>
    <x v="120"/>
    <n v="3291.84"/>
    <s v="Completed"/>
    <s v="North"/>
    <s v="PayPal"/>
    <m/>
    <m/>
  </r>
  <r>
    <n v="3435"/>
    <n v="4031"/>
    <x v="353"/>
    <n v="3291.84"/>
    <s v="Completed"/>
    <s v="South"/>
    <s v="Credit Card"/>
    <m/>
    <m/>
  </r>
  <r>
    <n v="3436"/>
    <n v="875"/>
    <x v="14"/>
    <n v="3291.84"/>
    <s v="Completed"/>
    <s v="South"/>
    <s v="Debit Card"/>
    <m/>
    <m/>
  </r>
  <r>
    <n v="3437"/>
    <n v="4105"/>
    <x v="165"/>
    <n v="3291.84"/>
    <s v="Completed"/>
    <s v="South"/>
    <s v="Apple Pay"/>
    <m/>
    <m/>
  </r>
  <r>
    <n v="3438"/>
    <n v="1654"/>
    <x v="87"/>
    <n v="3291.84"/>
    <s v="Completed"/>
    <s v="West"/>
    <s v="Apple Pay"/>
    <m/>
    <m/>
  </r>
  <r>
    <n v="3439"/>
    <n v="3234"/>
    <x v="154"/>
    <n v="3291.84"/>
    <s v="Completed"/>
    <s v="West"/>
    <s v="Apple Pay"/>
    <m/>
    <m/>
  </r>
  <r>
    <n v="3440"/>
    <n v="4642"/>
    <x v="118"/>
    <n v="3291.84"/>
    <s v="Completed"/>
    <s v="South"/>
    <s v="PayPal"/>
    <m/>
    <m/>
  </r>
  <r>
    <n v="3441"/>
    <n v="315"/>
    <x v="236"/>
    <n v="3291.84"/>
    <s v="Completed"/>
    <s v="West"/>
    <s v="Debit Card"/>
    <m/>
    <m/>
  </r>
  <r>
    <n v="3442"/>
    <n v="168"/>
    <x v="9"/>
    <n v="3291.84"/>
    <s v="Completed"/>
    <s v="West"/>
    <s v="Apple Pay"/>
    <m/>
    <m/>
  </r>
  <r>
    <n v="3443"/>
    <n v="8234"/>
    <x v="90"/>
    <n v="3291.84"/>
    <s v="Completed"/>
    <s v="East"/>
    <s v="Debit Card"/>
    <m/>
    <m/>
  </r>
  <r>
    <n v="3444"/>
    <n v="7681"/>
    <x v="306"/>
    <n v="3291.84"/>
    <s v="Completed"/>
    <s v="West"/>
    <s v="PayPal"/>
    <m/>
    <m/>
  </r>
  <r>
    <n v="3445"/>
    <n v="4810"/>
    <x v="140"/>
    <n v="3291.84"/>
    <s v="Cancelled"/>
    <s v="West"/>
    <s v="Credit Card"/>
    <m/>
    <m/>
  </r>
  <r>
    <n v="3446"/>
    <n v="3093"/>
    <x v="79"/>
    <n v="3291.84"/>
    <s v="Completed"/>
    <s v="Central"/>
    <s v="Apple Pay"/>
    <m/>
    <m/>
  </r>
  <r>
    <n v="3447"/>
    <n v="2118"/>
    <x v="185"/>
    <n v="3291.84"/>
    <s v="Completed"/>
    <s v="East"/>
    <s v="Debit Card"/>
    <m/>
    <m/>
  </r>
  <r>
    <n v="3448"/>
    <n v="1227"/>
    <x v="211"/>
    <n v="3291.84"/>
    <s v="Completed"/>
    <s v="Central"/>
    <s v="Credit Card"/>
    <m/>
    <m/>
  </r>
  <r>
    <n v="3449"/>
    <n v="1117"/>
    <x v="236"/>
    <n v="3291.84"/>
    <s v="Completed"/>
    <s v="West"/>
    <s v="PayPal"/>
    <m/>
    <m/>
  </r>
  <r>
    <n v="3450"/>
    <n v="7339"/>
    <x v="34"/>
    <n v="3291.84"/>
    <s v="Completed"/>
    <s v="West"/>
    <s v="Apple Pay"/>
    <m/>
    <m/>
  </r>
  <r>
    <n v="3451"/>
    <n v="3858"/>
    <x v="79"/>
    <n v="3291.84"/>
    <s v="Completed"/>
    <s v="North"/>
    <s v="Apple Pay"/>
    <m/>
    <m/>
  </r>
  <r>
    <n v="3452"/>
    <n v="7493"/>
    <x v="210"/>
    <n v="3291.84"/>
    <s v="Completed"/>
    <s v="East"/>
    <s v="Credit Card"/>
    <m/>
    <m/>
  </r>
  <r>
    <n v="3453"/>
    <n v="2798"/>
    <x v="139"/>
    <n v="3291.84"/>
    <s v="Completed"/>
    <s v="Central"/>
    <s v="PayPal"/>
    <m/>
    <m/>
  </r>
  <r>
    <n v="3454"/>
    <n v="2468"/>
    <x v="205"/>
    <n v="3291.84"/>
    <s v="Completed"/>
    <s v="North"/>
    <s v="Apple Pay"/>
    <m/>
    <m/>
  </r>
  <r>
    <n v="3455"/>
    <n v="3439"/>
    <x v="327"/>
    <n v="3291.84"/>
    <s v="Completed"/>
    <s v="Central"/>
    <s v="Debit Card"/>
    <m/>
    <m/>
  </r>
  <r>
    <n v="3456"/>
    <n v="3748"/>
    <x v="306"/>
    <n v="3291.84"/>
    <s v="Completed"/>
    <s v="West"/>
    <s v="Apple Pay"/>
    <m/>
    <m/>
  </r>
  <r>
    <n v="3457"/>
    <n v="4745"/>
    <x v="151"/>
    <n v="3291.84"/>
    <s v="Completed"/>
    <s v="Central"/>
    <s v="Credit Card"/>
    <m/>
    <m/>
  </r>
  <r>
    <n v="3458"/>
    <n v="5162"/>
    <x v="274"/>
    <n v="3291.84"/>
    <s v="Completed"/>
    <s v="Central"/>
    <s v="PayPal"/>
    <m/>
    <m/>
  </r>
  <r>
    <n v="3459"/>
    <n v="23"/>
    <x v="41"/>
    <n v="3291.84"/>
    <s v="Completed"/>
    <s v="Central"/>
    <s v="Apple Pay"/>
    <m/>
    <m/>
  </r>
  <r>
    <n v="3460"/>
    <n v="4502"/>
    <x v="182"/>
    <n v="3291.84"/>
    <s v="Completed"/>
    <s v="West"/>
    <s v="Credit Card"/>
    <m/>
    <m/>
  </r>
  <r>
    <n v="3461"/>
    <n v="5391"/>
    <x v="358"/>
    <n v="3291.84"/>
    <s v="Completed"/>
    <s v="North"/>
    <s v="PayPal"/>
    <m/>
    <m/>
  </r>
  <r>
    <n v="3462"/>
    <n v="5612"/>
    <x v="100"/>
    <n v="3291.84"/>
    <s v="Completed"/>
    <s v="North"/>
    <s v="PayPal"/>
    <m/>
    <m/>
  </r>
  <r>
    <n v="3463"/>
    <n v="9178"/>
    <x v="252"/>
    <n v="3291.84"/>
    <s v="Completed"/>
    <s v="South"/>
    <s v="Credit Card"/>
    <m/>
    <m/>
  </r>
  <r>
    <n v="3464"/>
    <n v="2219"/>
    <x v="147"/>
    <n v="3291.84"/>
    <s v="Completed"/>
    <s v="South"/>
    <s v="Debit Card"/>
    <m/>
    <m/>
  </r>
  <r>
    <n v="3465"/>
    <n v="9904"/>
    <x v="330"/>
    <n v="3291.84"/>
    <s v="Completed"/>
    <s v="South"/>
    <s v="Credit Card"/>
    <m/>
    <m/>
  </r>
  <r>
    <n v="3466"/>
    <n v="7520"/>
    <x v="287"/>
    <n v="3291.84"/>
    <s v="Completed"/>
    <s v="East"/>
    <s v="Debit Card"/>
    <m/>
    <m/>
  </r>
  <r>
    <n v="3467"/>
    <n v="1952"/>
    <x v="123"/>
    <n v="3291.84"/>
    <s v="Completed"/>
    <s v="North"/>
    <s v="Apple Pay"/>
    <m/>
    <m/>
  </r>
  <r>
    <n v="3468"/>
    <n v="7235"/>
    <x v="229"/>
    <n v="3291.84"/>
    <s v="Completed"/>
    <s v="Central"/>
    <s v="Credit Card"/>
    <m/>
    <m/>
  </r>
  <r>
    <n v="3469"/>
    <n v="7863"/>
    <x v="0"/>
    <n v="3291.84"/>
    <s v="Completed"/>
    <s v="Central"/>
    <s v="Debit Card"/>
    <m/>
    <m/>
  </r>
  <r>
    <n v="3470"/>
    <n v="1583"/>
    <x v="201"/>
    <n v="3291.84"/>
    <s v="Completed"/>
    <s v="West"/>
    <s v="Debit Card"/>
    <m/>
    <m/>
  </r>
  <r>
    <n v="3471"/>
    <n v="1402"/>
    <x v="351"/>
    <n v="3291.84"/>
    <s v="Returned"/>
    <s v="East"/>
    <s v="Credit Card"/>
    <m/>
    <m/>
  </r>
  <r>
    <n v="3472"/>
    <n v="4125"/>
    <x v="211"/>
    <n v="3291.84"/>
    <s v="Completed"/>
    <s v="South"/>
    <s v="PayPal"/>
    <m/>
    <m/>
  </r>
  <r>
    <n v="3473"/>
    <n v="4344"/>
    <x v="268"/>
    <n v="3291.84"/>
    <s v="Completed"/>
    <s v="Central"/>
    <s v="Debit Card"/>
    <m/>
    <m/>
  </r>
  <r>
    <n v="3474"/>
    <n v="6740"/>
    <x v="280"/>
    <n v="3291.84"/>
    <s v="Completed"/>
    <s v="North"/>
    <s v="Debit Card"/>
    <m/>
    <m/>
  </r>
  <r>
    <n v="3475"/>
    <n v="5126"/>
    <x v="34"/>
    <n v="3291.84"/>
    <s v="Completed"/>
    <s v="East"/>
    <s v="Debit Card"/>
    <m/>
    <m/>
  </r>
  <r>
    <n v="3476"/>
    <n v="6412"/>
    <x v="196"/>
    <n v="3291.84"/>
    <s v="Completed"/>
    <s v="North"/>
    <s v="Debit Card"/>
    <m/>
    <m/>
  </r>
  <r>
    <n v="3477"/>
    <n v="1400"/>
    <x v="332"/>
    <n v="3291.84"/>
    <s v="Completed"/>
    <s v="Central"/>
    <s v="Apple Pay"/>
    <m/>
    <m/>
  </r>
  <r>
    <n v="3478"/>
    <n v="163"/>
    <x v="91"/>
    <n v="3291.84"/>
    <s v="Completed"/>
    <s v="East"/>
    <s v="Apple Pay"/>
    <m/>
    <m/>
  </r>
  <r>
    <n v="3479"/>
    <n v="4650"/>
    <x v="352"/>
    <n v="3291.84"/>
    <s v="Completed"/>
    <s v="East"/>
    <s v="Debit Card"/>
    <m/>
    <m/>
  </r>
  <r>
    <n v="3480"/>
    <n v="7087"/>
    <x v="113"/>
    <n v="3291.84"/>
    <s v="Completed"/>
    <s v="Central"/>
    <s v="Credit Card"/>
    <m/>
    <m/>
  </r>
  <r>
    <n v="3481"/>
    <n v="6205"/>
    <x v="273"/>
    <n v="3291.84"/>
    <s v="Completed"/>
    <s v="South"/>
    <s v="Debit Card"/>
    <m/>
    <m/>
  </r>
  <r>
    <n v="3482"/>
    <n v="3410"/>
    <x v="339"/>
    <n v="3291.84"/>
    <s v="Completed"/>
    <s v="South"/>
    <s v="Debit Card"/>
    <m/>
    <m/>
  </r>
  <r>
    <n v="3483"/>
    <n v="1319"/>
    <x v="236"/>
    <n v="3291.84"/>
    <s v="Completed"/>
    <s v="Central"/>
    <s v="Debit Card"/>
    <m/>
    <m/>
  </r>
  <r>
    <n v="3484"/>
    <n v="3896"/>
    <x v="280"/>
    <n v="3291.84"/>
    <s v="Completed"/>
    <s v="North"/>
    <s v="Debit Card"/>
    <m/>
    <m/>
  </r>
  <r>
    <n v="3485"/>
    <n v="7726"/>
    <x v="51"/>
    <n v="3291.84"/>
    <s v="Completed"/>
    <s v="East"/>
    <s v="Credit Card"/>
    <m/>
    <m/>
  </r>
  <r>
    <n v="3486"/>
    <n v="6670"/>
    <x v="158"/>
    <n v="3291.84"/>
    <s v="Completed"/>
    <s v="West"/>
    <s v="Credit Card"/>
    <m/>
    <m/>
  </r>
  <r>
    <n v="3487"/>
    <n v="7843"/>
    <x v="229"/>
    <n v="3291.84"/>
    <s v="Completed"/>
    <s v="others"/>
    <s v="Apple Pay"/>
    <m/>
    <m/>
  </r>
  <r>
    <n v="3488"/>
    <n v="2665"/>
    <x v="341"/>
    <n v="3291.84"/>
    <s v="Completed"/>
    <s v="West"/>
    <s v="PayPal"/>
    <m/>
    <m/>
  </r>
  <r>
    <n v="3489"/>
    <n v="3825"/>
    <x v="288"/>
    <n v="3291.84"/>
    <s v="Completed"/>
    <s v="South"/>
    <s v="Credit Card"/>
    <m/>
    <m/>
  </r>
  <r>
    <n v="3490"/>
    <n v="9529"/>
    <x v="60"/>
    <n v="3291.84"/>
    <s v="Completed"/>
    <s v="South"/>
    <s v="Credit Card"/>
    <m/>
    <m/>
  </r>
  <r>
    <n v="3491"/>
    <n v="2592"/>
    <x v="46"/>
    <n v="3291.84"/>
    <s v="Completed"/>
    <s v="East"/>
    <s v="Debit Card"/>
    <m/>
    <m/>
  </r>
  <r>
    <n v="3492"/>
    <n v="2626"/>
    <x v="287"/>
    <n v="3291.84"/>
    <s v="Completed"/>
    <s v="West"/>
    <s v="PayPal"/>
    <m/>
    <m/>
  </r>
  <r>
    <n v="3493"/>
    <n v="7366"/>
    <x v="349"/>
    <n v="3291.84"/>
    <s v="Completed"/>
    <s v="Central"/>
    <s v="Debit Card"/>
    <m/>
    <m/>
  </r>
  <r>
    <n v="3494"/>
    <n v="6773"/>
    <x v="222"/>
    <n v="3291.84"/>
    <s v="Completed"/>
    <s v="East"/>
    <s v="Debit Card"/>
    <m/>
    <m/>
  </r>
  <r>
    <n v="3495"/>
    <n v="1250"/>
    <x v="31"/>
    <n v="3291.84"/>
    <s v="Cancelled"/>
    <s v="West"/>
    <s v="Debit Card"/>
    <m/>
    <m/>
  </r>
  <r>
    <n v="3496"/>
    <n v="2504"/>
    <x v="124"/>
    <n v="3291.84"/>
    <s v="Completed"/>
    <s v="South"/>
    <s v="Credit Card"/>
    <m/>
    <m/>
  </r>
  <r>
    <n v="3497"/>
    <n v="2871"/>
    <x v="345"/>
    <n v="3291.84"/>
    <s v="Completed"/>
    <s v="North"/>
    <s v="Debit Card"/>
    <m/>
    <m/>
  </r>
  <r>
    <n v="3498"/>
    <n v="7859"/>
    <x v="182"/>
    <n v="3291.84"/>
    <s v="Completed"/>
    <s v="North"/>
    <s v="Debit Card"/>
    <m/>
    <m/>
  </r>
  <r>
    <n v="3499"/>
    <n v="4763"/>
    <x v="236"/>
    <n v="3291.84"/>
    <s v="Completed"/>
    <s v="North"/>
    <s v="Apple Pay"/>
    <m/>
    <m/>
  </r>
  <r>
    <n v="3500"/>
    <n v="2749"/>
    <x v="223"/>
    <n v="3291.84"/>
    <s v="Completed"/>
    <s v="East"/>
    <s v="Debit Card"/>
    <m/>
    <m/>
  </r>
  <r>
    <n v="3501"/>
    <n v="4912"/>
    <x v="285"/>
    <n v="3291.84"/>
    <s v="Cancelled"/>
    <s v="Central"/>
    <s v="Credit Card"/>
    <m/>
    <m/>
  </r>
  <r>
    <n v="3502"/>
    <n v="3514"/>
    <x v="145"/>
    <n v="3291.84"/>
    <s v="Completed"/>
    <s v="South"/>
    <s v="PayPal"/>
    <m/>
    <m/>
  </r>
  <r>
    <n v="3503"/>
    <n v="6825"/>
    <x v="122"/>
    <n v="3291.84"/>
    <s v="Completed"/>
    <s v="Central"/>
    <s v="Debit Card"/>
    <m/>
    <m/>
  </r>
  <r>
    <n v="3504"/>
    <n v="8046"/>
    <x v="90"/>
    <n v="3291.84"/>
    <s v="Completed"/>
    <s v="South"/>
    <s v="Debit Card"/>
    <m/>
    <m/>
  </r>
  <r>
    <n v="3505"/>
    <n v="9927"/>
    <x v="236"/>
    <n v="3291.84"/>
    <s v="Completed"/>
    <s v="East"/>
    <s v="Debit Card"/>
    <m/>
    <m/>
  </r>
  <r>
    <n v="3506"/>
    <n v="1864"/>
    <x v="312"/>
    <n v="3291.84"/>
    <s v="Completed"/>
    <s v="Central"/>
    <s v="PayPal"/>
    <m/>
    <m/>
  </r>
  <r>
    <n v="3507"/>
    <n v="8814"/>
    <x v="263"/>
    <n v="3291.84"/>
    <s v="Completed"/>
    <s v="East"/>
    <s v="PayPal"/>
    <m/>
    <m/>
  </r>
  <r>
    <n v="3508"/>
    <n v="657"/>
    <x v="291"/>
    <n v="3291.84"/>
    <s v="Completed"/>
    <s v="East"/>
    <s v="PayPal"/>
    <m/>
    <m/>
  </r>
  <r>
    <n v="3509"/>
    <n v="5688"/>
    <x v="173"/>
    <n v="3291.84"/>
    <s v="Completed"/>
    <s v="North"/>
    <s v="Apple Pay"/>
    <m/>
    <m/>
  </r>
  <r>
    <n v="3510"/>
    <n v="1807"/>
    <x v="203"/>
    <n v="3291.84"/>
    <s v="Completed"/>
    <s v="South"/>
    <s v="PayPal"/>
    <m/>
    <m/>
  </r>
  <r>
    <n v="3511"/>
    <n v="1295"/>
    <x v="325"/>
    <n v="3291.84"/>
    <s v="Completed"/>
    <s v="others"/>
    <s v="Apple Pay"/>
    <m/>
    <m/>
  </r>
  <r>
    <n v="3512"/>
    <n v="5396"/>
    <x v="309"/>
    <n v="3291.84"/>
    <s v="Completed"/>
    <s v="East"/>
    <s v="Credit Card"/>
    <m/>
    <m/>
  </r>
  <r>
    <n v="3513"/>
    <n v="4085"/>
    <x v="102"/>
    <n v="3291.84"/>
    <s v="Completed"/>
    <s v="South"/>
    <s v="Debit Card"/>
    <m/>
    <m/>
  </r>
  <r>
    <n v="3514"/>
    <n v="5508"/>
    <x v="256"/>
    <n v="3291.84"/>
    <s v="Completed"/>
    <s v="Central"/>
    <s v="Apple Pay"/>
    <m/>
    <m/>
  </r>
  <r>
    <n v="3515"/>
    <n v="5517"/>
    <x v="95"/>
    <n v="3291.84"/>
    <s v="Completed"/>
    <s v="South"/>
    <s v="PayPal"/>
    <m/>
    <m/>
  </r>
  <r>
    <n v="3516"/>
    <n v="5240"/>
    <x v="231"/>
    <n v="3291.84"/>
    <s v="Completed"/>
    <s v="East"/>
    <s v="Debit Card"/>
    <m/>
    <m/>
  </r>
  <r>
    <n v="3517"/>
    <n v="6462"/>
    <x v="163"/>
    <n v="3291.84"/>
    <s v="Completed"/>
    <s v="Central"/>
    <s v="Debit Card"/>
    <m/>
    <m/>
  </r>
  <r>
    <n v="3518"/>
    <n v="6443"/>
    <x v="139"/>
    <n v="3291.84"/>
    <s v="Completed"/>
    <s v="Central"/>
    <s v="Debit Card"/>
    <m/>
    <m/>
  </r>
  <r>
    <n v="3519"/>
    <n v="1056"/>
    <x v="85"/>
    <n v="3291.84"/>
    <s v="Cancelled"/>
    <s v="West"/>
    <s v="Apple Pay"/>
    <m/>
    <m/>
  </r>
  <r>
    <n v="3520"/>
    <n v="7847"/>
    <x v="209"/>
    <n v="3291.84"/>
    <s v="Completed"/>
    <s v="East"/>
    <s v="PayPal"/>
    <m/>
    <m/>
  </r>
  <r>
    <n v="3521"/>
    <n v="2505"/>
    <x v="322"/>
    <n v="3291.84"/>
    <s v="Completed"/>
    <s v="Central"/>
    <s v="PayPal"/>
    <m/>
    <m/>
  </r>
  <r>
    <n v="3522"/>
    <n v="8509"/>
    <x v="17"/>
    <n v="3291.84"/>
    <s v="Completed"/>
    <s v="East"/>
    <s v="Debit Card"/>
    <m/>
    <m/>
  </r>
  <r>
    <n v="3523"/>
    <n v="6408"/>
    <x v="116"/>
    <n v="3291.84"/>
    <s v="Completed"/>
    <s v="South"/>
    <s v="Debit Card"/>
    <m/>
    <m/>
  </r>
  <r>
    <n v="3524"/>
    <n v="7135"/>
    <x v="254"/>
    <n v="3291.84"/>
    <s v="Completed"/>
    <s v="South"/>
    <s v="Debit Card"/>
    <m/>
    <m/>
  </r>
  <r>
    <n v="3525"/>
    <n v="5590"/>
    <x v="68"/>
    <n v="3291.84"/>
    <s v="Completed"/>
    <s v="South"/>
    <s v="Debit Card"/>
    <m/>
    <m/>
  </r>
  <r>
    <n v="3526"/>
    <n v="2491"/>
    <x v="101"/>
    <n v="3291.84"/>
    <s v="Completed"/>
    <s v="East"/>
    <s v="Apple Pay"/>
    <m/>
    <m/>
  </r>
  <r>
    <n v="3527"/>
    <n v="3121"/>
    <x v="269"/>
    <n v="3291.84"/>
    <s v="Completed"/>
    <s v="Central"/>
    <s v="Apple Pay"/>
    <m/>
    <m/>
  </r>
  <r>
    <n v="3528"/>
    <n v="4684"/>
    <x v="205"/>
    <n v="3291.84"/>
    <s v="Completed"/>
    <s v="Central"/>
    <s v="PayPal"/>
    <m/>
    <m/>
  </r>
  <r>
    <n v="3529"/>
    <n v="8"/>
    <x v="315"/>
    <n v="3291.84"/>
    <s v="Completed"/>
    <s v="West"/>
    <s v="Credit Card"/>
    <m/>
    <m/>
  </r>
  <r>
    <n v="3530"/>
    <n v="5333"/>
    <x v="50"/>
    <n v="3291.84"/>
    <s v="Completed"/>
    <s v="West"/>
    <s v="Credit Card"/>
    <m/>
    <m/>
  </r>
  <r>
    <n v="3531"/>
    <n v="4004"/>
    <x v="233"/>
    <n v="3291.84"/>
    <s v="Completed"/>
    <s v="North"/>
    <s v="Debit Card"/>
    <m/>
    <m/>
  </r>
  <r>
    <n v="3532"/>
    <n v="6311"/>
    <x v="252"/>
    <n v="3291.84"/>
    <s v="Returned"/>
    <s v="East"/>
    <s v="PayPal"/>
    <m/>
    <m/>
  </r>
  <r>
    <n v="3533"/>
    <n v="819"/>
    <x v="200"/>
    <n v="3291.84"/>
    <s v="Completed"/>
    <s v="Central"/>
    <s v="Credit Card"/>
    <m/>
    <m/>
  </r>
  <r>
    <n v="3534"/>
    <n v="6328"/>
    <x v="45"/>
    <n v="3291.84"/>
    <s v="Completed"/>
    <s v="South"/>
    <s v="PayPal"/>
    <m/>
    <m/>
  </r>
  <r>
    <n v="3535"/>
    <n v="8442"/>
    <x v="79"/>
    <n v="3291.84"/>
    <s v="Completed"/>
    <s v="North"/>
    <s v="Apple Pay"/>
    <m/>
    <m/>
  </r>
  <r>
    <n v="3536"/>
    <n v="9977"/>
    <x v="79"/>
    <n v="3291.84"/>
    <s v="Completed"/>
    <s v="West"/>
    <s v="Credit Card"/>
    <m/>
    <m/>
  </r>
  <r>
    <n v="3537"/>
    <n v="8814"/>
    <x v="103"/>
    <n v="3291.84"/>
    <s v="Completed"/>
    <s v="East"/>
    <s v="Debit Card"/>
    <m/>
    <m/>
  </r>
  <r>
    <n v="3538"/>
    <n v="1392"/>
    <x v="219"/>
    <n v="3291.84"/>
    <s v="Completed"/>
    <s v="North"/>
    <s v="Credit Card"/>
    <m/>
    <m/>
  </r>
  <r>
    <n v="3539"/>
    <n v="3935"/>
    <x v="1"/>
    <n v="3291.84"/>
    <s v="Completed"/>
    <s v="West"/>
    <s v="PayPal"/>
    <m/>
    <m/>
  </r>
  <r>
    <n v="3540"/>
    <n v="3470"/>
    <x v="155"/>
    <n v="3291.84"/>
    <s v="Completed"/>
    <s v="South"/>
    <s v="Debit Card"/>
    <m/>
    <m/>
  </r>
  <r>
    <n v="3541"/>
    <n v="7395"/>
    <x v="222"/>
    <n v="3291.84"/>
    <s v="Completed"/>
    <s v="Central"/>
    <s v="Credit Card"/>
    <m/>
    <m/>
  </r>
  <r>
    <n v="3542"/>
    <n v="7063"/>
    <x v="192"/>
    <n v="3291.84"/>
    <s v="Completed"/>
    <s v="Central"/>
    <s v="Debit Card"/>
    <m/>
    <m/>
  </r>
  <r>
    <n v="3543"/>
    <n v="5454"/>
    <x v="15"/>
    <n v="3291.84"/>
    <s v="Completed"/>
    <s v="North"/>
    <s v="PayPal"/>
    <m/>
    <m/>
  </r>
  <r>
    <n v="3544"/>
    <n v="1054"/>
    <x v="358"/>
    <n v="3291.84"/>
    <s v="Completed"/>
    <s v="North"/>
    <s v="Credit Card"/>
    <m/>
    <m/>
  </r>
  <r>
    <n v="3545"/>
    <n v="8270"/>
    <x v="272"/>
    <n v="3291.84"/>
    <s v="Completed"/>
    <s v="North"/>
    <s v="Apple Pay"/>
    <m/>
    <m/>
  </r>
  <r>
    <n v="3546"/>
    <n v="3931"/>
    <x v="287"/>
    <n v="3291.84"/>
    <s v="Completed"/>
    <s v="South"/>
    <s v="PayPal"/>
    <m/>
    <m/>
  </r>
  <r>
    <n v="3547"/>
    <n v="4018"/>
    <x v="113"/>
    <n v="3291.84"/>
    <s v="Completed"/>
    <s v="South"/>
    <s v="PayPal"/>
    <m/>
    <m/>
  </r>
  <r>
    <n v="3548"/>
    <n v="3115"/>
    <x v="136"/>
    <n v="3291.84"/>
    <s v="Completed"/>
    <s v="Central"/>
    <s v="Credit Card"/>
    <m/>
    <m/>
  </r>
  <r>
    <n v="3549"/>
    <n v="7832"/>
    <x v="285"/>
    <n v="3291.84"/>
    <s v="Completed"/>
    <s v="Central"/>
    <s v="PayPal"/>
    <m/>
    <m/>
  </r>
  <r>
    <n v="3550"/>
    <n v="1857"/>
    <x v="48"/>
    <n v="3291.84"/>
    <s v="Completed"/>
    <s v="Central"/>
    <s v="PayPal"/>
    <m/>
    <m/>
  </r>
  <r>
    <n v="3551"/>
    <n v="9935"/>
    <x v="106"/>
    <n v="3291.84"/>
    <s v="Completed"/>
    <s v="South"/>
    <s v="Debit Card"/>
    <m/>
    <m/>
  </r>
  <r>
    <n v="3552"/>
    <n v="2165"/>
    <x v="162"/>
    <n v="3291.84"/>
    <s v="Completed"/>
    <s v="South"/>
    <s v="Apple Pay"/>
    <m/>
    <m/>
  </r>
  <r>
    <n v="3553"/>
    <n v="8891"/>
    <x v="344"/>
    <n v="3291.84"/>
    <s v="Completed"/>
    <s v="East"/>
    <s v="Debit Card"/>
    <m/>
    <m/>
  </r>
  <r>
    <n v="3554"/>
    <n v="3558"/>
    <x v="180"/>
    <n v="3291.84"/>
    <s v="Completed"/>
    <s v="South"/>
    <s v="PayPal"/>
    <m/>
    <m/>
  </r>
  <r>
    <n v="3555"/>
    <n v="4548"/>
    <x v="161"/>
    <n v="3291.84"/>
    <s v="Completed"/>
    <s v="East"/>
    <s v="PayPal"/>
    <m/>
    <m/>
  </r>
  <r>
    <n v="3556"/>
    <n v="4122"/>
    <x v="341"/>
    <n v="3291.84"/>
    <s v="Completed"/>
    <s v="Central"/>
    <s v="Credit Card"/>
    <m/>
    <m/>
  </r>
  <r>
    <n v="3557"/>
    <n v="2007"/>
    <x v="223"/>
    <n v="3291.84"/>
    <s v="Completed"/>
    <s v="others"/>
    <s v="Apple Pay"/>
    <m/>
    <m/>
  </r>
  <r>
    <n v="3558"/>
    <n v="1541"/>
    <x v="280"/>
    <n v="3291.84"/>
    <s v="Completed"/>
    <s v="East"/>
    <s v="PayPal"/>
    <m/>
    <m/>
  </r>
  <r>
    <n v="3559"/>
    <n v="1476"/>
    <x v="122"/>
    <n v="3291.84"/>
    <s v="Completed"/>
    <s v="Central"/>
    <s v="Debit Card"/>
    <m/>
    <m/>
  </r>
  <r>
    <n v="3560"/>
    <n v="8228"/>
    <x v="13"/>
    <n v="3291.84"/>
    <s v="Completed"/>
    <s v="West"/>
    <s v="PayPal"/>
    <m/>
    <m/>
  </r>
  <r>
    <n v="3561"/>
    <n v="2970"/>
    <x v="296"/>
    <n v="3291.84"/>
    <s v="Completed"/>
    <s v="West"/>
    <s v="Apple Pay"/>
    <m/>
    <m/>
  </r>
  <r>
    <n v="3562"/>
    <n v="2995"/>
    <x v="278"/>
    <n v="3291.84"/>
    <s v="Completed"/>
    <s v="North"/>
    <s v="Debit Card"/>
    <m/>
    <m/>
  </r>
  <r>
    <n v="3563"/>
    <n v="6677"/>
    <x v="324"/>
    <n v="3291.84"/>
    <s v="Completed"/>
    <s v="North"/>
    <s v="Credit Card"/>
    <m/>
    <m/>
  </r>
  <r>
    <n v="3564"/>
    <n v="3585"/>
    <x v="120"/>
    <n v="3291.84"/>
    <s v="Completed"/>
    <s v="West"/>
    <s v="Apple Pay"/>
    <m/>
    <m/>
  </r>
  <r>
    <n v="3565"/>
    <n v="7589"/>
    <x v="247"/>
    <n v="3291.84"/>
    <s v="Completed"/>
    <s v="East"/>
    <s v="PayPal"/>
    <m/>
    <m/>
  </r>
  <r>
    <n v="3566"/>
    <n v="3771"/>
    <x v="168"/>
    <n v="3291.84"/>
    <s v="Completed"/>
    <s v="North"/>
    <s v="Credit Card"/>
    <m/>
    <m/>
  </r>
  <r>
    <n v="3567"/>
    <n v="8361"/>
    <x v="65"/>
    <n v="3291.84"/>
    <s v="Completed"/>
    <s v="Central"/>
    <s v="PayPal"/>
    <m/>
    <m/>
  </r>
  <r>
    <n v="3568"/>
    <n v="1225"/>
    <x v="342"/>
    <n v="3291.84"/>
    <s v="Completed"/>
    <s v="West"/>
    <s v="Credit Card"/>
    <m/>
    <m/>
  </r>
  <r>
    <n v="3569"/>
    <n v="3832"/>
    <x v="0"/>
    <n v="3291.84"/>
    <s v="Completed"/>
    <s v="North"/>
    <s v="Apple Pay"/>
    <m/>
    <m/>
  </r>
  <r>
    <n v="3570"/>
    <n v="1127"/>
    <x v="343"/>
    <n v="3291.84"/>
    <s v="Completed"/>
    <s v="South"/>
    <s v="Apple Pay"/>
    <m/>
    <m/>
  </r>
  <r>
    <n v="3571"/>
    <n v="8759"/>
    <x v="59"/>
    <n v="3291.84"/>
    <s v="Completed"/>
    <s v="West"/>
    <s v="Debit Card"/>
    <m/>
    <m/>
  </r>
  <r>
    <n v="3572"/>
    <n v="954"/>
    <x v="338"/>
    <n v="3291.84"/>
    <s v="Completed"/>
    <s v="West"/>
    <s v="PayPal"/>
    <m/>
    <m/>
  </r>
  <r>
    <n v="3573"/>
    <n v="4247"/>
    <x v="232"/>
    <n v="3291.84"/>
    <s v="Completed"/>
    <s v="South"/>
    <s v="PayPal"/>
    <m/>
    <m/>
  </r>
  <r>
    <n v="3574"/>
    <n v="5852"/>
    <x v="231"/>
    <n v="3291.84"/>
    <s v="Completed"/>
    <s v="West"/>
    <s v="Apple Pay"/>
    <m/>
    <m/>
  </r>
  <r>
    <n v="3575"/>
    <n v="6046"/>
    <x v="52"/>
    <n v="3291.84"/>
    <s v="Completed"/>
    <s v="Central"/>
    <s v="Debit Card"/>
    <m/>
    <m/>
  </r>
  <r>
    <n v="3576"/>
    <n v="6852"/>
    <x v="32"/>
    <n v="3291.84"/>
    <s v="Completed"/>
    <s v="North"/>
    <s v="PayPal"/>
    <m/>
    <m/>
  </r>
  <r>
    <n v="3577"/>
    <n v="1019"/>
    <x v="97"/>
    <n v="3291.84"/>
    <s v="Completed"/>
    <s v="Central"/>
    <s v="Apple Pay"/>
    <m/>
    <m/>
  </r>
  <r>
    <n v="3578"/>
    <n v="5009"/>
    <x v="167"/>
    <n v="3291.84"/>
    <s v="Completed"/>
    <s v="East"/>
    <s v="Apple Pay"/>
    <m/>
    <m/>
  </r>
  <r>
    <n v="3579"/>
    <n v="2177"/>
    <x v="102"/>
    <n v="3291.84"/>
    <s v="Completed"/>
    <s v="West"/>
    <s v="PayPal"/>
    <m/>
    <m/>
  </r>
  <r>
    <n v="3580"/>
    <n v="595"/>
    <x v="304"/>
    <n v="3291.84"/>
    <s v="Completed"/>
    <s v="others"/>
    <s v="Apple Pay"/>
    <m/>
    <m/>
  </r>
  <r>
    <n v="3581"/>
    <n v="3129"/>
    <x v="42"/>
    <n v="3291.84"/>
    <s v="Completed"/>
    <s v="North"/>
    <s v="Debit Card"/>
    <m/>
    <m/>
  </r>
  <r>
    <n v="3582"/>
    <n v="499"/>
    <x v="33"/>
    <n v="3291.84"/>
    <s v="Completed"/>
    <s v="West"/>
    <s v="Debit Card"/>
    <m/>
    <m/>
  </r>
  <r>
    <n v="3583"/>
    <n v="4532"/>
    <x v="110"/>
    <n v="3291.84"/>
    <s v="Completed"/>
    <s v="East"/>
    <s v="Debit Card"/>
    <m/>
    <m/>
  </r>
  <r>
    <n v="3584"/>
    <n v="6668"/>
    <x v="160"/>
    <n v="3291.84"/>
    <s v="Completed"/>
    <s v="North"/>
    <s v="PayPal"/>
    <m/>
    <m/>
  </r>
  <r>
    <n v="3585"/>
    <n v="3236"/>
    <x v="286"/>
    <n v="3291.84"/>
    <s v="Completed"/>
    <s v="South"/>
    <s v="Debit Card"/>
    <m/>
    <m/>
  </r>
  <r>
    <n v="3586"/>
    <n v="4000"/>
    <x v="71"/>
    <n v="3291.84"/>
    <s v="Completed"/>
    <s v="South"/>
    <s v="PayPal"/>
    <m/>
    <m/>
  </r>
  <r>
    <n v="3587"/>
    <n v="6859"/>
    <x v="58"/>
    <n v="3291.84"/>
    <s v="Completed"/>
    <s v="North"/>
    <s v="Credit Card"/>
    <m/>
    <m/>
  </r>
  <r>
    <n v="3588"/>
    <n v="7421"/>
    <x v="333"/>
    <n v="3291.84"/>
    <s v="Completed"/>
    <s v="others"/>
    <s v="Credit Card"/>
    <m/>
    <m/>
  </r>
  <r>
    <n v="3589"/>
    <n v="61"/>
    <x v="347"/>
    <n v="3291.84"/>
    <s v="Completed"/>
    <s v="North"/>
    <s v="Apple Pay"/>
    <m/>
    <m/>
  </r>
  <r>
    <n v="3590"/>
    <n v="8422"/>
    <x v="115"/>
    <n v="3291.84"/>
    <s v="Completed"/>
    <s v="West"/>
    <s v="Apple Pay"/>
    <m/>
    <m/>
  </r>
  <r>
    <n v="3591"/>
    <n v="8963"/>
    <x v="35"/>
    <n v="3291.84"/>
    <s v="Completed"/>
    <s v="South"/>
    <s v="PayPal"/>
    <m/>
    <m/>
  </r>
  <r>
    <n v="3592"/>
    <n v="6567"/>
    <x v="72"/>
    <n v="3291.84"/>
    <s v="Completed"/>
    <s v="Central"/>
    <s v="Apple Pay"/>
    <m/>
    <m/>
  </r>
  <r>
    <n v="3593"/>
    <n v="1440"/>
    <x v="230"/>
    <n v="3291.84"/>
    <s v="Completed"/>
    <s v="South"/>
    <s v="Credit Card"/>
    <m/>
    <m/>
  </r>
  <r>
    <n v="3594"/>
    <n v="1944"/>
    <x v="312"/>
    <n v="3291.84"/>
    <s v="Completed"/>
    <s v="North"/>
    <s v="Debit Card"/>
    <m/>
    <m/>
  </r>
  <r>
    <n v="3595"/>
    <n v="431"/>
    <x v="232"/>
    <n v="3291.84"/>
    <s v="Completed"/>
    <s v="West"/>
    <s v="Apple Pay"/>
    <m/>
    <m/>
  </r>
  <r>
    <n v="3596"/>
    <n v="3439"/>
    <x v="325"/>
    <n v="3291.84"/>
    <s v="Completed"/>
    <s v="Central"/>
    <s v="Apple Pay"/>
    <m/>
    <m/>
  </r>
  <r>
    <n v="3597"/>
    <n v="4108"/>
    <x v="61"/>
    <n v="3291.84"/>
    <s v="Completed"/>
    <s v="West"/>
    <s v="Apple Pay"/>
    <m/>
    <m/>
  </r>
  <r>
    <n v="3598"/>
    <n v="4865"/>
    <x v="101"/>
    <n v="3291.84"/>
    <s v="Completed"/>
    <s v="East"/>
    <s v="Credit Card"/>
    <m/>
    <m/>
  </r>
  <r>
    <n v="3599"/>
    <n v="6517"/>
    <x v="104"/>
    <n v="3291.84"/>
    <s v="Completed"/>
    <s v="South"/>
    <s v="Debit Card"/>
    <m/>
    <m/>
  </r>
  <r>
    <n v="3600"/>
    <n v="7157"/>
    <x v="320"/>
    <n v="3291.84"/>
    <s v="Completed"/>
    <s v="North"/>
    <s v="Debit Card"/>
    <m/>
    <m/>
  </r>
  <r>
    <n v="3601"/>
    <n v="4074"/>
    <x v="17"/>
    <n v="3291.84"/>
    <s v="Completed"/>
    <s v="West"/>
    <s v="PayPal"/>
    <m/>
    <m/>
  </r>
  <r>
    <n v="3602"/>
    <n v="3425"/>
    <x v="300"/>
    <n v="3291.84"/>
    <s v="Completed"/>
    <s v="South"/>
    <s v="PayPal"/>
    <m/>
    <m/>
  </r>
  <r>
    <n v="3603"/>
    <n v="4869"/>
    <x v="201"/>
    <n v="3291.84"/>
    <s v="Completed"/>
    <s v="West"/>
    <s v="Credit Card"/>
    <m/>
    <m/>
  </r>
  <r>
    <n v="3604"/>
    <n v="4991"/>
    <x v="150"/>
    <n v="3291.84"/>
    <s v="Completed"/>
    <s v="North"/>
    <s v="Apple Pay"/>
    <m/>
    <m/>
  </r>
  <r>
    <n v="3605"/>
    <n v="9661"/>
    <x v="93"/>
    <n v="3291.84"/>
    <s v="Completed"/>
    <s v="East"/>
    <s v="Credit Card"/>
    <m/>
    <m/>
  </r>
  <r>
    <n v="3606"/>
    <n v="804"/>
    <x v="159"/>
    <n v="3291.84"/>
    <s v="Completed"/>
    <s v="South"/>
    <s v="Apple Pay"/>
    <m/>
    <m/>
  </r>
  <r>
    <n v="3607"/>
    <n v="9479"/>
    <x v="134"/>
    <n v="3291.84"/>
    <s v="Completed"/>
    <s v="Central"/>
    <s v="Credit Card"/>
    <m/>
    <m/>
  </r>
  <r>
    <n v="3608"/>
    <n v="5466"/>
    <x v="334"/>
    <n v="3291.84"/>
    <s v="Completed"/>
    <s v="Central"/>
    <s v="Credit Card"/>
    <m/>
    <m/>
  </r>
  <r>
    <n v="3609"/>
    <n v="5812"/>
    <x v="258"/>
    <n v="3291.84"/>
    <s v="Completed"/>
    <s v="East"/>
    <s v="Apple Pay"/>
    <m/>
    <m/>
  </r>
  <r>
    <n v="3610"/>
    <n v="4038"/>
    <x v="315"/>
    <n v="3291.84"/>
    <s v="Completed"/>
    <s v="North"/>
    <s v="PayPal"/>
    <m/>
    <m/>
  </r>
  <r>
    <n v="3611"/>
    <n v="6489"/>
    <x v="184"/>
    <n v="3291.84"/>
    <s v="Completed"/>
    <s v="South"/>
    <s v="Apple Pay"/>
    <m/>
    <m/>
  </r>
  <r>
    <n v="3612"/>
    <n v="3542"/>
    <x v="174"/>
    <n v="3291.84"/>
    <s v="Completed"/>
    <s v="North"/>
    <s v="Apple Pay"/>
    <m/>
    <m/>
  </r>
  <r>
    <n v="3613"/>
    <n v="4616"/>
    <x v="277"/>
    <n v="3291.84"/>
    <s v="Completed"/>
    <s v="West"/>
    <s v="Apple Pay"/>
    <m/>
    <m/>
  </r>
  <r>
    <n v="3614"/>
    <n v="2570"/>
    <x v="342"/>
    <n v="3291.84"/>
    <s v="Completed"/>
    <s v="North"/>
    <s v="Debit Card"/>
    <m/>
    <m/>
  </r>
  <r>
    <n v="3615"/>
    <n v="4965"/>
    <x v="353"/>
    <n v="3291.84"/>
    <s v="Completed"/>
    <s v="Central"/>
    <s v="Debit Card"/>
    <m/>
    <m/>
  </r>
  <r>
    <n v="3616"/>
    <n v="8989"/>
    <x v="21"/>
    <n v="3291.84"/>
    <s v="Completed"/>
    <s v="West"/>
    <s v="Debit Card"/>
    <m/>
    <m/>
  </r>
  <r>
    <n v="3617"/>
    <n v="5330"/>
    <x v="13"/>
    <n v="3291.84"/>
    <s v="Completed"/>
    <s v="South"/>
    <s v="Apple Pay"/>
    <m/>
    <m/>
  </r>
  <r>
    <n v="3618"/>
    <n v="2388"/>
    <x v="214"/>
    <n v="3291.84"/>
    <s v="Completed"/>
    <s v="East"/>
    <s v="PayPal"/>
    <m/>
    <m/>
  </r>
  <r>
    <n v="3619"/>
    <n v="263"/>
    <x v="40"/>
    <n v="3291.84"/>
    <s v="Completed"/>
    <s v="North"/>
    <s v="Apple Pay"/>
    <m/>
    <m/>
  </r>
  <r>
    <n v="3620"/>
    <n v="5828"/>
    <x v="35"/>
    <n v="3291.84"/>
    <s v="Completed"/>
    <s v="West"/>
    <s v="Debit Card"/>
    <m/>
    <m/>
  </r>
  <r>
    <n v="3621"/>
    <n v="2097"/>
    <x v="91"/>
    <n v="3291.84"/>
    <s v="Completed"/>
    <s v="East"/>
    <s v="Apple Pay"/>
    <m/>
    <m/>
  </r>
  <r>
    <n v="3622"/>
    <n v="1752"/>
    <x v="63"/>
    <n v="3291.84"/>
    <s v="Completed"/>
    <s v="South"/>
    <s v="PayPal"/>
    <m/>
    <m/>
  </r>
  <r>
    <n v="3623"/>
    <n v="7040"/>
    <x v="227"/>
    <n v="3291.84"/>
    <s v="Completed"/>
    <s v="West"/>
    <s v="Debit Card"/>
    <m/>
    <m/>
  </r>
  <r>
    <n v="3624"/>
    <n v="8825"/>
    <x v="189"/>
    <n v="3291.84"/>
    <s v="Completed"/>
    <s v="West"/>
    <s v="Debit Card"/>
    <m/>
    <m/>
  </r>
  <r>
    <n v="3625"/>
    <n v="1775"/>
    <x v="82"/>
    <n v="3291.84"/>
    <s v="Completed"/>
    <s v="West"/>
    <s v="PayPal"/>
    <m/>
    <m/>
  </r>
  <r>
    <n v="3626"/>
    <n v="1740"/>
    <x v="292"/>
    <n v="3291.84"/>
    <s v="Completed"/>
    <s v="West"/>
    <s v="Apple Pay"/>
    <m/>
    <m/>
  </r>
  <r>
    <n v="3627"/>
    <n v="6439"/>
    <x v="64"/>
    <n v="3291.84"/>
    <s v="Completed"/>
    <s v="Central"/>
    <s v="Debit Card"/>
    <m/>
    <m/>
  </r>
  <r>
    <n v="3628"/>
    <n v="8906"/>
    <x v="246"/>
    <n v="3291.84"/>
    <s v="Completed"/>
    <s v="North"/>
    <s v="PayPal"/>
    <m/>
    <m/>
  </r>
  <r>
    <n v="3629"/>
    <n v="2109"/>
    <x v="194"/>
    <n v="3291.84"/>
    <s v="Completed"/>
    <s v="East"/>
    <s v="Debit Card"/>
    <m/>
    <m/>
  </r>
  <r>
    <n v="3630"/>
    <n v="4610"/>
    <x v="28"/>
    <n v="3291.84"/>
    <s v="Completed"/>
    <s v="South"/>
    <s v="Credit Card"/>
    <m/>
    <m/>
  </r>
  <r>
    <n v="3631"/>
    <n v="1951"/>
    <x v="306"/>
    <n v="3291.84"/>
    <s v="Completed"/>
    <s v="Central"/>
    <s v="Apple Pay"/>
    <m/>
    <m/>
  </r>
  <r>
    <n v="3632"/>
    <n v="8656"/>
    <x v="136"/>
    <n v="3291.84"/>
    <s v="Completed"/>
    <s v="East"/>
    <s v="PayPal"/>
    <m/>
    <m/>
  </r>
  <r>
    <n v="3633"/>
    <n v="5546"/>
    <x v="298"/>
    <n v="3291.84"/>
    <s v="Completed"/>
    <s v="Central"/>
    <s v="Debit Card"/>
    <m/>
    <m/>
  </r>
  <r>
    <n v="3634"/>
    <n v="1354"/>
    <x v="363"/>
    <n v="3291.84"/>
    <s v="Completed"/>
    <s v="East"/>
    <s v="PayPal"/>
    <m/>
    <m/>
  </r>
  <r>
    <n v="3635"/>
    <n v="9071"/>
    <x v="192"/>
    <n v="3291.84"/>
    <s v="Completed"/>
    <s v="East"/>
    <s v="PayPal"/>
    <m/>
    <m/>
  </r>
  <r>
    <n v="3636"/>
    <n v="6287"/>
    <x v="317"/>
    <n v="3291.84"/>
    <s v="Completed"/>
    <s v="South"/>
    <s v="Credit Card"/>
    <m/>
    <m/>
  </r>
  <r>
    <n v="3637"/>
    <n v="8327"/>
    <x v="262"/>
    <n v="3291.84"/>
    <s v="Completed"/>
    <s v="North"/>
    <s v="Apple Pay"/>
    <m/>
    <m/>
  </r>
  <r>
    <n v="3638"/>
    <n v="8242"/>
    <x v="168"/>
    <n v="3291.84"/>
    <s v="Completed"/>
    <s v="Central"/>
    <s v="PayPal"/>
    <m/>
    <m/>
  </r>
  <r>
    <n v="3639"/>
    <n v="5888"/>
    <x v="57"/>
    <n v="3291.84"/>
    <s v="Completed"/>
    <s v="North"/>
    <s v="Credit Card"/>
    <m/>
    <m/>
  </r>
  <r>
    <n v="3640"/>
    <n v="5399"/>
    <x v="136"/>
    <n v="3291.84"/>
    <s v="Completed"/>
    <s v="West"/>
    <s v="Credit Card"/>
    <m/>
    <m/>
  </r>
  <r>
    <n v="3641"/>
    <n v="1882"/>
    <x v="193"/>
    <n v="3291.84"/>
    <s v="Completed"/>
    <s v="North"/>
    <s v="Debit Card"/>
    <m/>
    <m/>
  </r>
  <r>
    <n v="3642"/>
    <n v="8465"/>
    <x v="88"/>
    <n v="3291.84"/>
    <s v="Completed"/>
    <s v="South"/>
    <s v="Apple Pay"/>
    <m/>
    <m/>
  </r>
  <r>
    <n v="3643"/>
    <n v="764"/>
    <x v="94"/>
    <n v="3291.84"/>
    <s v="Completed"/>
    <s v="East"/>
    <s v="PayPal"/>
    <m/>
    <m/>
  </r>
  <r>
    <n v="3644"/>
    <n v="9419"/>
    <x v="43"/>
    <n v="3291.84"/>
    <s v="Completed"/>
    <s v="South"/>
    <s v="PayPal"/>
    <m/>
    <m/>
  </r>
  <r>
    <n v="3645"/>
    <n v="4395"/>
    <x v="338"/>
    <n v="3291.84"/>
    <s v="Completed"/>
    <s v="Central"/>
    <s v="PayPal"/>
    <m/>
    <m/>
  </r>
  <r>
    <n v="3646"/>
    <n v="8059"/>
    <x v="252"/>
    <n v="3291.84"/>
    <s v="Completed"/>
    <s v="Central"/>
    <s v="PayPal"/>
    <m/>
    <m/>
  </r>
  <r>
    <n v="3647"/>
    <n v="3648"/>
    <x v="20"/>
    <n v="3291.84"/>
    <s v="Completed"/>
    <s v="North"/>
    <s v="Credit Card"/>
    <m/>
    <m/>
  </r>
  <r>
    <n v="3648"/>
    <n v="1028"/>
    <x v="75"/>
    <n v="3291.84"/>
    <s v="Completed"/>
    <s v="Central"/>
    <s v="PayPal"/>
    <m/>
    <m/>
  </r>
  <r>
    <n v="3649"/>
    <n v="5389"/>
    <x v="256"/>
    <n v="3291.84"/>
    <s v="Completed"/>
    <s v="West"/>
    <s v="Apple Pay"/>
    <m/>
    <m/>
  </r>
  <r>
    <n v="3650"/>
    <n v="7430"/>
    <x v="44"/>
    <n v="3291.84"/>
    <s v="Completed"/>
    <s v="South"/>
    <s v="Debit Card"/>
    <m/>
    <m/>
  </r>
  <r>
    <n v="3651"/>
    <n v="810"/>
    <x v="2"/>
    <n v="3291.84"/>
    <s v="Completed"/>
    <s v="South"/>
    <s v="Credit Card"/>
    <m/>
    <m/>
  </r>
  <r>
    <n v="3652"/>
    <n v="9774"/>
    <x v="350"/>
    <n v="3291.84"/>
    <s v="Completed"/>
    <s v="North"/>
    <s v="Credit Card"/>
    <m/>
    <m/>
  </r>
  <r>
    <n v="3653"/>
    <n v="1727"/>
    <x v="103"/>
    <n v="3291.84"/>
    <s v="Completed"/>
    <s v="South"/>
    <s v="Credit Card"/>
    <m/>
    <m/>
  </r>
  <r>
    <n v="3654"/>
    <n v="8898"/>
    <x v="206"/>
    <n v="3291.84"/>
    <s v="Completed"/>
    <s v="Central"/>
    <s v="Apple Pay"/>
    <m/>
    <m/>
  </r>
  <r>
    <n v="3655"/>
    <n v="1627"/>
    <x v="325"/>
    <n v="3291.84"/>
    <s v="Completed"/>
    <s v="East"/>
    <s v="Debit Card"/>
    <m/>
    <m/>
  </r>
  <r>
    <n v="3656"/>
    <n v="7903"/>
    <x v="337"/>
    <n v="3291.84"/>
    <s v="Completed"/>
    <s v="West"/>
    <s v="Debit Card"/>
    <m/>
    <m/>
  </r>
  <r>
    <n v="3657"/>
    <n v="3678"/>
    <x v="290"/>
    <n v="3291.84"/>
    <s v="Cancelled"/>
    <s v="East"/>
    <s v="Debit Card"/>
    <m/>
    <m/>
  </r>
  <r>
    <n v="3658"/>
    <n v="5338"/>
    <x v="202"/>
    <n v="3291.84"/>
    <s v="Completed"/>
    <s v="East"/>
    <s v="Debit Card"/>
    <m/>
    <m/>
  </r>
  <r>
    <n v="3659"/>
    <n v="2267"/>
    <x v="60"/>
    <n v="3291.84"/>
    <s v="Completed"/>
    <s v="South"/>
    <s v="PayPal"/>
    <m/>
    <m/>
  </r>
  <r>
    <n v="3660"/>
    <n v="1189"/>
    <x v="196"/>
    <n v="3291.84"/>
    <s v="Completed"/>
    <s v="Central"/>
    <s v="Debit Card"/>
    <m/>
    <m/>
  </r>
  <r>
    <n v="3661"/>
    <n v="9187"/>
    <x v="36"/>
    <n v="3291.84"/>
    <s v="Completed"/>
    <s v="others"/>
    <s v="Debit Card"/>
    <m/>
    <m/>
  </r>
  <r>
    <n v="3662"/>
    <n v="8052"/>
    <x v="122"/>
    <n v="3291.84"/>
    <s v="Completed"/>
    <s v="East"/>
    <s v="Apple Pay"/>
    <m/>
    <m/>
  </r>
  <r>
    <n v="3663"/>
    <n v="5251"/>
    <x v="329"/>
    <n v="3291.84"/>
    <s v="Completed"/>
    <s v="Central"/>
    <s v="PayPal"/>
    <m/>
    <m/>
  </r>
  <r>
    <n v="3664"/>
    <n v="8215"/>
    <x v="80"/>
    <n v="3291.84"/>
    <s v="Completed"/>
    <s v="Central"/>
    <s v="Apple Pay"/>
    <m/>
    <m/>
  </r>
  <r>
    <n v="3665"/>
    <n v="3759"/>
    <x v="245"/>
    <n v="3291.84"/>
    <s v="Completed"/>
    <s v="East"/>
    <s v="PayPal"/>
    <m/>
    <m/>
  </r>
  <r>
    <n v="3666"/>
    <n v="8621"/>
    <x v="305"/>
    <n v="3291.84"/>
    <s v="Completed"/>
    <s v="Central"/>
    <s v="Apple Pay"/>
    <m/>
    <m/>
  </r>
  <r>
    <n v="3667"/>
    <n v="9655"/>
    <x v="17"/>
    <n v="3291.84"/>
    <s v="Completed"/>
    <s v="East"/>
    <s v="Credit Card"/>
    <m/>
    <m/>
  </r>
  <r>
    <n v="3668"/>
    <n v="6846"/>
    <x v="90"/>
    <n v="3291.84"/>
    <s v="Completed"/>
    <s v="East"/>
    <s v="Debit Card"/>
    <m/>
    <m/>
  </r>
  <r>
    <n v="3669"/>
    <n v="5496"/>
    <x v="306"/>
    <n v="3291.84"/>
    <s v="Completed"/>
    <s v="West"/>
    <s v="Apple Pay"/>
    <m/>
    <m/>
  </r>
  <r>
    <n v="3670"/>
    <n v="7554"/>
    <x v="122"/>
    <n v="3291.84"/>
    <s v="Completed"/>
    <s v="East"/>
    <s v="Credit Card"/>
    <m/>
    <m/>
  </r>
  <r>
    <n v="3671"/>
    <n v="4672"/>
    <x v="41"/>
    <n v="3291.84"/>
    <s v="Completed"/>
    <s v="South"/>
    <s v="Credit Card"/>
    <m/>
    <m/>
  </r>
  <r>
    <n v="3672"/>
    <n v="1642"/>
    <x v="361"/>
    <n v="3291.84"/>
    <s v="Completed"/>
    <s v="North"/>
    <s v="Debit Card"/>
    <m/>
    <m/>
  </r>
  <r>
    <n v="3673"/>
    <n v="9749"/>
    <x v="201"/>
    <n v="3291.84"/>
    <s v="Completed"/>
    <s v="West"/>
    <s v="PayPal"/>
    <m/>
    <m/>
  </r>
  <r>
    <n v="3674"/>
    <n v="7034"/>
    <x v="164"/>
    <n v="3291.84"/>
    <s v="Completed"/>
    <s v="East"/>
    <s v="Apple Pay"/>
    <m/>
    <m/>
  </r>
  <r>
    <n v="3675"/>
    <n v="2725"/>
    <x v="291"/>
    <n v="3291.84"/>
    <s v="Completed"/>
    <s v="West"/>
    <s v="Credit Card"/>
    <m/>
    <m/>
  </r>
  <r>
    <n v="3676"/>
    <n v="3034"/>
    <x v="189"/>
    <n v="3291.84"/>
    <s v="Completed"/>
    <s v="West"/>
    <s v="Apple Pay"/>
    <m/>
    <m/>
  </r>
  <r>
    <n v="3677"/>
    <n v="7066"/>
    <x v="51"/>
    <n v="3291.84"/>
    <s v="Returned"/>
    <s v="East"/>
    <s v="PayPal"/>
    <m/>
    <m/>
  </r>
  <r>
    <n v="3678"/>
    <n v="9207"/>
    <x v="276"/>
    <n v="3291.84"/>
    <s v="Completed"/>
    <s v="South"/>
    <s v="PayPal"/>
    <m/>
    <m/>
  </r>
  <r>
    <n v="3679"/>
    <n v="3357"/>
    <x v="182"/>
    <n v="3291.84"/>
    <s v="Completed"/>
    <s v="North"/>
    <s v="Credit Card"/>
    <m/>
    <m/>
  </r>
  <r>
    <n v="3680"/>
    <n v="8912"/>
    <x v="24"/>
    <n v="3291.84"/>
    <s v="Completed"/>
    <s v="West"/>
    <s v="Credit Card"/>
    <m/>
    <m/>
  </r>
  <r>
    <n v="3681"/>
    <n v="6334"/>
    <x v="352"/>
    <n v="3291.84"/>
    <s v="Completed"/>
    <s v="East"/>
    <s v="PayPal"/>
    <m/>
    <m/>
  </r>
  <r>
    <n v="3682"/>
    <n v="5326"/>
    <x v="328"/>
    <n v="3291.84"/>
    <s v="Completed"/>
    <s v="North"/>
    <s v="Apple Pay"/>
    <m/>
    <m/>
  </r>
  <r>
    <n v="3683"/>
    <n v="9301"/>
    <x v="202"/>
    <n v="3291.84"/>
    <s v="Completed"/>
    <s v="West"/>
    <s v="Debit Card"/>
    <m/>
    <m/>
  </r>
  <r>
    <n v="3684"/>
    <n v="4812"/>
    <x v="83"/>
    <n v="3291.84"/>
    <s v="Completed"/>
    <s v="East"/>
    <s v="PayPal"/>
    <m/>
    <m/>
  </r>
  <r>
    <n v="3685"/>
    <n v="3713"/>
    <x v="47"/>
    <n v="3291.84"/>
    <s v="Completed"/>
    <s v="North"/>
    <s v="Apple Pay"/>
    <m/>
    <m/>
  </r>
  <r>
    <n v="3686"/>
    <n v="3841"/>
    <x v="212"/>
    <n v="3291.84"/>
    <s v="Completed"/>
    <s v="South"/>
    <s v="Debit Card"/>
    <m/>
    <m/>
  </r>
  <r>
    <n v="3687"/>
    <n v="5137"/>
    <x v="166"/>
    <n v="3291.84"/>
    <s v="Completed"/>
    <s v="South"/>
    <s v="Apple Pay"/>
    <m/>
    <m/>
  </r>
  <r>
    <n v="3688"/>
    <n v="4398"/>
    <x v="284"/>
    <n v="3291.84"/>
    <s v="Completed"/>
    <s v="West"/>
    <s v="Debit Card"/>
    <m/>
    <m/>
  </r>
  <r>
    <n v="3689"/>
    <n v="6047"/>
    <x v="271"/>
    <n v="3291.84"/>
    <s v="Completed"/>
    <s v="East"/>
    <s v="Apple Pay"/>
    <m/>
    <m/>
  </r>
  <r>
    <n v="3690"/>
    <n v="24"/>
    <x v="37"/>
    <n v="3291.84"/>
    <s v="Completed"/>
    <s v="North"/>
    <s v="PayPal"/>
    <m/>
    <m/>
  </r>
  <r>
    <n v="3691"/>
    <n v="1865"/>
    <x v="226"/>
    <n v="3291.84"/>
    <s v="Completed"/>
    <s v="Central"/>
    <s v="Credit Card"/>
    <m/>
    <m/>
  </r>
  <r>
    <n v="3692"/>
    <n v="846"/>
    <x v="338"/>
    <n v="3291.84"/>
    <s v="Completed"/>
    <s v="West"/>
    <s v="Apple Pay"/>
    <m/>
    <m/>
  </r>
  <r>
    <n v="3693"/>
    <n v="4374"/>
    <x v="344"/>
    <n v="3291.84"/>
    <s v="Completed"/>
    <s v="Central"/>
    <s v="Debit Card"/>
    <m/>
    <m/>
  </r>
  <r>
    <n v="3694"/>
    <n v="5880"/>
    <x v="208"/>
    <n v="3291.84"/>
    <s v="Completed"/>
    <s v="West"/>
    <s v="Apple Pay"/>
    <m/>
    <m/>
  </r>
  <r>
    <n v="3695"/>
    <n v="1268"/>
    <x v="255"/>
    <n v="3291.84"/>
    <s v="Completed"/>
    <s v="West"/>
    <s v="Apple Pay"/>
    <m/>
    <m/>
  </r>
  <r>
    <n v="3696"/>
    <n v="3217"/>
    <x v="208"/>
    <n v="3291.84"/>
    <s v="Completed"/>
    <s v="West"/>
    <s v="Apple Pay"/>
    <m/>
    <m/>
  </r>
  <r>
    <n v="3697"/>
    <n v="9305"/>
    <x v="152"/>
    <n v="3291.84"/>
    <s v="Completed"/>
    <s v="East"/>
    <s v="Apple Pay"/>
    <m/>
    <m/>
  </r>
  <r>
    <n v="3698"/>
    <n v="9708"/>
    <x v="128"/>
    <n v="3291.84"/>
    <s v="Completed"/>
    <s v="South"/>
    <s v="Debit Card"/>
    <m/>
    <m/>
  </r>
  <r>
    <n v="3699"/>
    <n v="2517"/>
    <x v="40"/>
    <n v="3291.84"/>
    <s v="Completed"/>
    <s v="North"/>
    <s v="Credit Card"/>
    <m/>
    <m/>
  </r>
  <r>
    <n v="3700"/>
    <n v="964"/>
    <x v="315"/>
    <n v="3291.84"/>
    <s v="Completed"/>
    <s v="North"/>
    <s v="Credit Card"/>
    <m/>
    <m/>
  </r>
  <r>
    <n v="3701"/>
    <n v="46"/>
    <x v="31"/>
    <n v="3291.84"/>
    <s v="Completed"/>
    <s v="South"/>
    <s v="Apple Pay"/>
    <m/>
    <m/>
  </r>
  <r>
    <n v="3702"/>
    <n v="5424"/>
    <x v="260"/>
    <n v="3291.84"/>
    <s v="Completed"/>
    <s v="Central"/>
    <s v="Debit Card"/>
    <m/>
    <m/>
  </r>
  <r>
    <n v="3703"/>
    <n v="3357"/>
    <x v="87"/>
    <n v="3291.84"/>
    <s v="Completed"/>
    <s v="North"/>
    <s v="Apple Pay"/>
    <m/>
    <m/>
  </r>
  <r>
    <n v="3704"/>
    <n v="7608"/>
    <x v="262"/>
    <n v="3291.84"/>
    <s v="Completed"/>
    <s v="Central"/>
    <s v="PayPal"/>
    <m/>
    <m/>
  </r>
  <r>
    <n v="3705"/>
    <n v="5448"/>
    <x v="357"/>
    <n v="3291.84"/>
    <s v="Completed"/>
    <s v="Central"/>
    <s v="Apple Pay"/>
    <m/>
    <m/>
  </r>
  <r>
    <n v="3706"/>
    <n v="115"/>
    <x v="292"/>
    <n v="3291.84"/>
    <s v="Completed"/>
    <s v="East"/>
    <s v="Credit Card"/>
    <m/>
    <m/>
  </r>
  <r>
    <n v="3707"/>
    <n v="3462"/>
    <x v="229"/>
    <n v="3291.84"/>
    <s v="Completed"/>
    <s v="others"/>
    <s v="Apple Pay"/>
    <m/>
    <m/>
  </r>
  <r>
    <n v="3708"/>
    <n v="9178"/>
    <x v="90"/>
    <n v="3291.84"/>
    <s v="Completed"/>
    <s v="South"/>
    <s v="Debit Card"/>
    <m/>
    <m/>
  </r>
  <r>
    <n v="3709"/>
    <n v="5017"/>
    <x v="66"/>
    <n v="3291.84"/>
    <s v="Completed"/>
    <s v="West"/>
    <s v="Credit Card"/>
    <m/>
    <m/>
  </r>
  <r>
    <n v="3710"/>
    <n v="9252"/>
    <x v="152"/>
    <n v="3291.84"/>
    <s v="Completed"/>
    <s v="North"/>
    <s v="Credit Card"/>
    <m/>
    <m/>
  </r>
  <r>
    <n v="3711"/>
    <n v="7324"/>
    <x v="52"/>
    <n v="3291.84"/>
    <s v="Completed"/>
    <s v="South"/>
    <s v="PayPal"/>
    <m/>
    <m/>
  </r>
  <r>
    <n v="3712"/>
    <n v="8479"/>
    <x v="248"/>
    <n v="3291.84"/>
    <s v="Completed"/>
    <s v="South"/>
    <s v="PayPal"/>
    <m/>
    <m/>
  </r>
  <r>
    <n v="3713"/>
    <n v="4449"/>
    <x v="35"/>
    <n v="3291.84"/>
    <s v="Completed"/>
    <s v="Central"/>
    <s v="PayPal"/>
    <m/>
    <m/>
  </r>
  <r>
    <n v="3714"/>
    <n v="6710"/>
    <x v="103"/>
    <n v="3291.84"/>
    <s v="Completed"/>
    <s v="South"/>
    <s v="Credit Card"/>
    <m/>
    <m/>
  </r>
  <r>
    <n v="3715"/>
    <n v="5940"/>
    <x v="349"/>
    <n v="3291.84"/>
    <s v="Completed"/>
    <s v="East"/>
    <s v="Credit Card"/>
    <m/>
    <m/>
  </r>
  <r>
    <n v="3716"/>
    <n v="2698"/>
    <x v="99"/>
    <n v="3291.84"/>
    <s v="Completed"/>
    <s v="South"/>
    <s v="Credit Card"/>
    <m/>
    <m/>
  </r>
  <r>
    <n v="3717"/>
    <n v="4048"/>
    <x v="46"/>
    <n v="3291.84"/>
    <s v="Cancelled"/>
    <s v="West"/>
    <s v="Debit Card"/>
    <m/>
    <m/>
  </r>
  <r>
    <n v="3718"/>
    <n v="8270"/>
    <x v="83"/>
    <n v="3291.84"/>
    <s v="Completed"/>
    <s v="North"/>
    <s v="Debit Card"/>
    <m/>
    <m/>
  </r>
  <r>
    <n v="3719"/>
    <n v="7732"/>
    <x v="277"/>
    <n v="3291.84"/>
    <s v="Completed"/>
    <s v="North"/>
    <s v="PayPal"/>
    <m/>
    <m/>
  </r>
  <r>
    <n v="3720"/>
    <n v="3134"/>
    <x v="253"/>
    <n v="3291.84"/>
    <s v="Completed"/>
    <s v="South"/>
    <s v="Debit Card"/>
    <m/>
    <m/>
  </r>
  <r>
    <n v="3721"/>
    <n v="4442"/>
    <x v="159"/>
    <n v="3291.84"/>
    <s v="Completed"/>
    <s v="North"/>
    <s v="Apple Pay"/>
    <m/>
    <m/>
  </r>
  <r>
    <n v="3722"/>
    <n v="3904"/>
    <x v="315"/>
    <n v="3291.84"/>
    <s v="Completed"/>
    <s v="South"/>
    <s v="Credit Card"/>
    <m/>
    <m/>
  </r>
  <r>
    <n v="3723"/>
    <n v="3598"/>
    <x v="124"/>
    <n v="3291.84"/>
    <s v="Completed"/>
    <s v="South"/>
    <s v="PayPal"/>
    <m/>
    <m/>
  </r>
  <r>
    <n v="3724"/>
    <n v="1291"/>
    <x v="268"/>
    <n v="3291.84"/>
    <s v="Completed"/>
    <s v="North"/>
    <s v="Debit Card"/>
    <m/>
    <m/>
  </r>
  <r>
    <n v="3725"/>
    <n v="2636"/>
    <x v="288"/>
    <n v="3291.84"/>
    <s v="Completed"/>
    <s v="East"/>
    <s v="Credit Card"/>
    <m/>
    <m/>
  </r>
  <r>
    <n v="3726"/>
    <n v="8242"/>
    <x v="20"/>
    <n v="3291.84"/>
    <s v="Completed"/>
    <s v="Central"/>
    <s v="Debit Card"/>
    <m/>
    <m/>
  </r>
  <r>
    <n v="3727"/>
    <n v="7908"/>
    <x v="56"/>
    <n v="3291.84"/>
    <s v="Completed"/>
    <s v="West"/>
    <s v="Debit Card"/>
    <m/>
    <m/>
  </r>
  <r>
    <n v="3728"/>
    <n v="9055"/>
    <x v="185"/>
    <n v="3291.84"/>
    <s v="Completed"/>
    <s v="Central"/>
    <s v="Apple Pay"/>
    <m/>
    <m/>
  </r>
  <r>
    <n v="3729"/>
    <n v="2007"/>
    <x v="176"/>
    <n v="3291.84"/>
    <s v="Completed"/>
    <s v="Central"/>
    <s v="Debit Card"/>
    <m/>
    <m/>
  </r>
  <r>
    <n v="3730"/>
    <n v="9947"/>
    <x v="351"/>
    <n v="3291.84"/>
    <s v="Completed"/>
    <s v="North"/>
    <s v="Apple Pay"/>
    <m/>
    <m/>
  </r>
  <r>
    <n v="3731"/>
    <n v="5725"/>
    <x v="131"/>
    <n v="3291.84"/>
    <s v="Completed"/>
    <s v="South"/>
    <s v="Debit Card"/>
    <m/>
    <m/>
  </r>
  <r>
    <n v="3732"/>
    <n v="9719"/>
    <x v="40"/>
    <n v="3291.84"/>
    <s v="Completed"/>
    <s v="others"/>
    <s v="PayPal"/>
    <m/>
    <m/>
  </r>
  <r>
    <n v="3733"/>
    <n v="5589"/>
    <x v="116"/>
    <n v="3291.84"/>
    <s v="Completed"/>
    <s v="North"/>
    <s v="Debit Card"/>
    <m/>
    <m/>
  </r>
  <r>
    <n v="3734"/>
    <n v="1077"/>
    <x v="181"/>
    <n v="3291.84"/>
    <s v="Completed"/>
    <s v="Central"/>
    <s v="PayPal"/>
    <m/>
    <m/>
  </r>
  <r>
    <n v="3735"/>
    <n v="9936"/>
    <x v="196"/>
    <n v="3291.84"/>
    <s v="Completed"/>
    <s v="North"/>
    <s v="PayPal"/>
    <m/>
    <m/>
  </r>
  <r>
    <n v="3736"/>
    <n v="5976"/>
    <x v="35"/>
    <n v="3291.84"/>
    <s v="Completed"/>
    <s v="East"/>
    <s v="Apple Pay"/>
    <m/>
    <m/>
  </r>
  <r>
    <n v="3737"/>
    <n v="2145"/>
    <x v="129"/>
    <n v="3291.84"/>
    <s v="Completed"/>
    <s v="West"/>
    <s v="PayPal"/>
    <m/>
    <m/>
  </r>
  <r>
    <n v="3738"/>
    <n v="6458"/>
    <x v="116"/>
    <n v="3291.84"/>
    <s v="Cancelled"/>
    <s v="South"/>
    <s v="Credit Card"/>
    <m/>
    <m/>
  </r>
  <r>
    <n v="3739"/>
    <n v="1385"/>
    <x v="360"/>
    <n v="3291.84"/>
    <s v="Completed"/>
    <s v="East"/>
    <s v="PayPal"/>
    <m/>
    <m/>
  </r>
  <r>
    <n v="3740"/>
    <n v="5172"/>
    <x v="28"/>
    <n v="3291.84"/>
    <s v="Completed"/>
    <s v="East"/>
    <s v="PayPal"/>
    <m/>
    <m/>
  </r>
  <r>
    <n v="3741"/>
    <n v="7283"/>
    <x v="4"/>
    <n v="3291.84"/>
    <s v="Cancelled"/>
    <s v="Central"/>
    <s v="Apple Pay"/>
    <m/>
    <m/>
  </r>
  <r>
    <n v="3742"/>
    <n v="9977"/>
    <x v="7"/>
    <n v="3291.84"/>
    <s v="Completed"/>
    <s v="West"/>
    <s v="Apple Pay"/>
    <m/>
    <m/>
  </r>
  <r>
    <n v="3743"/>
    <n v="8077"/>
    <x v="341"/>
    <n v="3291.84"/>
    <s v="Completed"/>
    <s v="East"/>
    <s v="Debit Card"/>
    <m/>
    <m/>
  </r>
  <r>
    <n v="3744"/>
    <n v="5673"/>
    <x v="361"/>
    <n v="3291.84"/>
    <s v="Completed"/>
    <s v="West"/>
    <s v="Credit Card"/>
    <m/>
    <m/>
  </r>
  <r>
    <n v="3745"/>
    <n v="9251"/>
    <x v="89"/>
    <n v="3291.84"/>
    <s v="Completed"/>
    <s v="Central"/>
    <s v="PayPal"/>
    <m/>
    <m/>
  </r>
  <r>
    <n v="3746"/>
    <n v="6344"/>
    <x v="134"/>
    <n v="3291.84"/>
    <s v="Completed"/>
    <s v="South"/>
    <s v="PayPal"/>
    <m/>
    <m/>
  </r>
  <r>
    <n v="3747"/>
    <n v="4081"/>
    <x v="244"/>
    <n v="3291.84"/>
    <s v="Completed"/>
    <s v="Central"/>
    <s v="Apple Pay"/>
    <m/>
    <m/>
  </r>
  <r>
    <n v="3748"/>
    <n v="498"/>
    <x v="364"/>
    <n v="3291.84"/>
    <s v="Completed"/>
    <s v="North"/>
    <s v="Apple Pay"/>
    <m/>
    <m/>
  </r>
  <r>
    <n v="3749"/>
    <n v="2928"/>
    <x v="348"/>
    <n v="3291.84"/>
    <s v="Completed"/>
    <s v="South"/>
    <s v="Apple Pay"/>
    <m/>
    <m/>
  </r>
  <r>
    <n v="3750"/>
    <n v="4249"/>
    <x v="81"/>
    <n v="3291.84"/>
    <s v="Completed"/>
    <s v="West"/>
    <s v="Debit Card"/>
    <m/>
    <m/>
  </r>
  <r>
    <n v="3751"/>
    <n v="7461"/>
    <x v="42"/>
    <n v="3291.84"/>
    <s v="Completed"/>
    <s v="South"/>
    <s v="Debit Card"/>
    <m/>
    <m/>
  </r>
  <r>
    <n v="3752"/>
    <n v="8422"/>
    <x v="323"/>
    <n v="3291.84"/>
    <s v="Completed"/>
    <s v="West"/>
    <s v="Apple Pay"/>
    <m/>
    <m/>
  </r>
  <r>
    <n v="3753"/>
    <n v="260"/>
    <x v="21"/>
    <n v="3291.84"/>
    <s v="Completed"/>
    <s v="East"/>
    <s v="PayPal"/>
    <m/>
    <m/>
  </r>
  <r>
    <n v="3754"/>
    <n v="9342"/>
    <x v="219"/>
    <n v="3291.84"/>
    <s v="Completed"/>
    <s v="South"/>
    <s v="Apple Pay"/>
    <m/>
    <m/>
  </r>
  <r>
    <n v="3755"/>
    <n v="4432"/>
    <x v="200"/>
    <n v="3291.84"/>
    <s v="Cancelled"/>
    <s v="North"/>
    <s v="Credit Card"/>
    <m/>
    <m/>
  </r>
  <r>
    <n v="3756"/>
    <n v="4695"/>
    <x v="223"/>
    <n v="3291.84"/>
    <s v="Completed"/>
    <s v="West"/>
    <s v="Credit Card"/>
    <m/>
    <m/>
  </r>
  <r>
    <n v="3757"/>
    <n v="6477"/>
    <x v="186"/>
    <n v="3291.84"/>
    <s v="Cancelled"/>
    <s v="North"/>
    <s v="Debit Card"/>
    <m/>
    <m/>
  </r>
  <r>
    <n v="3758"/>
    <n v="9534"/>
    <x v="313"/>
    <n v="3291.84"/>
    <s v="Completed"/>
    <s v="South"/>
    <s v="PayPal"/>
    <m/>
    <m/>
  </r>
  <r>
    <n v="3759"/>
    <n v="2504"/>
    <x v="12"/>
    <n v="3291.84"/>
    <s v="Completed"/>
    <s v="South"/>
    <s v="Debit Card"/>
    <m/>
    <m/>
  </r>
  <r>
    <n v="3760"/>
    <n v="3574"/>
    <x v="109"/>
    <n v="3291.84"/>
    <s v="Completed"/>
    <s v="North"/>
    <s v="Debit Card"/>
    <m/>
    <m/>
  </r>
  <r>
    <n v="3761"/>
    <n v="6474"/>
    <x v="93"/>
    <n v="3291.84"/>
    <s v="Cancelled"/>
    <s v="East"/>
    <s v="PayPal"/>
    <m/>
    <m/>
  </r>
  <r>
    <n v="3762"/>
    <n v="8015"/>
    <x v="88"/>
    <n v="3291.84"/>
    <s v="Completed"/>
    <s v="North"/>
    <s v="PayPal"/>
    <m/>
    <m/>
  </r>
  <r>
    <n v="3763"/>
    <n v="2909"/>
    <x v="28"/>
    <n v="3291.84"/>
    <s v="Completed"/>
    <s v="Central"/>
    <s v="Apple Pay"/>
    <m/>
    <m/>
  </r>
  <r>
    <n v="3764"/>
    <n v="2393"/>
    <x v="169"/>
    <n v="3291.84"/>
    <s v="Completed"/>
    <s v="South"/>
    <s v="Credit Card"/>
    <m/>
    <m/>
  </r>
  <r>
    <n v="3765"/>
    <n v="2889"/>
    <x v="33"/>
    <n v="3291.84"/>
    <s v="Completed"/>
    <s v="Central"/>
    <s v="Debit Card"/>
    <m/>
    <m/>
  </r>
  <r>
    <n v="3766"/>
    <n v="4300"/>
    <x v="280"/>
    <n v="3291.84"/>
    <s v="Completed"/>
    <s v="East"/>
    <s v="Credit Card"/>
    <m/>
    <m/>
  </r>
  <r>
    <n v="3767"/>
    <n v="5978"/>
    <x v="155"/>
    <n v="3291.84"/>
    <s v="Completed"/>
    <s v="North"/>
    <s v="Credit Card"/>
    <m/>
    <m/>
  </r>
  <r>
    <n v="3768"/>
    <n v="8594"/>
    <x v="96"/>
    <n v="3291.84"/>
    <s v="Completed"/>
    <s v="West"/>
    <s v="Apple Pay"/>
    <m/>
    <m/>
  </r>
  <r>
    <n v="3769"/>
    <n v="9281"/>
    <x v="50"/>
    <n v="3291.84"/>
    <s v="Completed"/>
    <s v="North"/>
    <s v="Credit Card"/>
    <m/>
    <m/>
  </r>
  <r>
    <n v="3770"/>
    <n v="3686"/>
    <x v="101"/>
    <n v="3291.84"/>
    <s v="Completed"/>
    <s v="East"/>
    <s v="Apple Pay"/>
    <m/>
    <m/>
  </r>
  <r>
    <n v="3771"/>
    <n v="9395"/>
    <x v="220"/>
    <n v="3291.84"/>
    <s v="Completed"/>
    <s v="West"/>
    <s v="PayPal"/>
    <m/>
    <m/>
  </r>
  <r>
    <n v="3772"/>
    <n v="1901"/>
    <x v="336"/>
    <n v="3291.84"/>
    <s v="Completed"/>
    <s v="South"/>
    <s v="Debit Card"/>
    <m/>
    <m/>
  </r>
  <r>
    <n v="3773"/>
    <n v="405"/>
    <x v="214"/>
    <n v="3291.84"/>
    <s v="Completed"/>
    <s v="West"/>
    <s v="Debit Card"/>
    <m/>
    <m/>
  </r>
  <r>
    <n v="3774"/>
    <n v="8515"/>
    <x v="256"/>
    <n v="3291.84"/>
    <s v="Completed"/>
    <s v="West"/>
    <s v="PayPal"/>
    <m/>
    <m/>
  </r>
  <r>
    <n v="3775"/>
    <n v="6526"/>
    <x v="90"/>
    <n v="3291.84"/>
    <s v="Completed"/>
    <s v="East"/>
    <s v="Debit Card"/>
    <m/>
    <m/>
  </r>
  <r>
    <n v="3776"/>
    <n v="720"/>
    <x v="157"/>
    <n v="3291.84"/>
    <s v="Completed"/>
    <s v="South"/>
    <s v="PayPal"/>
    <m/>
    <m/>
  </r>
  <r>
    <n v="3777"/>
    <n v="7784"/>
    <x v="186"/>
    <n v="3291.84"/>
    <s v="Completed"/>
    <s v="South"/>
    <s v="Apple Pay"/>
    <m/>
    <m/>
  </r>
  <r>
    <n v="3778"/>
    <n v="5945"/>
    <x v="149"/>
    <n v="3291.84"/>
    <s v="Completed"/>
    <s v="Central"/>
    <s v="Apple Pay"/>
    <m/>
    <m/>
  </r>
  <r>
    <n v="3779"/>
    <n v="1679"/>
    <x v="143"/>
    <n v="3291.84"/>
    <s v="Completed"/>
    <s v="Central"/>
    <s v="Credit Card"/>
    <m/>
    <m/>
  </r>
  <r>
    <n v="3780"/>
    <n v="4832"/>
    <x v="39"/>
    <n v="3291.84"/>
    <s v="Completed"/>
    <s v="North"/>
    <s v="Credit Card"/>
    <m/>
    <m/>
  </r>
  <r>
    <n v="3781"/>
    <n v="3558"/>
    <x v="193"/>
    <n v="3291.84"/>
    <s v="Completed"/>
    <s v="South"/>
    <s v="Credit Card"/>
    <m/>
    <m/>
  </r>
  <r>
    <n v="3782"/>
    <n v="3288"/>
    <x v="77"/>
    <n v="3291.84"/>
    <s v="Completed"/>
    <s v="East"/>
    <s v="Debit Card"/>
    <m/>
    <m/>
  </r>
  <r>
    <n v="3783"/>
    <n v="4874"/>
    <x v="211"/>
    <n v="3291.84"/>
    <s v="Completed"/>
    <s v="North"/>
    <s v="Credit Card"/>
    <m/>
    <m/>
  </r>
  <r>
    <n v="3784"/>
    <n v="4176"/>
    <x v="275"/>
    <n v="3291.84"/>
    <s v="Completed"/>
    <s v="South"/>
    <s v="Apple Pay"/>
    <m/>
    <m/>
  </r>
  <r>
    <n v="3785"/>
    <n v="5969"/>
    <x v="48"/>
    <n v="3291.84"/>
    <s v="Completed"/>
    <s v="West"/>
    <s v="PayPal"/>
    <m/>
    <m/>
  </r>
  <r>
    <n v="3786"/>
    <n v="1519"/>
    <x v="161"/>
    <n v="3291.84"/>
    <s v="Completed"/>
    <s v="Central"/>
    <s v="Credit Card"/>
    <m/>
    <m/>
  </r>
  <r>
    <n v="3787"/>
    <n v="8683"/>
    <x v="338"/>
    <n v="3291.84"/>
    <s v="Completed"/>
    <s v="North"/>
    <s v="PayPal"/>
    <m/>
    <m/>
  </r>
  <r>
    <n v="3788"/>
    <n v="7094"/>
    <x v="185"/>
    <n v="3291.84"/>
    <s v="Completed"/>
    <s v="Central"/>
    <s v="Debit Card"/>
    <m/>
    <m/>
  </r>
  <r>
    <n v="3789"/>
    <n v="8998"/>
    <x v="100"/>
    <n v="3291.84"/>
    <s v="Completed"/>
    <s v="West"/>
    <s v="Credit Card"/>
    <m/>
    <m/>
  </r>
  <r>
    <n v="3790"/>
    <n v="8015"/>
    <x v="166"/>
    <n v="3291.84"/>
    <s v="Completed"/>
    <s v="North"/>
    <s v="Credit Card"/>
    <m/>
    <m/>
  </r>
  <r>
    <n v="3791"/>
    <n v="1179"/>
    <x v="171"/>
    <n v="3291.84"/>
    <s v="Completed"/>
    <s v="East"/>
    <s v="Credit Card"/>
    <m/>
    <m/>
  </r>
  <r>
    <n v="3792"/>
    <n v="7286"/>
    <x v="128"/>
    <n v="3291.84"/>
    <s v="Completed"/>
    <s v="South"/>
    <s v="PayPal"/>
    <m/>
    <m/>
  </r>
  <r>
    <n v="3793"/>
    <n v="6238"/>
    <x v="82"/>
    <n v="3291.84"/>
    <s v="Completed"/>
    <s v="Central"/>
    <s v="Credit Card"/>
    <m/>
    <m/>
  </r>
  <r>
    <n v="3794"/>
    <n v="561"/>
    <x v="18"/>
    <n v="3291.84"/>
    <s v="Completed"/>
    <s v="Central"/>
    <s v="Debit Card"/>
    <m/>
    <m/>
  </r>
  <r>
    <n v="3795"/>
    <n v="4461"/>
    <x v="260"/>
    <n v="3291.84"/>
    <s v="Completed"/>
    <s v="West"/>
    <s v="PayPal"/>
    <m/>
    <m/>
  </r>
  <r>
    <n v="3796"/>
    <n v="8121"/>
    <x v="23"/>
    <n v="3291.84"/>
    <s v="Completed"/>
    <s v="South"/>
    <s v="Credit Card"/>
    <m/>
    <m/>
  </r>
  <r>
    <n v="3797"/>
    <n v="3397"/>
    <x v="90"/>
    <n v="3291.84"/>
    <s v="Completed"/>
    <s v="East"/>
    <s v="Apple Pay"/>
    <m/>
    <m/>
  </r>
  <r>
    <n v="3798"/>
    <n v="7847"/>
    <x v="96"/>
    <n v="3291.84"/>
    <s v="Completed"/>
    <s v="East"/>
    <s v="PayPal"/>
    <m/>
    <m/>
  </r>
  <r>
    <n v="3799"/>
    <n v="663"/>
    <x v="1"/>
    <n v="3291.84"/>
    <s v="Completed"/>
    <s v="Central"/>
    <s v="Debit Card"/>
    <m/>
    <m/>
  </r>
  <r>
    <n v="3800"/>
    <n v="8895"/>
    <x v="162"/>
    <n v="3291.84"/>
    <s v="Completed"/>
    <s v="East"/>
    <s v="PayPal"/>
    <m/>
    <m/>
  </r>
  <r>
    <n v="3801"/>
    <n v="8520"/>
    <x v="39"/>
    <n v="3291.84"/>
    <s v="Completed"/>
    <s v="South"/>
    <s v="Credit Card"/>
    <m/>
    <m/>
  </r>
  <r>
    <n v="3802"/>
    <n v="921"/>
    <x v="94"/>
    <n v="3291.84"/>
    <s v="Completed"/>
    <s v="East"/>
    <s v="Credit Card"/>
    <m/>
    <m/>
  </r>
  <r>
    <n v="3803"/>
    <n v="1752"/>
    <x v="297"/>
    <n v="3291.84"/>
    <s v="Completed"/>
    <s v="South"/>
    <s v="Debit Card"/>
    <m/>
    <m/>
  </r>
  <r>
    <n v="3804"/>
    <n v="5273"/>
    <x v="99"/>
    <n v="3291.84"/>
    <s v="Completed"/>
    <s v="North"/>
    <s v="Credit Card"/>
    <m/>
    <m/>
  </r>
  <r>
    <n v="3805"/>
    <n v="4111"/>
    <x v="179"/>
    <n v="3291.84"/>
    <s v="Completed"/>
    <s v="West"/>
    <s v="Debit Card"/>
    <m/>
    <m/>
  </r>
  <r>
    <n v="3806"/>
    <n v="8503"/>
    <x v="242"/>
    <n v="3291.84"/>
    <s v="Completed"/>
    <s v="South"/>
    <s v="Credit Card"/>
    <m/>
    <m/>
  </r>
  <r>
    <n v="3807"/>
    <n v="7401"/>
    <x v="162"/>
    <n v="3291.84"/>
    <s v="Completed"/>
    <s v="West"/>
    <s v="Apple Pay"/>
    <m/>
    <m/>
  </r>
  <r>
    <n v="3808"/>
    <n v="1259"/>
    <x v="47"/>
    <n v="3291.84"/>
    <s v="Completed"/>
    <s v="West"/>
    <s v="Credit Card"/>
    <m/>
    <m/>
  </r>
  <r>
    <n v="3809"/>
    <n v="5369"/>
    <x v="189"/>
    <n v="3291.84"/>
    <s v="Completed"/>
    <s v="South"/>
    <s v="PayPal"/>
    <m/>
    <m/>
  </r>
  <r>
    <n v="3810"/>
    <n v="461"/>
    <x v="54"/>
    <n v="3291.84"/>
    <s v="Completed"/>
    <s v="Central"/>
    <s v="Apple Pay"/>
    <m/>
    <m/>
  </r>
  <r>
    <n v="3811"/>
    <n v="5804"/>
    <x v="216"/>
    <n v="3291.84"/>
    <s v="Completed"/>
    <s v="East"/>
    <s v="Debit Card"/>
    <m/>
    <m/>
  </r>
  <r>
    <n v="3812"/>
    <n v="4125"/>
    <x v="7"/>
    <n v="3291.84"/>
    <s v="Completed"/>
    <s v="South"/>
    <s v="Debit Card"/>
    <m/>
    <m/>
  </r>
  <r>
    <n v="3813"/>
    <n v="9989"/>
    <x v="301"/>
    <n v="3291.84"/>
    <s v="Completed"/>
    <s v="North"/>
    <s v="Apple Pay"/>
    <m/>
    <m/>
  </r>
  <r>
    <n v="3814"/>
    <n v="2306"/>
    <x v="201"/>
    <n v="3291.84"/>
    <s v="Completed"/>
    <s v="North"/>
    <s v="Debit Card"/>
    <m/>
    <m/>
  </r>
  <r>
    <n v="3815"/>
    <n v="5754"/>
    <x v="265"/>
    <n v="3291.84"/>
    <s v="Completed"/>
    <s v="South"/>
    <s v="PayPal"/>
    <m/>
    <m/>
  </r>
  <r>
    <n v="3816"/>
    <n v="2770"/>
    <x v="148"/>
    <n v="3291.84"/>
    <s v="Completed"/>
    <s v="West"/>
    <s v="Credit Card"/>
    <m/>
    <m/>
  </r>
  <r>
    <n v="3817"/>
    <n v="3460"/>
    <x v="103"/>
    <n v="3291.84"/>
    <s v="Completed"/>
    <s v="Central"/>
    <s v="Apple Pay"/>
    <m/>
    <m/>
  </r>
  <r>
    <n v="3818"/>
    <n v="4031"/>
    <x v="260"/>
    <n v="3291.84"/>
    <s v="Completed"/>
    <s v="South"/>
    <s v="Debit Card"/>
    <m/>
    <m/>
  </r>
  <r>
    <n v="3819"/>
    <n v="7899"/>
    <x v="115"/>
    <n v="3291.84"/>
    <s v="Completed"/>
    <s v="East"/>
    <s v="PayPal"/>
    <m/>
    <m/>
  </r>
  <r>
    <n v="3820"/>
    <n v="1031"/>
    <x v="272"/>
    <n v="3291.84"/>
    <s v="Completed"/>
    <s v="South"/>
    <s v="PayPal"/>
    <m/>
    <m/>
  </r>
  <r>
    <n v="3821"/>
    <n v="6085"/>
    <x v="339"/>
    <n v="3291.84"/>
    <s v="Completed"/>
    <s v="North"/>
    <s v="Debit Card"/>
    <m/>
    <m/>
  </r>
  <r>
    <n v="3822"/>
    <n v="4623"/>
    <x v="247"/>
    <n v="3291.84"/>
    <s v="Completed"/>
    <s v="West"/>
    <s v="Debit Card"/>
    <m/>
    <m/>
  </r>
  <r>
    <n v="3823"/>
    <n v="9365"/>
    <x v="227"/>
    <n v="3291.84"/>
    <s v="Completed"/>
    <s v="Central"/>
    <s v="Apple Pay"/>
    <m/>
    <m/>
  </r>
  <r>
    <n v="3824"/>
    <n v="3575"/>
    <x v="250"/>
    <n v="3291.84"/>
    <s v="Completed"/>
    <s v="East"/>
    <s v="Credit Card"/>
    <m/>
    <m/>
  </r>
  <r>
    <n v="3825"/>
    <n v="3754"/>
    <x v="68"/>
    <n v="3291.84"/>
    <s v="Completed"/>
    <s v="South"/>
    <s v="PayPal"/>
    <m/>
    <m/>
  </r>
  <r>
    <n v="3826"/>
    <n v="9174"/>
    <x v="25"/>
    <n v="3291.84"/>
    <s v="Completed"/>
    <s v="South"/>
    <s v="PayPal"/>
    <m/>
    <m/>
  </r>
  <r>
    <n v="3827"/>
    <n v="628"/>
    <x v="105"/>
    <n v="3291.84"/>
    <s v="Completed"/>
    <s v="West"/>
    <s v="Debit Card"/>
    <m/>
    <m/>
  </r>
  <r>
    <n v="3828"/>
    <n v="594"/>
    <x v="202"/>
    <n v="3291.84"/>
    <s v="Completed"/>
    <s v="South"/>
    <s v="Apple Pay"/>
    <m/>
    <m/>
  </r>
  <r>
    <n v="3829"/>
    <n v="2132"/>
    <x v="298"/>
    <n v="3291.84"/>
    <s v="Completed"/>
    <s v="West"/>
    <s v="Debit Card"/>
    <m/>
    <m/>
  </r>
  <r>
    <n v="3830"/>
    <n v="6650"/>
    <x v="265"/>
    <n v="3291.84"/>
    <s v="Completed"/>
    <s v="Central"/>
    <s v="PayPal"/>
    <m/>
    <m/>
  </r>
  <r>
    <n v="3831"/>
    <n v="1674"/>
    <x v="348"/>
    <n v="3291.84"/>
    <s v="Completed"/>
    <s v="South"/>
    <s v="Credit Card"/>
    <m/>
    <m/>
  </r>
  <r>
    <n v="3832"/>
    <n v="3407"/>
    <x v="191"/>
    <n v="3291.84"/>
    <s v="Completed"/>
    <s v="East"/>
    <s v="Apple Pay"/>
    <m/>
    <m/>
  </r>
  <r>
    <n v="3833"/>
    <n v="8165"/>
    <x v="224"/>
    <n v="3291.84"/>
    <s v="Returned"/>
    <s v="East"/>
    <s v="Credit Card"/>
    <m/>
    <m/>
  </r>
  <r>
    <n v="3834"/>
    <n v="3163"/>
    <x v="76"/>
    <n v="3291.84"/>
    <s v="Completed"/>
    <s v="West"/>
    <s v="Debit Card"/>
    <m/>
    <m/>
  </r>
  <r>
    <n v="3835"/>
    <n v="5846"/>
    <x v="4"/>
    <n v="3291.84"/>
    <s v="Returned"/>
    <s v="East"/>
    <s v="Apple Pay"/>
    <m/>
    <m/>
  </r>
  <r>
    <n v="3836"/>
    <n v="9140"/>
    <x v="34"/>
    <n v="3291.84"/>
    <s v="Completed"/>
    <s v="West"/>
    <s v="Credit Card"/>
    <m/>
    <m/>
  </r>
  <r>
    <n v="3837"/>
    <n v="8385"/>
    <x v="172"/>
    <n v="3291.84"/>
    <s v="Completed"/>
    <s v="North"/>
    <s v="Apple Pay"/>
    <m/>
    <m/>
  </r>
  <r>
    <n v="3838"/>
    <n v="595"/>
    <x v="250"/>
    <n v="3291.84"/>
    <s v="Cancelled"/>
    <s v="North"/>
    <s v="Credit Card"/>
    <m/>
    <m/>
  </r>
  <r>
    <n v="3839"/>
    <n v="645"/>
    <x v="151"/>
    <n v="3291.84"/>
    <s v="Completed"/>
    <s v="West"/>
    <s v="Apple Pay"/>
    <m/>
    <m/>
  </r>
  <r>
    <n v="3840"/>
    <n v="7172"/>
    <x v="90"/>
    <n v="3291.84"/>
    <s v="Completed"/>
    <s v="North"/>
    <s v="PayPal"/>
    <m/>
    <m/>
  </r>
  <r>
    <n v="3841"/>
    <n v="169"/>
    <x v="155"/>
    <n v="3291.84"/>
    <s v="Completed"/>
    <s v="West"/>
    <s v="Debit Card"/>
    <m/>
    <m/>
  </r>
  <r>
    <n v="3842"/>
    <n v="2469"/>
    <x v="102"/>
    <n v="3291.84"/>
    <s v="Completed"/>
    <s v="East"/>
    <s v="PayPal"/>
    <m/>
    <m/>
  </r>
  <r>
    <n v="3843"/>
    <n v="361"/>
    <x v="49"/>
    <n v="3291.84"/>
    <s v="Completed"/>
    <s v="North"/>
    <s v="Credit Card"/>
    <m/>
    <m/>
  </r>
  <r>
    <n v="3844"/>
    <n v="6320"/>
    <x v="83"/>
    <n v="3291.84"/>
    <s v="Completed"/>
    <s v="South"/>
    <s v="PayPal"/>
    <m/>
    <m/>
  </r>
  <r>
    <n v="3845"/>
    <n v="308"/>
    <x v="265"/>
    <n v="3291.84"/>
    <s v="Completed"/>
    <s v="South"/>
    <s v="Debit Card"/>
    <m/>
    <m/>
  </r>
  <r>
    <n v="3846"/>
    <n v="4002"/>
    <x v="309"/>
    <n v="3291.84"/>
    <s v="Completed"/>
    <s v="West"/>
    <s v="Apple Pay"/>
    <m/>
    <m/>
  </r>
  <r>
    <n v="3847"/>
    <n v="2993"/>
    <x v="39"/>
    <n v="3291.84"/>
    <s v="Completed"/>
    <s v="West"/>
    <s v="Credit Card"/>
    <m/>
    <m/>
  </r>
  <r>
    <n v="3848"/>
    <n v="232"/>
    <x v="90"/>
    <n v="3291.84"/>
    <s v="Completed"/>
    <s v="Central"/>
    <s v="PayPal"/>
    <m/>
    <m/>
  </r>
  <r>
    <n v="3849"/>
    <n v="6725"/>
    <x v="6"/>
    <n v="3291.84"/>
    <s v="Completed"/>
    <s v="West"/>
    <s v="Credit Card"/>
    <m/>
    <m/>
  </r>
  <r>
    <n v="3850"/>
    <n v="3157"/>
    <x v="202"/>
    <n v="3291.84"/>
    <s v="Completed"/>
    <s v="West"/>
    <s v="PayPal"/>
    <m/>
    <m/>
  </r>
  <r>
    <n v="3851"/>
    <n v="9911"/>
    <x v="68"/>
    <n v="3291.84"/>
    <s v="Returned"/>
    <s v="West"/>
    <s v="Credit Card"/>
    <m/>
    <m/>
  </r>
  <r>
    <n v="3852"/>
    <n v="4246"/>
    <x v="10"/>
    <n v="3291.84"/>
    <s v="Completed"/>
    <s v="North"/>
    <s v="Credit Card"/>
    <m/>
    <m/>
  </r>
  <r>
    <n v="3853"/>
    <n v="202"/>
    <x v="41"/>
    <n v="3291.84"/>
    <s v="Completed"/>
    <s v="West"/>
    <s v="Credit Card"/>
    <m/>
    <m/>
  </r>
  <r>
    <n v="3854"/>
    <n v="9738"/>
    <x v="223"/>
    <n v="3291.84"/>
    <s v="Completed"/>
    <s v="West"/>
    <s v="Debit Card"/>
    <m/>
    <m/>
  </r>
  <r>
    <n v="3855"/>
    <n v="7066"/>
    <x v="57"/>
    <n v="3291.84"/>
    <s v="Completed"/>
    <s v="East"/>
    <s v="Apple Pay"/>
    <m/>
    <m/>
  </r>
  <r>
    <n v="3856"/>
    <n v="9444"/>
    <x v="84"/>
    <n v="3291.84"/>
    <s v="Completed"/>
    <s v="East"/>
    <s v="PayPal"/>
    <m/>
    <m/>
  </r>
  <r>
    <n v="3857"/>
    <n v="4684"/>
    <x v="45"/>
    <n v="3291.84"/>
    <s v="Completed"/>
    <s v="Central"/>
    <s v="Apple Pay"/>
    <m/>
    <m/>
  </r>
  <r>
    <n v="3858"/>
    <n v="4099"/>
    <x v="106"/>
    <n v="3291.84"/>
    <s v="Completed"/>
    <s v="Central"/>
    <s v="Credit Card"/>
    <m/>
    <m/>
  </r>
  <r>
    <n v="3859"/>
    <n v="5729"/>
    <x v="9"/>
    <n v="3291.84"/>
    <s v="Completed"/>
    <s v="South"/>
    <s v="PayPal"/>
    <m/>
    <m/>
  </r>
  <r>
    <n v="3860"/>
    <n v="4924"/>
    <x v="329"/>
    <n v="3291.84"/>
    <s v="Completed"/>
    <s v="Central"/>
    <s v="Debit Card"/>
    <m/>
    <m/>
  </r>
  <r>
    <n v="3861"/>
    <n v="9493"/>
    <x v="211"/>
    <n v="3291.84"/>
    <s v="Completed"/>
    <s v="West"/>
    <s v="PayPal"/>
    <m/>
    <m/>
  </r>
  <r>
    <n v="3862"/>
    <n v="6083"/>
    <x v="167"/>
    <n v="3291.84"/>
    <s v="Completed"/>
    <s v="South"/>
    <s v="Apple Pay"/>
    <m/>
    <m/>
  </r>
  <r>
    <n v="3863"/>
    <n v="7647"/>
    <x v="165"/>
    <n v="3291.84"/>
    <s v="Completed"/>
    <s v="West"/>
    <s v="PayPal"/>
    <m/>
    <m/>
  </r>
  <r>
    <n v="3864"/>
    <n v="4538"/>
    <x v="110"/>
    <n v="3291.84"/>
    <s v="Completed"/>
    <s v="North"/>
    <s v="Credit Card"/>
    <m/>
    <m/>
  </r>
  <r>
    <n v="3865"/>
    <n v="2431"/>
    <x v="40"/>
    <n v="3291.84"/>
    <s v="Completed"/>
    <s v="North"/>
    <s v="Debit Card"/>
    <m/>
    <m/>
  </r>
  <r>
    <n v="3866"/>
    <n v="303"/>
    <x v="7"/>
    <n v="3291.84"/>
    <s v="Completed"/>
    <s v="East"/>
    <s v="Debit Card"/>
    <m/>
    <m/>
  </r>
  <r>
    <n v="3867"/>
    <n v="8963"/>
    <x v="113"/>
    <n v="3291.84"/>
    <s v="Completed"/>
    <s v="South"/>
    <s v="Apple Pay"/>
    <m/>
    <m/>
  </r>
  <r>
    <n v="3868"/>
    <n v="8428"/>
    <x v="86"/>
    <n v="3291.84"/>
    <s v="Completed"/>
    <s v="South"/>
    <s v="Debit Card"/>
    <m/>
    <m/>
  </r>
  <r>
    <n v="3869"/>
    <n v="4928"/>
    <x v="326"/>
    <n v="3291.84"/>
    <s v="Completed"/>
    <s v="South"/>
    <s v="Debit Card"/>
    <m/>
    <m/>
  </r>
  <r>
    <n v="3870"/>
    <n v="4040"/>
    <x v="194"/>
    <n v="3291.84"/>
    <s v="Completed"/>
    <s v="Central"/>
    <s v="Apple Pay"/>
    <m/>
    <m/>
  </r>
  <r>
    <n v="3871"/>
    <n v="8954"/>
    <x v="200"/>
    <n v="3291.84"/>
    <s v="Completed"/>
    <s v="North"/>
    <s v="Credit Card"/>
    <m/>
    <m/>
  </r>
  <r>
    <n v="3872"/>
    <n v="4923"/>
    <x v="149"/>
    <n v="3291.84"/>
    <s v="Completed"/>
    <s v="Central"/>
    <s v="PayPal"/>
    <m/>
    <m/>
  </r>
  <r>
    <n v="3873"/>
    <n v="4014"/>
    <x v="105"/>
    <n v="3291.84"/>
    <s v="Completed"/>
    <s v="West"/>
    <s v="Apple Pay"/>
    <m/>
    <m/>
  </r>
  <r>
    <n v="3874"/>
    <n v="3820"/>
    <x v="124"/>
    <n v="3291.84"/>
    <s v="Completed"/>
    <s v="East"/>
    <s v="Credit Card"/>
    <m/>
    <m/>
  </r>
  <r>
    <n v="3875"/>
    <n v="9335"/>
    <x v="103"/>
    <n v="3291.84"/>
    <s v="Completed"/>
    <s v="South"/>
    <s v="Apple Pay"/>
    <m/>
    <m/>
  </r>
  <r>
    <n v="3876"/>
    <n v="9262"/>
    <x v="180"/>
    <n v="3291.84"/>
    <s v="Completed"/>
    <s v="East"/>
    <s v="Debit Card"/>
    <m/>
    <m/>
  </r>
  <r>
    <n v="3877"/>
    <n v="7968"/>
    <x v="299"/>
    <n v="3291.84"/>
    <s v="Completed"/>
    <s v="North"/>
    <s v="Credit Card"/>
    <m/>
    <m/>
  </r>
  <r>
    <n v="3878"/>
    <n v="4536"/>
    <x v="246"/>
    <n v="3291.84"/>
    <s v="Completed"/>
    <s v="North"/>
    <s v="Apple Pay"/>
    <m/>
    <m/>
  </r>
  <r>
    <n v="3879"/>
    <n v="9748"/>
    <x v="180"/>
    <n v="3291.84"/>
    <s v="Completed"/>
    <s v="West"/>
    <s v="Debit Card"/>
    <m/>
    <m/>
  </r>
  <r>
    <n v="3880"/>
    <n v="7699"/>
    <x v="353"/>
    <n v="3291.84"/>
    <s v="Completed"/>
    <s v="East"/>
    <s v="Apple Pay"/>
    <m/>
    <m/>
  </r>
  <r>
    <n v="3881"/>
    <n v="9111"/>
    <x v="84"/>
    <n v="3291.84"/>
    <s v="Completed"/>
    <s v="West"/>
    <s v="Debit Card"/>
    <m/>
    <m/>
  </r>
  <r>
    <n v="3882"/>
    <n v="9012"/>
    <x v="173"/>
    <n v="3291.84"/>
    <s v="Completed"/>
    <s v="Central"/>
    <s v="Apple Pay"/>
    <m/>
    <m/>
  </r>
  <r>
    <n v="3883"/>
    <n v="2854"/>
    <x v="21"/>
    <n v="3291.84"/>
    <s v="Completed"/>
    <s v="North"/>
    <s v="PayPal"/>
    <m/>
    <m/>
  </r>
  <r>
    <n v="3884"/>
    <n v="6215"/>
    <x v="203"/>
    <n v="3291.84"/>
    <s v="Completed"/>
    <s v="South"/>
    <s v="PayPal"/>
    <m/>
    <m/>
  </r>
  <r>
    <n v="3885"/>
    <n v="1882"/>
    <x v="135"/>
    <n v="3291.84"/>
    <s v="Completed"/>
    <s v="North"/>
    <s v="Credit Card"/>
    <m/>
    <m/>
  </r>
  <r>
    <n v="3886"/>
    <n v="1941"/>
    <x v="98"/>
    <n v="3291.84"/>
    <s v="Completed"/>
    <s v="North"/>
    <s v="Debit Card"/>
    <m/>
    <m/>
  </r>
  <r>
    <n v="3887"/>
    <n v="3619"/>
    <x v="288"/>
    <n v="3291.84"/>
    <s v="Completed"/>
    <s v="South"/>
    <s v="PayPal"/>
    <m/>
    <m/>
  </r>
  <r>
    <n v="3888"/>
    <n v="1312"/>
    <x v="193"/>
    <n v="3291.84"/>
    <s v="Completed"/>
    <s v="Central"/>
    <s v="Apple Pay"/>
    <m/>
    <m/>
  </r>
  <r>
    <n v="3889"/>
    <n v="606"/>
    <x v="206"/>
    <n v="3291.84"/>
    <s v="Completed"/>
    <s v="West"/>
    <s v="PayPal"/>
    <m/>
    <m/>
  </r>
  <r>
    <n v="3890"/>
    <n v="7108"/>
    <x v="259"/>
    <n v="3291.84"/>
    <s v="Completed"/>
    <s v="West"/>
    <s v="Apple Pay"/>
    <m/>
    <m/>
  </r>
  <r>
    <n v="3891"/>
    <n v="7784"/>
    <x v="155"/>
    <n v="3291.84"/>
    <s v="Completed"/>
    <s v="South"/>
    <s v="Credit Card"/>
    <m/>
    <m/>
  </r>
  <r>
    <n v="3892"/>
    <n v="778"/>
    <x v="97"/>
    <n v="3291.84"/>
    <s v="Completed"/>
    <s v="Central"/>
    <s v="Apple Pay"/>
    <m/>
    <m/>
  </r>
  <r>
    <n v="3893"/>
    <n v="8015"/>
    <x v="161"/>
    <n v="3291.84"/>
    <s v="Completed"/>
    <s v="North"/>
    <s v="PayPal"/>
    <m/>
    <m/>
  </r>
  <r>
    <n v="3894"/>
    <n v="5802"/>
    <x v="301"/>
    <n v="3291.84"/>
    <s v="Completed"/>
    <s v="South"/>
    <s v="Debit Card"/>
    <m/>
    <m/>
  </r>
  <r>
    <n v="3895"/>
    <n v="9713"/>
    <x v="338"/>
    <n v="3291.84"/>
    <s v="Completed"/>
    <s v="East"/>
    <s v="PayPal"/>
    <m/>
    <m/>
  </r>
  <r>
    <n v="3896"/>
    <n v="1320"/>
    <x v="7"/>
    <n v="3291.84"/>
    <s v="Completed"/>
    <s v="North"/>
    <s v="Apple Pay"/>
    <m/>
    <m/>
  </r>
  <r>
    <n v="3897"/>
    <n v="7001"/>
    <x v="65"/>
    <n v="3291.84"/>
    <s v="Completed"/>
    <s v="North"/>
    <s v="Credit Card"/>
    <m/>
    <m/>
  </r>
  <r>
    <n v="3898"/>
    <n v="4713"/>
    <x v="54"/>
    <n v="3291.84"/>
    <s v="Completed"/>
    <s v="South"/>
    <s v="Apple Pay"/>
    <m/>
    <m/>
  </r>
  <r>
    <n v="3899"/>
    <n v="1913"/>
    <x v="139"/>
    <n v="3291.84"/>
    <s v="Completed"/>
    <s v="East"/>
    <s v="Credit Card"/>
    <m/>
    <m/>
  </r>
  <r>
    <n v="3900"/>
    <n v="2545"/>
    <x v="91"/>
    <n v="3291.84"/>
    <s v="Completed"/>
    <s v="South"/>
    <s v="PayPal"/>
    <m/>
    <m/>
  </r>
  <r>
    <n v="3901"/>
    <n v="1650"/>
    <x v="210"/>
    <n v="3291.84"/>
    <s v="Completed"/>
    <s v="West"/>
    <s v="Debit Card"/>
    <m/>
    <m/>
  </r>
  <r>
    <n v="3902"/>
    <n v="5927"/>
    <x v="227"/>
    <n v="3291.84"/>
    <s v="Returned"/>
    <s v="East"/>
    <s v="Apple Pay"/>
    <m/>
    <m/>
  </r>
  <r>
    <n v="3903"/>
    <n v="8828"/>
    <x v="115"/>
    <n v="3291.84"/>
    <s v="Completed"/>
    <s v="East"/>
    <s v="PayPal"/>
    <m/>
    <m/>
  </r>
  <r>
    <n v="3904"/>
    <n v="4684"/>
    <x v="108"/>
    <n v="3291.84"/>
    <s v="Cancelled"/>
    <s v="Central"/>
    <s v="Debit Card"/>
    <m/>
    <m/>
  </r>
  <r>
    <n v="3905"/>
    <n v="344"/>
    <x v="113"/>
    <n v="3291.84"/>
    <s v="Completed"/>
    <s v="North"/>
    <s v="PayPal"/>
    <m/>
    <m/>
  </r>
  <r>
    <n v="3906"/>
    <n v="1485"/>
    <x v="109"/>
    <n v="3291.84"/>
    <s v="Completed"/>
    <s v="East"/>
    <s v="Debit Card"/>
    <m/>
    <m/>
  </r>
  <r>
    <n v="3907"/>
    <n v="2510"/>
    <x v="97"/>
    <n v="3291.84"/>
    <s v="Completed"/>
    <s v="North"/>
    <s v="Credit Card"/>
    <m/>
    <m/>
  </r>
  <r>
    <n v="3908"/>
    <n v="1595"/>
    <x v="223"/>
    <n v="3291.84"/>
    <s v="Completed"/>
    <s v="Central"/>
    <s v="Credit Card"/>
    <m/>
    <m/>
  </r>
  <r>
    <n v="3909"/>
    <n v="5905"/>
    <x v="265"/>
    <n v="3291.84"/>
    <s v="Completed"/>
    <s v="East"/>
    <s v="Debit Card"/>
    <m/>
    <m/>
  </r>
  <r>
    <n v="3910"/>
    <n v="5374"/>
    <x v="152"/>
    <n v="3291.84"/>
    <s v="Completed"/>
    <s v="North"/>
    <s v="Debit Card"/>
    <m/>
    <m/>
  </r>
  <r>
    <n v="3911"/>
    <n v="9192"/>
    <x v="331"/>
    <n v="3291.84"/>
    <s v="Completed"/>
    <s v="South"/>
    <s v="Debit Card"/>
    <m/>
    <m/>
  </r>
  <r>
    <n v="3912"/>
    <n v="8966"/>
    <x v="286"/>
    <n v="3291.84"/>
    <s v="Completed"/>
    <s v="North"/>
    <s v="Credit Card"/>
    <m/>
    <m/>
  </r>
  <r>
    <n v="3913"/>
    <n v="5703"/>
    <x v="48"/>
    <n v="3291.84"/>
    <s v="Completed"/>
    <s v="North"/>
    <s v="Debit Card"/>
    <m/>
    <m/>
  </r>
  <r>
    <n v="3914"/>
    <n v="6710"/>
    <x v="285"/>
    <n v="3291.84"/>
    <s v="Completed"/>
    <s v="South"/>
    <s v="Debit Card"/>
    <m/>
    <m/>
  </r>
  <r>
    <n v="3915"/>
    <n v="1225"/>
    <x v="279"/>
    <n v="3291.84"/>
    <s v="Cancelled"/>
    <s v="West"/>
    <s v="Credit Card"/>
    <m/>
    <m/>
  </r>
  <r>
    <n v="3916"/>
    <n v="5934"/>
    <x v="315"/>
    <n v="3291.84"/>
    <s v="Completed"/>
    <s v="East"/>
    <s v="Apple Pay"/>
    <m/>
    <m/>
  </r>
  <r>
    <n v="3917"/>
    <n v="9584"/>
    <x v="250"/>
    <n v="3291.84"/>
    <s v="Completed"/>
    <s v="North"/>
    <s v="Credit Card"/>
    <m/>
    <m/>
  </r>
  <r>
    <n v="3918"/>
    <n v="8876"/>
    <x v="265"/>
    <n v="3291.84"/>
    <s v="Completed"/>
    <s v="North"/>
    <s v="PayPal"/>
    <m/>
    <m/>
  </r>
  <r>
    <n v="3919"/>
    <n v="1899"/>
    <x v="322"/>
    <n v="3291.84"/>
    <s v="Completed"/>
    <s v="Central"/>
    <s v="Apple Pay"/>
    <m/>
    <m/>
  </r>
  <r>
    <n v="3920"/>
    <n v="6456"/>
    <x v="147"/>
    <n v="3291.84"/>
    <s v="Completed"/>
    <s v="South"/>
    <s v="PayPal"/>
    <m/>
    <m/>
  </r>
  <r>
    <n v="3921"/>
    <n v="9349"/>
    <x v="312"/>
    <n v="3291.84"/>
    <s v="Completed"/>
    <s v="West"/>
    <s v="Apple Pay"/>
    <m/>
    <m/>
  </r>
  <r>
    <n v="3922"/>
    <n v="7468"/>
    <x v="21"/>
    <n v="3291.84"/>
    <s v="Completed"/>
    <s v="West"/>
    <s v="Credit Card"/>
    <m/>
    <m/>
  </r>
  <r>
    <n v="3923"/>
    <n v="3288"/>
    <x v="103"/>
    <n v="3291.84"/>
    <s v="Completed"/>
    <s v="East"/>
    <s v="Credit Card"/>
    <m/>
    <m/>
  </r>
  <r>
    <n v="3924"/>
    <n v="7847"/>
    <x v="197"/>
    <n v="3291.84"/>
    <s v="Completed"/>
    <s v="East"/>
    <s v="PayPal"/>
    <m/>
    <m/>
  </r>
  <r>
    <n v="3925"/>
    <n v="6238"/>
    <x v="248"/>
    <n v="3291.84"/>
    <s v="Completed"/>
    <s v="others"/>
    <s v="Credit Card"/>
    <m/>
    <m/>
  </r>
  <r>
    <n v="3926"/>
    <n v="2533"/>
    <x v="139"/>
    <n v="3291.84"/>
    <s v="Completed"/>
    <s v="East"/>
    <s v="Credit Card"/>
    <m/>
    <m/>
  </r>
  <r>
    <n v="3927"/>
    <n v="4953"/>
    <x v="87"/>
    <n v="3291.84"/>
    <s v="Completed"/>
    <s v="East"/>
    <s v="Apple Pay"/>
    <m/>
    <m/>
  </r>
  <r>
    <n v="3928"/>
    <n v="3325"/>
    <x v="166"/>
    <n v="3291.84"/>
    <s v="Completed"/>
    <s v="Central"/>
    <s v="PayPal"/>
    <m/>
    <m/>
  </r>
  <r>
    <n v="3929"/>
    <n v="5158"/>
    <x v="15"/>
    <n v="3291.84"/>
    <s v="Completed"/>
    <s v="West"/>
    <s v="PayPal"/>
    <m/>
    <m/>
  </r>
  <r>
    <n v="3930"/>
    <n v="906"/>
    <x v="360"/>
    <n v="3291.84"/>
    <s v="Completed"/>
    <s v="North"/>
    <s v="Debit Card"/>
    <m/>
    <m/>
  </r>
  <r>
    <n v="3931"/>
    <n v="9804"/>
    <x v="221"/>
    <n v="3291.84"/>
    <s v="Completed"/>
    <s v="Central"/>
    <s v="PayPal"/>
    <m/>
    <m/>
  </r>
  <r>
    <n v="3932"/>
    <n v="4837"/>
    <x v="176"/>
    <n v="3291.84"/>
    <s v="Completed"/>
    <s v="West"/>
    <s v="PayPal"/>
    <m/>
    <m/>
  </r>
  <r>
    <n v="3933"/>
    <n v="9239"/>
    <x v="132"/>
    <n v="3291.84"/>
    <s v="Completed"/>
    <s v="South"/>
    <s v="PayPal"/>
    <m/>
    <m/>
  </r>
  <r>
    <n v="3934"/>
    <n v="3720"/>
    <x v="360"/>
    <n v="3291.84"/>
    <s v="Completed"/>
    <s v="East"/>
    <s v="Credit Card"/>
    <m/>
    <m/>
  </r>
  <r>
    <n v="3935"/>
    <n v="2458"/>
    <x v="129"/>
    <n v="3291.84"/>
    <s v="Completed"/>
    <s v="South"/>
    <s v="Debit Card"/>
    <m/>
    <m/>
  </r>
  <r>
    <n v="3936"/>
    <n v="8815"/>
    <x v="166"/>
    <n v="3291.84"/>
    <s v="Completed"/>
    <s v="North"/>
    <s v="Apple Pay"/>
    <m/>
    <m/>
  </r>
  <r>
    <n v="3937"/>
    <n v="7179"/>
    <x v="65"/>
    <n v="3291.84"/>
    <s v="Completed"/>
    <s v="Central"/>
    <s v="Credit Card"/>
    <m/>
    <m/>
  </r>
  <r>
    <n v="3938"/>
    <n v="2932"/>
    <x v="59"/>
    <n v="3291.84"/>
    <s v="Completed"/>
    <s v="West"/>
    <s v="Credit Card"/>
    <m/>
    <m/>
  </r>
  <r>
    <n v="3939"/>
    <n v="2247"/>
    <x v="69"/>
    <n v="3291.84"/>
    <s v="Completed"/>
    <s v="West"/>
    <s v="Apple Pay"/>
    <m/>
    <m/>
  </r>
  <r>
    <n v="3940"/>
    <n v="8543"/>
    <x v="33"/>
    <n v="3291.84"/>
    <s v="Completed"/>
    <s v="West"/>
    <s v="PayPal"/>
    <m/>
    <m/>
  </r>
  <r>
    <n v="3941"/>
    <n v="1597"/>
    <x v="58"/>
    <n v="3291.84"/>
    <s v="Completed"/>
    <s v="North"/>
    <s v="Credit Card"/>
    <m/>
    <m/>
  </r>
  <r>
    <n v="3942"/>
    <n v="3703"/>
    <x v="83"/>
    <n v="3291.84"/>
    <s v="Completed"/>
    <s v="North"/>
    <s v="PayPal"/>
    <m/>
    <m/>
  </r>
  <r>
    <n v="3943"/>
    <n v="7713"/>
    <x v="62"/>
    <n v="3291.84"/>
    <s v="Completed"/>
    <s v="South"/>
    <s v="PayPal"/>
    <m/>
    <m/>
  </r>
  <r>
    <n v="3944"/>
    <n v="8722"/>
    <x v="15"/>
    <n v="3291.84"/>
    <s v="Completed"/>
    <s v="West"/>
    <s v="Credit Card"/>
    <m/>
    <m/>
  </r>
  <r>
    <n v="3945"/>
    <n v="5450"/>
    <x v="89"/>
    <n v="3291.84"/>
    <s v="Completed"/>
    <s v="South"/>
    <s v="Credit Card"/>
    <m/>
    <m/>
  </r>
  <r>
    <n v="3946"/>
    <n v="9073"/>
    <x v="61"/>
    <n v="3291.84"/>
    <s v="Completed"/>
    <s v="North"/>
    <s v="Debit Card"/>
    <m/>
    <m/>
  </r>
  <r>
    <n v="3947"/>
    <n v="2423"/>
    <x v="11"/>
    <n v="3291.84"/>
    <s v="Completed"/>
    <s v="Central"/>
    <s v="Apple Pay"/>
    <m/>
    <m/>
  </r>
  <r>
    <n v="3948"/>
    <n v="9962"/>
    <x v="286"/>
    <n v="3291.84"/>
    <s v="Completed"/>
    <s v="West"/>
    <s v="Debit Card"/>
    <m/>
    <m/>
  </r>
  <r>
    <n v="3949"/>
    <n v="2209"/>
    <x v="308"/>
    <n v="3291.84"/>
    <s v="Completed"/>
    <s v="North"/>
    <s v="Apple Pay"/>
    <m/>
    <m/>
  </r>
  <r>
    <n v="3950"/>
    <n v="7745"/>
    <x v="140"/>
    <n v="3291.84"/>
    <s v="Completed"/>
    <s v="East"/>
    <s v="Apple Pay"/>
    <m/>
    <m/>
  </r>
  <r>
    <n v="3951"/>
    <n v="2707"/>
    <x v="17"/>
    <n v="3291.84"/>
    <s v="Completed"/>
    <s v="West"/>
    <s v="Apple Pay"/>
    <m/>
    <m/>
  </r>
  <r>
    <n v="3952"/>
    <n v="4688"/>
    <x v="114"/>
    <n v="3291.84"/>
    <s v="Cancelled"/>
    <s v="Central"/>
    <s v="Debit Card"/>
    <m/>
    <m/>
  </r>
  <r>
    <n v="3953"/>
    <n v="4669"/>
    <x v="13"/>
    <n v="3291.84"/>
    <s v="Completed"/>
    <s v="South"/>
    <s v="PayPal"/>
    <m/>
    <m/>
  </r>
  <r>
    <n v="3954"/>
    <n v="5550"/>
    <x v="147"/>
    <n v="3291.84"/>
    <s v="Completed"/>
    <s v="East"/>
    <s v="Apple Pay"/>
    <m/>
    <m/>
  </r>
  <r>
    <n v="3955"/>
    <n v="6320"/>
    <x v="157"/>
    <n v="3291.84"/>
    <s v="Completed"/>
    <s v="South"/>
    <s v="Apple Pay"/>
    <m/>
    <m/>
  </r>
  <r>
    <n v="3956"/>
    <n v="3697"/>
    <x v="301"/>
    <n v="3291.84"/>
    <s v="Completed"/>
    <s v="East"/>
    <s v="Debit Card"/>
    <m/>
    <m/>
  </r>
  <r>
    <n v="3957"/>
    <n v="4402"/>
    <x v="264"/>
    <n v="3291.84"/>
    <s v="Completed"/>
    <s v="West"/>
    <s v="Credit Card"/>
    <m/>
    <m/>
  </r>
  <r>
    <n v="3958"/>
    <n v="5566"/>
    <x v="58"/>
    <n v="3291.84"/>
    <s v="Completed"/>
    <s v="North"/>
    <s v="Debit Card"/>
    <m/>
    <m/>
  </r>
  <r>
    <n v="3959"/>
    <n v="2917"/>
    <x v="286"/>
    <n v="3291.84"/>
    <s v="Completed"/>
    <s v="East"/>
    <s v="PayPal"/>
    <m/>
    <m/>
  </r>
  <r>
    <n v="3960"/>
    <n v="1988"/>
    <x v="271"/>
    <n v="3291.84"/>
    <s v="Completed"/>
    <s v="North"/>
    <s v="PayPal"/>
    <m/>
    <m/>
  </r>
  <r>
    <n v="3961"/>
    <n v="424"/>
    <x v="142"/>
    <n v="3291.84"/>
    <s v="Completed"/>
    <s v="East"/>
    <s v="Apple Pay"/>
    <m/>
    <m/>
  </r>
  <r>
    <n v="3962"/>
    <n v="8982"/>
    <x v="181"/>
    <n v="3291.84"/>
    <s v="Completed"/>
    <s v="North"/>
    <s v="Credit Card"/>
    <m/>
    <m/>
  </r>
  <r>
    <n v="3963"/>
    <n v="4725"/>
    <x v="348"/>
    <n v="3291.84"/>
    <s v="Completed"/>
    <s v="North"/>
    <s v="Credit Card"/>
    <m/>
    <m/>
  </r>
  <r>
    <n v="3964"/>
    <n v="3943"/>
    <x v="10"/>
    <n v="3291.84"/>
    <s v="Completed"/>
    <s v="North"/>
    <s v="PayPal"/>
    <m/>
    <m/>
  </r>
  <r>
    <n v="3965"/>
    <n v="7789"/>
    <x v="236"/>
    <n v="3291.84"/>
    <s v="Returned"/>
    <s v="others"/>
    <s v="PayPal"/>
    <m/>
    <m/>
  </r>
  <r>
    <n v="3966"/>
    <n v="3109"/>
    <x v="85"/>
    <n v="3291.84"/>
    <s v="Completed"/>
    <s v="South"/>
    <s v="Apple Pay"/>
    <m/>
    <m/>
  </r>
  <r>
    <n v="3967"/>
    <n v="2397"/>
    <x v="219"/>
    <n v="3291.84"/>
    <s v="Completed"/>
    <s v="West"/>
    <s v="Credit Card"/>
    <m/>
    <m/>
  </r>
  <r>
    <n v="3968"/>
    <n v="9923"/>
    <x v="352"/>
    <n v="3291.84"/>
    <s v="Completed"/>
    <s v="North"/>
    <s v="Credit Card"/>
    <m/>
    <m/>
  </r>
  <r>
    <n v="3969"/>
    <n v="3959"/>
    <x v="283"/>
    <n v="3291.84"/>
    <s v="Completed"/>
    <s v="South"/>
    <s v="Debit Card"/>
    <m/>
    <m/>
  </r>
  <r>
    <n v="3970"/>
    <n v="3102"/>
    <x v="86"/>
    <n v="3291.84"/>
    <s v="Completed"/>
    <s v="South"/>
    <s v="Debit Card"/>
    <m/>
    <m/>
  </r>
  <r>
    <n v="3971"/>
    <n v="5466"/>
    <x v="354"/>
    <n v="3291.84"/>
    <s v="Completed"/>
    <s v="Central"/>
    <s v="Debit Card"/>
    <m/>
    <m/>
  </r>
  <r>
    <n v="3972"/>
    <n v="3554"/>
    <x v="124"/>
    <n v="3291.84"/>
    <s v="Completed"/>
    <s v="South"/>
    <s v="Apple Pay"/>
    <m/>
    <m/>
  </r>
  <r>
    <n v="3973"/>
    <n v="7454"/>
    <x v="249"/>
    <n v="3291.84"/>
    <s v="Completed"/>
    <s v="West"/>
    <s v="Apple Pay"/>
    <m/>
    <m/>
  </r>
  <r>
    <n v="3974"/>
    <n v="6758"/>
    <x v="159"/>
    <n v="3291.84"/>
    <s v="Completed"/>
    <s v="North"/>
    <s v="Debit Card"/>
    <m/>
    <m/>
  </r>
  <r>
    <n v="3975"/>
    <n v="7426"/>
    <x v="144"/>
    <n v="3291.84"/>
    <s v="Completed"/>
    <s v="East"/>
    <s v="Apple Pay"/>
    <m/>
    <m/>
  </r>
  <r>
    <n v="3976"/>
    <n v="7717"/>
    <x v="217"/>
    <n v="3291.84"/>
    <s v="Completed"/>
    <s v="Central"/>
    <s v="Debit Card"/>
    <m/>
    <m/>
  </r>
  <r>
    <n v="3977"/>
    <n v="3939"/>
    <x v="74"/>
    <n v="3291.84"/>
    <s v="Completed"/>
    <s v="North"/>
    <s v="PayPal"/>
    <m/>
    <m/>
  </r>
  <r>
    <n v="3978"/>
    <n v="8907"/>
    <x v="258"/>
    <n v="3291.84"/>
    <s v="Returned"/>
    <s v="East"/>
    <s v="Apple Pay"/>
    <m/>
    <m/>
  </r>
  <r>
    <n v="3979"/>
    <n v="7165"/>
    <x v="161"/>
    <n v="3291.84"/>
    <s v="Completed"/>
    <s v="North"/>
    <s v="Debit Card"/>
    <m/>
    <m/>
  </r>
  <r>
    <n v="3980"/>
    <n v="3078"/>
    <x v="212"/>
    <n v="3291.84"/>
    <s v="Completed"/>
    <s v="South"/>
    <s v="PayPal"/>
    <m/>
    <m/>
  </r>
  <r>
    <n v="3981"/>
    <n v="8647"/>
    <x v="172"/>
    <n v="3291.84"/>
    <s v="Completed"/>
    <s v="West"/>
    <s v="Credit Card"/>
    <m/>
    <m/>
  </r>
  <r>
    <n v="3982"/>
    <n v="9054"/>
    <x v="229"/>
    <n v="3291.84"/>
    <s v="Completed"/>
    <s v="South"/>
    <s v="PayPal"/>
    <m/>
    <m/>
  </r>
  <r>
    <n v="3983"/>
    <n v="2146"/>
    <x v="310"/>
    <n v="3291.84"/>
    <s v="Completed"/>
    <s v="Central"/>
    <s v="Credit Card"/>
    <m/>
    <m/>
  </r>
  <r>
    <n v="3984"/>
    <n v="4751"/>
    <x v="246"/>
    <n v="3291.84"/>
    <s v="Completed"/>
    <s v="East"/>
    <s v="Debit Card"/>
    <m/>
    <m/>
  </r>
  <r>
    <n v="3985"/>
    <n v="5283"/>
    <x v="250"/>
    <n v="3291.84"/>
    <s v="Completed"/>
    <s v="South"/>
    <s v="Apple Pay"/>
    <m/>
    <m/>
  </r>
  <r>
    <n v="3986"/>
    <n v="5240"/>
    <x v="320"/>
    <n v="3291.84"/>
    <s v="Completed"/>
    <s v="East"/>
    <s v="Apple Pay"/>
    <m/>
    <m/>
  </r>
  <r>
    <n v="3987"/>
    <n v="3069"/>
    <x v="351"/>
    <n v="3291.84"/>
    <s v="Completed"/>
    <s v="West"/>
    <s v="PayPal"/>
    <m/>
    <m/>
  </r>
  <r>
    <n v="3988"/>
    <n v="2483"/>
    <x v="132"/>
    <n v="3291.84"/>
    <s v="Completed"/>
    <s v="East"/>
    <s v="Credit Card"/>
    <m/>
    <m/>
  </r>
  <r>
    <n v="3989"/>
    <n v="7194"/>
    <x v="226"/>
    <n v="3291.84"/>
    <s v="Completed"/>
    <s v="East"/>
    <s v="Credit Card"/>
    <m/>
    <m/>
  </r>
  <r>
    <n v="3990"/>
    <n v="8072"/>
    <x v="217"/>
    <n v="3291.84"/>
    <s v="Completed"/>
    <s v="Central"/>
    <s v="Credit Card"/>
    <m/>
    <m/>
  </r>
  <r>
    <n v="3991"/>
    <n v="1312"/>
    <x v="267"/>
    <n v="3291.84"/>
    <s v="Completed"/>
    <s v="Central"/>
    <s v="PayPal"/>
    <m/>
    <m/>
  </r>
  <r>
    <n v="3992"/>
    <n v="5846"/>
    <x v="14"/>
    <n v="3291.84"/>
    <s v="Completed"/>
    <s v="East"/>
    <s v="Apple Pay"/>
    <m/>
    <m/>
  </r>
  <r>
    <n v="3993"/>
    <n v="5092"/>
    <x v="44"/>
    <n v="3291.84"/>
    <s v="Completed"/>
    <s v="South"/>
    <s v="Credit Card"/>
    <m/>
    <m/>
  </r>
  <r>
    <n v="3994"/>
    <n v="8336"/>
    <x v="17"/>
    <n v="3291.84"/>
    <s v="Completed"/>
    <s v="Central"/>
    <s v="Debit Card"/>
    <m/>
    <m/>
  </r>
  <r>
    <n v="3995"/>
    <n v="2640"/>
    <x v="88"/>
    <n v="3291.84"/>
    <s v="Completed"/>
    <s v="Central"/>
    <s v="Credit Card"/>
    <m/>
    <m/>
  </r>
  <r>
    <n v="3996"/>
    <n v="3439"/>
    <x v="231"/>
    <n v="3291.84"/>
    <s v="Cancelled"/>
    <s v="Central"/>
    <s v="Debit Card"/>
    <m/>
    <m/>
  </r>
  <r>
    <n v="3997"/>
    <n v="6319"/>
    <x v="9"/>
    <n v="3291.84"/>
    <s v="Completed"/>
    <s v="North"/>
    <s v="Apple Pay"/>
    <m/>
    <m/>
  </r>
  <r>
    <n v="3998"/>
    <n v="86"/>
    <x v="22"/>
    <n v="3291.84"/>
    <s v="Completed"/>
    <s v="South"/>
    <s v="Debit Card"/>
    <m/>
    <m/>
  </r>
  <r>
    <n v="3999"/>
    <n v="4669"/>
    <x v="226"/>
    <n v="3291.84"/>
    <s v="Completed"/>
    <s v="South"/>
    <s v="Debit Card"/>
    <m/>
    <m/>
  </r>
  <r>
    <n v="4000"/>
    <n v="1316"/>
    <x v="121"/>
    <n v="3291.84"/>
    <s v="Completed"/>
    <s v="North"/>
    <s v="PayPal"/>
    <m/>
    <m/>
  </r>
  <r>
    <n v="4001"/>
    <n v="8941"/>
    <x v="53"/>
    <n v="3291.84"/>
    <s v="Completed"/>
    <s v="Central"/>
    <s v="PayPal"/>
    <m/>
    <m/>
  </r>
  <r>
    <n v="4002"/>
    <n v="1030"/>
    <x v="45"/>
    <n v="3291.84"/>
    <s v="Completed"/>
    <s v="Central"/>
    <s v="Debit Card"/>
    <m/>
    <m/>
  </r>
  <r>
    <n v="4003"/>
    <n v="5177"/>
    <x v="191"/>
    <n v="3291.84"/>
    <s v="Completed"/>
    <s v="others"/>
    <s v="PayPal"/>
    <m/>
    <m/>
  </r>
  <r>
    <n v="4004"/>
    <n v="2854"/>
    <x v="233"/>
    <n v="3291.84"/>
    <s v="Completed"/>
    <s v="North"/>
    <s v="Debit Card"/>
    <m/>
    <m/>
  </r>
  <r>
    <n v="4005"/>
    <n v="1501"/>
    <x v="204"/>
    <n v="3291.84"/>
    <s v="Completed"/>
    <s v="South"/>
    <s v="PayPal"/>
    <m/>
    <m/>
  </r>
  <r>
    <n v="4006"/>
    <n v="8277"/>
    <x v="72"/>
    <n v="3291.84"/>
    <s v="Completed"/>
    <s v="Central"/>
    <s v="Apple Pay"/>
    <m/>
    <m/>
  </r>
  <r>
    <n v="4007"/>
    <n v="9623"/>
    <x v="1"/>
    <n v="3291.84"/>
    <s v="Completed"/>
    <s v="East"/>
    <s v="Credit Card"/>
    <m/>
    <m/>
  </r>
  <r>
    <n v="4008"/>
    <n v="7297"/>
    <x v="99"/>
    <n v="3291.84"/>
    <s v="Completed"/>
    <s v="West"/>
    <s v="Credit Card"/>
    <m/>
    <m/>
  </r>
  <r>
    <n v="4009"/>
    <n v="1341"/>
    <x v="248"/>
    <n v="3291.84"/>
    <s v="Completed"/>
    <s v="West"/>
    <s v="Apple Pay"/>
    <m/>
    <m/>
  </r>
  <r>
    <n v="4010"/>
    <n v="8425"/>
    <x v="330"/>
    <n v="3291.84"/>
    <s v="Completed"/>
    <s v="South"/>
    <s v="Debit Card"/>
    <m/>
    <m/>
  </r>
  <r>
    <n v="4011"/>
    <n v="9743"/>
    <x v="255"/>
    <n v="3291.84"/>
    <s v="Completed"/>
    <s v="East"/>
    <s v="Apple Pay"/>
    <m/>
    <m/>
  </r>
  <r>
    <n v="4012"/>
    <n v="4451"/>
    <x v="335"/>
    <n v="3291.84"/>
    <s v="Completed"/>
    <s v="North"/>
    <s v="PayPal"/>
    <m/>
    <m/>
  </r>
  <r>
    <n v="4013"/>
    <n v="1160"/>
    <x v="4"/>
    <n v="3291.84"/>
    <s v="Completed"/>
    <s v="Central"/>
    <s v="Debit Card"/>
    <m/>
    <m/>
  </r>
  <r>
    <n v="4014"/>
    <n v="8991"/>
    <x v="316"/>
    <n v="3291.84"/>
    <s v="Completed"/>
    <s v="West"/>
    <s v="Debit Card"/>
    <m/>
    <m/>
  </r>
  <r>
    <n v="4015"/>
    <n v="6422"/>
    <x v="145"/>
    <n v="3291.84"/>
    <s v="Completed"/>
    <s v="North"/>
    <s v="PayPal"/>
    <m/>
    <m/>
  </r>
  <r>
    <n v="4016"/>
    <n v="5643"/>
    <x v="337"/>
    <n v="3291.84"/>
    <s v="Completed"/>
    <s v="East"/>
    <s v="Apple Pay"/>
    <m/>
    <m/>
  </r>
  <r>
    <n v="4017"/>
    <n v="9469"/>
    <x v="150"/>
    <n v="3291.84"/>
    <s v="Completed"/>
    <s v="East"/>
    <s v="Debit Card"/>
    <m/>
    <m/>
  </r>
  <r>
    <n v="4018"/>
    <n v="1975"/>
    <x v="299"/>
    <n v="3291.84"/>
    <s v="Completed"/>
    <s v="South"/>
    <s v="Apple Pay"/>
    <m/>
    <m/>
  </r>
  <r>
    <n v="4019"/>
    <n v="2145"/>
    <x v="277"/>
    <n v="3291.84"/>
    <s v="Completed"/>
    <s v="West"/>
    <s v="Credit Card"/>
    <m/>
    <m/>
  </r>
  <r>
    <n v="4020"/>
    <n v="7822"/>
    <x v="169"/>
    <n v="3291.84"/>
    <s v="Completed"/>
    <s v="Central"/>
    <s v="Debit Card"/>
    <m/>
    <m/>
  </r>
  <r>
    <n v="4021"/>
    <n v="6969"/>
    <x v="178"/>
    <n v="3291.84"/>
    <s v="Completed"/>
    <s v="South"/>
    <s v="Credit Card"/>
    <m/>
    <m/>
  </r>
  <r>
    <n v="4022"/>
    <n v="8695"/>
    <x v="124"/>
    <n v="3291.84"/>
    <s v="Completed"/>
    <s v="North"/>
    <s v="Apple Pay"/>
    <m/>
    <m/>
  </r>
  <r>
    <n v="4023"/>
    <n v="5384"/>
    <x v="176"/>
    <n v="3291.84"/>
    <s v="Completed"/>
    <s v="North"/>
    <s v="PayPal"/>
    <m/>
    <m/>
  </r>
  <r>
    <n v="4024"/>
    <n v="9047"/>
    <x v="341"/>
    <n v="3291.84"/>
    <s v="Completed"/>
    <s v="Central"/>
    <s v="PayPal"/>
    <m/>
    <m/>
  </r>
  <r>
    <n v="4025"/>
    <n v="8860"/>
    <x v="90"/>
    <n v="3291.84"/>
    <s v="Completed"/>
    <s v="South"/>
    <s v="Debit Card"/>
    <m/>
    <m/>
  </r>
  <r>
    <n v="4026"/>
    <n v="8049"/>
    <x v="335"/>
    <n v="3291.84"/>
    <s v="Completed"/>
    <s v="North"/>
    <s v="Debit Card"/>
    <m/>
    <m/>
  </r>
  <r>
    <n v="4027"/>
    <n v="4403"/>
    <x v="39"/>
    <n v="3291.84"/>
    <s v="Completed"/>
    <s v="East"/>
    <s v="PayPal"/>
    <m/>
    <m/>
  </r>
  <r>
    <n v="4028"/>
    <n v="6165"/>
    <x v="250"/>
    <n v="3291.84"/>
    <s v="Completed"/>
    <s v="North"/>
    <s v="PayPal"/>
    <m/>
    <m/>
  </r>
  <r>
    <n v="4029"/>
    <n v="8100"/>
    <x v="61"/>
    <n v="3291.84"/>
    <s v="Completed"/>
    <s v="North"/>
    <s v="Credit Card"/>
    <m/>
    <m/>
  </r>
  <r>
    <n v="4030"/>
    <n v="3053"/>
    <x v="115"/>
    <n v="3291.84"/>
    <s v="Completed"/>
    <s v="East"/>
    <s v="Credit Card"/>
    <m/>
    <m/>
  </r>
  <r>
    <n v="4031"/>
    <n v="9752"/>
    <x v="284"/>
    <n v="3291.84"/>
    <s v="Completed"/>
    <s v="East"/>
    <s v="PayPal"/>
    <m/>
    <m/>
  </r>
  <r>
    <n v="4032"/>
    <n v="1129"/>
    <x v="163"/>
    <n v="3291.84"/>
    <s v="Completed"/>
    <s v="Central"/>
    <s v="Apple Pay"/>
    <m/>
    <m/>
  </r>
  <r>
    <n v="4033"/>
    <n v="3426"/>
    <x v="252"/>
    <n v="3291.84"/>
    <s v="Completed"/>
    <s v="Central"/>
    <s v="Credit Card"/>
    <m/>
    <m/>
  </r>
  <r>
    <n v="4034"/>
    <n v="3426"/>
    <x v="323"/>
    <n v="3291.84"/>
    <s v="Completed"/>
    <s v="Central"/>
    <s v="Debit Card"/>
    <m/>
    <m/>
  </r>
  <r>
    <n v="4035"/>
    <n v="9183"/>
    <x v="298"/>
    <n v="3291.84"/>
    <s v="Completed"/>
    <s v="West"/>
    <s v="Debit Card"/>
    <m/>
    <m/>
  </r>
  <r>
    <n v="4036"/>
    <n v="5162"/>
    <x v="74"/>
    <n v="3291.84"/>
    <s v="Completed"/>
    <s v="Central"/>
    <s v="Debit Card"/>
    <m/>
    <m/>
  </r>
  <r>
    <n v="4037"/>
    <n v="1274"/>
    <x v="15"/>
    <n v="3291.84"/>
    <s v="Returned"/>
    <s v="East"/>
    <s v="PayPal"/>
    <m/>
    <m/>
  </r>
  <r>
    <n v="4038"/>
    <n v="6691"/>
    <x v="126"/>
    <n v="3291.84"/>
    <s v="Completed"/>
    <s v="West"/>
    <s v="Debit Card"/>
    <m/>
    <m/>
  </r>
  <r>
    <n v="4039"/>
    <n v="7544"/>
    <x v="94"/>
    <n v="3291.84"/>
    <s v="Completed"/>
    <s v="East"/>
    <s v="Debit Card"/>
    <m/>
    <m/>
  </r>
  <r>
    <n v="4040"/>
    <n v="2647"/>
    <x v="350"/>
    <n v="3291.84"/>
    <s v="Completed"/>
    <s v="East"/>
    <s v="PayPal"/>
    <m/>
    <m/>
  </r>
  <r>
    <n v="4041"/>
    <n v="2269"/>
    <x v="162"/>
    <n v="3291.84"/>
    <s v="Completed"/>
    <s v="West"/>
    <s v="PayPal"/>
    <m/>
    <m/>
  </r>
  <r>
    <n v="4042"/>
    <n v="5781"/>
    <x v="41"/>
    <n v="3291.84"/>
    <s v="Completed"/>
    <s v="East"/>
    <s v="Apple Pay"/>
    <m/>
    <m/>
  </r>
  <r>
    <n v="4043"/>
    <n v="5815"/>
    <x v="102"/>
    <n v="3291.84"/>
    <s v="Completed"/>
    <s v="North"/>
    <s v="Credit Card"/>
    <m/>
    <m/>
  </r>
  <r>
    <n v="4044"/>
    <n v="2828"/>
    <x v="230"/>
    <n v="3291.84"/>
    <s v="Completed"/>
    <s v="South"/>
    <s v="Credit Card"/>
    <m/>
    <m/>
  </r>
  <r>
    <n v="4045"/>
    <n v="8781"/>
    <x v="171"/>
    <n v="3291.84"/>
    <s v="Completed"/>
    <s v="Central"/>
    <s v="Apple Pay"/>
    <m/>
    <m/>
  </r>
  <r>
    <n v="4046"/>
    <n v="6591"/>
    <x v="93"/>
    <n v="3291.84"/>
    <s v="Completed"/>
    <s v="others"/>
    <s v="Apple Pay"/>
    <m/>
    <m/>
  </r>
  <r>
    <n v="4047"/>
    <n v="7360"/>
    <x v="137"/>
    <n v="3291.84"/>
    <s v="Completed"/>
    <s v="Central"/>
    <s v="PayPal"/>
    <m/>
    <m/>
  </r>
  <r>
    <n v="4048"/>
    <n v="5336"/>
    <x v="223"/>
    <n v="3291.84"/>
    <s v="Completed"/>
    <s v="East"/>
    <s v="Debit Card"/>
    <m/>
    <m/>
  </r>
  <r>
    <n v="4049"/>
    <n v="8373"/>
    <x v="274"/>
    <n v="3291.84"/>
    <s v="Completed"/>
    <s v="West"/>
    <s v="Credit Card"/>
    <m/>
    <m/>
  </r>
  <r>
    <n v="4050"/>
    <n v="4284"/>
    <x v="60"/>
    <n v="3291.84"/>
    <s v="Completed"/>
    <s v="Central"/>
    <s v="Debit Card"/>
    <m/>
    <m/>
  </r>
  <r>
    <n v="4051"/>
    <n v="5880"/>
    <x v="80"/>
    <n v="3291.84"/>
    <s v="Cancelled"/>
    <s v="West"/>
    <s v="Credit Card"/>
    <m/>
    <m/>
  </r>
  <r>
    <n v="4052"/>
    <n v="487"/>
    <x v="140"/>
    <n v="3291.84"/>
    <s v="Completed"/>
    <s v="others"/>
    <s v="Credit Card"/>
    <m/>
    <m/>
  </r>
  <r>
    <n v="4053"/>
    <n v="9301"/>
    <x v="225"/>
    <n v="3291.84"/>
    <s v="Cancelled"/>
    <s v="West"/>
    <s v="PayPal"/>
    <m/>
    <m/>
  </r>
  <r>
    <n v="4054"/>
    <n v="6369"/>
    <x v="237"/>
    <n v="3291.84"/>
    <s v="Completed"/>
    <s v="West"/>
    <s v="Debit Card"/>
    <m/>
    <m/>
  </r>
  <r>
    <n v="4055"/>
    <n v="7218"/>
    <x v="219"/>
    <n v="3291.84"/>
    <s v="Completed"/>
    <s v="East"/>
    <s v="Debit Card"/>
    <m/>
    <m/>
  </r>
  <r>
    <n v="4056"/>
    <n v="2579"/>
    <x v="207"/>
    <n v="3291.84"/>
    <s v="Completed"/>
    <s v="South"/>
    <s v="Apple Pay"/>
    <m/>
    <m/>
  </r>
  <r>
    <n v="4057"/>
    <n v="8292"/>
    <x v="47"/>
    <n v="3291.84"/>
    <s v="Completed"/>
    <s v="South"/>
    <s v="Apple Pay"/>
    <m/>
    <m/>
  </r>
  <r>
    <n v="4058"/>
    <n v="2295"/>
    <x v="6"/>
    <n v="3291.84"/>
    <s v="Returned"/>
    <s v="East"/>
    <s v="PayPal"/>
    <m/>
    <m/>
  </r>
  <r>
    <n v="4059"/>
    <n v="846"/>
    <x v="5"/>
    <n v="3291.84"/>
    <s v="Completed"/>
    <s v="West"/>
    <s v="Credit Card"/>
    <m/>
    <m/>
  </r>
  <r>
    <n v="4060"/>
    <n v="4402"/>
    <x v="155"/>
    <n v="3291.84"/>
    <s v="Completed"/>
    <s v="West"/>
    <s v="Apple Pay"/>
    <m/>
    <m/>
  </r>
  <r>
    <n v="4061"/>
    <n v="229"/>
    <x v="353"/>
    <n v="3291.84"/>
    <s v="Completed"/>
    <s v="South"/>
    <s v="Debit Card"/>
    <m/>
    <m/>
  </r>
  <r>
    <n v="4062"/>
    <n v="5993"/>
    <x v="28"/>
    <n v="3291.84"/>
    <s v="Completed"/>
    <s v="East"/>
    <s v="PayPal"/>
    <m/>
    <m/>
  </r>
  <r>
    <n v="4063"/>
    <n v="839"/>
    <x v="222"/>
    <n v="3291.84"/>
    <s v="Completed"/>
    <s v="West"/>
    <s v="Debit Card"/>
    <m/>
    <m/>
  </r>
  <r>
    <n v="4064"/>
    <n v="5771"/>
    <x v="212"/>
    <n v="3291.84"/>
    <s v="Returned"/>
    <s v="North"/>
    <s v="Credit Card"/>
    <m/>
    <m/>
  </r>
  <r>
    <n v="4065"/>
    <n v="9802"/>
    <x v="31"/>
    <n v="3291.84"/>
    <s v="Completed"/>
    <s v="North"/>
    <s v="PayPal"/>
    <m/>
    <m/>
  </r>
  <r>
    <n v="4066"/>
    <n v="3371"/>
    <x v="34"/>
    <n v="3291.84"/>
    <s v="Completed"/>
    <s v="West"/>
    <s v="PayPal"/>
    <m/>
    <m/>
  </r>
  <r>
    <n v="4067"/>
    <n v="4801"/>
    <x v="91"/>
    <n v="3291.84"/>
    <s v="Completed"/>
    <s v="West"/>
    <s v="PayPal"/>
    <m/>
    <m/>
  </r>
  <r>
    <n v="4068"/>
    <n v="1727"/>
    <x v="269"/>
    <n v="3291.84"/>
    <s v="Completed"/>
    <s v="South"/>
    <s v="PayPal"/>
    <m/>
    <m/>
  </r>
  <r>
    <n v="4069"/>
    <n v="7968"/>
    <x v="172"/>
    <n v="3291.84"/>
    <s v="Completed"/>
    <s v="North"/>
    <s v="Debit Card"/>
    <m/>
    <m/>
  </r>
  <r>
    <n v="4070"/>
    <n v="6169"/>
    <x v="42"/>
    <n v="3291.84"/>
    <s v="Completed"/>
    <s v="West"/>
    <s v="PayPal"/>
    <m/>
    <m/>
  </r>
  <r>
    <n v="4071"/>
    <n v="8798"/>
    <x v="117"/>
    <n v="3291.84"/>
    <s v="Returned"/>
    <s v="North"/>
    <s v="Credit Card"/>
    <m/>
    <m/>
  </r>
  <r>
    <n v="4072"/>
    <n v="5852"/>
    <x v="25"/>
    <n v="3291.84"/>
    <s v="Completed"/>
    <s v="West"/>
    <s v="PayPal"/>
    <m/>
    <m/>
  </r>
  <r>
    <n v="4073"/>
    <n v="8889"/>
    <x v="116"/>
    <n v="3291.84"/>
    <s v="Completed"/>
    <s v="Central"/>
    <s v="Credit Card"/>
    <m/>
    <m/>
  </r>
  <r>
    <n v="4074"/>
    <n v="690"/>
    <x v="270"/>
    <n v="3291.84"/>
    <s v="Cancelled"/>
    <s v="West"/>
    <s v="PayPal"/>
    <m/>
    <m/>
  </r>
  <r>
    <n v="4075"/>
    <n v="4460"/>
    <x v="216"/>
    <n v="3291.84"/>
    <s v="Completed"/>
    <s v="East"/>
    <s v="Apple Pay"/>
    <m/>
    <m/>
  </r>
  <r>
    <n v="4076"/>
    <n v="3251"/>
    <x v="111"/>
    <n v="3291.84"/>
    <s v="Completed"/>
    <s v="South"/>
    <s v="PayPal"/>
    <m/>
    <m/>
  </r>
  <r>
    <n v="4077"/>
    <n v="4099"/>
    <x v="188"/>
    <n v="3291.84"/>
    <s v="Completed"/>
    <s v="Central"/>
    <s v="PayPal"/>
    <m/>
    <m/>
  </r>
  <r>
    <n v="4078"/>
    <n v="4924"/>
    <x v="216"/>
    <n v="3291.84"/>
    <s v="Completed"/>
    <s v="Central"/>
    <s v="Credit Card"/>
    <m/>
    <m/>
  </r>
  <r>
    <n v="4079"/>
    <n v="5120"/>
    <x v="309"/>
    <n v="3291.84"/>
    <s v="Completed"/>
    <s v="others"/>
    <s v="PayPal"/>
    <m/>
    <m/>
  </r>
  <r>
    <n v="4080"/>
    <n v="7997"/>
    <x v="201"/>
    <n v="3291.84"/>
    <s v="Completed"/>
    <s v="West"/>
    <s v="Apple Pay"/>
    <m/>
    <m/>
  </r>
  <r>
    <n v="4081"/>
    <n v="3575"/>
    <x v="89"/>
    <n v="3291.84"/>
    <s v="Completed"/>
    <s v="East"/>
    <s v="PayPal"/>
    <m/>
    <m/>
  </r>
  <r>
    <n v="4082"/>
    <n v="3678"/>
    <x v="307"/>
    <n v="3291.84"/>
    <s v="Completed"/>
    <s v="East"/>
    <s v="Credit Card"/>
    <m/>
    <m/>
  </r>
  <r>
    <n v="4083"/>
    <n v="323"/>
    <x v="115"/>
    <n v="3291.84"/>
    <s v="Completed"/>
    <s v="East"/>
    <s v="Credit Card"/>
    <m/>
    <m/>
  </r>
  <r>
    <n v="4084"/>
    <n v="4661"/>
    <x v="339"/>
    <n v="3291.84"/>
    <s v="Completed"/>
    <s v="Central"/>
    <s v="Debit Card"/>
    <m/>
    <m/>
  </r>
  <r>
    <n v="4085"/>
    <n v="9203"/>
    <x v="63"/>
    <n v="3291.84"/>
    <s v="Returned"/>
    <s v="South"/>
    <s v="Credit Card"/>
    <m/>
    <m/>
  </r>
  <r>
    <n v="4086"/>
    <n v="2910"/>
    <x v="298"/>
    <n v="3291.84"/>
    <s v="Completed"/>
    <s v="West"/>
    <s v="Credit Card"/>
    <m/>
    <m/>
  </r>
  <r>
    <n v="4087"/>
    <n v="8600"/>
    <x v="197"/>
    <n v="3291.84"/>
    <s v="Completed"/>
    <s v="West"/>
    <s v="PayPal"/>
    <m/>
    <m/>
  </r>
  <r>
    <n v="4088"/>
    <n v="7360"/>
    <x v="274"/>
    <n v="3291.84"/>
    <s v="Completed"/>
    <s v="Central"/>
    <s v="Debit Card"/>
    <m/>
    <m/>
  </r>
  <r>
    <n v="4089"/>
    <n v="3312"/>
    <x v="169"/>
    <n v="3291.84"/>
    <s v="Completed"/>
    <s v="North"/>
    <s v="Credit Card"/>
    <m/>
    <m/>
  </r>
  <r>
    <n v="4090"/>
    <n v="9235"/>
    <x v="128"/>
    <n v="3291.84"/>
    <s v="Completed"/>
    <s v="East"/>
    <s v="Debit Card"/>
    <m/>
    <m/>
  </r>
  <r>
    <n v="4091"/>
    <n v="1480"/>
    <x v="78"/>
    <n v="3291.84"/>
    <s v="Completed"/>
    <s v="North"/>
    <s v="PayPal"/>
    <m/>
    <m/>
  </r>
  <r>
    <n v="4092"/>
    <n v="5125"/>
    <x v="269"/>
    <n v="3291.84"/>
    <s v="Completed"/>
    <s v="North"/>
    <s v="Apple Pay"/>
    <m/>
    <m/>
  </r>
  <r>
    <n v="4093"/>
    <n v="1701"/>
    <x v="190"/>
    <n v="3291.84"/>
    <s v="Completed"/>
    <s v="East"/>
    <s v="Debit Card"/>
    <m/>
    <m/>
  </r>
  <r>
    <n v="4094"/>
    <n v="2926"/>
    <x v="226"/>
    <n v="3291.84"/>
    <s v="Completed"/>
    <s v="West"/>
    <s v="Debit Card"/>
    <m/>
    <m/>
  </r>
  <r>
    <n v="4095"/>
    <n v="7621"/>
    <x v="200"/>
    <n v="3291.84"/>
    <s v="Completed"/>
    <s v="North"/>
    <s v="Credit Card"/>
    <m/>
    <m/>
  </r>
  <r>
    <n v="4096"/>
    <n v="5990"/>
    <x v="161"/>
    <n v="3291.84"/>
    <s v="Completed"/>
    <s v="West"/>
    <s v="Credit Card"/>
    <m/>
    <m/>
  </r>
  <r>
    <n v="4097"/>
    <n v="6136"/>
    <x v="193"/>
    <n v="3291.84"/>
    <s v="Completed"/>
    <s v="Central"/>
    <s v="Apple Pay"/>
    <m/>
    <m/>
  </r>
  <r>
    <n v="4098"/>
    <n v="1605"/>
    <x v="160"/>
    <n v="3291.84"/>
    <s v="Completed"/>
    <s v="Central"/>
    <s v="Credit Card"/>
    <m/>
    <m/>
  </r>
  <r>
    <n v="4099"/>
    <n v="5760"/>
    <x v="151"/>
    <n v="3291.84"/>
    <s v="Completed"/>
    <s v="South"/>
    <s v="Debit Card"/>
    <m/>
    <m/>
  </r>
  <r>
    <n v="4100"/>
    <n v="7157"/>
    <x v="190"/>
    <n v="3291.84"/>
    <s v="Completed"/>
    <s v="North"/>
    <s v="PayPal"/>
    <m/>
    <m/>
  </r>
  <r>
    <n v="4101"/>
    <n v="2452"/>
    <x v="80"/>
    <n v="3291.84"/>
    <s v="Returned"/>
    <s v="South"/>
    <s v="Credit Card"/>
    <m/>
    <m/>
  </r>
  <r>
    <n v="4102"/>
    <n v="154"/>
    <x v="303"/>
    <n v="3291.84"/>
    <s v="Completed"/>
    <s v="East"/>
    <s v="Credit Card"/>
    <m/>
    <m/>
  </r>
  <r>
    <n v="4103"/>
    <n v="4713"/>
    <x v="183"/>
    <n v="3291.84"/>
    <s v="Completed"/>
    <s v="South"/>
    <s v="Credit Card"/>
    <m/>
    <m/>
  </r>
  <r>
    <n v="4104"/>
    <n v="849"/>
    <x v="28"/>
    <n v="3291.84"/>
    <s v="Completed"/>
    <s v="Central"/>
    <s v="Debit Card"/>
    <m/>
    <m/>
  </r>
  <r>
    <n v="4105"/>
    <n v="1892"/>
    <x v="251"/>
    <n v="3291.84"/>
    <s v="Completed"/>
    <s v="West"/>
    <s v="Debit Card"/>
    <m/>
    <m/>
  </r>
  <r>
    <n v="4106"/>
    <n v="9091"/>
    <x v="87"/>
    <n v="3291.84"/>
    <s v="Completed"/>
    <s v="Central"/>
    <s v="Debit Card"/>
    <m/>
    <m/>
  </r>
  <r>
    <n v="4107"/>
    <n v="5969"/>
    <x v="203"/>
    <n v="3291.84"/>
    <s v="Completed"/>
    <s v="West"/>
    <s v="Credit Card"/>
    <m/>
    <m/>
  </r>
  <r>
    <n v="4108"/>
    <n v="7707"/>
    <x v="219"/>
    <n v="3291.84"/>
    <s v="Completed"/>
    <s v="Central"/>
    <s v="Credit Card"/>
    <m/>
    <m/>
  </r>
  <r>
    <n v="4109"/>
    <n v="455"/>
    <x v="148"/>
    <n v="3291.84"/>
    <s v="Completed"/>
    <s v="others"/>
    <s v="PayPal"/>
    <m/>
    <m/>
  </r>
  <r>
    <n v="4110"/>
    <n v="1257"/>
    <x v="181"/>
    <n v="3291.84"/>
    <s v="Completed"/>
    <s v="Central"/>
    <s v="Debit Card"/>
    <m/>
    <m/>
  </r>
  <r>
    <n v="4111"/>
    <n v="3824"/>
    <x v="278"/>
    <n v="3291.84"/>
    <s v="Completed"/>
    <s v="East"/>
    <s v="Credit Card"/>
    <m/>
    <m/>
  </r>
  <r>
    <n v="4112"/>
    <n v="510"/>
    <x v="239"/>
    <n v="3291.84"/>
    <s v="Completed"/>
    <s v="South"/>
    <s v="Credit Card"/>
    <m/>
    <m/>
  </r>
  <r>
    <n v="4113"/>
    <n v="9534"/>
    <x v="291"/>
    <n v="3291.84"/>
    <s v="Completed"/>
    <s v="South"/>
    <s v="Debit Card"/>
    <m/>
    <m/>
  </r>
  <r>
    <n v="4114"/>
    <n v="5578"/>
    <x v="188"/>
    <n v="3291.84"/>
    <s v="Completed"/>
    <s v="East"/>
    <s v="PayPal"/>
    <m/>
    <m/>
  </r>
  <r>
    <n v="4115"/>
    <n v="7739"/>
    <x v="36"/>
    <n v="3291.84"/>
    <s v="Completed"/>
    <s v="East"/>
    <s v="Apple Pay"/>
    <m/>
    <m/>
  </r>
  <r>
    <n v="4116"/>
    <n v="416"/>
    <x v="188"/>
    <n v="3291.84"/>
    <s v="Completed"/>
    <s v="North"/>
    <s v="Credit Card"/>
    <m/>
    <m/>
  </r>
  <r>
    <n v="4117"/>
    <n v="9865"/>
    <x v="100"/>
    <n v="3291.84"/>
    <s v="Completed"/>
    <s v="Central"/>
    <s v="Apple Pay"/>
    <m/>
    <m/>
  </r>
  <r>
    <n v="4118"/>
    <n v="9760"/>
    <x v="27"/>
    <n v="3291.84"/>
    <s v="Completed"/>
    <s v="Central"/>
    <s v="Credit Card"/>
    <m/>
    <m/>
  </r>
  <r>
    <n v="4119"/>
    <n v="9499"/>
    <x v="17"/>
    <n v="3291.84"/>
    <s v="Completed"/>
    <s v="East"/>
    <s v="Credit Card"/>
    <m/>
    <m/>
  </r>
  <r>
    <n v="4120"/>
    <n v="3946"/>
    <x v="181"/>
    <n v="3291.84"/>
    <s v="Completed"/>
    <s v="West"/>
    <s v="PayPal"/>
    <m/>
    <m/>
  </r>
  <r>
    <n v="4121"/>
    <n v="9451"/>
    <x v="236"/>
    <n v="3291.84"/>
    <s v="Completed"/>
    <s v="North"/>
    <s v="Apple Pay"/>
    <m/>
    <m/>
  </r>
  <r>
    <n v="4122"/>
    <n v="987"/>
    <x v="246"/>
    <n v="3291.84"/>
    <s v="Completed"/>
    <s v="East"/>
    <s v="Credit Card"/>
    <m/>
    <m/>
  </r>
  <r>
    <n v="4123"/>
    <n v="7337"/>
    <x v="61"/>
    <n v="3291.84"/>
    <s v="Completed"/>
    <s v="East"/>
    <s v="Credit Card"/>
    <m/>
    <m/>
  </r>
  <r>
    <n v="4124"/>
    <n v="1126"/>
    <x v="348"/>
    <n v="3291.84"/>
    <s v="Completed"/>
    <s v="East"/>
    <s v="Credit Card"/>
    <m/>
    <m/>
  </r>
  <r>
    <n v="4125"/>
    <n v="5967"/>
    <x v="148"/>
    <n v="3291.84"/>
    <s v="Completed"/>
    <s v="West"/>
    <s v="PayPal"/>
    <m/>
    <m/>
  </r>
  <r>
    <n v="4126"/>
    <n v="7773"/>
    <x v="122"/>
    <n v="3291.84"/>
    <s v="Completed"/>
    <s v="Central"/>
    <s v="Credit Card"/>
    <m/>
    <m/>
  </r>
  <r>
    <n v="4127"/>
    <n v="1337"/>
    <x v="250"/>
    <n v="3291.84"/>
    <s v="Completed"/>
    <s v="East"/>
    <s v="PayPal"/>
    <m/>
    <m/>
  </r>
  <r>
    <n v="4128"/>
    <n v="3606"/>
    <x v="347"/>
    <n v="3291.84"/>
    <s v="Completed"/>
    <s v="West"/>
    <s v="Apple Pay"/>
    <m/>
    <m/>
  </r>
  <r>
    <n v="4129"/>
    <n v="6195"/>
    <x v="109"/>
    <n v="3291.84"/>
    <s v="Completed"/>
    <s v="East"/>
    <s v="Credit Card"/>
    <m/>
    <m/>
  </r>
  <r>
    <n v="4130"/>
    <n v="7712"/>
    <x v="51"/>
    <n v="3291.84"/>
    <s v="Completed"/>
    <s v="West"/>
    <s v="Credit Card"/>
    <m/>
    <m/>
  </r>
  <r>
    <n v="4131"/>
    <n v="5903"/>
    <x v="21"/>
    <n v="3291.84"/>
    <s v="Completed"/>
    <s v="others"/>
    <s v="PayPal"/>
    <m/>
    <m/>
  </r>
  <r>
    <n v="4132"/>
    <n v="1116"/>
    <x v="302"/>
    <n v="3291.84"/>
    <s v="Completed"/>
    <s v="South"/>
    <s v="Credit Card"/>
    <m/>
    <m/>
  </r>
  <r>
    <n v="4133"/>
    <n v="6907"/>
    <x v="258"/>
    <n v="3291.84"/>
    <s v="Completed"/>
    <s v="North"/>
    <s v="Credit Card"/>
    <m/>
    <m/>
  </r>
  <r>
    <n v="4134"/>
    <n v="3657"/>
    <x v="245"/>
    <n v="3291.84"/>
    <s v="Completed"/>
    <s v="Central"/>
    <s v="Apple Pay"/>
    <m/>
    <m/>
  </r>
  <r>
    <n v="4135"/>
    <n v="2558"/>
    <x v="184"/>
    <n v="3291.84"/>
    <s v="Completed"/>
    <s v="West"/>
    <s v="Credit Card"/>
    <m/>
    <m/>
  </r>
  <r>
    <n v="4136"/>
    <n v="1258"/>
    <x v="268"/>
    <n v="3291.84"/>
    <s v="Completed"/>
    <s v="South"/>
    <s v="PayPal"/>
    <m/>
    <m/>
  </r>
  <r>
    <n v="4137"/>
    <n v="6940"/>
    <x v="23"/>
    <n v="3291.84"/>
    <s v="Completed"/>
    <s v="West"/>
    <s v="Credit Card"/>
    <m/>
    <m/>
  </r>
  <r>
    <n v="4138"/>
    <n v="5458"/>
    <x v="28"/>
    <n v="3291.84"/>
    <s v="Completed"/>
    <s v="West"/>
    <s v="Debit Card"/>
    <m/>
    <m/>
  </r>
  <r>
    <n v="4139"/>
    <n v="8108"/>
    <x v="177"/>
    <n v="3291.84"/>
    <s v="Completed"/>
    <s v="South"/>
    <s v="Credit Card"/>
    <m/>
    <m/>
  </r>
  <r>
    <n v="4140"/>
    <n v="8630"/>
    <x v="228"/>
    <n v="3291.84"/>
    <s v="Cancelled"/>
    <s v="South"/>
    <s v="Credit Card"/>
    <m/>
    <m/>
  </r>
  <r>
    <n v="4141"/>
    <n v="9823"/>
    <x v="182"/>
    <n v="3291.84"/>
    <s v="Completed"/>
    <s v="West"/>
    <s v="PayPal"/>
    <m/>
    <m/>
  </r>
  <r>
    <n v="4142"/>
    <n v="9488"/>
    <x v="125"/>
    <n v="3291.84"/>
    <s v="Completed"/>
    <s v="South"/>
    <s v="Debit Card"/>
    <m/>
    <m/>
  </r>
  <r>
    <n v="4143"/>
    <n v="5400"/>
    <x v="88"/>
    <n v="3291.84"/>
    <s v="Completed"/>
    <s v="West"/>
    <s v="Credit Card"/>
    <m/>
    <m/>
  </r>
  <r>
    <n v="4144"/>
    <n v="5170"/>
    <x v="173"/>
    <n v="3291.84"/>
    <s v="Returned"/>
    <s v="North"/>
    <s v="Apple Pay"/>
    <m/>
    <m/>
  </r>
  <r>
    <n v="4145"/>
    <n v="7875"/>
    <x v="211"/>
    <n v="3291.84"/>
    <s v="Completed"/>
    <s v="North"/>
    <s v="Credit Card"/>
    <m/>
    <m/>
  </r>
  <r>
    <n v="4146"/>
    <n v="9437"/>
    <x v="69"/>
    <n v="3291.84"/>
    <s v="Completed"/>
    <s v="South"/>
    <s v="Credit Card"/>
    <m/>
    <m/>
  </r>
  <r>
    <n v="4147"/>
    <n v="5070"/>
    <x v="78"/>
    <n v="3291.84"/>
    <s v="Completed"/>
    <s v="East"/>
    <s v="PayPal"/>
    <m/>
    <m/>
  </r>
  <r>
    <n v="4148"/>
    <n v="6062"/>
    <x v="142"/>
    <n v="3291.84"/>
    <s v="Completed"/>
    <s v="West"/>
    <s v="Credit Card"/>
    <m/>
    <m/>
  </r>
  <r>
    <n v="4149"/>
    <n v="4860"/>
    <x v="285"/>
    <n v="3291.84"/>
    <s v="Completed"/>
    <s v="South"/>
    <s v="PayPal"/>
    <m/>
    <m/>
  </r>
  <r>
    <n v="4150"/>
    <n v="9731"/>
    <x v="93"/>
    <n v="3291.84"/>
    <s v="Completed"/>
    <s v="South"/>
    <s v="Apple Pay"/>
    <m/>
    <m/>
  </r>
  <r>
    <n v="4151"/>
    <n v="783"/>
    <x v="48"/>
    <n v="3291.84"/>
    <s v="Completed"/>
    <s v="West"/>
    <s v="Apple Pay"/>
    <m/>
    <m/>
  </r>
  <r>
    <n v="4152"/>
    <n v="6010"/>
    <x v="327"/>
    <n v="3291.84"/>
    <s v="Completed"/>
    <s v="North"/>
    <s v="Credit Card"/>
    <m/>
    <m/>
  </r>
  <r>
    <n v="4153"/>
    <n v="1182"/>
    <x v="261"/>
    <n v="3291.84"/>
    <s v="Completed"/>
    <s v="North"/>
    <s v="PayPal"/>
    <m/>
    <m/>
  </r>
  <r>
    <n v="4154"/>
    <n v="4613"/>
    <x v="313"/>
    <n v="3291.84"/>
    <s v="Completed"/>
    <s v="East"/>
    <s v="Apple Pay"/>
    <m/>
    <m/>
  </r>
  <r>
    <n v="4155"/>
    <n v="4280"/>
    <x v="9"/>
    <n v="3291.84"/>
    <s v="Completed"/>
    <s v="South"/>
    <s v="Debit Card"/>
    <m/>
    <m/>
  </r>
  <r>
    <n v="4156"/>
    <n v="548"/>
    <x v="193"/>
    <n v="3291.84"/>
    <s v="Completed"/>
    <s v="North"/>
    <s v="Apple Pay"/>
    <m/>
    <m/>
  </r>
  <r>
    <n v="4157"/>
    <n v="6690"/>
    <x v="293"/>
    <n v="3291.84"/>
    <s v="Completed"/>
    <s v="South"/>
    <s v="Credit Card"/>
    <m/>
    <m/>
  </r>
  <r>
    <n v="4158"/>
    <n v="4170"/>
    <x v="278"/>
    <n v="3291.84"/>
    <s v="Completed"/>
    <s v="East"/>
    <s v="Apple Pay"/>
    <m/>
    <m/>
  </r>
  <r>
    <n v="4159"/>
    <n v="8999"/>
    <x v="217"/>
    <n v="3291.84"/>
    <s v="Completed"/>
    <s v="South"/>
    <s v="Credit Card"/>
    <m/>
    <m/>
  </r>
  <r>
    <n v="4160"/>
    <n v="1695"/>
    <x v="265"/>
    <n v="3291.84"/>
    <s v="Completed"/>
    <s v="North"/>
    <s v="PayPal"/>
    <m/>
    <m/>
  </r>
  <r>
    <n v="4161"/>
    <n v="2295"/>
    <x v="54"/>
    <n v="3291.84"/>
    <s v="Completed"/>
    <s v="East"/>
    <s v="PayPal"/>
    <m/>
    <m/>
  </r>
  <r>
    <n v="4162"/>
    <n v="4695"/>
    <x v="29"/>
    <n v="3291.84"/>
    <s v="Completed"/>
    <s v="West"/>
    <s v="Debit Card"/>
    <m/>
    <m/>
  </r>
  <r>
    <n v="4163"/>
    <n v="9729"/>
    <x v="35"/>
    <n v="3291.84"/>
    <s v="Completed"/>
    <s v="South"/>
    <s v="Apple Pay"/>
    <m/>
    <m/>
  </r>
  <r>
    <n v="4164"/>
    <n v="7589"/>
    <x v="46"/>
    <n v="3291.84"/>
    <s v="Completed"/>
    <s v="East"/>
    <s v="Apple Pay"/>
    <m/>
    <m/>
  </r>
  <r>
    <n v="4165"/>
    <n v="6796"/>
    <x v="128"/>
    <n v="3291.84"/>
    <s v="Completed"/>
    <s v="North"/>
    <s v="PayPal"/>
    <m/>
    <m/>
  </r>
  <r>
    <n v="4166"/>
    <n v="6828"/>
    <x v="8"/>
    <n v="3291.84"/>
    <s v="Completed"/>
    <s v="North"/>
    <s v="Apple Pay"/>
    <m/>
    <m/>
  </r>
  <r>
    <n v="4167"/>
    <n v="6219"/>
    <x v="344"/>
    <n v="3291.84"/>
    <s v="Completed"/>
    <s v="South"/>
    <s v="PayPal"/>
    <m/>
    <m/>
  </r>
  <r>
    <n v="4168"/>
    <n v="7491"/>
    <x v="172"/>
    <n v="3291.84"/>
    <s v="Completed"/>
    <s v="Central"/>
    <s v="PayPal"/>
    <m/>
    <m/>
  </r>
  <r>
    <n v="4169"/>
    <n v="9707"/>
    <x v="130"/>
    <n v="3291.84"/>
    <s v="Completed"/>
    <s v="West"/>
    <s v="Apple Pay"/>
    <m/>
    <m/>
  </r>
  <r>
    <n v="4170"/>
    <n v="2339"/>
    <x v="150"/>
    <n v="3291.84"/>
    <s v="Completed"/>
    <s v="Central"/>
    <s v="Apple Pay"/>
    <m/>
    <m/>
  </r>
  <r>
    <n v="4171"/>
    <n v="643"/>
    <x v="139"/>
    <n v="3291.84"/>
    <s v="Completed"/>
    <s v="East"/>
    <s v="PayPal"/>
    <m/>
    <m/>
  </r>
  <r>
    <n v="4172"/>
    <n v="4626"/>
    <x v="190"/>
    <n v="3291.84"/>
    <s v="Completed"/>
    <s v="Central"/>
    <s v="Credit Card"/>
    <m/>
    <m/>
  </r>
  <r>
    <n v="4173"/>
    <n v="1146"/>
    <x v="114"/>
    <n v="3291.84"/>
    <s v="Returned"/>
    <s v="North"/>
    <s v="Debit Card"/>
    <m/>
    <m/>
  </r>
  <r>
    <n v="4174"/>
    <n v="1771"/>
    <x v="142"/>
    <n v="3291.84"/>
    <s v="Completed"/>
    <s v="North"/>
    <s v="Credit Card"/>
    <m/>
    <m/>
  </r>
  <r>
    <n v="4175"/>
    <n v="4086"/>
    <x v="358"/>
    <n v="3291.84"/>
    <s v="Completed"/>
    <s v="South"/>
    <s v="Credit Card"/>
    <m/>
    <m/>
  </r>
  <r>
    <n v="4176"/>
    <n v="333"/>
    <x v="260"/>
    <n v="3291.84"/>
    <s v="Completed"/>
    <s v="others"/>
    <s v="Apple Pay"/>
    <m/>
    <m/>
  </r>
  <r>
    <n v="4177"/>
    <n v="2469"/>
    <x v="252"/>
    <n v="3291.84"/>
    <s v="Cancelled"/>
    <s v="East"/>
    <s v="Credit Card"/>
    <m/>
    <m/>
  </r>
  <r>
    <n v="4178"/>
    <n v="3733"/>
    <x v="283"/>
    <n v="3291.84"/>
    <s v="Completed"/>
    <s v="Central"/>
    <s v="Apple Pay"/>
    <m/>
    <m/>
  </r>
  <r>
    <n v="4179"/>
    <n v="5970"/>
    <x v="125"/>
    <n v="3291.84"/>
    <s v="Completed"/>
    <s v="East"/>
    <s v="PayPal"/>
    <m/>
    <m/>
  </r>
  <r>
    <n v="4180"/>
    <n v="163"/>
    <x v="203"/>
    <n v="3291.84"/>
    <s v="Completed"/>
    <s v="East"/>
    <s v="PayPal"/>
    <m/>
    <m/>
  </r>
  <r>
    <n v="4181"/>
    <n v="642"/>
    <x v="354"/>
    <n v="3291.84"/>
    <s v="Completed"/>
    <s v="others"/>
    <s v="PayPal"/>
    <m/>
    <m/>
  </r>
  <r>
    <n v="4182"/>
    <n v="2165"/>
    <x v="21"/>
    <n v="3291.84"/>
    <s v="Completed"/>
    <s v="South"/>
    <s v="Debit Card"/>
    <m/>
    <m/>
  </r>
  <r>
    <n v="4183"/>
    <n v="163"/>
    <x v="302"/>
    <n v="3291.84"/>
    <s v="Completed"/>
    <s v="East"/>
    <s v="Apple Pay"/>
    <m/>
    <m/>
  </r>
  <r>
    <n v="4184"/>
    <n v="8314"/>
    <x v="60"/>
    <n v="3291.84"/>
    <s v="Completed"/>
    <s v="West"/>
    <s v="Credit Card"/>
    <m/>
    <m/>
  </r>
  <r>
    <n v="4185"/>
    <n v="9950"/>
    <x v="225"/>
    <n v="3291.84"/>
    <s v="Completed"/>
    <s v="North"/>
    <s v="Debit Card"/>
    <m/>
    <m/>
  </r>
  <r>
    <n v="4186"/>
    <n v="3034"/>
    <x v="85"/>
    <n v="3291.84"/>
    <s v="Completed"/>
    <s v="West"/>
    <s v="Apple Pay"/>
    <m/>
    <m/>
  </r>
  <r>
    <n v="4187"/>
    <n v="71"/>
    <x v="38"/>
    <n v="3291.84"/>
    <s v="Completed"/>
    <s v="North"/>
    <s v="Apple Pay"/>
    <m/>
    <m/>
  </r>
  <r>
    <n v="4188"/>
    <n v="4613"/>
    <x v="276"/>
    <n v="3291.84"/>
    <s v="Completed"/>
    <s v="East"/>
    <s v="Debit Card"/>
    <m/>
    <m/>
  </r>
  <r>
    <n v="4189"/>
    <n v="7986"/>
    <x v="29"/>
    <n v="3291.84"/>
    <s v="Completed"/>
    <s v="South"/>
    <s v="Debit Card"/>
    <m/>
    <m/>
  </r>
  <r>
    <n v="4190"/>
    <n v="5343"/>
    <x v="351"/>
    <n v="3291.84"/>
    <s v="Completed"/>
    <s v="Central"/>
    <s v="Apple Pay"/>
    <m/>
    <m/>
  </r>
  <r>
    <n v="4191"/>
    <n v="5791"/>
    <x v="83"/>
    <n v="3291.84"/>
    <s v="Completed"/>
    <s v="Central"/>
    <s v="Credit Card"/>
    <m/>
    <m/>
  </r>
  <r>
    <n v="4192"/>
    <n v="8542"/>
    <x v="55"/>
    <n v="3291.84"/>
    <s v="Completed"/>
    <s v="South"/>
    <s v="PayPal"/>
    <m/>
    <m/>
  </r>
  <r>
    <n v="4193"/>
    <n v="8828"/>
    <x v="351"/>
    <n v="3291.84"/>
    <s v="Completed"/>
    <s v="East"/>
    <s v="PayPal"/>
    <m/>
    <m/>
  </r>
  <r>
    <n v="4194"/>
    <n v="6515"/>
    <x v="333"/>
    <n v="3291.84"/>
    <s v="Completed"/>
    <s v="North"/>
    <s v="Credit Card"/>
    <m/>
    <m/>
  </r>
  <r>
    <n v="4195"/>
    <n v="3899"/>
    <x v="355"/>
    <n v="3291.84"/>
    <s v="Completed"/>
    <s v="West"/>
    <s v="Credit Card"/>
    <m/>
    <m/>
  </r>
  <r>
    <n v="4196"/>
    <n v="962"/>
    <x v="321"/>
    <n v="3291.84"/>
    <s v="Completed"/>
    <s v="South"/>
    <s v="Apple Pay"/>
    <m/>
    <m/>
  </r>
  <r>
    <n v="4197"/>
    <n v="5921"/>
    <x v="227"/>
    <n v="3291.84"/>
    <s v="Completed"/>
    <s v="Central"/>
    <s v="PayPal"/>
    <m/>
    <m/>
  </r>
  <r>
    <n v="4198"/>
    <n v="1207"/>
    <x v="272"/>
    <n v="3291.84"/>
    <s v="Completed"/>
    <s v="South"/>
    <s v="Credit Card"/>
    <m/>
    <m/>
  </r>
  <r>
    <n v="4199"/>
    <n v="4685"/>
    <x v="216"/>
    <n v="3291.84"/>
    <s v="Completed"/>
    <s v="North"/>
    <s v="Apple Pay"/>
    <m/>
    <m/>
  </r>
  <r>
    <n v="4200"/>
    <n v="9292"/>
    <x v="18"/>
    <n v="3291.84"/>
    <s v="Completed"/>
    <s v="Central"/>
    <s v="Debit Card"/>
    <m/>
    <m/>
  </r>
  <r>
    <n v="4201"/>
    <n v="3592"/>
    <x v="36"/>
    <n v="3291.84"/>
    <s v="Completed"/>
    <s v="South"/>
    <s v="Debit Card"/>
    <m/>
    <m/>
  </r>
  <r>
    <n v="4202"/>
    <n v="2255"/>
    <x v="176"/>
    <n v="3291.84"/>
    <s v="Completed"/>
    <s v="South"/>
    <s v="Debit Card"/>
    <m/>
    <m/>
  </r>
  <r>
    <n v="4203"/>
    <n v="1225"/>
    <x v="215"/>
    <n v="3291.84"/>
    <s v="Completed"/>
    <s v="West"/>
    <s v="PayPal"/>
    <m/>
    <m/>
  </r>
  <r>
    <n v="4204"/>
    <n v="3026"/>
    <x v="103"/>
    <n v="3291.84"/>
    <s v="Completed"/>
    <s v="East"/>
    <s v="Debit Card"/>
    <m/>
    <m/>
  </r>
  <r>
    <n v="4205"/>
    <n v="6585"/>
    <x v="211"/>
    <n v="3291.84"/>
    <s v="Completed"/>
    <s v="East"/>
    <s v="Debit Card"/>
    <m/>
    <m/>
  </r>
  <r>
    <n v="4206"/>
    <n v="4090"/>
    <x v="150"/>
    <n v="3291.84"/>
    <s v="Completed"/>
    <s v="West"/>
    <s v="PayPal"/>
    <m/>
    <m/>
  </r>
  <r>
    <n v="4207"/>
    <n v="7930"/>
    <x v="316"/>
    <n v="3291.84"/>
    <s v="Completed"/>
    <s v="North"/>
    <s v="PayPal"/>
    <m/>
    <m/>
  </r>
  <r>
    <n v="4208"/>
    <n v="5795"/>
    <x v="286"/>
    <n v="3291.84"/>
    <s v="Completed"/>
    <s v="others"/>
    <s v="Credit Card"/>
    <m/>
    <m/>
  </r>
  <r>
    <n v="4209"/>
    <n v="9300"/>
    <x v="300"/>
    <n v="3291.84"/>
    <s v="Completed"/>
    <s v="East"/>
    <s v="Debit Card"/>
    <m/>
    <m/>
  </r>
  <r>
    <n v="4210"/>
    <n v="4672"/>
    <x v="333"/>
    <n v="3291.84"/>
    <s v="Completed"/>
    <s v="South"/>
    <s v="Credit Card"/>
    <m/>
    <m/>
  </r>
  <r>
    <n v="4211"/>
    <n v="9169"/>
    <x v="151"/>
    <n v="3291.84"/>
    <s v="Completed"/>
    <s v="Central"/>
    <s v="Apple Pay"/>
    <m/>
    <m/>
  </r>
  <r>
    <n v="4212"/>
    <n v="7524"/>
    <x v="6"/>
    <n v="3291.84"/>
    <s v="Completed"/>
    <s v="South"/>
    <s v="Apple Pay"/>
    <m/>
    <m/>
  </r>
  <r>
    <n v="4213"/>
    <n v="6158"/>
    <x v="244"/>
    <n v="3291.84"/>
    <s v="Completed"/>
    <s v="West"/>
    <s v="Debit Card"/>
    <m/>
    <m/>
  </r>
  <r>
    <n v="4214"/>
    <n v="1908"/>
    <x v="347"/>
    <n v="3291.84"/>
    <s v="Completed"/>
    <s v="Central"/>
    <s v="PayPal"/>
    <m/>
    <m/>
  </r>
  <r>
    <n v="4215"/>
    <n v="8298"/>
    <x v="134"/>
    <n v="3291.84"/>
    <s v="Completed"/>
    <s v="East"/>
    <s v="PayPal"/>
    <m/>
    <m/>
  </r>
  <r>
    <n v="4216"/>
    <n v="8212"/>
    <x v="280"/>
    <n v="3291.84"/>
    <s v="Completed"/>
    <s v="East"/>
    <s v="Apple Pay"/>
    <m/>
    <m/>
  </r>
  <r>
    <n v="4217"/>
    <n v="3731"/>
    <x v="10"/>
    <n v="3291.84"/>
    <s v="Completed"/>
    <s v="East"/>
    <s v="Debit Card"/>
    <m/>
    <m/>
  </r>
  <r>
    <n v="4218"/>
    <n v="7070"/>
    <x v="115"/>
    <n v="3291.84"/>
    <s v="Completed"/>
    <s v="West"/>
    <s v="Debit Card"/>
    <m/>
    <m/>
  </r>
  <r>
    <n v="4219"/>
    <n v="5676"/>
    <x v="198"/>
    <n v="3291.84"/>
    <s v="Completed"/>
    <s v="North"/>
    <s v="PayPal"/>
    <m/>
    <m/>
  </r>
  <r>
    <n v="4220"/>
    <n v="7284"/>
    <x v="1"/>
    <n v="3291.84"/>
    <s v="Completed"/>
    <s v="East"/>
    <s v="Credit Card"/>
    <m/>
    <m/>
  </r>
  <r>
    <n v="4221"/>
    <n v="1903"/>
    <x v="149"/>
    <n v="3291.84"/>
    <s v="Completed"/>
    <s v="Central"/>
    <s v="Apple Pay"/>
    <m/>
    <m/>
  </r>
  <r>
    <n v="4222"/>
    <n v="5220"/>
    <x v="128"/>
    <n v="3291.84"/>
    <s v="Completed"/>
    <s v="West"/>
    <s v="Apple Pay"/>
    <m/>
    <m/>
  </r>
  <r>
    <n v="4223"/>
    <n v="7226"/>
    <x v="145"/>
    <n v="3291.84"/>
    <s v="Completed"/>
    <s v="South"/>
    <s v="Debit Card"/>
    <m/>
    <m/>
  </r>
  <r>
    <n v="4224"/>
    <n v="3241"/>
    <x v="262"/>
    <n v="3291.84"/>
    <s v="Completed"/>
    <s v="South"/>
    <s v="PayPal"/>
    <m/>
    <m/>
  </r>
  <r>
    <n v="4225"/>
    <n v="7310"/>
    <x v="323"/>
    <n v="3291.84"/>
    <s v="Completed"/>
    <s v="North"/>
    <s v="Credit Card"/>
    <m/>
    <m/>
  </r>
  <r>
    <n v="4226"/>
    <n v="7589"/>
    <x v="201"/>
    <n v="3291.84"/>
    <s v="Completed"/>
    <s v="East"/>
    <s v="Debit Card"/>
    <m/>
    <m/>
  </r>
  <r>
    <n v="4227"/>
    <n v="6568"/>
    <x v="96"/>
    <n v="3291.84"/>
    <s v="Completed"/>
    <s v="South"/>
    <s v="Debit Card"/>
    <m/>
    <m/>
  </r>
  <r>
    <n v="4228"/>
    <n v="7954"/>
    <x v="116"/>
    <n v="3291.84"/>
    <s v="Completed"/>
    <s v="South"/>
    <s v="PayPal"/>
    <m/>
    <m/>
  </r>
  <r>
    <n v="4229"/>
    <n v="1398"/>
    <x v="74"/>
    <n v="3291.84"/>
    <s v="Cancelled"/>
    <s v="Central"/>
    <s v="Credit Card"/>
    <m/>
    <m/>
  </r>
  <r>
    <n v="4230"/>
    <n v="3553"/>
    <x v="145"/>
    <n v="3291.84"/>
    <s v="Completed"/>
    <s v="East"/>
    <s v="Credit Card"/>
    <m/>
    <m/>
  </r>
  <r>
    <n v="4231"/>
    <n v="6914"/>
    <x v="140"/>
    <n v="3291.84"/>
    <s v="Completed"/>
    <s v="South"/>
    <s v="Credit Card"/>
    <m/>
    <m/>
  </r>
  <r>
    <n v="4232"/>
    <n v="3009"/>
    <x v="290"/>
    <n v="3291.84"/>
    <s v="Completed"/>
    <s v="Central"/>
    <s v="Apple Pay"/>
    <m/>
    <m/>
  </r>
  <r>
    <n v="4233"/>
    <n v="9494"/>
    <x v="222"/>
    <n v="3291.84"/>
    <s v="Completed"/>
    <s v="East"/>
    <s v="Credit Card"/>
    <m/>
    <m/>
  </r>
  <r>
    <n v="4234"/>
    <n v="2591"/>
    <x v="279"/>
    <n v="3291.84"/>
    <s v="Completed"/>
    <s v="East"/>
    <s v="Credit Card"/>
    <m/>
    <m/>
  </r>
  <r>
    <n v="4235"/>
    <n v="1090"/>
    <x v="267"/>
    <n v="3291.84"/>
    <s v="Completed"/>
    <s v="Central"/>
    <s v="Debit Card"/>
    <m/>
    <m/>
  </r>
  <r>
    <n v="4236"/>
    <n v="4044"/>
    <x v="131"/>
    <n v="3291.84"/>
    <s v="Completed"/>
    <s v="Central"/>
    <s v="Credit Card"/>
    <m/>
    <m/>
  </r>
  <r>
    <n v="4237"/>
    <n v="7080"/>
    <x v="252"/>
    <n v="3291.84"/>
    <s v="Completed"/>
    <s v="East"/>
    <s v="Credit Card"/>
    <m/>
    <m/>
  </r>
  <r>
    <n v="4238"/>
    <n v="1637"/>
    <x v="325"/>
    <n v="3291.84"/>
    <s v="Completed"/>
    <s v="West"/>
    <s v="PayPal"/>
    <m/>
    <m/>
  </r>
  <r>
    <n v="4239"/>
    <n v="1026"/>
    <x v="175"/>
    <n v="3291.84"/>
    <s v="Completed"/>
    <s v="West"/>
    <s v="PayPal"/>
    <m/>
    <m/>
  </r>
  <r>
    <n v="4240"/>
    <n v="9970"/>
    <x v="48"/>
    <n v="3291.84"/>
    <s v="Completed"/>
    <s v="others"/>
    <s v="PayPal"/>
    <m/>
    <m/>
  </r>
  <r>
    <n v="4241"/>
    <n v="9766"/>
    <x v="116"/>
    <n v="3291.84"/>
    <s v="Completed"/>
    <s v="West"/>
    <s v="PayPal"/>
    <m/>
    <m/>
  </r>
  <r>
    <n v="4242"/>
    <n v="8706"/>
    <x v="133"/>
    <n v="3291.84"/>
    <s v="Completed"/>
    <s v="East"/>
    <s v="Debit Card"/>
    <m/>
    <m/>
  </r>
  <r>
    <n v="4243"/>
    <n v="8061"/>
    <x v="88"/>
    <n v="3291.84"/>
    <s v="Completed"/>
    <s v="West"/>
    <s v="Debit Card"/>
    <m/>
    <m/>
  </r>
  <r>
    <n v="4244"/>
    <n v="4924"/>
    <x v="125"/>
    <n v="3291.84"/>
    <s v="Completed"/>
    <s v="Central"/>
    <s v="PayPal"/>
    <m/>
    <m/>
  </r>
  <r>
    <n v="4245"/>
    <n v="5978"/>
    <x v="171"/>
    <n v="3291.84"/>
    <s v="Completed"/>
    <s v="others"/>
    <s v="PayPal"/>
    <m/>
    <m/>
  </r>
  <r>
    <n v="4246"/>
    <n v="1485"/>
    <x v="272"/>
    <n v="3291.84"/>
    <s v="Completed"/>
    <s v="East"/>
    <s v="PayPal"/>
    <m/>
    <m/>
  </r>
  <r>
    <n v="4247"/>
    <n v="4532"/>
    <x v="111"/>
    <n v="3291.84"/>
    <s v="Completed"/>
    <s v="East"/>
    <s v="Credit Card"/>
    <m/>
    <m/>
  </r>
  <r>
    <n v="4248"/>
    <n v="140"/>
    <x v="90"/>
    <n v="3291.84"/>
    <s v="Completed"/>
    <s v="Central"/>
    <s v="Credit Card"/>
    <m/>
    <m/>
  </r>
  <r>
    <n v="4249"/>
    <n v="1910"/>
    <x v="209"/>
    <n v="3291.84"/>
    <s v="Completed"/>
    <s v="North"/>
    <s v="Apple Pay"/>
    <m/>
    <m/>
  </r>
  <r>
    <n v="4250"/>
    <n v="6065"/>
    <x v="358"/>
    <n v="3291.84"/>
    <s v="Completed"/>
    <s v="Central"/>
    <s v="Credit Card"/>
    <m/>
    <m/>
  </r>
  <r>
    <n v="4251"/>
    <n v="9036"/>
    <x v="149"/>
    <n v="3291.84"/>
    <s v="Completed"/>
    <s v="East"/>
    <s v="PayPal"/>
    <m/>
    <m/>
  </r>
  <r>
    <n v="4252"/>
    <n v="9304"/>
    <x v="167"/>
    <n v="3291.84"/>
    <s v="Completed"/>
    <s v="West"/>
    <s v="Apple Pay"/>
    <m/>
    <m/>
  </r>
  <r>
    <n v="4253"/>
    <n v="1221"/>
    <x v="251"/>
    <n v="3291.84"/>
    <s v="Completed"/>
    <s v="Central"/>
    <s v="Debit Card"/>
    <m/>
    <m/>
  </r>
  <r>
    <n v="4254"/>
    <n v="3156"/>
    <x v="268"/>
    <n v="3291.84"/>
    <s v="Completed"/>
    <s v="Central"/>
    <s v="PayPal"/>
    <m/>
    <m/>
  </r>
  <r>
    <n v="4255"/>
    <n v="1128"/>
    <x v="315"/>
    <n v="3291.84"/>
    <s v="Completed"/>
    <s v="North"/>
    <s v="Debit Card"/>
    <m/>
    <m/>
  </r>
  <r>
    <n v="4256"/>
    <n v="1759"/>
    <x v="312"/>
    <n v="3291.84"/>
    <s v="Completed"/>
    <s v="West"/>
    <s v="Debit Card"/>
    <m/>
    <m/>
  </r>
  <r>
    <n v="4257"/>
    <n v="5898"/>
    <x v="24"/>
    <n v="3291.84"/>
    <s v="Completed"/>
    <s v="North"/>
    <s v="Debit Card"/>
    <m/>
    <m/>
  </r>
  <r>
    <n v="4258"/>
    <n v="8829"/>
    <x v="50"/>
    <n v="3291.84"/>
    <s v="Completed"/>
    <s v="East"/>
    <s v="PayPal"/>
    <m/>
    <m/>
  </r>
  <r>
    <n v="4259"/>
    <n v="2076"/>
    <x v="226"/>
    <n v="3291.84"/>
    <s v="Completed"/>
    <s v="Central"/>
    <s v="Credit Card"/>
    <m/>
    <m/>
  </r>
  <r>
    <n v="4260"/>
    <n v="5630"/>
    <x v="305"/>
    <n v="3291.84"/>
    <s v="Completed"/>
    <s v="East"/>
    <s v="Debit Card"/>
    <m/>
    <m/>
  </r>
  <r>
    <n v="4261"/>
    <n v="3569"/>
    <x v="90"/>
    <n v="3291.84"/>
    <s v="Completed"/>
    <s v="others"/>
    <s v="Credit Card"/>
    <m/>
    <m/>
  </r>
  <r>
    <n v="4262"/>
    <n v="8213"/>
    <x v="73"/>
    <n v="3291.84"/>
    <s v="Completed"/>
    <s v="West"/>
    <s v="Apple Pay"/>
    <m/>
    <m/>
  </r>
  <r>
    <n v="4263"/>
    <n v="4581"/>
    <x v="2"/>
    <n v="3291.84"/>
    <s v="Completed"/>
    <s v="others"/>
    <s v="Credit Card"/>
    <m/>
    <m/>
  </r>
  <r>
    <n v="4264"/>
    <n v="9755"/>
    <x v="316"/>
    <n v="3291.84"/>
    <s v="Completed"/>
    <s v="East"/>
    <s v="PayPal"/>
    <m/>
    <m/>
  </r>
  <r>
    <n v="4265"/>
    <n v="3057"/>
    <x v="6"/>
    <n v="3291.84"/>
    <s v="Completed"/>
    <s v="Central"/>
    <s v="Debit Card"/>
    <m/>
    <m/>
  </r>
  <r>
    <n v="4266"/>
    <n v="7899"/>
    <x v="283"/>
    <n v="3291.84"/>
    <s v="Completed"/>
    <s v="East"/>
    <s v="Apple Pay"/>
    <m/>
    <m/>
  </r>
  <r>
    <n v="4267"/>
    <n v="5389"/>
    <x v="252"/>
    <n v="3291.84"/>
    <s v="Completed"/>
    <s v="West"/>
    <s v="Apple Pay"/>
    <m/>
    <m/>
  </r>
  <r>
    <n v="4268"/>
    <n v="757"/>
    <x v="88"/>
    <n v="3291.84"/>
    <s v="Completed"/>
    <s v="West"/>
    <s v="Apple Pay"/>
    <m/>
    <m/>
  </r>
  <r>
    <n v="4269"/>
    <n v="3079"/>
    <x v="363"/>
    <n v="3291.84"/>
    <s v="Completed"/>
    <s v="South"/>
    <s v="PayPal"/>
    <m/>
    <m/>
  </r>
  <r>
    <n v="4270"/>
    <n v="5833"/>
    <x v="346"/>
    <n v="3291.84"/>
    <s v="Completed"/>
    <s v="North"/>
    <s v="PayPal"/>
    <m/>
    <m/>
  </r>
  <r>
    <n v="4271"/>
    <n v="9868"/>
    <x v="4"/>
    <n v="3291.84"/>
    <s v="Completed"/>
    <s v="North"/>
    <s v="Apple Pay"/>
    <m/>
    <m/>
  </r>
  <r>
    <n v="4272"/>
    <n v="908"/>
    <x v="111"/>
    <n v="3291.84"/>
    <s v="Completed"/>
    <s v="North"/>
    <s v="Apple Pay"/>
    <m/>
    <m/>
  </r>
  <r>
    <n v="4273"/>
    <n v="8926"/>
    <x v="332"/>
    <n v="3291.84"/>
    <s v="Completed"/>
    <s v="South"/>
    <s v="PayPal"/>
    <m/>
    <m/>
  </r>
  <r>
    <n v="4274"/>
    <n v="5478"/>
    <x v="44"/>
    <n v="3291.84"/>
    <s v="Completed"/>
    <s v="East"/>
    <s v="PayPal"/>
    <m/>
    <m/>
  </r>
  <r>
    <n v="4275"/>
    <n v="8026"/>
    <x v="106"/>
    <n v="3291.84"/>
    <s v="Completed"/>
    <s v="East"/>
    <s v="Apple Pay"/>
    <m/>
    <m/>
  </r>
  <r>
    <n v="4276"/>
    <n v="1954"/>
    <x v="166"/>
    <n v="3291.84"/>
    <s v="Cancelled"/>
    <s v="West"/>
    <s v="Debit Card"/>
    <m/>
    <m/>
  </r>
  <r>
    <n v="4277"/>
    <n v="3122"/>
    <x v="70"/>
    <n v="3291.84"/>
    <s v="Completed"/>
    <s v="North"/>
    <s v="Apple Pay"/>
    <m/>
    <m/>
  </r>
  <r>
    <n v="4278"/>
    <n v="1583"/>
    <x v="323"/>
    <n v="3291.84"/>
    <s v="Completed"/>
    <s v="West"/>
    <s v="Credit Card"/>
    <m/>
    <m/>
  </r>
  <r>
    <n v="4279"/>
    <n v="6281"/>
    <x v="133"/>
    <n v="3291.84"/>
    <s v="Completed"/>
    <s v="South"/>
    <s v="Apple Pay"/>
    <m/>
    <m/>
  </r>
  <r>
    <n v="4280"/>
    <n v="3493"/>
    <x v="144"/>
    <n v="3291.84"/>
    <s v="Completed"/>
    <s v="East"/>
    <s v="PayPal"/>
    <m/>
    <m/>
  </r>
  <r>
    <n v="4281"/>
    <n v="3477"/>
    <x v="210"/>
    <n v="3291.84"/>
    <s v="Completed"/>
    <s v="Central"/>
    <s v="PayPal"/>
    <m/>
    <m/>
  </r>
  <r>
    <n v="4282"/>
    <n v="2647"/>
    <x v="351"/>
    <n v="3291.84"/>
    <s v="Completed"/>
    <s v="East"/>
    <s v="Credit Card"/>
    <m/>
    <m/>
  </r>
  <r>
    <n v="4283"/>
    <n v="7710"/>
    <x v="328"/>
    <n v="3291.84"/>
    <s v="Completed"/>
    <s v="West"/>
    <s v="Credit Card"/>
    <m/>
    <m/>
  </r>
  <r>
    <n v="4284"/>
    <n v="4466"/>
    <x v="180"/>
    <n v="3291.84"/>
    <s v="Completed"/>
    <s v="Central"/>
    <s v="PayPal"/>
    <m/>
    <m/>
  </r>
  <r>
    <n v="4285"/>
    <n v="4384"/>
    <x v="244"/>
    <n v="3291.84"/>
    <s v="Completed"/>
    <s v="East"/>
    <s v="Debit Card"/>
    <m/>
    <m/>
  </r>
  <r>
    <n v="4286"/>
    <n v="9061"/>
    <x v="292"/>
    <n v="3291.84"/>
    <s v="Completed"/>
    <s v="South"/>
    <s v="Credit Card"/>
    <m/>
    <m/>
  </r>
  <r>
    <n v="4287"/>
    <n v="3010"/>
    <x v="88"/>
    <n v="3291.84"/>
    <s v="Completed"/>
    <s v="North"/>
    <s v="Credit Card"/>
    <m/>
    <m/>
  </r>
  <r>
    <n v="4288"/>
    <n v="4247"/>
    <x v="112"/>
    <n v="3291.84"/>
    <s v="Completed"/>
    <s v="South"/>
    <s v="Debit Card"/>
    <m/>
    <m/>
  </r>
  <r>
    <n v="4289"/>
    <n v="9180"/>
    <x v="12"/>
    <n v="3291.84"/>
    <s v="Completed"/>
    <s v="East"/>
    <s v="PayPal"/>
    <m/>
    <m/>
  </r>
  <r>
    <n v="4290"/>
    <n v="2106"/>
    <x v="43"/>
    <n v="3291.84"/>
    <s v="Completed"/>
    <s v="North"/>
    <s v="PayPal"/>
    <m/>
    <m/>
  </r>
  <r>
    <n v="4291"/>
    <n v="7030"/>
    <x v="258"/>
    <n v="3291.84"/>
    <s v="Completed"/>
    <s v="East"/>
    <s v="Apple Pay"/>
    <m/>
    <m/>
  </r>
  <r>
    <n v="4292"/>
    <n v="4236"/>
    <x v="26"/>
    <n v="3291.84"/>
    <s v="Completed"/>
    <s v="Central"/>
    <s v="PayPal"/>
    <m/>
    <m/>
  </r>
  <r>
    <n v="4293"/>
    <n v="5155"/>
    <x v="117"/>
    <n v="3291.84"/>
    <s v="Completed"/>
    <s v="Central"/>
    <s v="Debit Card"/>
    <m/>
    <m/>
  </r>
  <r>
    <n v="4294"/>
    <n v="6142"/>
    <x v="283"/>
    <n v="3291.84"/>
    <s v="Completed"/>
    <s v="North"/>
    <s v="PayPal"/>
    <m/>
    <m/>
  </r>
  <r>
    <n v="4295"/>
    <n v="3243"/>
    <x v="97"/>
    <n v="3291.84"/>
    <s v="Completed"/>
    <s v="Central"/>
    <s v="Credit Card"/>
    <m/>
    <m/>
  </r>
  <r>
    <n v="4296"/>
    <n v="6540"/>
    <x v="338"/>
    <n v="3291.84"/>
    <s v="Completed"/>
    <s v="South"/>
    <s v="PayPal"/>
    <m/>
    <m/>
  </r>
  <r>
    <n v="4297"/>
    <n v="8978"/>
    <x v="157"/>
    <n v="3291.84"/>
    <s v="Completed"/>
    <s v="South"/>
    <s v="Debit Card"/>
    <m/>
    <m/>
  </r>
  <r>
    <n v="4298"/>
    <n v="702"/>
    <x v="6"/>
    <n v="3291.84"/>
    <s v="Completed"/>
    <s v="Central"/>
    <s v="PayPal"/>
    <m/>
    <m/>
  </r>
  <r>
    <n v="4299"/>
    <n v="1455"/>
    <x v="20"/>
    <n v="3291.84"/>
    <s v="Completed"/>
    <s v="South"/>
    <s v="PayPal"/>
    <m/>
    <m/>
  </r>
  <r>
    <n v="4300"/>
    <n v="369"/>
    <x v="114"/>
    <n v="3291.84"/>
    <s v="Completed"/>
    <s v="North"/>
    <s v="Debit Card"/>
    <m/>
    <m/>
  </r>
  <r>
    <n v="4301"/>
    <n v="7597"/>
    <x v="58"/>
    <n v="3291.84"/>
    <s v="Cancelled"/>
    <s v="West"/>
    <s v="Credit Card"/>
    <m/>
    <m/>
  </r>
  <r>
    <n v="4302"/>
    <n v="6036"/>
    <x v="3"/>
    <n v="3291.84"/>
    <s v="Completed"/>
    <s v="East"/>
    <s v="PayPal"/>
    <m/>
    <m/>
  </r>
  <r>
    <n v="4303"/>
    <n v="5621"/>
    <x v="104"/>
    <n v="3291.84"/>
    <s v="Completed"/>
    <s v="Central"/>
    <s v="Apple Pay"/>
    <m/>
    <m/>
  </r>
  <r>
    <n v="4304"/>
    <n v="6270"/>
    <x v="69"/>
    <n v="3291.84"/>
    <s v="Completed"/>
    <s v="North"/>
    <s v="Apple Pay"/>
    <m/>
    <m/>
  </r>
  <r>
    <n v="4305"/>
    <n v="6478"/>
    <x v="155"/>
    <n v="3291.84"/>
    <s v="Completed"/>
    <s v="Central"/>
    <s v="PayPal"/>
    <m/>
    <m/>
  </r>
  <r>
    <n v="4306"/>
    <n v="7024"/>
    <x v="51"/>
    <n v="3291.84"/>
    <s v="Completed"/>
    <s v="South"/>
    <s v="Apple Pay"/>
    <m/>
    <m/>
  </r>
  <r>
    <n v="4307"/>
    <n v="5280"/>
    <x v="80"/>
    <n v="3291.84"/>
    <s v="Completed"/>
    <s v="North"/>
    <s v="PayPal"/>
    <m/>
    <m/>
  </r>
  <r>
    <n v="4308"/>
    <n v="6026"/>
    <x v="162"/>
    <n v="3291.84"/>
    <s v="Cancelled"/>
    <s v="Central"/>
    <s v="PayPal"/>
    <m/>
    <m/>
  </r>
  <r>
    <n v="4309"/>
    <n v="3312"/>
    <x v="199"/>
    <n v="3291.84"/>
    <s v="Completed"/>
    <s v="North"/>
    <s v="Apple Pay"/>
    <m/>
    <m/>
  </r>
  <r>
    <n v="4310"/>
    <n v="8993"/>
    <x v="216"/>
    <n v="3291.84"/>
    <s v="Completed"/>
    <s v="Central"/>
    <s v="Apple Pay"/>
    <m/>
    <m/>
  </r>
  <r>
    <n v="4311"/>
    <n v="6019"/>
    <x v="98"/>
    <n v="3291.84"/>
    <s v="Completed"/>
    <s v="Central"/>
    <s v="PayPal"/>
    <m/>
    <m/>
  </r>
  <r>
    <n v="4312"/>
    <n v="5454"/>
    <x v="41"/>
    <n v="3291.84"/>
    <s v="Completed"/>
    <s v="North"/>
    <s v="Credit Card"/>
    <m/>
    <m/>
  </r>
  <r>
    <n v="4313"/>
    <n v="4341"/>
    <x v="246"/>
    <n v="3291.84"/>
    <s v="Completed"/>
    <s v="East"/>
    <s v="Debit Card"/>
    <m/>
    <m/>
  </r>
  <r>
    <n v="4314"/>
    <n v="785"/>
    <x v="133"/>
    <n v="3291.84"/>
    <s v="Completed"/>
    <s v="South"/>
    <s v="Apple Pay"/>
    <m/>
    <m/>
  </r>
  <r>
    <n v="4315"/>
    <n v="5705"/>
    <x v="152"/>
    <n v="3291.84"/>
    <s v="Completed"/>
    <s v="Central"/>
    <s v="Debit Card"/>
    <m/>
    <m/>
  </r>
  <r>
    <n v="4316"/>
    <n v="1276"/>
    <x v="169"/>
    <n v="3291.84"/>
    <s v="Completed"/>
    <s v="South"/>
    <s v="Credit Card"/>
    <m/>
    <m/>
  </r>
  <r>
    <n v="4317"/>
    <n v="1376"/>
    <x v="121"/>
    <n v="3291.84"/>
    <s v="Cancelled"/>
    <s v="East"/>
    <s v="Debit Card"/>
    <m/>
    <m/>
  </r>
  <r>
    <n v="4318"/>
    <n v="7264"/>
    <x v="318"/>
    <n v="3291.84"/>
    <s v="Completed"/>
    <s v="West"/>
    <s v="Debit Card"/>
    <m/>
    <m/>
  </r>
  <r>
    <n v="4319"/>
    <n v="187"/>
    <x v="316"/>
    <n v="3291.84"/>
    <s v="Completed"/>
    <s v="South"/>
    <s v="Apple Pay"/>
    <m/>
    <m/>
  </r>
  <r>
    <n v="4320"/>
    <n v="5095"/>
    <x v="173"/>
    <n v="3291.84"/>
    <s v="Completed"/>
    <s v="Central"/>
    <s v="Debit Card"/>
    <m/>
    <m/>
  </r>
  <r>
    <n v="4321"/>
    <n v="4623"/>
    <x v="255"/>
    <n v="3291.84"/>
    <s v="Completed"/>
    <s v="West"/>
    <s v="Debit Card"/>
    <m/>
    <m/>
  </r>
  <r>
    <n v="4322"/>
    <n v="1985"/>
    <x v="3"/>
    <n v="3291.84"/>
    <s v="Completed"/>
    <s v="others"/>
    <s v="Apple Pay"/>
    <m/>
    <m/>
  </r>
  <r>
    <n v="4323"/>
    <n v="5964"/>
    <x v="19"/>
    <n v="3291.84"/>
    <s v="Completed"/>
    <s v="Central"/>
    <s v="PayPal"/>
    <m/>
    <m/>
  </r>
  <r>
    <n v="4324"/>
    <n v="87"/>
    <x v="21"/>
    <n v="3291.84"/>
    <s v="Completed"/>
    <s v="Central"/>
    <s v="Credit Card"/>
    <m/>
    <m/>
  </r>
  <r>
    <n v="4325"/>
    <n v="7087"/>
    <x v="113"/>
    <n v="3291.84"/>
    <s v="Completed"/>
    <s v="Central"/>
    <s v="Credit Card"/>
    <m/>
    <m/>
  </r>
  <r>
    <n v="4326"/>
    <n v="5921"/>
    <x v="161"/>
    <n v="3291.84"/>
    <s v="Completed"/>
    <s v="Central"/>
    <s v="PayPal"/>
    <m/>
    <m/>
  </r>
  <r>
    <n v="4327"/>
    <n v="3493"/>
    <x v="360"/>
    <n v="3291.84"/>
    <s v="Completed"/>
    <s v="others"/>
    <s v="Debit Card"/>
    <m/>
    <m/>
  </r>
  <r>
    <n v="4328"/>
    <n v="2523"/>
    <x v="20"/>
    <n v="3291.84"/>
    <s v="Completed"/>
    <s v="East"/>
    <s v="Credit Card"/>
    <m/>
    <m/>
  </r>
  <r>
    <n v="4329"/>
    <n v="5878"/>
    <x v="199"/>
    <n v="3291.84"/>
    <s v="Completed"/>
    <s v="Central"/>
    <s v="Apple Pay"/>
    <m/>
    <m/>
  </r>
  <r>
    <n v="4330"/>
    <n v="1069"/>
    <x v="293"/>
    <n v="3291.84"/>
    <s v="Returned"/>
    <s v="North"/>
    <s v="Apple Pay"/>
    <m/>
    <m/>
  </r>
  <r>
    <n v="4331"/>
    <n v="5405"/>
    <x v="237"/>
    <n v="3291.84"/>
    <s v="Completed"/>
    <s v="East"/>
    <s v="Apple Pay"/>
    <m/>
    <m/>
  </r>
  <r>
    <n v="4332"/>
    <n v="1417"/>
    <x v="103"/>
    <n v="3291.84"/>
    <s v="Completed"/>
    <s v="East"/>
    <s v="PayPal"/>
    <m/>
    <m/>
  </r>
  <r>
    <n v="4333"/>
    <n v="5410"/>
    <x v="11"/>
    <n v="3291.84"/>
    <s v="Completed"/>
    <s v="West"/>
    <s v="Apple Pay"/>
    <m/>
    <m/>
  </r>
  <r>
    <n v="4334"/>
    <n v="8737"/>
    <x v="117"/>
    <n v="3291.84"/>
    <s v="Cancelled"/>
    <s v="West"/>
    <s v="Credit Card"/>
    <m/>
    <m/>
  </r>
  <r>
    <n v="4335"/>
    <n v="5552"/>
    <x v="276"/>
    <n v="3291.84"/>
    <s v="Completed"/>
    <s v="Central"/>
    <s v="Debit Card"/>
    <m/>
    <m/>
  </r>
  <r>
    <n v="4336"/>
    <n v="5872"/>
    <x v="312"/>
    <n v="3291.84"/>
    <s v="Completed"/>
    <s v="West"/>
    <s v="Debit Card"/>
    <m/>
    <m/>
  </r>
  <r>
    <n v="4337"/>
    <n v="9077"/>
    <x v="75"/>
    <n v="3291.84"/>
    <s v="Completed"/>
    <s v="West"/>
    <s v="Apple Pay"/>
    <m/>
    <m/>
  </r>
  <r>
    <n v="4338"/>
    <n v="3547"/>
    <x v="131"/>
    <n v="3291.84"/>
    <s v="Completed"/>
    <s v="West"/>
    <s v="PayPal"/>
    <m/>
    <m/>
  </r>
  <r>
    <n v="4339"/>
    <n v="9005"/>
    <x v="157"/>
    <n v="3291.84"/>
    <s v="Completed"/>
    <s v="Central"/>
    <s v="Debit Card"/>
    <m/>
    <m/>
  </r>
  <r>
    <n v="4340"/>
    <n v="7447"/>
    <x v="129"/>
    <n v="3291.84"/>
    <s v="Completed"/>
    <s v="South"/>
    <s v="Credit Card"/>
    <m/>
    <m/>
  </r>
  <r>
    <n v="4341"/>
    <n v="8004"/>
    <x v="210"/>
    <n v="3291.84"/>
    <s v="Completed"/>
    <s v="West"/>
    <s v="Debit Card"/>
    <m/>
    <m/>
  </r>
  <r>
    <n v="4342"/>
    <n v="3331"/>
    <x v="9"/>
    <n v="3291.84"/>
    <s v="Completed"/>
    <s v="Central"/>
    <s v="Apple Pay"/>
    <m/>
    <m/>
  </r>
  <r>
    <n v="4343"/>
    <n v="5029"/>
    <x v="248"/>
    <n v="3291.84"/>
    <s v="Completed"/>
    <s v="West"/>
    <s v="PayPal"/>
    <m/>
    <m/>
  </r>
  <r>
    <n v="4344"/>
    <n v="8652"/>
    <x v="128"/>
    <n v="3291.84"/>
    <s v="Completed"/>
    <s v="West"/>
    <s v="Apple Pay"/>
    <m/>
    <m/>
  </r>
  <r>
    <n v="4345"/>
    <n v="9727"/>
    <x v="194"/>
    <n v="3291.84"/>
    <s v="Completed"/>
    <s v="North"/>
    <s v="Debit Card"/>
    <m/>
    <m/>
  </r>
  <r>
    <n v="4346"/>
    <n v="1008"/>
    <x v="119"/>
    <n v="3291.84"/>
    <s v="Cancelled"/>
    <s v="North"/>
    <s v="Credit Card"/>
    <m/>
    <m/>
  </r>
  <r>
    <n v="4347"/>
    <n v="2431"/>
    <x v="180"/>
    <n v="3291.84"/>
    <s v="Completed"/>
    <s v="North"/>
    <s v="Debit Card"/>
    <m/>
    <m/>
  </r>
  <r>
    <n v="4348"/>
    <n v="4847"/>
    <x v="44"/>
    <n v="3291.84"/>
    <s v="Completed"/>
    <s v="North"/>
    <s v="Debit Card"/>
    <m/>
    <m/>
  </r>
  <r>
    <n v="4349"/>
    <n v="9305"/>
    <x v="331"/>
    <n v="3291.84"/>
    <s v="Completed"/>
    <s v="others"/>
    <s v="Apple Pay"/>
    <m/>
    <m/>
  </r>
  <r>
    <n v="4350"/>
    <n v="1084"/>
    <x v="276"/>
    <n v="3291.84"/>
    <s v="Completed"/>
    <s v="East"/>
    <s v="PayPal"/>
    <m/>
    <m/>
  </r>
  <r>
    <n v="4351"/>
    <n v="6861"/>
    <x v="21"/>
    <n v="3291.84"/>
    <s v="Completed"/>
    <s v="South"/>
    <s v="PayPal"/>
    <m/>
    <m/>
  </r>
  <r>
    <n v="4352"/>
    <n v="4923"/>
    <x v="48"/>
    <n v="3291.84"/>
    <s v="Completed"/>
    <s v="Central"/>
    <s v="Apple Pay"/>
    <m/>
    <m/>
  </r>
  <r>
    <n v="4353"/>
    <n v="5692"/>
    <x v="60"/>
    <n v="3291.84"/>
    <s v="Completed"/>
    <s v="Central"/>
    <s v="Debit Card"/>
    <m/>
    <m/>
  </r>
  <r>
    <n v="4354"/>
    <n v="4244"/>
    <x v="47"/>
    <n v="3291.84"/>
    <s v="Completed"/>
    <s v="North"/>
    <s v="PayPal"/>
    <m/>
    <m/>
  </r>
  <r>
    <n v="4355"/>
    <n v="6665"/>
    <x v="325"/>
    <n v="3291.84"/>
    <s v="Cancelled"/>
    <s v="West"/>
    <s v="Apple Pay"/>
    <m/>
    <m/>
  </r>
  <r>
    <n v="4356"/>
    <n v="28"/>
    <x v="201"/>
    <n v="3291.84"/>
    <s v="Completed"/>
    <s v="East"/>
    <s v="Credit Card"/>
    <m/>
    <m/>
  </r>
  <r>
    <n v="4357"/>
    <n v="2997"/>
    <x v="116"/>
    <n v="3291.84"/>
    <s v="Completed"/>
    <s v="East"/>
    <s v="Debit Card"/>
    <m/>
    <m/>
  </r>
  <r>
    <n v="4358"/>
    <n v="3713"/>
    <x v="7"/>
    <n v="3291.84"/>
    <s v="Completed"/>
    <s v="North"/>
    <s v="Apple Pay"/>
    <m/>
    <m/>
  </r>
  <r>
    <n v="4359"/>
    <n v="9270"/>
    <x v="108"/>
    <n v="3291.84"/>
    <s v="Completed"/>
    <s v="East"/>
    <s v="Credit Card"/>
    <m/>
    <m/>
  </r>
  <r>
    <n v="4360"/>
    <n v="6910"/>
    <x v="79"/>
    <n v="3291.84"/>
    <s v="Completed"/>
    <s v="South"/>
    <s v="Credit Card"/>
    <m/>
    <m/>
  </r>
  <r>
    <n v="4361"/>
    <n v="5214"/>
    <x v="321"/>
    <n v="3291.84"/>
    <s v="Completed"/>
    <s v="East"/>
    <s v="Apple Pay"/>
    <m/>
    <m/>
  </r>
  <r>
    <n v="4362"/>
    <n v="5961"/>
    <x v="344"/>
    <n v="3291.84"/>
    <s v="Completed"/>
    <s v="East"/>
    <s v="Apple Pay"/>
    <m/>
    <m/>
  </r>
  <r>
    <n v="4363"/>
    <n v="4743"/>
    <x v="48"/>
    <n v="3291.84"/>
    <s v="Completed"/>
    <s v="South"/>
    <s v="PayPal"/>
    <m/>
    <m/>
  </r>
  <r>
    <n v="4364"/>
    <n v="7271"/>
    <x v="268"/>
    <n v="3291.84"/>
    <s v="Completed"/>
    <s v="East"/>
    <s v="PayPal"/>
    <m/>
    <m/>
  </r>
  <r>
    <n v="4365"/>
    <n v="6726"/>
    <x v="70"/>
    <n v="3291.84"/>
    <s v="Completed"/>
    <s v="East"/>
    <s v="PayPal"/>
    <m/>
    <m/>
  </r>
  <r>
    <n v="4366"/>
    <n v="9749"/>
    <x v="236"/>
    <n v="3291.84"/>
    <s v="Completed"/>
    <s v="West"/>
    <s v="Credit Card"/>
    <m/>
    <m/>
  </r>
  <r>
    <n v="4367"/>
    <n v="6485"/>
    <x v="153"/>
    <n v="3291.84"/>
    <s v="Completed"/>
    <s v="Central"/>
    <s v="Credit Card"/>
    <m/>
    <m/>
  </r>
  <r>
    <n v="4368"/>
    <n v="4249"/>
    <x v="28"/>
    <n v="3291.84"/>
    <s v="Completed"/>
    <s v="West"/>
    <s v="Apple Pay"/>
    <m/>
    <m/>
  </r>
  <r>
    <n v="4369"/>
    <n v="9927"/>
    <x v="354"/>
    <n v="3291.84"/>
    <s v="Completed"/>
    <s v="East"/>
    <s v="Debit Card"/>
    <m/>
    <m/>
  </r>
  <r>
    <n v="4370"/>
    <n v="7886"/>
    <x v="97"/>
    <n v="3291.84"/>
    <s v="Completed"/>
    <s v="East"/>
    <s v="PayPal"/>
    <m/>
    <m/>
  </r>
  <r>
    <n v="4371"/>
    <n v="5118"/>
    <x v="347"/>
    <n v="3291.84"/>
    <s v="Completed"/>
    <s v="South"/>
    <s v="Debit Card"/>
    <m/>
    <m/>
  </r>
  <r>
    <n v="4372"/>
    <n v="8711"/>
    <x v="236"/>
    <n v="3291.84"/>
    <s v="Completed"/>
    <s v="Central"/>
    <s v="Apple Pay"/>
    <m/>
    <m/>
  </r>
  <r>
    <n v="4373"/>
    <n v="7024"/>
    <x v="193"/>
    <n v="3291.84"/>
    <s v="Completed"/>
    <s v="South"/>
    <s v="Credit Card"/>
    <m/>
    <m/>
  </r>
  <r>
    <n v="4374"/>
    <n v="3200"/>
    <x v="67"/>
    <n v="3291.84"/>
    <s v="Completed"/>
    <s v="Central"/>
    <s v="Debit Card"/>
    <m/>
    <m/>
  </r>
  <r>
    <n v="4375"/>
    <n v="9804"/>
    <x v="45"/>
    <n v="3291.84"/>
    <s v="Completed"/>
    <s v="Central"/>
    <s v="Apple Pay"/>
    <m/>
    <m/>
  </r>
  <r>
    <n v="4376"/>
    <n v="3986"/>
    <x v="11"/>
    <n v="3291.84"/>
    <s v="Completed"/>
    <s v="South"/>
    <s v="Apple Pay"/>
    <m/>
    <m/>
  </r>
  <r>
    <n v="4377"/>
    <n v="7117"/>
    <x v="113"/>
    <n v="3291.84"/>
    <s v="Completed"/>
    <s v="West"/>
    <s v="Apple Pay"/>
    <m/>
    <m/>
  </r>
  <r>
    <n v="4378"/>
    <n v="8505"/>
    <x v="127"/>
    <n v="3291.84"/>
    <s v="Completed"/>
    <s v="South"/>
    <s v="Debit Card"/>
    <m/>
    <m/>
  </r>
  <r>
    <n v="4379"/>
    <n v="4653"/>
    <x v="188"/>
    <n v="3291.84"/>
    <s v="Completed"/>
    <s v="North"/>
    <s v="PayPal"/>
    <m/>
    <m/>
  </r>
  <r>
    <n v="4380"/>
    <n v="6756"/>
    <x v="13"/>
    <n v="3291.84"/>
    <s v="Completed"/>
    <s v="West"/>
    <s v="Credit Card"/>
    <m/>
    <m/>
  </r>
  <r>
    <n v="4381"/>
    <n v="9673"/>
    <x v="174"/>
    <n v="3291.84"/>
    <s v="Completed"/>
    <s v="North"/>
    <s v="PayPal"/>
    <m/>
    <m/>
  </r>
  <r>
    <n v="4382"/>
    <n v="1929"/>
    <x v="78"/>
    <n v="3291.84"/>
    <s v="Completed"/>
    <s v="North"/>
    <s v="Debit Card"/>
    <m/>
    <m/>
  </r>
  <r>
    <n v="4383"/>
    <n v="9853"/>
    <x v="191"/>
    <n v="3291.84"/>
    <s v="Completed"/>
    <s v="West"/>
    <s v="Debit Card"/>
    <m/>
    <m/>
  </r>
  <r>
    <n v="4384"/>
    <n v="2726"/>
    <x v="178"/>
    <n v="3291.84"/>
    <s v="Completed"/>
    <s v="South"/>
    <s v="Credit Card"/>
    <m/>
    <m/>
  </r>
  <r>
    <n v="4385"/>
    <n v="8331"/>
    <x v="360"/>
    <n v="3291.84"/>
    <s v="Completed"/>
    <s v="South"/>
    <s v="PayPal"/>
    <m/>
    <m/>
  </r>
  <r>
    <n v="4386"/>
    <n v="4300"/>
    <x v="352"/>
    <n v="3291.84"/>
    <s v="Completed"/>
    <s v="East"/>
    <s v="Debit Card"/>
    <m/>
    <m/>
  </r>
  <r>
    <n v="4387"/>
    <n v="7722"/>
    <x v="116"/>
    <n v="3291.84"/>
    <s v="Completed"/>
    <s v="East"/>
    <s v="Debit Card"/>
    <m/>
    <m/>
  </r>
  <r>
    <n v="4388"/>
    <n v="5170"/>
    <x v="285"/>
    <n v="3291.84"/>
    <s v="Completed"/>
    <s v="North"/>
    <s v="Debit Card"/>
    <m/>
    <m/>
  </r>
  <r>
    <n v="4389"/>
    <n v="2240"/>
    <x v="220"/>
    <n v="3291.84"/>
    <s v="Completed"/>
    <s v="South"/>
    <s v="PayPal"/>
    <m/>
    <m/>
  </r>
  <r>
    <n v="4390"/>
    <n v="6151"/>
    <x v="202"/>
    <n v="3291.84"/>
    <s v="Completed"/>
    <s v="West"/>
    <s v="Apple Pay"/>
    <m/>
    <m/>
  </r>
  <r>
    <n v="4391"/>
    <n v="6378"/>
    <x v="88"/>
    <n v="3291.84"/>
    <s v="Completed"/>
    <s v="Central"/>
    <s v="Debit Card"/>
    <m/>
    <m/>
  </r>
  <r>
    <n v="4392"/>
    <n v="3173"/>
    <x v="185"/>
    <n v="3291.84"/>
    <s v="Completed"/>
    <s v="East"/>
    <s v="Credit Card"/>
    <m/>
    <m/>
  </r>
  <r>
    <n v="4393"/>
    <n v="9493"/>
    <x v="88"/>
    <n v="3291.84"/>
    <s v="Completed"/>
    <s v="West"/>
    <s v="Debit Card"/>
    <m/>
    <m/>
  </r>
  <r>
    <n v="4394"/>
    <n v="4823"/>
    <x v="239"/>
    <n v="3291.84"/>
    <s v="Completed"/>
    <s v="others"/>
    <s v="Credit Card"/>
    <m/>
    <m/>
  </r>
  <r>
    <n v="4395"/>
    <n v="8269"/>
    <x v="347"/>
    <n v="3291.84"/>
    <s v="Completed"/>
    <s v="Central"/>
    <s v="Debit Card"/>
    <m/>
    <m/>
  </r>
  <r>
    <n v="4396"/>
    <n v="1103"/>
    <x v="281"/>
    <n v="3291.84"/>
    <s v="Completed"/>
    <s v="North"/>
    <s v="PayPal"/>
    <m/>
    <m/>
  </r>
  <r>
    <n v="4397"/>
    <n v="6210"/>
    <x v="259"/>
    <n v="3291.84"/>
    <s v="Completed"/>
    <s v="West"/>
    <s v="Apple Pay"/>
    <m/>
    <m/>
  </r>
  <r>
    <n v="4398"/>
    <n v="2633"/>
    <x v="226"/>
    <n v="3291.84"/>
    <s v="Completed"/>
    <s v="Central"/>
    <s v="Credit Card"/>
    <m/>
    <m/>
  </r>
  <r>
    <n v="4399"/>
    <n v="510"/>
    <x v="17"/>
    <n v="3291.84"/>
    <s v="Completed"/>
    <s v="South"/>
    <s v="Apple Pay"/>
    <m/>
    <m/>
  </r>
  <r>
    <n v="4400"/>
    <n v="1539"/>
    <x v="51"/>
    <n v="3291.84"/>
    <s v="Completed"/>
    <s v="Central"/>
    <s v="Debit Card"/>
    <m/>
    <m/>
  </r>
  <r>
    <n v="4401"/>
    <n v="4161"/>
    <x v="268"/>
    <n v="3291.84"/>
    <s v="Completed"/>
    <s v="Central"/>
    <s v="Credit Card"/>
    <m/>
    <m/>
  </r>
  <r>
    <n v="4402"/>
    <n v="2661"/>
    <x v="341"/>
    <n v="3291.84"/>
    <s v="Completed"/>
    <s v="West"/>
    <s v="Credit Card"/>
    <m/>
    <m/>
  </r>
  <r>
    <n v="4403"/>
    <n v="3927"/>
    <x v="30"/>
    <n v="3291.84"/>
    <s v="Completed"/>
    <s v="South"/>
    <s v="Debit Card"/>
    <m/>
    <m/>
  </r>
  <r>
    <n v="4404"/>
    <n v="5936"/>
    <x v="89"/>
    <n v="3291.84"/>
    <s v="Completed"/>
    <s v="South"/>
    <s v="Credit Card"/>
    <m/>
    <m/>
  </r>
  <r>
    <n v="4405"/>
    <n v="2122"/>
    <x v="247"/>
    <n v="3291.84"/>
    <s v="Completed"/>
    <s v="West"/>
    <s v="Debit Card"/>
    <m/>
    <m/>
  </r>
  <r>
    <n v="4406"/>
    <n v="2782"/>
    <x v="84"/>
    <n v="3291.84"/>
    <s v="Completed"/>
    <s v="West"/>
    <s v="PayPal"/>
    <m/>
    <m/>
  </r>
  <r>
    <n v="4407"/>
    <n v="1059"/>
    <x v="202"/>
    <n v="3291.84"/>
    <s v="Completed"/>
    <s v="South"/>
    <s v="Credit Card"/>
    <m/>
    <m/>
  </r>
  <r>
    <n v="4408"/>
    <n v="5442"/>
    <x v="105"/>
    <n v="3291.84"/>
    <s v="Completed"/>
    <s v="North"/>
    <s v="PayPal"/>
    <m/>
    <m/>
  </r>
  <r>
    <n v="4409"/>
    <n v="5832"/>
    <x v="41"/>
    <n v="3291.84"/>
    <s v="Completed"/>
    <s v="West"/>
    <s v="PayPal"/>
    <m/>
    <m/>
  </r>
  <r>
    <n v="4410"/>
    <n v="1321"/>
    <x v="334"/>
    <n v="3291.84"/>
    <s v="Completed"/>
    <s v="North"/>
    <s v="Apple Pay"/>
    <m/>
    <m/>
  </r>
  <r>
    <n v="4411"/>
    <n v="9933"/>
    <x v="61"/>
    <n v="3291.84"/>
    <s v="Completed"/>
    <s v="East"/>
    <s v="PayPal"/>
    <m/>
    <m/>
  </r>
  <r>
    <n v="4412"/>
    <n v="8438"/>
    <x v="10"/>
    <n v="3291.84"/>
    <s v="Completed"/>
    <s v="Central"/>
    <s v="Apple Pay"/>
    <m/>
    <m/>
  </r>
  <r>
    <n v="4413"/>
    <n v="8804"/>
    <x v="275"/>
    <n v="3291.84"/>
    <s v="Completed"/>
    <s v="South"/>
    <s v="Credit Card"/>
    <m/>
    <m/>
  </r>
  <r>
    <n v="4414"/>
    <n v="962"/>
    <x v="21"/>
    <n v="3291.84"/>
    <s v="Completed"/>
    <s v="South"/>
    <s v="Apple Pay"/>
    <m/>
    <m/>
  </r>
  <r>
    <n v="4415"/>
    <n v="5956"/>
    <x v="179"/>
    <n v="3291.84"/>
    <s v="Completed"/>
    <s v="South"/>
    <s v="Apple Pay"/>
    <m/>
    <m/>
  </r>
  <r>
    <n v="4416"/>
    <n v="858"/>
    <x v="203"/>
    <n v="3291.84"/>
    <s v="Completed"/>
    <s v="South"/>
    <s v="PayPal"/>
    <m/>
    <m/>
  </r>
  <r>
    <n v="4417"/>
    <n v="1011"/>
    <x v="127"/>
    <n v="3291.84"/>
    <s v="Completed"/>
    <s v="West"/>
    <s v="Debit Card"/>
    <m/>
    <m/>
  </r>
  <r>
    <n v="4418"/>
    <n v="2278"/>
    <x v="186"/>
    <n v="3291.84"/>
    <s v="Completed"/>
    <s v="West"/>
    <s v="Apple Pay"/>
    <m/>
    <m/>
  </r>
  <r>
    <n v="4419"/>
    <n v="8656"/>
    <x v="136"/>
    <n v="3291.84"/>
    <s v="Completed"/>
    <s v="East"/>
    <s v="PayPal"/>
    <m/>
    <m/>
  </r>
  <r>
    <n v="4420"/>
    <n v="9796"/>
    <x v="108"/>
    <n v="3291.84"/>
    <s v="Completed"/>
    <s v="South"/>
    <s v="Apple Pay"/>
    <m/>
    <m/>
  </r>
  <r>
    <n v="4421"/>
    <n v="7279"/>
    <x v="88"/>
    <n v="3291.84"/>
    <s v="Completed"/>
    <s v="South"/>
    <s v="Credit Card"/>
    <m/>
    <m/>
  </r>
  <r>
    <n v="4422"/>
    <n v="4450"/>
    <x v="45"/>
    <n v="3291.84"/>
    <s v="Completed"/>
    <s v="West"/>
    <s v="Debit Card"/>
    <m/>
    <m/>
  </r>
  <r>
    <n v="4423"/>
    <n v="2934"/>
    <x v="26"/>
    <n v="3291.84"/>
    <s v="Completed"/>
    <s v="West"/>
    <s v="PayPal"/>
    <m/>
    <m/>
  </r>
  <r>
    <n v="4424"/>
    <n v="9885"/>
    <x v="188"/>
    <n v="3291.84"/>
    <s v="Completed"/>
    <s v="South"/>
    <s v="PayPal"/>
    <m/>
    <m/>
  </r>
  <r>
    <n v="4425"/>
    <n v="8878"/>
    <x v="289"/>
    <n v="3291.84"/>
    <s v="Completed"/>
    <s v="South"/>
    <s v="PayPal"/>
    <m/>
    <m/>
  </r>
  <r>
    <n v="4426"/>
    <n v="6843"/>
    <x v="102"/>
    <n v="3291.84"/>
    <s v="Completed"/>
    <s v="Central"/>
    <s v="Credit Card"/>
    <m/>
    <m/>
  </r>
  <r>
    <n v="4427"/>
    <n v="3327"/>
    <x v="348"/>
    <n v="3291.84"/>
    <s v="Completed"/>
    <s v="West"/>
    <s v="Credit Card"/>
    <m/>
    <m/>
  </r>
  <r>
    <n v="4428"/>
    <n v="4291"/>
    <x v="328"/>
    <n v="3291.84"/>
    <s v="Completed"/>
    <s v="East"/>
    <s v="Apple Pay"/>
    <m/>
    <m/>
  </r>
  <r>
    <n v="4429"/>
    <n v="7977"/>
    <x v="45"/>
    <n v="3291.84"/>
    <s v="Completed"/>
    <s v="North"/>
    <s v="Credit Card"/>
    <m/>
    <m/>
  </r>
  <r>
    <n v="4430"/>
    <n v="7686"/>
    <x v="227"/>
    <n v="3291.84"/>
    <s v="Completed"/>
    <s v="South"/>
    <s v="Apple Pay"/>
    <m/>
    <m/>
  </r>
  <r>
    <n v="4431"/>
    <n v="5358"/>
    <x v="86"/>
    <n v="3291.84"/>
    <s v="Completed"/>
    <s v="East"/>
    <s v="Apple Pay"/>
    <m/>
    <m/>
  </r>
  <r>
    <n v="4432"/>
    <n v="4816"/>
    <x v="322"/>
    <n v="3291.84"/>
    <s v="Completed"/>
    <s v="East"/>
    <s v="Credit Card"/>
    <m/>
    <m/>
  </r>
  <r>
    <n v="4433"/>
    <n v="7504"/>
    <x v="331"/>
    <n v="3291.84"/>
    <s v="Completed"/>
    <s v="West"/>
    <s v="Debit Card"/>
    <m/>
    <m/>
  </r>
  <r>
    <n v="4434"/>
    <n v="8327"/>
    <x v="344"/>
    <n v="3291.84"/>
    <s v="Completed"/>
    <s v="North"/>
    <s v="Debit Card"/>
    <m/>
    <m/>
  </r>
  <r>
    <n v="4435"/>
    <n v="5712"/>
    <x v="88"/>
    <n v="3291.84"/>
    <s v="Completed"/>
    <s v="Central"/>
    <s v="Debit Card"/>
    <m/>
    <m/>
  </r>
  <r>
    <n v="4436"/>
    <n v="2288"/>
    <x v="294"/>
    <n v="3291.84"/>
    <s v="Completed"/>
    <s v="North"/>
    <s v="Debit Card"/>
    <m/>
    <m/>
  </r>
  <r>
    <n v="4437"/>
    <n v="326"/>
    <x v="219"/>
    <n v="3291.84"/>
    <s v="Completed"/>
    <s v="East"/>
    <s v="PayPal"/>
    <m/>
    <m/>
  </r>
  <r>
    <n v="4438"/>
    <n v="3899"/>
    <x v="36"/>
    <n v="3291.84"/>
    <s v="Completed"/>
    <s v="West"/>
    <s v="Credit Card"/>
    <m/>
    <m/>
  </r>
  <r>
    <n v="4439"/>
    <n v="4589"/>
    <x v="58"/>
    <n v="3291.84"/>
    <s v="Completed"/>
    <s v="North"/>
    <s v="PayPal"/>
    <m/>
    <m/>
  </r>
  <r>
    <n v="4440"/>
    <n v="6062"/>
    <x v="4"/>
    <n v="3291.84"/>
    <s v="Completed"/>
    <s v="West"/>
    <s v="Apple Pay"/>
    <m/>
    <m/>
  </r>
  <r>
    <n v="4441"/>
    <n v="7348"/>
    <x v="22"/>
    <n v="3291.84"/>
    <s v="Completed"/>
    <s v="Central"/>
    <s v="Apple Pay"/>
    <m/>
    <m/>
  </r>
  <r>
    <n v="4442"/>
    <n v="7336"/>
    <x v="349"/>
    <n v="3291.84"/>
    <s v="Completed"/>
    <s v="East"/>
    <s v="PayPal"/>
    <m/>
    <m/>
  </r>
  <r>
    <n v="4443"/>
    <n v="1776"/>
    <x v="18"/>
    <n v="3291.84"/>
    <s v="Completed"/>
    <s v="North"/>
    <s v="Credit Card"/>
    <m/>
    <m/>
  </r>
  <r>
    <n v="4444"/>
    <n v="2772"/>
    <x v="43"/>
    <n v="3291.84"/>
    <s v="Completed"/>
    <s v="South"/>
    <s v="Credit Card"/>
    <m/>
    <m/>
  </r>
  <r>
    <n v="4445"/>
    <n v="3802"/>
    <x v="276"/>
    <n v="3291.84"/>
    <s v="Completed"/>
    <s v="Central"/>
    <s v="Credit Card"/>
    <m/>
    <m/>
  </r>
  <r>
    <n v="4446"/>
    <n v="7948"/>
    <x v="156"/>
    <n v="3291.84"/>
    <s v="Completed"/>
    <s v="West"/>
    <s v="Apple Pay"/>
    <m/>
    <m/>
  </r>
  <r>
    <n v="4447"/>
    <n v="7511"/>
    <x v="57"/>
    <n v="3291.84"/>
    <s v="Completed"/>
    <s v="South"/>
    <s v="Apple Pay"/>
    <m/>
    <m/>
  </r>
  <r>
    <n v="4448"/>
    <n v="5259"/>
    <x v="190"/>
    <n v="3291.84"/>
    <s v="Completed"/>
    <s v="West"/>
    <s v="Credit Card"/>
    <m/>
    <m/>
  </r>
  <r>
    <n v="4449"/>
    <n v="9933"/>
    <x v="110"/>
    <n v="3291.84"/>
    <s v="Completed"/>
    <s v="East"/>
    <s v="Credit Card"/>
    <m/>
    <m/>
  </r>
  <r>
    <n v="4450"/>
    <n v="9258"/>
    <x v="106"/>
    <n v="3291.84"/>
    <s v="Completed"/>
    <s v="West"/>
    <s v="Apple Pay"/>
    <m/>
    <m/>
  </r>
  <r>
    <n v="4451"/>
    <n v="4466"/>
    <x v="357"/>
    <n v="3291.84"/>
    <s v="Completed"/>
    <s v="Central"/>
    <s v="Credit Card"/>
    <m/>
    <m/>
  </r>
  <r>
    <n v="4452"/>
    <n v="6856"/>
    <x v="242"/>
    <n v="3291.84"/>
    <s v="Completed"/>
    <s v="North"/>
    <s v="Credit Card"/>
    <m/>
    <m/>
  </r>
  <r>
    <n v="4453"/>
    <n v="523"/>
    <x v="348"/>
    <n v="3291.84"/>
    <s v="Completed"/>
    <s v="West"/>
    <s v="Apple Pay"/>
    <m/>
    <m/>
  </r>
  <r>
    <n v="4454"/>
    <n v="9946"/>
    <x v="84"/>
    <n v="3291.84"/>
    <s v="Completed"/>
    <s v="South"/>
    <s v="PayPal"/>
    <m/>
    <m/>
  </r>
  <r>
    <n v="4455"/>
    <n v="1079"/>
    <x v="305"/>
    <n v="3291.84"/>
    <s v="Completed"/>
    <s v="South"/>
    <s v="Debit Card"/>
    <m/>
    <m/>
  </r>
  <r>
    <n v="4456"/>
    <n v="1433"/>
    <x v="285"/>
    <n v="3291.84"/>
    <s v="Completed"/>
    <s v="East"/>
    <s v="Debit Card"/>
    <m/>
    <m/>
  </r>
  <r>
    <n v="4457"/>
    <n v="8207"/>
    <x v="111"/>
    <n v="3291.84"/>
    <s v="Completed"/>
    <s v="West"/>
    <s v="Credit Card"/>
    <m/>
    <m/>
  </r>
  <r>
    <n v="4458"/>
    <n v="6341"/>
    <x v="96"/>
    <n v="3291.84"/>
    <s v="Completed"/>
    <s v="North"/>
    <s v="PayPal"/>
    <m/>
    <m/>
  </r>
  <r>
    <n v="4459"/>
    <n v="3193"/>
    <x v="136"/>
    <n v="3291.84"/>
    <s v="Completed"/>
    <s v="North"/>
    <s v="Apple Pay"/>
    <m/>
    <m/>
  </r>
  <r>
    <n v="4460"/>
    <n v="5220"/>
    <x v="158"/>
    <n v="3291.84"/>
    <s v="Completed"/>
    <s v="West"/>
    <s v="Credit Card"/>
    <m/>
    <m/>
  </r>
  <r>
    <n v="4461"/>
    <n v="1515"/>
    <x v="89"/>
    <n v="3291.84"/>
    <s v="Completed"/>
    <s v="North"/>
    <s v="Debit Card"/>
    <m/>
    <m/>
  </r>
  <r>
    <n v="4462"/>
    <n v="2038"/>
    <x v="154"/>
    <n v="3291.84"/>
    <s v="Completed"/>
    <s v="South"/>
    <s v="Debit Card"/>
    <m/>
    <m/>
  </r>
  <r>
    <n v="4463"/>
    <n v="2049"/>
    <x v="361"/>
    <n v="3291.84"/>
    <s v="Completed"/>
    <s v="South"/>
    <s v="Credit Card"/>
    <m/>
    <m/>
  </r>
  <r>
    <n v="4464"/>
    <n v="9392"/>
    <x v="55"/>
    <n v="3291.84"/>
    <s v="Completed"/>
    <s v="Central"/>
    <s v="Apple Pay"/>
    <m/>
    <m/>
  </r>
  <r>
    <n v="4465"/>
    <n v="9558"/>
    <x v="208"/>
    <n v="3291.84"/>
    <s v="Completed"/>
    <s v="West"/>
    <s v="Apple Pay"/>
    <m/>
    <m/>
  </r>
  <r>
    <n v="4466"/>
    <n v="5174"/>
    <x v="161"/>
    <n v="3291.84"/>
    <s v="Completed"/>
    <s v="East"/>
    <s v="Debit Card"/>
    <m/>
    <m/>
  </r>
  <r>
    <n v="4467"/>
    <n v="6755"/>
    <x v="84"/>
    <n v="3291.84"/>
    <s v="Completed"/>
    <s v="East"/>
    <s v="PayPal"/>
    <m/>
    <m/>
  </r>
  <r>
    <n v="4468"/>
    <n v="6345"/>
    <x v="82"/>
    <n v="3291.84"/>
    <s v="Completed"/>
    <s v="South"/>
    <s v="Credit Card"/>
    <m/>
    <m/>
  </r>
  <r>
    <n v="4469"/>
    <n v="2431"/>
    <x v="37"/>
    <n v="3291.84"/>
    <s v="Completed"/>
    <s v="North"/>
    <s v="Debit Card"/>
    <m/>
    <m/>
  </r>
  <r>
    <n v="4470"/>
    <n v="3056"/>
    <x v="186"/>
    <n v="3291.84"/>
    <s v="Completed"/>
    <s v="East"/>
    <s v="Credit Card"/>
    <m/>
    <m/>
  </r>
  <r>
    <n v="4471"/>
    <n v="1636"/>
    <x v="277"/>
    <n v="3291.84"/>
    <s v="Completed"/>
    <s v="North"/>
    <s v="Debit Card"/>
    <m/>
    <m/>
  </r>
  <r>
    <n v="4472"/>
    <n v="9073"/>
    <x v="184"/>
    <n v="3291.84"/>
    <s v="Completed"/>
    <s v="North"/>
    <s v="Credit Card"/>
    <m/>
    <m/>
  </r>
  <r>
    <n v="4473"/>
    <n v="5649"/>
    <x v="114"/>
    <n v="3291.84"/>
    <s v="Completed"/>
    <s v="North"/>
    <s v="PayPal"/>
    <m/>
    <m/>
  </r>
  <r>
    <n v="4474"/>
    <n v="4326"/>
    <x v="357"/>
    <n v="3291.84"/>
    <s v="Completed"/>
    <s v="West"/>
    <s v="Debit Card"/>
    <m/>
    <m/>
  </r>
  <r>
    <n v="4475"/>
    <n v="1289"/>
    <x v="248"/>
    <n v="3291.84"/>
    <s v="Completed"/>
    <s v="West"/>
    <s v="PayPal"/>
    <m/>
    <m/>
  </r>
  <r>
    <n v="4476"/>
    <n v="6726"/>
    <x v="57"/>
    <n v="3291.84"/>
    <s v="Completed"/>
    <s v="East"/>
    <s v="PayPal"/>
    <m/>
    <m/>
  </r>
  <r>
    <n v="4477"/>
    <n v="2720"/>
    <x v="272"/>
    <n v="3291.84"/>
    <s v="Cancelled"/>
    <s v="West"/>
    <s v="Debit Card"/>
    <m/>
    <m/>
  </r>
  <r>
    <n v="4478"/>
    <n v="8361"/>
    <x v="286"/>
    <n v="3291.84"/>
    <s v="Completed"/>
    <s v="Central"/>
    <s v="Credit Card"/>
    <m/>
    <m/>
  </r>
  <r>
    <n v="4479"/>
    <n v="6866"/>
    <x v="18"/>
    <n v="3291.84"/>
    <s v="Completed"/>
    <s v="West"/>
    <s v="Credit Card"/>
    <m/>
    <m/>
  </r>
  <r>
    <n v="4480"/>
    <n v="2255"/>
    <x v="35"/>
    <n v="3291.84"/>
    <s v="Completed"/>
    <s v="South"/>
    <s v="Debit Card"/>
    <m/>
    <m/>
  </r>
  <r>
    <n v="4481"/>
    <n v="7097"/>
    <x v="100"/>
    <n v="3291.84"/>
    <s v="Completed"/>
    <s v="South"/>
    <s v="PayPal"/>
    <m/>
    <m/>
  </r>
  <r>
    <n v="4482"/>
    <n v="2403"/>
    <x v="48"/>
    <n v="3291.84"/>
    <s v="Completed"/>
    <s v="East"/>
    <s v="Debit Card"/>
    <m/>
    <m/>
  </r>
  <r>
    <n v="4483"/>
    <n v="7409"/>
    <x v="107"/>
    <n v="3291.84"/>
    <s v="Completed"/>
    <s v="West"/>
    <s v="Apple Pay"/>
    <m/>
    <m/>
  </r>
  <r>
    <n v="4484"/>
    <n v="4164"/>
    <x v="77"/>
    <n v="3291.84"/>
    <s v="Completed"/>
    <s v="Central"/>
    <s v="Debit Card"/>
    <m/>
    <m/>
  </r>
  <r>
    <n v="4485"/>
    <n v="4745"/>
    <x v="219"/>
    <n v="3291.84"/>
    <s v="Completed"/>
    <s v="Central"/>
    <s v="Apple Pay"/>
    <m/>
    <m/>
  </r>
  <r>
    <n v="4486"/>
    <n v="2699"/>
    <x v="29"/>
    <n v="3291.84"/>
    <s v="Completed"/>
    <s v="North"/>
    <s v="Apple Pay"/>
    <m/>
    <m/>
  </r>
  <r>
    <n v="4487"/>
    <n v="7439"/>
    <x v="63"/>
    <n v="3291.84"/>
    <s v="Completed"/>
    <s v="East"/>
    <s v="Apple Pay"/>
    <m/>
    <m/>
  </r>
  <r>
    <n v="4488"/>
    <n v="8084"/>
    <x v="270"/>
    <n v="3291.84"/>
    <s v="Completed"/>
    <s v="South"/>
    <s v="Apple Pay"/>
    <m/>
    <m/>
  </r>
  <r>
    <n v="4489"/>
    <n v="4837"/>
    <x v="229"/>
    <n v="3291.84"/>
    <s v="Completed"/>
    <s v="West"/>
    <s v="PayPal"/>
    <m/>
    <m/>
  </r>
  <r>
    <n v="4490"/>
    <n v="7095"/>
    <x v="127"/>
    <n v="3291.84"/>
    <s v="Completed"/>
    <s v="East"/>
    <s v="Apple Pay"/>
    <m/>
    <m/>
  </r>
  <r>
    <n v="4491"/>
    <n v="2666"/>
    <x v="162"/>
    <n v="3291.84"/>
    <s v="Completed"/>
    <s v="South"/>
    <s v="PayPal"/>
    <m/>
    <m/>
  </r>
  <r>
    <n v="4492"/>
    <n v="9665"/>
    <x v="303"/>
    <n v="3291.84"/>
    <s v="Completed"/>
    <s v="South"/>
    <s v="Debit Card"/>
    <m/>
    <m/>
  </r>
  <r>
    <n v="4493"/>
    <n v="2626"/>
    <x v="77"/>
    <n v="3291.84"/>
    <s v="Completed"/>
    <s v="West"/>
    <s v="Apple Pay"/>
    <m/>
    <m/>
  </r>
  <r>
    <n v="4494"/>
    <n v="7517"/>
    <x v="120"/>
    <n v="3291.84"/>
    <s v="Completed"/>
    <s v="North"/>
    <s v="Debit Card"/>
    <m/>
    <m/>
  </r>
  <r>
    <n v="4495"/>
    <n v="5692"/>
    <x v="257"/>
    <n v="3291.84"/>
    <s v="Completed"/>
    <s v="Central"/>
    <s v="PayPal"/>
    <m/>
    <m/>
  </r>
  <r>
    <n v="4496"/>
    <n v="9520"/>
    <x v="178"/>
    <n v="3291.84"/>
    <s v="Completed"/>
    <s v="South"/>
    <s v="Apple Pay"/>
    <m/>
    <m/>
  </r>
  <r>
    <n v="4497"/>
    <n v="9586"/>
    <x v="159"/>
    <n v="3291.84"/>
    <s v="Completed"/>
    <s v="East"/>
    <s v="Credit Card"/>
    <m/>
    <m/>
  </r>
  <r>
    <n v="4498"/>
    <n v="9317"/>
    <x v="99"/>
    <n v="3291.84"/>
    <s v="Completed"/>
    <s v="Central"/>
    <s v="Apple Pay"/>
    <m/>
    <m/>
  </r>
  <r>
    <n v="4499"/>
    <n v="6722"/>
    <x v="290"/>
    <n v="3291.84"/>
    <s v="Completed"/>
    <s v="South"/>
    <s v="Credit Card"/>
    <m/>
    <m/>
  </r>
  <r>
    <n v="4500"/>
    <n v="8109"/>
    <x v="6"/>
    <n v="3291.84"/>
    <s v="Completed"/>
    <s v="South"/>
    <s v="Apple Pay"/>
    <m/>
    <m/>
  </r>
  <r>
    <n v="4501"/>
    <n v="6907"/>
    <x v="207"/>
    <n v="3291.84"/>
    <s v="Completed"/>
    <s v="North"/>
    <s v="Apple Pay"/>
    <m/>
    <m/>
  </r>
  <r>
    <n v="4502"/>
    <n v="2194"/>
    <x v="187"/>
    <n v="3291.84"/>
    <s v="Completed"/>
    <s v="West"/>
    <s v="Credit Card"/>
    <m/>
    <m/>
  </r>
  <r>
    <n v="4503"/>
    <n v="5499"/>
    <x v="265"/>
    <n v="3291.84"/>
    <s v="Cancelled"/>
    <s v="East"/>
    <s v="PayPal"/>
    <m/>
    <m/>
  </r>
  <r>
    <n v="4504"/>
    <n v="2608"/>
    <x v="318"/>
    <n v="3291.84"/>
    <s v="Completed"/>
    <s v="Central"/>
    <s v="Debit Card"/>
    <m/>
    <m/>
  </r>
  <r>
    <n v="4505"/>
    <n v="2908"/>
    <x v="226"/>
    <n v="3291.84"/>
    <s v="Completed"/>
    <s v="South"/>
    <s v="PayPal"/>
    <m/>
    <m/>
  </r>
  <r>
    <n v="4506"/>
    <n v="8999"/>
    <x v="224"/>
    <n v="3291.84"/>
    <s v="Completed"/>
    <s v="South"/>
    <s v="Credit Card"/>
    <m/>
    <m/>
  </r>
  <r>
    <n v="4507"/>
    <n v="9732"/>
    <x v="176"/>
    <n v="3291.84"/>
    <s v="Completed"/>
    <s v="East"/>
    <s v="Apple Pay"/>
    <m/>
    <m/>
  </r>
  <r>
    <n v="4508"/>
    <n v="2209"/>
    <x v="53"/>
    <n v="3291.84"/>
    <s v="Completed"/>
    <s v="North"/>
    <s v="Credit Card"/>
    <m/>
    <m/>
  </r>
  <r>
    <n v="4509"/>
    <n v="8308"/>
    <x v="363"/>
    <n v="3291.84"/>
    <s v="Completed"/>
    <s v="South"/>
    <s v="Debit Card"/>
    <m/>
    <m/>
  </r>
  <r>
    <n v="4510"/>
    <n v="8980"/>
    <x v="327"/>
    <n v="3291.84"/>
    <s v="Completed"/>
    <s v="East"/>
    <s v="Apple Pay"/>
    <m/>
    <m/>
  </r>
  <r>
    <n v="4511"/>
    <n v="9597"/>
    <x v="14"/>
    <n v="3291.84"/>
    <s v="Completed"/>
    <s v="East"/>
    <s v="Credit Card"/>
    <m/>
    <m/>
  </r>
  <r>
    <n v="4512"/>
    <n v="8081"/>
    <x v="31"/>
    <n v="3291.84"/>
    <s v="Completed"/>
    <s v="East"/>
    <s v="Apple Pay"/>
    <m/>
    <m/>
  </r>
  <r>
    <n v="4513"/>
    <n v="5518"/>
    <x v="323"/>
    <n v="3291.84"/>
    <s v="Completed"/>
    <s v="Central"/>
    <s v="PayPal"/>
    <m/>
    <m/>
  </r>
  <r>
    <n v="4514"/>
    <n v="1079"/>
    <x v="345"/>
    <n v="3291.84"/>
    <s v="Completed"/>
    <s v="South"/>
    <s v="Apple Pay"/>
    <m/>
    <m/>
  </r>
  <r>
    <n v="4515"/>
    <n v="1262"/>
    <x v="206"/>
    <n v="3291.84"/>
    <s v="Completed"/>
    <s v="Central"/>
    <s v="Apple Pay"/>
    <m/>
    <m/>
  </r>
  <r>
    <n v="4516"/>
    <n v="4370"/>
    <x v="256"/>
    <n v="3291.84"/>
    <s v="Completed"/>
    <s v="North"/>
    <s v="Credit Card"/>
    <m/>
    <m/>
  </r>
  <r>
    <n v="4517"/>
    <n v="1709"/>
    <x v="219"/>
    <n v="3291.84"/>
    <s v="Cancelled"/>
    <s v="West"/>
    <s v="Apple Pay"/>
    <m/>
    <m/>
  </r>
  <r>
    <n v="4518"/>
    <n v="3400"/>
    <x v="268"/>
    <n v="3291.84"/>
    <s v="Completed"/>
    <s v="North"/>
    <s v="PayPal"/>
    <m/>
    <m/>
  </r>
  <r>
    <n v="4519"/>
    <n v="9197"/>
    <x v="58"/>
    <n v="3291.84"/>
    <s v="Completed"/>
    <s v="East"/>
    <s v="Debit Card"/>
    <m/>
    <m/>
  </r>
  <r>
    <n v="4520"/>
    <n v="8684"/>
    <x v="1"/>
    <n v="3291.84"/>
    <s v="Completed"/>
    <s v="West"/>
    <s v="Debit Card"/>
    <m/>
    <m/>
  </r>
  <r>
    <n v="4521"/>
    <n v="1685"/>
    <x v="158"/>
    <n v="3291.84"/>
    <s v="Completed"/>
    <s v="East"/>
    <s v="Credit Card"/>
    <m/>
    <m/>
  </r>
  <r>
    <n v="4522"/>
    <n v="7520"/>
    <x v="322"/>
    <n v="3291.84"/>
    <s v="Completed"/>
    <s v="East"/>
    <s v="PayPal"/>
    <m/>
    <m/>
  </r>
  <r>
    <n v="4523"/>
    <n v="2456"/>
    <x v="356"/>
    <n v="3291.84"/>
    <s v="Completed"/>
    <s v="West"/>
    <s v="Debit Card"/>
    <m/>
    <m/>
  </r>
  <r>
    <n v="4524"/>
    <n v="668"/>
    <x v="271"/>
    <n v="3291.84"/>
    <s v="Completed"/>
    <s v="South"/>
    <s v="PayPal"/>
    <m/>
    <m/>
  </r>
  <r>
    <n v="4525"/>
    <n v="6051"/>
    <x v="22"/>
    <n v="3291.84"/>
    <s v="Completed"/>
    <s v="West"/>
    <s v="Apple Pay"/>
    <m/>
    <m/>
  </r>
  <r>
    <n v="4526"/>
    <n v="4074"/>
    <x v="173"/>
    <n v="3291.84"/>
    <s v="Returned"/>
    <s v="West"/>
    <s v="Debit Card"/>
    <m/>
    <m/>
  </r>
  <r>
    <n v="4527"/>
    <n v="1901"/>
    <x v="286"/>
    <n v="3291.84"/>
    <s v="Completed"/>
    <s v="South"/>
    <s v="Credit Card"/>
    <m/>
    <m/>
  </r>
  <r>
    <n v="4528"/>
    <n v="2314"/>
    <x v="321"/>
    <n v="3291.84"/>
    <s v="Completed"/>
    <s v="West"/>
    <s v="PayPal"/>
    <m/>
    <m/>
  </r>
  <r>
    <n v="4529"/>
    <n v="5399"/>
    <x v="3"/>
    <n v="3291.84"/>
    <s v="Completed"/>
    <s v="others"/>
    <s v="PayPal"/>
    <m/>
    <m/>
  </r>
  <r>
    <n v="4530"/>
    <n v="8515"/>
    <x v="147"/>
    <n v="3291.84"/>
    <s v="Completed"/>
    <s v="West"/>
    <s v="Debit Card"/>
    <m/>
    <m/>
  </r>
  <r>
    <n v="4531"/>
    <n v="6185"/>
    <x v="145"/>
    <n v="3291.84"/>
    <s v="Completed"/>
    <s v="Central"/>
    <s v="Credit Card"/>
    <m/>
    <m/>
  </r>
  <r>
    <n v="4532"/>
    <n v="6270"/>
    <x v="7"/>
    <n v="3291.84"/>
    <s v="Completed"/>
    <s v="North"/>
    <s v="PayPal"/>
    <m/>
    <m/>
  </r>
  <r>
    <n v="4533"/>
    <n v="9751"/>
    <x v="75"/>
    <n v="3291.84"/>
    <s v="Completed"/>
    <s v="Central"/>
    <s v="Debit Card"/>
    <m/>
    <m/>
  </r>
  <r>
    <n v="4534"/>
    <n v="6277"/>
    <x v="162"/>
    <n v="3291.84"/>
    <s v="Completed"/>
    <s v="West"/>
    <s v="Debit Card"/>
    <m/>
    <m/>
  </r>
  <r>
    <n v="4535"/>
    <n v="8667"/>
    <x v="250"/>
    <n v="3291.84"/>
    <s v="Completed"/>
    <s v="Central"/>
    <s v="Credit Card"/>
    <m/>
    <m/>
  </r>
  <r>
    <n v="4536"/>
    <n v="5054"/>
    <x v="302"/>
    <n v="3291.84"/>
    <s v="Completed"/>
    <s v="East"/>
    <s v="Apple Pay"/>
    <m/>
    <m/>
  </r>
  <r>
    <n v="4537"/>
    <n v="3553"/>
    <x v="311"/>
    <n v="3291.84"/>
    <s v="Completed"/>
    <s v="East"/>
    <s v="Apple Pay"/>
    <m/>
    <m/>
  </r>
  <r>
    <n v="4538"/>
    <n v="9164"/>
    <x v="176"/>
    <n v="3291.84"/>
    <s v="Completed"/>
    <s v="South"/>
    <s v="PayPal"/>
    <m/>
    <m/>
  </r>
  <r>
    <n v="4539"/>
    <n v="2884"/>
    <x v="54"/>
    <n v="3291.84"/>
    <s v="Completed"/>
    <s v="South"/>
    <s v="Credit Card"/>
    <m/>
    <m/>
  </r>
  <r>
    <n v="4540"/>
    <n v="3712"/>
    <x v="346"/>
    <n v="3291.84"/>
    <s v="Completed"/>
    <s v="North"/>
    <s v="Debit Card"/>
    <m/>
    <m/>
  </r>
  <r>
    <n v="4541"/>
    <n v="5166"/>
    <x v="174"/>
    <n v="3291.84"/>
    <s v="Completed"/>
    <s v="North"/>
    <s v="Debit Card"/>
    <m/>
    <m/>
  </r>
  <r>
    <n v="4542"/>
    <n v="4482"/>
    <x v="293"/>
    <n v="3291.84"/>
    <s v="Completed"/>
    <s v="East"/>
    <s v="Credit Card"/>
    <m/>
    <m/>
  </r>
  <r>
    <n v="4543"/>
    <n v="4690"/>
    <x v="364"/>
    <n v="3291.84"/>
    <s v="Completed"/>
    <s v="West"/>
    <s v="Apple Pay"/>
    <m/>
    <m/>
  </r>
  <r>
    <n v="4544"/>
    <n v="7349"/>
    <x v="2"/>
    <n v="3291.84"/>
    <s v="Cancelled"/>
    <s v="West"/>
    <s v="Debit Card"/>
    <m/>
    <m/>
  </r>
  <r>
    <n v="4545"/>
    <n v="3862"/>
    <x v="220"/>
    <n v="3291.84"/>
    <s v="Completed"/>
    <s v="Central"/>
    <s v="PayPal"/>
    <m/>
    <m/>
  </r>
  <r>
    <n v="4546"/>
    <n v="5368"/>
    <x v="246"/>
    <n v="3291.84"/>
    <s v="Completed"/>
    <s v="South"/>
    <s v="Credit Card"/>
    <m/>
    <m/>
  </r>
  <r>
    <n v="4547"/>
    <n v="1845"/>
    <x v="236"/>
    <n v="3291.84"/>
    <s v="Completed"/>
    <s v="Central"/>
    <s v="PayPal"/>
    <m/>
    <m/>
  </r>
  <r>
    <n v="4548"/>
    <n v="8315"/>
    <x v="200"/>
    <n v="3291.84"/>
    <s v="Completed"/>
    <s v="North"/>
    <s v="Debit Card"/>
    <m/>
    <m/>
  </r>
  <r>
    <n v="4549"/>
    <n v="1028"/>
    <x v="228"/>
    <n v="3291.84"/>
    <s v="Completed"/>
    <s v="Central"/>
    <s v="Apple Pay"/>
    <m/>
    <m/>
  </r>
  <r>
    <n v="4550"/>
    <n v="2957"/>
    <x v="64"/>
    <n v="3291.84"/>
    <s v="Completed"/>
    <s v="Central"/>
    <s v="Apple Pay"/>
    <m/>
    <m/>
  </r>
  <r>
    <n v="4551"/>
    <n v="2134"/>
    <x v="74"/>
    <n v="3291.84"/>
    <s v="Completed"/>
    <s v="West"/>
    <s v="PayPal"/>
    <m/>
    <m/>
  </r>
  <r>
    <n v="4552"/>
    <n v="129"/>
    <x v="159"/>
    <n v="3291.84"/>
    <s v="Completed"/>
    <s v="South"/>
    <s v="Debit Card"/>
    <m/>
    <m/>
  </r>
  <r>
    <n v="4553"/>
    <n v="5389"/>
    <x v="19"/>
    <n v="3291.84"/>
    <s v="Completed"/>
    <s v="West"/>
    <s v="Debit Card"/>
    <m/>
    <m/>
  </r>
  <r>
    <n v="4554"/>
    <n v="9163"/>
    <x v="88"/>
    <n v="3291.84"/>
    <s v="Completed"/>
    <s v="North"/>
    <s v="Debit Card"/>
    <m/>
    <m/>
  </r>
  <r>
    <n v="4555"/>
    <n v="6172"/>
    <x v="15"/>
    <n v="3291.84"/>
    <s v="Completed"/>
    <s v="North"/>
    <s v="PayPal"/>
    <m/>
    <m/>
  </r>
  <r>
    <n v="4556"/>
    <n v="4493"/>
    <x v="104"/>
    <n v="3291.84"/>
    <s v="Completed"/>
    <s v="others"/>
    <s v="Apple Pay"/>
    <m/>
    <m/>
  </r>
  <r>
    <n v="4557"/>
    <n v="1765"/>
    <x v="149"/>
    <n v="3291.84"/>
    <s v="Completed"/>
    <s v="South"/>
    <s v="Credit Card"/>
    <m/>
    <m/>
  </r>
  <r>
    <n v="4558"/>
    <n v="6195"/>
    <x v="171"/>
    <n v="3291.84"/>
    <s v="Completed"/>
    <s v="East"/>
    <s v="Credit Card"/>
    <m/>
    <m/>
  </r>
  <r>
    <n v="4559"/>
    <n v="5314"/>
    <x v="45"/>
    <n v="3291.84"/>
    <s v="Completed"/>
    <s v="South"/>
    <s v="Debit Card"/>
    <m/>
    <m/>
  </r>
  <r>
    <n v="4560"/>
    <n v="1934"/>
    <x v="347"/>
    <n v="3291.84"/>
    <s v="Completed"/>
    <s v="East"/>
    <s v="Debit Card"/>
    <m/>
    <m/>
  </r>
  <r>
    <n v="4561"/>
    <n v="4625"/>
    <x v="172"/>
    <n v="3291.84"/>
    <s v="Completed"/>
    <s v="North"/>
    <s v="Credit Card"/>
    <m/>
    <m/>
  </r>
  <r>
    <n v="4562"/>
    <n v="2673"/>
    <x v="122"/>
    <n v="3291.84"/>
    <s v="Completed"/>
    <s v="South"/>
    <s v="Debit Card"/>
    <m/>
    <m/>
  </r>
  <r>
    <n v="4563"/>
    <n v="8516"/>
    <x v="99"/>
    <n v="3291.84"/>
    <s v="Completed"/>
    <s v="South"/>
    <s v="Credit Card"/>
    <m/>
    <m/>
  </r>
  <r>
    <n v="4564"/>
    <n v="4440"/>
    <x v="59"/>
    <n v="3291.84"/>
    <s v="Completed"/>
    <s v="North"/>
    <s v="PayPal"/>
    <m/>
    <m/>
  </r>
  <r>
    <n v="4565"/>
    <n v="6185"/>
    <x v="48"/>
    <n v="3291.84"/>
    <s v="Completed"/>
    <s v="Central"/>
    <s v="Apple Pay"/>
    <m/>
    <m/>
  </r>
  <r>
    <n v="4566"/>
    <n v="9300"/>
    <x v="247"/>
    <n v="3291.84"/>
    <s v="Completed"/>
    <s v="East"/>
    <s v="PayPal"/>
    <m/>
    <m/>
  </r>
  <r>
    <n v="4567"/>
    <n v="4445"/>
    <x v="132"/>
    <n v="3291.84"/>
    <s v="Completed"/>
    <s v="North"/>
    <s v="PayPal"/>
    <m/>
    <m/>
  </r>
  <r>
    <n v="4568"/>
    <n v="5608"/>
    <x v="211"/>
    <n v="3291.84"/>
    <s v="Completed"/>
    <s v="East"/>
    <s v="Apple Pay"/>
    <m/>
    <m/>
  </r>
  <r>
    <n v="4569"/>
    <n v="2698"/>
    <x v="44"/>
    <n v="3291.84"/>
    <s v="Completed"/>
    <s v="South"/>
    <s v="Credit Card"/>
    <m/>
    <m/>
  </r>
  <r>
    <n v="4570"/>
    <n v="7461"/>
    <x v="131"/>
    <n v="3291.84"/>
    <s v="Completed"/>
    <s v="South"/>
    <s v="PayPal"/>
    <m/>
    <m/>
  </r>
  <r>
    <n v="4571"/>
    <n v="9968"/>
    <x v="139"/>
    <n v="3291.84"/>
    <s v="Completed"/>
    <s v="West"/>
    <s v="Apple Pay"/>
    <m/>
    <m/>
  </r>
  <r>
    <n v="4572"/>
    <n v="2223"/>
    <x v="193"/>
    <n v="3291.84"/>
    <s v="Completed"/>
    <s v="East"/>
    <s v="Apple Pay"/>
    <m/>
    <m/>
  </r>
  <r>
    <n v="4573"/>
    <n v="6834"/>
    <x v="263"/>
    <n v="3291.84"/>
    <s v="Completed"/>
    <s v="Central"/>
    <s v="Apple Pay"/>
    <m/>
    <m/>
  </r>
  <r>
    <n v="4574"/>
    <n v="783"/>
    <x v="188"/>
    <n v="3291.84"/>
    <s v="Completed"/>
    <s v="West"/>
    <s v="PayPal"/>
    <m/>
    <m/>
  </r>
  <r>
    <n v="4575"/>
    <n v="4211"/>
    <x v="80"/>
    <n v="3291.84"/>
    <s v="Completed"/>
    <s v="North"/>
    <s v="Apple Pay"/>
    <m/>
    <m/>
  </r>
  <r>
    <n v="4576"/>
    <n v="3170"/>
    <x v="261"/>
    <n v="3291.84"/>
    <s v="Completed"/>
    <s v="North"/>
    <s v="PayPal"/>
    <m/>
    <m/>
  </r>
  <r>
    <n v="4577"/>
    <n v="7424"/>
    <x v="312"/>
    <n v="3291.84"/>
    <s v="Completed"/>
    <s v="East"/>
    <s v="PayPal"/>
    <m/>
    <m/>
  </r>
  <r>
    <n v="4578"/>
    <n v="7356"/>
    <x v="162"/>
    <n v="3291.84"/>
    <s v="Completed"/>
    <s v="Central"/>
    <s v="Apple Pay"/>
    <m/>
    <m/>
  </r>
  <r>
    <n v="4579"/>
    <n v="2519"/>
    <x v="4"/>
    <n v="3291.84"/>
    <s v="Completed"/>
    <s v="South"/>
    <s v="PayPal"/>
    <m/>
    <m/>
  </r>
  <r>
    <n v="4580"/>
    <n v="6448"/>
    <x v="277"/>
    <n v="3291.84"/>
    <s v="Completed"/>
    <s v="West"/>
    <s v="Debit Card"/>
    <m/>
    <m/>
  </r>
  <r>
    <n v="4581"/>
    <n v="7408"/>
    <x v="197"/>
    <n v="3291.84"/>
    <s v="Completed"/>
    <s v="Central"/>
    <s v="Credit Card"/>
    <m/>
    <m/>
  </r>
  <r>
    <n v="4582"/>
    <n v="2702"/>
    <x v="305"/>
    <n v="3291.84"/>
    <s v="Completed"/>
    <s v="North"/>
    <s v="PayPal"/>
    <m/>
    <m/>
  </r>
  <r>
    <n v="4583"/>
    <n v="426"/>
    <x v="120"/>
    <n v="3291.84"/>
    <s v="Completed"/>
    <s v="West"/>
    <s v="Apple Pay"/>
    <m/>
    <m/>
  </r>
  <r>
    <n v="4584"/>
    <n v="3567"/>
    <x v="89"/>
    <n v="3291.84"/>
    <s v="Completed"/>
    <s v="North"/>
    <s v="Apple Pay"/>
    <m/>
    <m/>
  </r>
  <r>
    <n v="4585"/>
    <n v="6316"/>
    <x v="255"/>
    <n v="3291.84"/>
    <s v="Completed"/>
    <s v="West"/>
    <s v="Apple Pay"/>
    <m/>
    <m/>
  </r>
  <r>
    <n v="4586"/>
    <n v="8703"/>
    <x v="117"/>
    <n v="3291.84"/>
    <s v="Completed"/>
    <s v="West"/>
    <s v="Credit Card"/>
    <m/>
    <m/>
  </r>
  <r>
    <n v="4587"/>
    <n v="1784"/>
    <x v="338"/>
    <n v="3291.84"/>
    <s v="Completed"/>
    <s v="West"/>
    <s v="Credit Card"/>
    <m/>
    <m/>
  </r>
  <r>
    <n v="4588"/>
    <n v="6172"/>
    <x v="225"/>
    <n v="3291.84"/>
    <s v="Completed"/>
    <s v="North"/>
    <s v="Credit Card"/>
    <m/>
    <m/>
  </r>
  <r>
    <n v="4589"/>
    <n v="6080"/>
    <x v="61"/>
    <n v="3291.84"/>
    <s v="Completed"/>
    <s v="West"/>
    <s v="Credit Card"/>
    <m/>
    <m/>
  </r>
  <r>
    <n v="4590"/>
    <n v="9028"/>
    <x v="268"/>
    <n v="3291.84"/>
    <s v="Completed"/>
    <s v="Central"/>
    <s v="PayPal"/>
    <m/>
    <m/>
  </r>
  <r>
    <n v="4591"/>
    <n v="6815"/>
    <x v="177"/>
    <n v="3291.84"/>
    <s v="Completed"/>
    <s v="Central"/>
    <s v="Apple Pay"/>
    <m/>
    <m/>
  </r>
  <r>
    <n v="4592"/>
    <n v="2772"/>
    <x v="83"/>
    <n v="3291.84"/>
    <s v="Completed"/>
    <s v="South"/>
    <s v="Credit Card"/>
    <m/>
    <m/>
  </r>
  <r>
    <n v="4593"/>
    <n v="159"/>
    <x v="62"/>
    <n v="3291.84"/>
    <s v="Completed"/>
    <s v="Central"/>
    <s v="PayPal"/>
    <m/>
    <m/>
  </r>
  <r>
    <n v="4594"/>
    <n v="5644"/>
    <x v="191"/>
    <n v="3291.84"/>
    <s v="Completed"/>
    <s v="South"/>
    <s v="Debit Card"/>
    <m/>
    <m/>
  </r>
  <r>
    <n v="4595"/>
    <n v="1365"/>
    <x v="91"/>
    <n v="3291.84"/>
    <s v="Completed"/>
    <s v="East"/>
    <s v="Apple Pay"/>
    <m/>
    <m/>
  </r>
  <r>
    <n v="4596"/>
    <n v="6632"/>
    <x v="276"/>
    <n v="3291.84"/>
    <s v="Completed"/>
    <s v="East"/>
    <s v="Debit Card"/>
    <m/>
    <m/>
  </r>
  <r>
    <n v="4597"/>
    <n v="9954"/>
    <x v="103"/>
    <n v="3291.84"/>
    <s v="Completed"/>
    <s v="West"/>
    <s v="PayPal"/>
    <m/>
    <m/>
  </r>
  <r>
    <n v="4598"/>
    <n v="8630"/>
    <x v="197"/>
    <n v="3291.84"/>
    <s v="Completed"/>
    <s v="South"/>
    <s v="Apple Pay"/>
    <m/>
    <m/>
  </r>
  <r>
    <n v="4599"/>
    <n v="9052"/>
    <x v="223"/>
    <n v="3291.84"/>
    <s v="Completed"/>
    <s v="South"/>
    <s v="Credit Card"/>
    <m/>
    <m/>
  </r>
  <r>
    <n v="4600"/>
    <n v="8644"/>
    <x v="227"/>
    <n v="3291.84"/>
    <s v="Completed"/>
    <s v="East"/>
    <s v="Apple Pay"/>
    <m/>
    <m/>
  </r>
  <r>
    <n v="4601"/>
    <n v="9793"/>
    <x v="287"/>
    <n v="3291.84"/>
    <s v="Completed"/>
    <s v="South"/>
    <s v="Debit Card"/>
    <m/>
    <m/>
  </r>
  <r>
    <n v="4602"/>
    <n v="8387"/>
    <x v="79"/>
    <n v="3291.84"/>
    <s v="Completed"/>
    <s v="North"/>
    <s v="PayPal"/>
    <m/>
    <m/>
  </r>
  <r>
    <n v="4603"/>
    <n v="8430"/>
    <x v="361"/>
    <n v="3291.84"/>
    <s v="Completed"/>
    <s v="West"/>
    <s v="Apple Pay"/>
    <m/>
    <m/>
  </r>
  <r>
    <n v="4604"/>
    <n v="6346"/>
    <x v="65"/>
    <n v="3291.84"/>
    <s v="Completed"/>
    <s v="West"/>
    <s v="Credit Card"/>
    <m/>
    <m/>
  </r>
  <r>
    <n v="4605"/>
    <n v="7355"/>
    <x v="42"/>
    <n v="3291.84"/>
    <s v="Completed"/>
    <s v="Central"/>
    <s v="Credit Card"/>
    <m/>
    <m/>
  </r>
  <r>
    <n v="4606"/>
    <n v="3537"/>
    <x v="45"/>
    <n v="3291.84"/>
    <s v="Completed"/>
    <s v="East"/>
    <s v="Credit Card"/>
    <m/>
    <m/>
  </r>
  <r>
    <n v="4607"/>
    <n v="1798"/>
    <x v="308"/>
    <n v="3291.84"/>
    <s v="Completed"/>
    <s v="North"/>
    <s v="PayPal"/>
    <m/>
    <m/>
  </r>
  <r>
    <n v="4608"/>
    <n v="4672"/>
    <x v="236"/>
    <n v="3291.84"/>
    <s v="Completed"/>
    <s v="South"/>
    <s v="PayPal"/>
    <m/>
    <m/>
  </r>
  <r>
    <n v="4609"/>
    <n v="3035"/>
    <x v="252"/>
    <n v="3291.84"/>
    <s v="Completed"/>
    <s v="South"/>
    <s v="Debit Card"/>
    <m/>
    <m/>
  </r>
  <r>
    <n v="4610"/>
    <n v="2072"/>
    <x v="14"/>
    <n v="3291.84"/>
    <s v="Completed"/>
    <s v="North"/>
    <s v="Credit Card"/>
    <m/>
    <m/>
  </r>
  <r>
    <n v="4611"/>
    <n v="7034"/>
    <x v="96"/>
    <n v="3291.84"/>
    <s v="Completed"/>
    <s v="East"/>
    <s v="Debit Card"/>
    <m/>
    <m/>
  </r>
  <r>
    <n v="4612"/>
    <n v="3380"/>
    <x v="2"/>
    <n v="3291.84"/>
    <s v="Completed"/>
    <s v="East"/>
    <s v="PayPal"/>
    <m/>
    <m/>
  </r>
  <r>
    <n v="4613"/>
    <n v="210"/>
    <x v="168"/>
    <n v="3291.84"/>
    <s v="Completed"/>
    <s v="Central"/>
    <s v="Debit Card"/>
    <m/>
    <m/>
  </r>
  <r>
    <n v="4614"/>
    <n v="1988"/>
    <x v="55"/>
    <n v="3291.84"/>
    <s v="Completed"/>
    <s v="North"/>
    <s v="Debit Card"/>
    <m/>
    <m/>
  </r>
  <r>
    <n v="4615"/>
    <n v="9177"/>
    <x v="91"/>
    <n v="3291.84"/>
    <s v="Completed"/>
    <s v="West"/>
    <s v="Debit Card"/>
    <m/>
    <m/>
  </r>
  <r>
    <n v="4616"/>
    <n v="1245"/>
    <x v="316"/>
    <n v="3291.84"/>
    <s v="Cancelled"/>
    <s v="East"/>
    <s v="Credit Card"/>
    <m/>
    <m/>
  </r>
  <r>
    <n v="4617"/>
    <n v="2574"/>
    <x v="18"/>
    <n v="3291.84"/>
    <s v="Completed"/>
    <s v="East"/>
    <s v="Apple Pay"/>
    <m/>
    <m/>
  </r>
  <r>
    <n v="4618"/>
    <n v="3035"/>
    <x v="168"/>
    <n v="3291.84"/>
    <s v="Completed"/>
    <s v="South"/>
    <s v="Apple Pay"/>
    <m/>
    <m/>
  </r>
  <r>
    <n v="4619"/>
    <n v="5651"/>
    <x v="91"/>
    <n v="3291.84"/>
    <s v="Completed"/>
    <s v="South"/>
    <s v="PayPal"/>
    <m/>
    <m/>
  </r>
  <r>
    <n v="4620"/>
    <n v="5990"/>
    <x v="304"/>
    <n v="3291.84"/>
    <s v="Completed"/>
    <s v="West"/>
    <s v="Credit Card"/>
    <m/>
    <m/>
  </r>
  <r>
    <n v="4621"/>
    <n v="9927"/>
    <x v="267"/>
    <n v="3291.84"/>
    <s v="Cancelled"/>
    <s v="East"/>
    <s v="Credit Card"/>
    <m/>
    <m/>
  </r>
  <r>
    <n v="4622"/>
    <n v="373"/>
    <x v="129"/>
    <n v="3291.84"/>
    <s v="Completed"/>
    <s v="North"/>
    <s v="Apple Pay"/>
    <m/>
    <m/>
  </r>
  <r>
    <n v="4623"/>
    <n v="7825"/>
    <x v="160"/>
    <n v="3291.84"/>
    <s v="Completed"/>
    <s v="South"/>
    <s v="PayPal"/>
    <m/>
    <m/>
  </r>
  <r>
    <n v="4624"/>
    <n v="9454"/>
    <x v="14"/>
    <n v="3291.84"/>
    <s v="Completed"/>
    <s v="Central"/>
    <s v="Credit Card"/>
    <m/>
    <m/>
  </r>
  <r>
    <n v="4625"/>
    <n v="6344"/>
    <x v="172"/>
    <n v="3291.84"/>
    <s v="Completed"/>
    <s v="South"/>
    <s v="Apple Pay"/>
    <m/>
    <m/>
  </r>
  <r>
    <n v="4626"/>
    <n v="1903"/>
    <x v="28"/>
    <n v="3291.84"/>
    <s v="Completed"/>
    <s v="Central"/>
    <s v="Apple Pay"/>
    <m/>
    <m/>
  </r>
  <r>
    <n v="4627"/>
    <n v="8152"/>
    <x v="102"/>
    <n v="3291.84"/>
    <s v="Completed"/>
    <s v="North"/>
    <s v="Apple Pay"/>
    <m/>
    <m/>
  </r>
  <r>
    <n v="4628"/>
    <n v="1716"/>
    <x v="37"/>
    <n v="3291.84"/>
    <s v="Completed"/>
    <s v="South"/>
    <s v="Debit Card"/>
    <m/>
    <m/>
  </r>
  <r>
    <n v="4629"/>
    <n v="9927"/>
    <x v="16"/>
    <n v="3291.84"/>
    <s v="Completed"/>
    <s v="East"/>
    <s v="Apple Pay"/>
    <m/>
    <m/>
  </r>
  <r>
    <n v="4630"/>
    <n v="5285"/>
    <x v="216"/>
    <n v="3291.84"/>
    <s v="Completed"/>
    <s v="West"/>
    <s v="Apple Pay"/>
    <m/>
    <m/>
  </r>
  <r>
    <n v="4631"/>
    <n v="8320"/>
    <x v="115"/>
    <n v="3291.84"/>
    <s v="Completed"/>
    <s v="West"/>
    <s v="Apple Pay"/>
    <m/>
    <m/>
  </r>
  <r>
    <n v="4632"/>
    <n v="9911"/>
    <x v="24"/>
    <n v="3291.84"/>
    <s v="Completed"/>
    <s v="West"/>
    <s v="Apple Pay"/>
    <m/>
    <m/>
  </r>
  <r>
    <n v="4633"/>
    <n v="923"/>
    <x v="210"/>
    <n v="3291.84"/>
    <s v="Completed"/>
    <s v="Central"/>
    <s v="Debit Card"/>
    <m/>
    <m/>
  </r>
  <r>
    <n v="4634"/>
    <n v="4501"/>
    <x v="149"/>
    <n v="3291.84"/>
    <s v="Completed"/>
    <s v="South"/>
    <s v="Apple Pay"/>
    <m/>
    <m/>
  </r>
  <r>
    <n v="4635"/>
    <n v="1515"/>
    <x v="163"/>
    <n v="3291.84"/>
    <s v="Completed"/>
    <s v="North"/>
    <s v="Apple Pay"/>
    <m/>
    <m/>
  </r>
  <r>
    <n v="4636"/>
    <n v="1192"/>
    <x v="187"/>
    <n v="3291.84"/>
    <s v="Completed"/>
    <s v="Central"/>
    <s v="Credit Card"/>
    <m/>
    <m/>
  </r>
  <r>
    <n v="4637"/>
    <n v="4841"/>
    <x v="239"/>
    <n v="3291.84"/>
    <s v="Completed"/>
    <s v="others"/>
    <s v="PayPal"/>
    <m/>
    <m/>
  </r>
  <r>
    <n v="4638"/>
    <n v="6431"/>
    <x v="69"/>
    <n v="3291.84"/>
    <s v="Completed"/>
    <s v="East"/>
    <s v="Debit Card"/>
    <m/>
    <m/>
  </r>
  <r>
    <n v="4639"/>
    <n v="6485"/>
    <x v="179"/>
    <n v="3291.84"/>
    <s v="Completed"/>
    <s v="Central"/>
    <s v="Apple Pay"/>
    <m/>
    <m/>
  </r>
  <r>
    <n v="4640"/>
    <n v="1746"/>
    <x v="246"/>
    <n v="3291.84"/>
    <s v="Completed"/>
    <s v="West"/>
    <s v="Apple Pay"/>
    <m/>
    <m/>
  </r>
  <r>
    <n v="4641"/>
    <n v="9281"/>
    <x v="84"/>
    <n v="3291.84"/>
    <s v="Completed"/>
    <s v="North"/>
    <s v="Apple Pay"/>
    <m/>
    <m/>
  </r>
  <r>
    <n v="4642"/>
    <n v="5360"/>
    <x v="342"/>
    <n v="3291.84"/>
    <s v="Completed"/>
    <s v="South"/>
    <s v="PayPal"/>
    <m/>
    <m/>
  </r>
  <r>
    <n v="4643"/>
    <n v="1494"/>
    <x v="43"/>
    <n v="3291.84"/>
    <s v="Completed"/>
    <s v="Central"/>
    <s v="Debit Card"/>
    <m/>
    <m/>
  </r>
  <r>
    <n v="4644"/>
    <n v="6137"/>
    <x v="156"/>
    <n v="3291.84"/>
    <s v="Completed"/>
    <s v="South"/>
    <s v="Apple Pay"/>
    <m/>
    <m/>
  </r>
  <r>
    <n v="4645"/>
    <n v="2321"/>
    <x v="1"/>
    <n v="3291.84"/>
    <s v="Completed"/>
    <s v="East"/>
    <s v="Apple Pay"/>
    <m/>
    <m/>
  </r>
  <r>
    <n v="4646"/>
    <n v="8795"/>
    <x v="180"/>
    <n v="3291.84"/>
    <s v="Completed"/>
    <s v="North"/>
    <s v="Credit Card"/>
    <m/>
    <m/>
  </r>
  <r>
    <n v="4647"/>
    <n v="8801"/>
    <x v="251"/>
    <n v="3291.84"/>
    <s v="Cancelled"/>
    <s v="West"/>
    <s v="Credit Card"/>
    <m/>
    <m/>
  </r>
  <r>
    <n v="4648"/>
    <n v="4127"/>
    <x v="207"/>
    <n v="3291.84"/>
    <s v="Completed"/>
    <s v="East"/>
    <s v="PayPal"/>
    <m/>
    <m/>
  </r>
  <r>
    <n v="4649"/>
    <n v="839"/>
    <x v="154"/>
    <n v="3291.84"/>
    <s v="Completed"/>
    <s v="West"/>
    <s v="PayPal"/>
    <m/>
    <m/>
  </r>
  <r>
    <n v="4650"/>
    <n v="5139"/>
    <x v="316"/>
    <n v="3291.84"/>
    <s v="Completed"/>
    <s v="Central"/>
    <s v="PayPal"/>
    <m/>
    <m/>
  </r>
  <r>
    <n v="4651"/>
    <n v="8510"/>
    <x v="263"/>
    <n v="3291.84"/>
    <s v="Completed"/>
    <s v="North"/>
    <s v="PayPal"/>
    <m/>
    <m/>
  </r>
  <r>
    <n v="4652"/>
    <n v="6820"/>
    <x v="232"/>
    <n v="3291.84"/>
    <s v="Completed"/>
    <s v="Central"/>
    <s v="Apple Pay"/>
    <m/>
    <m/>
  </r>
  <r>
    <n v="4653"/>
    <n v="7692"/>
    <x v="37"/>
    <n v="3291.84"/>
    <s v="Completed"/>
    <s v="West"/>
    <s v="Debit Card"/>
    <m/>
    <m/>
  </r>
  <r>
    <n v="4654"/>
    <n v="7886"/>
    <x v="22"/>
    <n v="3291.84"/>
    <s v="Completed"/>
    <s v="East"/>
    <s v="PayPal"/>
    <m/>
    <m/>
  </r>
  <r>
    <n v="4655"/>
    <n v="5646"/>
    <x v="67"/>
    <n v="3291.84"/>
    <s v="Completed"/>
    <s v="South"/>
    <s v="Credit Card"/>
    <m/>
    <m/>
  </r>
  <r>
    <n v="4656"/>
    <n v="4945"/>
    <x v="191"/>
    <n v="3291.84"/>
    <s v="Completed"/>
    <s v="Central"/>
    <s v="Debit Card"/>
    <m/>
    <m/>
  </r>
  <r>
    <n v="4657"/>
    <n v="1141"/>
    <x v="236"/>
    <n v="3291.84"/>
    <s v="Completed"/>
    <s v="North"/>
    <s v="PayPal"/>
    <m/>
    <m/>
  </r>
  <r>
    <n v="4658"/>
    <n v="5073"/>
    <x v="238"/>
    <n v="3291.84"/>
    <s v="Completed"/>
    <s v="South"/>
    <s v="PayPal"/>
    <m/>
    <m/>
  </r>
  <r>
    <n v="4659"/>
    <n v="8"/>
    <x v="222"/>
    <n v="3291.84"/>
    <s v="Completed"/>
    <s v="West"/>
    <s v="Apple Pay"/>
    <m/>
    <m/>
  </r>
  <r>
    <n v="4660"/>
    <n v="7508"/>
    <x v="233"/>
    <n v="3291.84"/>
    <s v="Completed"/>
    <s v="Central"/>
    <s v="PayPal"/>
    <m/>
    <m/>
  </r>
  <r>
    <n v="4661"/>
    <n v="3548"/>
    <x v="143"/>
    <n v="3291.84"/>
    <s v="Completed"/>
    <s v="West"/>
    <s v="Apple Pay"/>
    <m/>
    <m/>
  </r>
  <r>
    <n v="4662"/>
    <n v="4131"/>
    <x v="154"/>
    <n v="3291.84"/>
    <s v="Completed"/>
    <s v="North"/>
    <s v="Debit Card"/>
    <m/>
    <m/>
  </r>
  <r>
    <n v="4663"/>
    <n v="5781"/>
    <x v="87"/>
    <n v="3291.84"/>
    <s v="Completed"/>
    <s v="East"/>
    <s v="Credit Card"/>
    <m/>
    <m/>
  </r>
  <r>
    <n v="4664"/>
    <n v="3490"/>
    <x v="132"/>
    <n v="3291.84"/>
    <s v="Completed"/>
    <s v="East"/>
    <s v="PayPal"/>
    <m/>
    <m/>
  </r>
  <r>
    <n v="4665"/>
    <n v="190"/>
    <x v="70"/>
    <n v="3291.84"/>
    <s v="Completed"/>
    <s v="East"/>
    <s v="Apple Pay"/>
    <m/>
    <m/>
  </r>
  <r>
    <n v="4666"/>
    <n v="748"/>
    <x v="123"/>
    <n v="3291.84"/>
    <s v="Completed"/>
    <s v="West"/>
    <s v="PayPal"/>
    <m/>
    <m/>
  </r>
  <r>
    <n v="4667"/>
    <n v="5769"/>
    <x v="330"/>
    <n v="3291.84"/>
    <s v="Completed"/>
    <s v="East"/>
    <s v="Apple Pay"/>
    <m/>
    <m/>
  </r>
  <r>
    <n v="4668"/>
    <n v="591"/>
    <x v="15"/>
    <n v="3291.84"/>
    <s v="Completed"/>
    <s v="East"/>
    <s v="Credit Card"/>
    <m/>
    <m/>
  </r>
  <r>
    <n v="4669"/>
    <n v="1078"/>
    <x v="246"/>
    <n v="3291.84"/>
    <s v="Completed"/>
    <s v="East"/>
    <s v="Credit Card"/>
    <m/>
    <m/>
  </r>
  <r>
    <n v="4670"/>
    <n v="2626"/>
    <x v="108"/>
    <n v="3291.84"/>
    <s v="Completed"/>
    <s v="West"/>
    <s v="Debit Card"/>
    <m/>
    <m/>
  </r>
  <r>
    <n v="4671"/>
    <n v="7139"/>
    <x v="87"/>
    <n v="3291.84"/>
    <s v="Completed"/>
    <s v="South"/>
    <s v="Apple Pay"/>
    <m/>
    <m/>
  </r>
  <r>
    <n v="4672"/>
    <n v="628"/>
    <x v="267"/>
    <n v="3291.84"/>
    <s v="Completed"/>
    <s v="West"/>
    <s v="Credit Card"/>
    <m/>
    <m/>
  </r>
  <r>
    <n v="4673"/>
    <n v="426"/>
    <x v="277"/>
    <n v="3291.84"/>
    <s v="Completed"/>
    <s v="West"/>
    <s v="Apple Pay"/>
    <m/>
    <m/>
  </r>
  <r>
    <n v="4674"/>
    <n v="8017"/>
    <x v="199"/>
    <n v="3291.84"/>
    <s v="Completed"/>
    <s v="North"/>
    <s v="Debit Card"/>
    <m/>
    <m/>
  </r>
  <r>
    <n v="4675"/>
    <n v="2437"/>
    <x v="228"/>
    <n v="3291.84"/>
    <s v="Completed"/>
    <s v="North"/>
    <s v="PayPal"/>
    <m/>
    <m/>
  </r>
  <r>
    <n v="4676"/>
    <n v="1136"/>
    <x v="297"/>
    <n v="3291.84"/>
    <s v="Completed"/>
    <s v="North"/>
    <s v="Credit Card"/>
    <m/>
    <m/>
  </r>
  <r>
    <n v="4677"/>
    <n v="1083"/>
    <x v="341"/>
    <n v="3291.84"/>
    <s v="Completed"/>
    <s v="North"/>
    <s v="Credit Card"/>
    <m/>
    <m/>
  </r>
  <r>
    <n v="4678"/>
    <n v="1685"/>
    <x v="263"/>
    <n v="3291.84"/>
    <s v="Completed"/>
    <s v="East"/>
    <s v="PayPal"/>
    <m/>
    <m/>
  </r>
  <r>
    <n v="4679"/>
    <n v="1662"/>
    <x v="62"/>
    <n v="3291.84"/>
    <s v="Completed"/>
    <s v="Central"/>
    <s v="Debit Card"/>
    <m/>
    <m/>
  </r>
  <r>
    <n v="4680"/>
    <n v="778"/>
    <x v="145"/>
    <n v="3291.84"/>
    <s v="Completed"/>
    <s v="Central"/>
    <s v="PayPal"/>
    <m/>
    <m/>
  </r>
  <r>
    <n v="4681"/>
    <n v="1196"/>
    <x v="100"/>
    <n v="3291.84"/>
    <s v="Completed"/>
    <s v="North"/>
    <s v="PayPal"/>
    <m/>
    <m/>
  </r>
  <r>
    <n v="4682"/>
    <n v="157"/>
    <x v="74"/>
    <n v="3291.84"/>
    <s v="Completed"/>
    <s v="South"/>
    <s v="Credit Card"/>
    <m/>
    <m/>
  </r>
  <r>
    <n v="4683"/>
    <n v="9477"/>
    <x v="304"/>
    <n v="3291.84"/>
    <s v="Completed"/>
    <s v="East"/>
    <s v="Credit Card"/>
    <m/>
    <m/>
  </r>
  <r>
    <n v="4684"/>
    <n v="3134"/>
    <x v="218"/>
    <n v="3291.84"/>
    <s v="Completed"/>
    <s v="South"/>
    <s v="Apple Pay"/>
    <m/>
    <m/>
  </r>
  <r>
    <n v="4685"/>
    <n v="6515"/>
    <x v="6"/>
    <n v="3291.84"/>
    <s v="Completed"/>
    <s v="others"/>
    <s v="Credit Card"/>
    <m/>
    <m/>
  </r>
  <r>
    <n v="4686"/>
    <n v="5946"/>
    <x v="211"/>
    <n v="3291.84"/>
    <s v="Completed"/>
    <s v="West"/>
    <s v="Apple Pay"/>
    <m/>
    <m/>
  </r>
  <r>
    <n v="4687"/>
    <n v="7310"/>
    <x v="61"/>
    <n v="3291.84"/>
    <s v="Cancelled"/>
    <s v="North"/>
    <s v="Apple Pay"/>
    <m/>
    <m/>
  </r>
  <r>
    <n v="4688"/>
    <n v="3775"/>
    <x v="52"/>
    <n v="3291.84"/>
    <s v="Completed"/>
    <s v="East"/>
    <s v="PayPal"/>
    <m/>
    <m/>
  </r>
  <r>
    <n v="4689"/>
    <n v="2285"/>
    <x v="95"/>
    <n v="3291.84"/>
    <s v="Completed"/>
    <s v="East"/>
    <s v="PayPal"/>
    <m/>
    <m/>
  </r>
  <r>
    <n v="4690"/>
    <n v="4676"/>
    <x v="60"/>
    <n v="3291.84"/>
    <s v="Completed"/>
    <s v="South"/>
    <s v="Credit Card"/>
    <m/>
    <m/>
  </r>
  <r>
    <n v="4691"/>
    <n v="6078"/>
    <x v="166"/>
    <n v="3291.84"/>
    <s v="Completed"/>
    <s v="Central"/>
    <s v="PayPal"/>
    <m/>
    <m/>
  </r>
  <r>
    <n v="4692"/>
    <n v="7457"/>
    <x v="216"/>
    <n v="3291.84"/>
    <s v="Completed"/>
    <s v="Central"/>
    <s v="Apple Pay"/>
    <m/>
    <m/>
  </r>
  <r>
    <n v="4693"/>
    <n v="4340"/>
    <x v="246"/>
    <n v="3291.84"/>
    <s v="Completed"/>
    <s v="East"/>
    <s v="PayPal"/>
    <m/>
    <m/>
  </r>
  <r>
    <n v="4694"/>
    <n v="7943"/>
    <x v="26"/>
    <n v="3291.84"/>
    <s v="Completed"/>
    <s v="North"/>
    <s v="Debit Card"/>
    <m/>
    <m/>
  </r>
  <r>
    <n v="4695"/>
    <n v="3868"/>
    <x v="100"/>
    <n v="3291.84"/>
    <s v="Completed"/>
    <s v="Central"/>
    <s v="PayPal"/>
    <m/>
    <m/>
  </r>
  <r>
    <n v="4696"/>
    <n v="5533"/>
    <x v="189"/>
    <n v="3291.84"/>
    <s v="Completed"/>
    <s v="Central"/>
    <s v="Credit Card"/>
    <m/>
    <m/>
  </r>
  <r>
    <n v="4697"/>
    <n v="3078"/>
    <x v="107"/>
    <n v="3291.84"/>
    <s v="Completed"/>
    <s v="South"/>
    <s v="Apple Pay"/>
    <m/>
    <m/>
  </r>
  <r>
    <n v="4698"/>
    <n v="5120"/>
    <x v="353"/>
    <n v="3291.84"/>
    <s v="Completed"/>
    <s v="East"/>
    <s v="Credit Card"/>
    <m/>
    <m/>
  </r>
  <r>
    <n v="4699"/>
    <n v="6460"/>
    <x v="328"/>
    <n v="3291.84"/>
    <s v="Completed"/>
    <s v="Central"/>
    <s v="Credit Card"/>
    <m/>
    <m/>
  </r>
  <r>
    <n v="4700"/>
    <n v="4580"/>
    <x v="88"/>
    <n v="3291.84"/>
    <s v="Completed"/>
    <s v="South"/>
    <s v="Credit Card"/>
    <m/>
    <m/>
  </r>
  <r>
    <n v="4701"/>
    <n v="1258"/>
    <x v="202"/>
    <n v="3291.84"/>
    <s v="Completed"/>
    <s v="South"/>
    <s v="Credit Card"/>
    <m/>
    <m/>
  </r>
  <r>
    <n v="4702"/>
    <n v="1784"/>
    <x v="10"/>
    <n v="3291.84"/>
    <s v="Completed"/>
    <s v="West"/>
    <s v="PayPal"/>
    <m/>
    <m/>
  </r>
  <r>
    <n v="4703"/>
    <n v="2876"/>
    <x v="329"/>
    <n v="3291.84"/>
    <s v="Completed"/>
    <s v="East"/>
    <s v="Debit Card"/>
    <m/>
    <m/>
  </r>
  <r>
    <n v="4704"/>
    <n v="6588"/>
    <x v="195"/>
    <n v="3291.84"/>
    <s v="Completed"/>
    <s v="South"/>
    <s v="PayPal"/>
    <m/>
    <m/>
  </r>
  <r>
    <n v="4705"/>
    <n v="9833"/>
    <x v="29"/>
    <n v="3291.84"/>
    <s v="Completed"/>
    <s v="Central"/>
    <s v="Credit Card"/>
    <m/>
    <m/>
  </r>
  <r>
    <n v="4706"/>
    <n v="7502"/>
    <x v="42"/>
    <n v="3291.84"/>
    <s v="Completed"/>
    <s v="Central"/>
    <s v="PayPal"/>
    <m/>
    <m/>
  </r>
  <r>
    <n v="4707"/>
    <n v="6812"/>
    <x v="153"/>
    <n v="3291.84"/>
    <s v="Completed"/>
    <s v="North"/>
    <s v="Apple Pay"/>
    <m/>
    <m/>
  </r>
  <r>
    <n v="4708"/>
    <n v="2245"/>
    <x v="319"/>
    <n v="3291.84"/>
    <s v="Completed"/>
    <s v="East"/>
    <s v="Debit Card"/>
    <m/>
    <m/>
  </r>
  <r>
    <n v="4709"/>
    <n v="8890"/>
    <x v="63"/>
    <n v="3291.84"/>
    <s v="Returned"/>
    <s v="others"/>
    <s v="Debit Card"/>
    <m/>
    <m/>
  </r>
  <r>
    <n v="4710"/>
    <n v="4682"/>
    <x v="88"/>
    <n v="3291.84"/>
    <s v="Completed"/>
    <s v="South"/>
    <s v="Debit Card"/>
    <m/>
    <m/>
  </r>
  <r>
    <n v="4711"/>
    <n v="8630"/>
    <x v="193"/>
    <n v="3291.84"/>
    <s v="Completed"/>
    <s v="South"/>
    <s v="PayPal"/>
    <m/>
    <m/>
  </r>
  <r>
    <n v="4712"/>
    <n v="3078"/>
    <x v="74"/>
    <n v="3291.84"/>
    <s v="Returned"/>
    <s v="South"/>
    <s v="Apple Pay"/>
    <m/>
    <m/>
  </r>
  <r>
    <n v="4713"/>
    <n v="6418"/>
    <x v="245"/>
    <n v="3291.84"/>
    <s v="Cancelled"/>
    <s v="East"/>
    <s v="Debit Card"/>
    <m/>
    <m/>
  </r>
  <r>
    <n v="4714"/>
    <n v="7681"/>
    <x v="159"/>
    <n v="3291.84"/>
    <s v="Completed"/>
    <s v="West"/>
    <s v="Apple Pay"/>
    <m/>
    <m/>
  </r>
  <r>
    <n v="4715"/>
    <n v="47"/>
    <x v="23"/>
    <n v="3291.84"/>
    <s v="Completed"/>
    <s v="West"/>
    <s v="PayPal"/>
    <m/>
    <m/>
  </r>
  <r>
    <n v="4716"/>
    <n v="5956"/>
    <x v="116"/>
    <n v="3291.84"/>
    <s v="Completed"/>
    <s v="South"/>
    <s v="Credit Card"/>
    <m/>
    <m/>
  </r>
  <r>
    <n v="4717"/>
    <n v="8560"/>
    <x v="219"/>
    <n v="3291.84"/>
    <s v="Completed"/>
    <s v="South"/>
    <s v="PayPal"/>
    <m/>
    <m/>
  </r>
  <r>
    <n v="4718"/>
    <n v="8683"/>
    <x v="68"/>
    <n v="3291.84"/>
    <s v="Completed"/>
    <s v="North"/>
    <s v="Credit Card"/>
    <m/>
    <m/>
  </r>
  <r>
    <n v="4719"/>
    <n v="1201"/>
    <x v="33"/>
    <n v="3291.84"/>
    <s v="Completed"/>
    <s v="East"/>
    <s v="Apple Pay"/>
    <m/>
    <m/>
  </r>
  <r>
    <n v="4720"/>
    <n v="1257"/>
    <x v="169"/>
    <n v="3291.84"/>
    <s v="Completed"/>
    <s v="Central"/>
    <s v="Debit Card"/>
    <m/>
    <m/>
  </r>
  <r>
    <n v="4721"/>
    <n v="5027"/>
    <x v="110"/>
    <n v="3291.84"/>
    <s v="Completed"/>
    <s v="South"/>
    <s v="Debit Card"/>
    <m/>
    <m/>
  </r>
  <r>
    <n v="4722"/>
    <n v="6379"/>
    <x v="49"/>
    <n v="3291.84"/>
    <s v="Completed"/>
    <s v="Central"/>
    <s v="Credit Card"/>
    <m/>
    <m/>
  </r>
  <r>
    <n v="4723"/>
    <n v="1759"/>
    <x v="60"/>
    <n v="3291.84"/>
    <s v="Completed"/>
    <s v="West"/>
    <s v="Debit Card"/>
    <m/>
    <m/>
  </r>
  <r>
    <n v="4724"/>
    <n v="4602"/>
    <x v="74"/>
    <n v="3291.84"/>
    <s v="Completed"/>
    <s v="North"/>
    <s v="Debit Card"/>
    <m/>
    <m/>
  </r>
  <r>
    <n v="4725"/>
    <n v="2240"/>
    <x v="187"/>
    <n v="3291.84"/>
    <s v="Completed"/>
    <s v="South"/>
    <s v="Credit Card"/>
    <m/>
    <m/>
  </r>
  <r>
    <n v="4726"/>
    <n v="6325"/>
    <x v="309"/>
    <n v="3291.84"/>
    <s v="Completed"/>
    <s v="North"/>
    <s v="Credit Card"/>
    <m/>
    <m/>
  </r>
  <r>
    <n v="4727"/>
    <n v="775"/>
    <x v="6"/>
    <n v="3291.84"/>
    <s v="Completed"/>
    <s v="West"/>
    <s v="Apple Pay"/>
    <m/>
    <m/>
  </r>
  <r>
    <n v="4728"/>
    <n v="5841"/>
    <x v="242"/>
    <n v="3291.84"/>
    <s v="Completed"/>
    <s v="West"/>
    <s v="PayPal"/>
    <m/>
    <m/>
  </r>
  <r>
    <n v="4729"/>
    <n v="2955"/>
    <x v="361"/>
    <n v="3291.84"/>
    <s v="Completed"/>
    <s v="North"/>
    <s v="Credit Card"/>
    <m/>
    <m/>
  </r>
  <r>
    <n v="4730"/>
    <n v="1119"/>
    <x v="303"/>
    <n v="3291.84"/>
    <s v="Completed"/>
    <s v="Central"/>
    <s v="PayPal"/>
    <m/>
    <m/>
  </r>
  <r>
    <n v="4731"/>
    <n v="2782"/>
    <x v="174"/>
    <n v="3291.84"/>
    <s v="Completed"/>
    <s v="West"/>
    <s v="Credit Card"/>
    <m/>
    <m/>
  </r>
  <r>
    <n v="4732"/>
    <n v="2132"/>
    <x v="85"/>
    <n v="3291.84"/>
    <s v="Completed"/>
    <s v="West"/>
    <s v="Credit Card"/>
    <m/>
    <m/>
  </r>
  <r>
    <n v="4733"/>
    <n v="5091"/>
    <x v="84"/>
    <n v="3291.84"/>
    <s v="Completed"/>
    <s v="West"/>
    <s v="Debit Card"/>
    <m/>
    <m/>
  </r>
  <r>
    <n v="4734"/>
    <n v="2342"/>
    <x v="256"/>
    <n v="3291.84"/>
    <s v="Completed"/>
    <s v="West"/>
    <s v="PayPal"/>
    <m/>
    <m/>
  </r>
  <r>
    <n v="4735"/>
    <n v="9467"/>
    <x v="3"/>
    <n v="3291.84"/>
    <s v="Completed"/>
    <s v="South"/>
    <s v="Apple Pay"/>
    <m/>
    <m/>
  </r>
  <r>
    <n v="4736"/>
    <n v="6170"/>
    <x v="266"/>
    <n v="3291.84"/>
    <s v="Completed"/>
    <s v="West"/>
    <s v="Credit Card"/>
    <m/>
    <m/>
  </r>
  <r>
    <n v="4737"/>
    <n v="8053"/>
    <x v="32"/>
    <n v="3291.84"/>
    <s v="Completed"/>
    <s v="North"/>
    <s v="PayPal"/>
    <m/>
    <m/>
  </r>
  <r>
    <n v="4738"/>
    <n v="4055"/>
    <x v="291"/>
    <n v="3291.84"/>
    <s v="Completed"/>
    <s v="East"/>
    <s v="PayPal"/>
    <m/>
    <m/>
  </r>
  <r>
    <n v="4739"/>
    <n v="220"/>
    <x v="159"/>
    <n v="3291.84"/>
    <s v="Completed"/>
    <s v="Central"/>
    <s v="Apple Pay"/>
    <m/>
    <m/>
  </r>
  <r>
    <n v="4740"/>
    <n v="4197"/>
    <x v="333"/>
    <n v="3291.84"/>
    <s v="Completed"/>
    <s v="East"/>
    <s v="PayPal"/>
    <m/>
    <m/>
  </r>
  <r>
    <n v="4741"/>
    <n v="9688"/>
    <x v="278"/>
    <n v="3291.84"/>
    <s v="Completed"/>
    <s v="Central"/>
    <s v="Apple Pay"/>
    <m/>
    <m/>
  </r>
  <r>
    <n v="4742"/>
    <n v="5596"/>
    <x v="16"/>
    <n v="3291.84"/>
    <s v="Completed"/>
    <s v="North"/>
    <s v="Credit Card"/>
    <m/>
    <m/>
  </r>
  <r>
    <n v="4743"/>
    <n v="6219"/>
    <x v="170"/>
    <n v="3291.84"/>
    <s v="Completed"/>
    <s v="South"/>
    <s v="Debit Card"/>
    <m/>
    <m/>
  </r>
  <r>
    <n v="4744"/>
    <n v="9029"/>
    <x v="189"/>
    <n v="3291.84"/>
    <s v="Completed"/>
    <s v="East"/>
    <s v="PayPal"/>
    <m/>
    <m/>
  </r>
  <r>
    <n v="4745"/>
    <n v="1504"/>
    <x v="90"/>
    <n v="3291.84"/>
    <s v="Completed"/>
    <s v="North"/>
    <s v="Apple Pay"/>
    <m/>
    <m/>
  </r>
  <r>
    <n v="4746"/>
    <n v="1413"/>
    <x v="60"/>
    <n v="3291.84"/>
    <s v="Completed"/>
    <s v="East"/>
    <s v="PayPal"/>
    <m/>
    <m/>
  </r>
  <r>
    <n v="4747"/>
    <n v="6400"/>
    <x v="172"/>
    <n v="3291.84"/>
    <s v="Completed"/>
    <s v="South"/>
    <s v="PayPal"/>
    <m/>
    <m/>
  </r>
  <r>
    <n v="4748"/>
    <n v="4392"/>
    <x v="52"/>
    <n v="3291.84"/>
    <s v="Completed"/>
    <s v="Central"/>
    <s v="PayPal"/>
    <m/>
    <m/>
  </r>
  <r>
    <n v="4749"/>
    <n v="8737"/>
    <x v="46"/>
    <n v="3291.84"/>
    <s v="Completed"/>
    <s v="West"/>
    <s v="PayPal"/>
    <m/>
    <m/>
  </r>
  <r>
    <n v="4750"/>
    <n v="5450"/>
    <x v="290"/>
    <n v="3291.84"/>
    <s v="Completed"/>
    <s v="South"/>
    <s v="PayPal"/>
    <m/>
    <m/>
  </r>
  <r>
    <n v="4751"/>
    <n v="3650"/>
    <x v="279"/>
    <n v="3291.84"/>
    <s v="Cancelled"/>
    <s v="Central"/>
    <s v="PayPal"/>
    <m/>
    <m/>
  </r>
  <r>
    <n v="4752"/>
    <n v="339"/>
    <x v="196"/>
    <n v="3291.84"/>
    <s v="Completed"/>
    <s v="North"/>
    <s v="Debit Card"/>
    <m/>
    <m/>
  </r>
  <r>
    <n v="4753"/>
    <n v="1349"/>
    <x v="222"/>
    <n v="3291.84"/>
    <s v="Completed"/>
    <s v="North"/>
    <s v="Credit Card"/>
    <m/>
    <m/>
  </r>
  <r>
    <n v="4754"/>
    <n v="4138"/>
    <x v="270"/>
    <n v="3291.84"/>
    <s v="Completed"/>
    <s v="South"/>
    <s v="Credit Card"/>
    <m/>
    <m/>
  </r>
  <r>
    <n v="4755"/>
    <n v="2495"/>
    <x v="351"/>
    <n v="3291.84"/>
    <s v="Completed"/>
    <s v="Central"/>
    <s v="PayPal"/>
    <m/>
    <m/>
  </r>
  <r>
    <n v="4756"/>
    <n v="6263"/>
    <x v="335"/>
    <n v="3291.84"/>
    <s v="Completed"/>
    <s v="North"/>
    <s v="Debit Card"/>
    <m/>
    <m/>
  </r>
  <r>
    <n v="4757"/>
    <n v="994"/>
    <x v="5"/>
    <n v="3291.84"/>
    <s v="Completed"/>
    <s v="others"/>
    <s v="Debit Card"/>
    <m/>
    <m/>
  </r>
  <r>
    <n v="4758"/>
    <n v="9603"/>
    <x v="165"/>
    <n v="3291.84"/>
    <s v="Cancelled"/>
    <s v="North"/>
    <s v="Credit Card"/>
    <m/>
    <m/>
  </r>
  <r>
    <n v="4759"/>
    <n v="7589"/>
    <x v="175"/>
    <n v="3291.84"/>
    <s v="Completed"/>
    <s v="East"/>
    <s v="Credit Card"/>
    <m/>
    <m/>
  </r>
  <r>
    <n v="4760"/>
    <n v="7748"/>
    <x v="0"/>
    <n v="3291.84"/>
    <s v="Completed"/>
    <s v="West"/>
    <s v="PayPal"/>
    <m/>
    <m/>
  </r>
  <r>
    <n v="4761"/>
    <n v="7504"/>
    <x v="83"/>
    <n v="3291.84"/>
    <s v="Completed"/>
    <s v="West"/>
    <s v="Credit Card"/>
    <m/>
    <m/>
  </r>
  <r>
    <n v="4762"/>
    <n v="6916"/>
    <x v="267"/>
    <n v="3291.84"/>
    <s v="Completed"/>
    <s v="West"/>
    <s v="PayPal"/>
    <m/>
    <m/>
  </r>
  <r>
    <n v="4763"/>
    <n v="4106"/>
    <x v="111"/>
    <n v="3291.84"/>
    <s v="Completed"/>
    <s v="Central"/>
    <s v="PayPal"/>
    <m/>
    <m/>
  </r>
  <r>
    <n v="4764"/>
    <n v="1814"/>
    <x v="281"/>
    <n v="3291.84"/>
    <s v="Completed"/>
    <s v="East"/>
    <s v="Apple Pay"/>
    <m/>
    <m/>
  </r>
  <r>
    <n v="4765"/>
    <n v="9124"/>
    <x v="31"/>
    <n v="3291.84"/>
    <s v="Completed"/>
    <s v="South"/>
    <s v="Credit Card"/>
    <m/>
    <m/>
  </r>
  <r>
    <n v="4766"/>
    <n v="7286"/>
    <x v="210"/>
    <n v="3291.84"/>
    <s v="Completed"/>
    <s v="South"/>
    <s v="Credit Card"/>
    <m/>
    <m/>
  </r>
  <r>
    <n v="4767"/>
    <n v="6553"/>
    <x v="202"/>
    <n v="3291.84"/>
    <s v="Completed"/>
    <s v="East"/>
    <s v="PayPal"/>
    <m/>
    <m/>
  </r>
  <r>
    <n v="4768"/>
    <n v="8701"/>
    <x v="266"/>
    <n v="3291.84"/>
    <s v="Completed"/>
    <s v="South"/>
    <s v="Debit Card"/>
    <m/>
    <m/>
  </r>
  <r>
    <n v="4769"/>
    <n v="4669"/>
    <x v="145"/>
    <n v="3291.84"/>
    <s v="Completed"/>
    <s v="South"/>
    <s v="Debit Card"/>
    <m/>
    <m/>
  </r>
  <r>
    <n v="4770"/>
    <n v="752"/>
    <x v="320"/>
    <n v="3291.84"/>
    <s v="Completed"/>
    <s v="East"/>
    <s v="Debit Card"/>
    <m/>
    <m/>
  </r>
  <r>
    <n v="4771"/>
    <n v="2871"/>
    <x v="96"/>
    <n v="3291.84"/>
    <s v="Completed"/>
    <s v="North"/>
    <s v="Debit Card"/>
    <m/>
    <m/>
  </r>
  <r>
    <n v="4772"/>
    <n v="6434"/>
    <x v="211"/>
    <n v="3291.84"/>
    <s v="Completed"/>
    <s v="North"/>
    <s v="Debit Card"/>
    <m/>
    <m/>
  </r>
  <r>
    <n v="4773"/>
    <n v="436"/>
    <x v="262"/>
    <n v="3291.84"/>
    <s v="Completed"/>
    <s v="South"/>
    <s v="Apple Pay"/>
    <m/>
    <m/>
  </r>
  <r>
    <n v="4774"/>
    <n v="3372"/>
    <x v="348"/>
    <n v="3291.84"/>
    <s v="Completed"/>
    <s v="North"/>
    <s v="Apple Pay"/>
    <m/>
    <m/>
  </r>
  <r>
    <n v="4775"/>
    <n v="9200"/>
    <x v="113"/>
    <n v="3291.84"/>
    <s v="Completed"/>
    <s v="Central"/>
    <s v="Debit Card"/>
    <m/>
    <m/>
  </r>
  <r>
    <n v="4776"/>
    <n v="1242"/>
    <x v="262"/>
    <n v="3291.84"/>
    <s v="Completed"/>
    <s v="West"/>
    <s v="Debit Card"/>
    <m/>
    <m/>
  </r>
  <r>
    <n v="4777"/>
    <n v="8223"/>
    <x v="52"/>
    <n v="3291.84"/>
    <s v="Completed"/>
    <s v="East"/>
    <s v="Credit Card"/>
    <m/>
    <m/>
  </r>
  <r>
    <n v="4778"/>
    <n v="3500"/>
    <x v="111"/>
    <n v="3291.84"/>
    <s v="Completed"/>
    <s v="West"/>
    <s v="Debit Card"/>
    <m/>
    <m/>
  </r>
  <r>
    <n v="4779"/>
    <n v="8616"/>
    <x v="74"/>
    <n v="3291.84"/>
    <s v="Completed"/>
    <s v="East"/>
    <s v="Debit Card"/>
    <m/>
    <m/>
  </r>
  <r>
    <n v="4780"/>
    <n v="5621"/>
    <x v="83"/>
    <n v="3291.84"/>
    <s v="Completed"/>
    <s v="Central"/>
    <s v="Debit Card"/>
    <m/>
    <m/>
  </r>
  <r>
    <n v="4781"/>
    <n v="800"/>
    <x v="237"/>
    <n v="3291.84"/>
    <s v="Completed"/>
    <s v="Central"/>
    <s v="Debit Card"/>
    <m/>
    <m/>
  </r>
  <r>
    <n v="4782"/>
    <n v="3460"/>
    <x v="152"/>
    <n v="3291.84"/>
    <s v="Completed"/>
    <s v="Central"/>
    <s v="Credit Card"/>
    <m/>
    <m/>
  </r>
  <r>
    <n v="4783"/>
    <n v="5283"/>
    <x v="248"/>
    <n v="3291.84"/>
    <s v="Completed"/>
    <s v="South"/>
    <s v="Debit Card"/>
    <m/>
    <m/>
  </r>
  <r>
    <n v="4784"/>
    <n v="6520"/>
    <x v="337"/>
    <n v="3291.84"/>
    <s v="Completed"/>
    <s v="East"/>
    <s v="Credit Card"/>
    <m/>
    <m/>
  </r>
  <r>
    <n v="4785"/>
    <n v="7540"/>
    <x v="263"/>
    <n v="3291.84"/>
    <s v="Completed"/>
    <s v="West"/>
    <s v="Apple Pay"/>
    <m/>
    <m/>
  </r>
  <r>
    <n v="4786"/>
    <n v="157"/>
    <x v="272"/>
    <n v="3291.84"/>
    <s v="Completed"/>
    <s v="South"/>
    <s v="Credit Card"/>
    <m/>
    <m/>
  </r>
  <r>
    <n v="4787"/>
    <n v="9833"/>
    <x v="275"/>
    <n v="3291.84"/>
    <s v="Completed"/>
    <s v="Central"/>
    <s v="Apple Pay"/>
    <m/>
    <m/>
  </r>
  <r>
    <n v="4788"/>
    <n v="7701"/>
    <x v="166"/>
    <n v="3291.84"/>
    <s v="Cancelled"/>
    <s v="South"/>
    <s v="Credit Card"/>
    <m/>
    <m/>
  </r>
  <r>
    <n v="4789"/>
    <n v="4026"/>
    <x v="97"/>
    <n v="3291.84"/>
    <s v="Completed"/>
    <s v="West"/>
    <s v="Apple Pay"/>
    <m/>
    <m/>
  </r>
  <r>
    <n v="4790"/>
    <n v="984"/>
    <x v="166"/>
    <n v="3291.84"/>
    <s v="Completed"/>
    <s v="North"/>
    <s v="PayPal"/>
    <m/>
    <m/>
  </r>
  <r>
    <n v="4791"/>
    <n v="8166"/>
    <x v="192"/>
    <n v="3291.84"/>
    <s v="Completed"/>
    <s v="West"/>
    <s v="Credit Card"/>
    <m/>
    <m/>
  </r>
  <r>
    <n v="4792"/>
    <n v="1654"/>
    <x v="137"/>
    <n v="3291.84"/>
    <s v="Completed"/>
    <s v="others"/>
    <s v="PayPal"/>
    <m/>
    <m/>
  </r>
  <r>
    <n v="4793"/>
    <n v="394"/>
    <x v="297"/>
    <n v="3291.84"/>
    <s v="Completed"/>
    <s v="West"/>
    <s v="Credit Card"/>
    <m/>
    <m/>
  </r>
  <r>
    <n v="4794"/>
    <n v="6134"/>
    <x v="156"/>
    <n v="3291.84"/>
    <s v="Completed"/>
    <s v="East"/>
    <s v="Apple Pay"/>
    <m/>
    <m/>
  </r>
  <r>
    <n v="4795"/>
    <n v="849"/>
    <x v="173"/>
    <n v="3291.84"/>
    <s v="Completed"/>
    <s v="Central"/>
    <s v="Debit Card"/>
    <m/>
    <m/>
  </r>
  <r>
    <n v="4796"/>
    <n v="4349"/>
    <x v="96"/>
    <n v="3291.84"/>
    <s v="Completed"/>
    <s v="West"/>
    <s v="Debit Card"/>
    <m/>
    <m/>
  </r>
  <r>
    <n v="4797"/>
    <n v="9796"/>
    <x v="312"/>
    <n v="3291.84"/>
    <s v="Completed"/>
    <s v="South"/>
    <s v="PayPal"/>
    <m/>
    <m/>
  </r>
  <r>
    <n v="4798"/>
    <n v="1221"/>
    <x v="321"/>
    <n v="3291.84"/>
    <s v="Completed"/>
    <s v="Central"/>
    <s v="PayPal"/>
    <m/>
    <m/>
  </r>
  <r>
    <n v="4799"/>
    <n v="2456"/>
    <x v="335"/>
    <n v="3291.84"/>
    <s v="Completed"/>
    <s v="West"/>
    <s v="Debit Card"/>
    <m/>
    <m/>
  </r>
  <r>
    <n v="4800"/>
    <n v="9237"/>
    <x v="204"/>
    <n v="3291.84"/>
    <s v="Completed"/>
    <s v="East"/>
    <s v="PayPal"/>
    <m/>
    <m/>
  </r>
  <r>
    <n v="4801"/>
    <n v="7789"/>
    <x v="31"/>
    <n v="3291.84"/>
    <s v="Completed"/>
    <s v="South"/>
    <s v="PayPal"/>
    <m/>
    <m/>
  </r>
  <r>
    <n v="4802"/>
    <n v="3101"/>
    <x v="355"/>
    <n v="3291.84"/>
    <s v="Completed"/>
    <s v="Central"/>
    <s v="Debit Card"/>
    <m/>
    <m/>
  </r>
  <r>
    <n v="4803"/>
    <n v="6895"/>
    <x v="131"/>
    <n v="3291.84"/>
    <s v="Completed"/>
    <s v="North"/>
    <s v="Apple Pay"/>
    <m/>
    <m/>
  </r>
  <r>
    <n v="4804"/>
    <n v="1365"/>
    <x v="24"/>
    <n v="3291.84"/>
    <s v="Completed"/>
    <s v="East"/>
    <s v="Credit Card"/>
    <m/>
    <m/>
  </r>
  <r>
    <n v="4805"/>
    <n v="4534"/>
    <x v="115"/>
    <n v="3291.84"/>
    <s v="Completed"/>
    <s v="North"/>
    <s v="Credit Card"/>
    <m/>
    <m/>
  </r>
  <r>
    <n v="4806"/>
    <n v="6462"/>
    <x v="127"/>
    <n v="3291.84"/>
    <s v="Completed"/>
    <s v="Central"/>
    <s v="Credit Card"/>
    <m/>
    <m/>
  </r>
  <r>
    <n v="4807"/>
    <n v="9482"/>
    <x v="18"/>
    <n v="3291.84"/>
    <s v="Completed"/>
    <s v="East"/>
    <s v="Apple Pay"/>
    <m/>
    <m/>
  </r>
  <r>
    <n v="4808"/>
    <n v="7148"/>
    <x v="238"/>
    <n v="3291.84"/>
    <s v="Completed"/>
    <s v="South"/>
    <s v="Credit Card"/>
    <m/>
    <m/>
  </r>
  <r>
    <n v="4809"/>
    <n v="9379"/>
    <x v="73"/>
    <n v="3291.84"/>
    <s v="Completed"/>
    <s v="North"/>
    <s v="PayPal"/>
    <m/>
    <m/>
  </r>
  <r>
    <n v="4810"/>
    <n v="1222"/>
    <x v="76"/>
    <n v="3291.84"/>
    <s v="Completed"/>
    <s v="South"/>
    <s v="PayPal"/>
    <m/>
    <m/>
  </r>
  <r>
    <n v="4811"/>
    <n v="5307"/>
    <x v="242"/>
    <n v="3291.84"/>
    <s v="Completed"/>
    <s v="North"/>
    <s v="PayPal"/>
    <m/>
    <m/>
  </r>
  <r>
    <n v="4812"/>
    <n v="3997"/>
    <x v="35"/>
    <n v="3291.84"/>
    <s v="Completed"/>
    <s v="East"/>
    <s v="Debit Card"/>
    <m/>
    <m/>
  </r>
  <r>
    <n v="4813"/>
    <n v="4499"/>
    <x v="3"/>
    <n v="3291.84"/>
    <s v="Completed"/>
    <s v="South"/>
    <s v="Credit Card"/>
    <m/>
    <m/>
  </r>
  <r>
    <n v="4814"/>
    <n v="8260"/>
    <x v="319"/>
    <n v="3291.84"/>
    <s v="Completed"/>
    <s v="South"/>
    <s v="Debit Card"/>
    <m/>
    <m/>
  </r>
  <r>
    <n v="4815"/>
    <n v="3540"/>
    <x v="13"/>
    <n v="3291.84"/>
    <s v="Completed"/>
    <s v="Central"/>
    <s v="Credit Card"/>
    <m/>
    <m/>
  </r>
  <r>
    <n v="4816"/>
    <n v="5358"/>
    <x v="256"/>
    <n v="3291.84"/>
    <s v="Completed"/>
    <s v="East"/>
    <s v="Credit Card"/>
    <m/>
    <m/>
  </r>
  <r>
    <n v="4817"/>
    <n v="1617"/>
    <x v="294"/>
    <n v="3291.84"/>
    <s v="Completed"/>
    <s v="West"/>
    <s v="Debit Card"/>
    <m/>
    <m/>
  </r>
  <r>
    <n v="4818"/>
    <n v="3547"/>
    <x v="163"/>
    <n v="3291.84"/>
    <s v="Completed"/>
    <s v="West"/>
    <s v="Debit Card"/>
    <m/>
    <m/>
  </r>
  <r>
    <n v="4819"/>
    <n v="9603"/>
    <x v="252"/>
    <n v="3291.84"/>
    <s v="Completed"/>
    <s v="North"/>
    <s v="Apple Pay"/>
    <m/>
    <m/>
  </r>
  <r>
    <n v="4820"/>
    <n v="8551"/>
    <x v="252"/>
    <n v="3291.84"/>
    <s v="Completed"/>
    <s v="South"/>
    <s v="Apple Pay"/>
    <m/>
    <m/>
  </r>
  <r>
    <n v="4821"/>
    <n v="8114"/>
    <x v="220"/>
    <n v="3291.84"/>
    <s v="Completed"/>
    <s v="West"/>
    <s v="PayPal"/>
    <m/>
    <m/>
  </r>
  <r>
    <n v="4822"/>
    <n v="430"/>
    <x v="132"/>
    <n v="3291.84"/>
    <s v="Completed"/>
    <s v="West"/>
    <s v="Debit Card"/>
    <m/>
    <m/>
  </r>
  <r>
    <n v="4823"/>
    <n v="356"/>
    <x v="78"/>
    <n v="3291.84"/>
    <s v="Cancelled"/>
    <s v="South"/>
    <s v="PayPal"/>
    <m/>
    <m/>
  </r>
  <r>
    <n v="4824"/>
    <n v="752"/>
    <x v="128"/>
    <n v="3291.84"/>
    <s v="Completed"/>
    <s v="East"/>
    <s v="PayPal"/>
    <m/>
    <m/>
  </r>
  <r>
    <n v="4825"/>
    <n v="7820"/>
    <x v="339"/>
    <n v="3291.84"/>
    <s v="Completed"/>
    <s v="Central"/>
    <s v="PayPal"/>
    <m/>
    <m/>
  </r>
  <r>
    <n v="4826"/>
    <n v="3405"/>
    <x v="34"/>
    <n v="3291.84"/>
    <s v="Completed"/>
    <s v="North"/>
    <s v="Credit Card"/>
    <m/>
    <m/>
  </r>
  <r>
    <n v="4827"/>
    <n v="1485"/>
    <x v="338"/>
    <n v="3291.84"/>
    <s v="Completed"/>
    <s v="East"/>
    <s v="PayPal"/>
    <m/>
    <m/>
  </r>
  <r>
    <n v="4828"/>
    <n v="445"/>
    <x v="1"/>
    <n v="3291.84"/>
    <s v="Completed"/>
    <s v="West"/>
    <s v="Apple Pay"/>
    <m/>
    <m/>
  </r>
  <r>
    <n v="4829"/>
    <n v="1334"/>
    <x v="21"/>
    <n v="3291.84"/>
    <s v="Completed"/>
    <s v="North"/>
    <s v="Debit Card"/>
    <m/>
    <m/>
  </r>
  <r>
    <n v="4830"/>
    <n v="7652"/>
    <x v="97"/>
    <n v="3291.84"/>
    <s v="Completed"/>
    <s v="East"/>
    <s v="Debit Card"/>
    <m/>
    <m/>
  </r>
  <r>
    <n v="4831"/>
    <n v="3173"/>
    <x v="7"/>
    <n v="3291.84"/>
    <s v="Completed"/>
    <s v="East"/>
    <s v="PayPal"/>
    <m/>
    <m/>
  </r>
  <r>
    <n v="4832"/>
    <n v="7206"/>
    <x v="300"/>
    <n v="3291.84"/>
    <s v="Completed"/>
    <s v="South"/>
    <s v="Debit Card"/>
    <m/>
    <m/>
  </r>
  <r>
    <n v="4833"/>
    <n v="6803"/>
    <x v="146"/>
    <n v="3291.84"/>
    <s v="Completed"/>
    <s v="Central"/>
    <s v="Credit Card"/>
    <m/>
    <m/>
  </r>
  <r>
    <n v="4834"/>
    <n v="9698"/>
    <x v="74"/>
    <n v="3291.84"/>
    <s v="Completed"/>
    <s v="South"/>
    <s v="Credit Card"/>
    <m/>
    <m/>
  </r>
  <r>
    <n v="4835"/>
    <n v="6765"/>
    <x v="237"/>
    <n v="3291.84"/>
    <s v="Completed"/>
    <s v="East"/>
    <s v="Apple Pay"/>
    <m/>
    <m/>
  </r>
  <r>
    <n v="4836"/>
    <n v="2518"/>
    <x v="172"/>
    <n v="3291.84"/>
    <s v="Completed"/>
    <s v="South"/>
    <s v="PayPal"/>
    <m/>
    <m/>
  </r>
  <r>
    <n v="4837"/>
    <n v="47"/>
    <x v="153"/>
    <n v="3291.84"/>
    <s v="Completed"/>
    <s v="West"/>
    <s v="Apple Pay"/>
    <m/>
    <m/>
  </r>
  <r>
    <n v="4838"/>
    <n v="6431"/>
    <x v="52"/>
    <n v="3291.84"/>
    <s v="Completed"/>
    <s v="East"/>
    <s v="Credit Card"/>
    <m/>
    <m/>
  </r>
  <r>
    <n v="4839"/>
    <n v="7885"/>
    <x v="51"/>
    <n v="3291.84"/>
    <s v="Completed"/>
    <s v="East"/>
    <s v="Debit Card"/>
    <m/>
    <m/>
  </r>
  <r>
    <n v="4840"/>
    <n v="7049"/>
    <x v="123"/>
    <n v="3291.84"/>
    <s v="Completed"/>
    <s v="Central"/>
    <s v="PayPal"/>
    <m/>
    <m/>
  </r>
  <r>
    <n v="4841"/>
    <n v="9374"/>
    <x v="19"/>
    <n v="3291.84"/>
    <s v="Completed"/>
    <s v="North"/>
    <s v="Credit Card"/>
    <m/>
    <m/>
  </r>
  <r>
    <n v="4842"/>
    <n v="9785"/>
    <x v="99"/>
    <n v="3291.84"/>
    <s v="Completed"/>
    <s v="North"/>
    <s v="Credit Card"/>
    <m/>
    <m/>
  </r>
  <r>
    <n v="4843"/>
    <n v="9534"/>
    <x v="50"/>
    <n v="3291.84"/>
    <s v="Completed"/>
    <s v="South"/>
    <s v="Debit Card"/>
    <m/>
    <m/>
  </r>
  <r>
    <n v="4844"/>
    <n v="8865"/>
    <x v="195"/>
    <n v="3291.84"/>
    <s v="Completed"/>
    <s v="East"/>
    <s v="Debit Card"/>
    <m/>
    <m/>
  </r>
  <r>
    <n v="4845"/>
    <n v="4513"/>
    <x v="28"/>
    <n v="3291.84"/>
    <s v="Completed"/>
    <s v="West"/>
    <s v="Debit Card"/>
    <m/>
    <m/>
  </r>
  <r>
    <n v="4846"/>
    <n v="4940"/>
    <x v="340"/>
    <n v="3291.84"/>
    <s v="Completed"/>
    <s v="Central"/>
    <s v="Apple Pay"/>
    <m/>
    <m/>
  </r>
  <r>
    <n v="4847"/>
    <n v="1295"/>
    <x v="271"/>
    <n v="3291.84"/>
    <s v="Completed"/>
    <s v="West"/>
    <s v="PayPal"/>
    <m/>
    <m/>
  </r>
  <r>
    <n v="4848"/>
    <n v="9028"/>
    <x v="208"/>
    <n v="3291.84"/>
    <s v="Returned"/>
    <s v="Central"/>
    <s v="PayPal"/>
    <m/>
    <m/>
  </r>
  <r>
    <n v="4849"/>
    <n v="9586"/>
    <x v="49"/>
    <n v="3291.84"/>
    <s v="Completed"/>
    <s v="East"/>
    <s v="Credit Card"/>
    <m/>
    <m/>
  </r>
  <r>
    <n v="4850"/>
    <n v="594"/>
    <x v="170"/>
    <n v="3291.84"/>
    <s v="Completed"/>
    <s v="South"/>
    <s v="Debit Card"/>
    <m/>
    <m/>
  </r>
  <r>
    <n v="4851"/>
    <n v="2314"/>
    <x v="26"/>
    <n v="3291.84"/>
    <s v="Completed"/>
    <s v="West"/>
    <s v="Apple Pay"/>
    <m/>
    <m/>
  </r>
  <r>
    <n v="4852"/>
    <n v="7658"/>
    <x v="44"/>
    <n v="3291.84"/>
    <s v="Completed"/>
    <s v="West"/>
    <s v="Debit Card"/>
    <m/>
    <m/>
  </r>
  <r>
    <n v="4853"/>
    <n v="2795"/>
    <x v="148"/>
    <n v="3291.84"/>
    <s v="Completed"/>
    <s v="North"/>
    <s v="PayPal"/>
    <m/>
    <m/>
  </r>
  <r>
    <n v="4854"/>
    <n v="534"/>
    <x v="97"/>
    <n v="3291.84"/>
    <s v="Completed"/>
    <s v="East"/>
    <s v="Credit Card"/>
    <m/>
    <m/>
  </r>
  <r>
    <n v="4855"/>
    <n v="8824"/>
    <x v="236"/>
    <n v="3291.84"/>
    <s v="Completed"/>
    <s v="West"/>
    <s v="Apple Pay"/>
    <m/>
    <m/>
  </r>
  <r>
    <n v="4856"/>
    <n v="4869"/>
    <x v="311"/>
    <n v="3291.84"/>
    <s v="Completed"/>
    <s v="West"/>
    <s v="Credit Card"/>
    <m/>
    <m/>
  </r>
  <r>
    <n v="4857"/>
    <n v="8043"/>
    <x v="92"/>
    <n v="3291.84"/>
    <s v="Completed"/>
    <s v="North"/>
    <s v="Apple Pay"/>
    <m/>
    <m/>
  </r>
  <r>
    <n v="4858"/>
    <n v="8284"/>
    <x v="356"/>
    <n v="3291.84"/>
    <s v="Completed"/>
    <s v="East"/>
    <s v="Apple Pay"/>
    <m/>
    <m/>
  </r>
  <r>
    <n v="4859"/>
    <n v="115"/>
    <x v="167"/>
    <n v="3291.84"/>
    <s v="Cancelled"/>
    <s v="East"/>
    <s v="Credit Card"/>
    <m/>
    <m/>
  </r>
  <r>
    <n v="4860"/>
    <n v="3891"/>
    <x v="46"/>
    <n v="3291.84"/>
    <s v="Completed"/>
    <s v="North"/>
    <s v="Debit Card"/>
    <m/>
    <m/>
  </r>
  <r>
    <n v="4861"/>
    <n v="3943"/>
    <x v="116"/>
    <n v="3291.84"/>
    <s v="Completed"/>
    <s v="North"/>
    <s v="Debit Card"/>
    <m/>
    <m/>
  </r>
  <r>
    <n v="4862"/>
    <n v="1192"/>
    <x v="52"/>
    <n v="3291.84"/>
    <s v="Completed"/>
    <s v="Central"/>
    <s v="Apple Pay"/>
    <m/>
    <m/>
  </r>
  <r>
    <n v="4863"/>
    <n v="1107"/>
    <x v="42"/>
    <n v="3291.84"/>
    <s v="Completed"/>
    <s v="East"/>
    <s v="Credit Card"/>
    <m/>
    <m/>
  </r>
  <r>
    <n v="4864"/>
    <n v="7352"/>
    <x v="96"/>
    <n v="3291.84"/>
    <s v="Completed"/>
    <s v="South"/>
    <s v="Apple Pay"/>
    <m/>
    <m/>
  </r>
  <r>
    <n v="4865"/>
    <n v="2604"/>
    <x v="56"/>
    <n v="3291.84"/>
    <s v="Completed"/>
    <s v="North"/>
    <s v="Debit Card"/>
    <m/>
    <m/>
  </r>
  <r>
    <n v="4866"/>
    <n v="7882"/>
    <x v="112"/>
    <n v="3291.84"/>
    <s v="Completed"/>
    <s v="North"/>
    <s v="PayPal"/>
    <m/>
    <m/>
  </r>
  <r>
    <n v="4867"/>
    <n v="1686"/>
    <x v="34"/>
    <n v="3291.84"/>
    <s v="Completed"/>
    <s v="North"/>
    <s v="Apple Pay"/>
    <m/>
    <m/>
  </r>
  <r>
    <n v="4868"/>
    <n v="2929"/>
    <x v="174"/>
    <n v="3291.84"/>
    <s v="Completed"/>
    <s v="South"/>
    <s v="Debit Card"/>
    <m/>
    <m/>
  </r>
  <r>
    <n v="4869"/>
    <n v="4985"/>
    <x v="143"/>
    <n v="3291.84"/>
    <s v="Completed"/>
    <s v="West"/>
    <s v="PayPal"/>
    <m/>
    <m/>
  </r>
  <r>
    <n v="4870"/>
    <n v="4050"/>
    <x v="72"/>
    <n v="3291.84"/>
    <s v="Completed"/>
    <s v="East"/>
    <s v="Apple Pay"/>
    <m/>
    <m/>
  </r>
  <r>
    <n v="4871"/>
    <n v="5449"/>
    <x v="55"/>
    <n v="3291.84"/>
    <s v="Completed"/>
    <s v="Central"/>
    <s v="PayPal"/>
    <m/>
    <m/>
  </r>
  <r>
    <n v="4872"/>
    <n v="890"/>
    <x v="132"/>
    <n v="3291.84"/>
    <s v="Completed"/>
    <s v="North"/>
    <s v="PayPal"/>
    <m/>
    <m/>
  </r>
  <r>
    <n v="4873"/>
    <n v="2431"/>
    <x v="324"/>
    <n v="3291.84"/>
    <s v="Completed"/>
    <s v="North"/>
    <s v="PayPal"/>
    <m/>
    <m/>
  </r>
  <r>
    <n v="4874"/>
    <n v="703"/>
    <x v="326"/>
    <n v="3291.84"/>
    <s v="Completed"/>
    <s v="East"/>
    <s v="Credit Card"/>
    <m/>
    <m/>
  </r>
  <r>
    <n v="4875"/>
    <n v="4953"/>
    <x v="206"/>
    <n v="3291.84"/>
    <s v="Completed"/>
    <s v="East"/>
    <s v="Credit Card"/>
    <m/>
    <m/>
  </r>
  <r>
    <n v="4876"/>
    <n v="1331"/>
    <x v="96"/>
    <n v="3291.84"/>
    <s v="Completed"/>
    <s v="West"/>
    <s v="PayPal"/>
    <m/>
    <m/>
  </r>
  <r>
    <n v="4877"/>
    <n v="4639"/>
    <x v="18"/>
    <n v="3291.84"/>
    <s v="Completed"/>
    <s v="North"/>
    <s v="Debit Card"/>
    <m/>
    <m/>
  </r>
  <r>
    <n v="4878"/>
    <n v="8980"/>
    <x v="1"/>
    <n v="3291.84"/>
    <s v="Completed"/>
    <s v="East"/>
    <s v="Apple Pay"/>
    <m/>
    <m/>
  </r>
  <r>
    <n v="4879"/>
    <n v="2189"/>
    <x v="182"/>
    <n v="3291.84"/>
    <s v="Completed"/>
    <s v="North"/>
    <s v="Credit Card"/>
    <m/>
    <m/>
  </r>
  <r>
    <n v="4880"/>
    <n v="2368"/>
    <x v="308"/>
    <n v="3291.84"/>
    <s v="Completed"/>
    <s v="North"/>
    <s v="Apple Pay"/>
    <m/>
    <m/>
  </r>
  <r>
    <n v="4881"/>
    <n v="7562"/>
    <x v="15"/>
    <n v="3291.84"/>
    <s v="Completed"/>
    <s v="North"/>
    <s v="Credit Card"/>
    <m/>
    <m/>
  </r>
  <r>
    <n v="4882"/>
    <n v="2575"/>
    <x v="205"/>
    <n v="3291.84"/>
    <s v="Completed"/>
    <s v="South"/>
    <s v="Debit Card"/>
    <m/>
    <m/>
  </r>
  <r>
    <n v="4883"/>
    <n v="3379"/>
    <x v="71"/>
    <n v="3291.84"/>
    <s v="Completed"/>
    <s v="Central"/>
    <s v="Credit Card"/>
    <m/>
    <m/>
  </r>
  <r>
    <n v="4884"/>
    <n v="8801"/>
    <x v="11"/>
    <n v="3291.84"/>
    <s v="Completed"/>
    <s v="West"/>
    <s v="Apple Pay"/>
    <m/>
    <m/>
  </r>
  <r>
    <n v="4885"/>
    <n v="2955"/>
    <x v="103"/>
    <n v="3291.84"/>
    <s v="Completed"/>
    <s v="North"/>
    <s v="Credit Card"/>
    <m/>
    <m/>
  </r>
  <r>
    <n v="4886"/>
    <n v="1686"/>
    <x v="268"/>
    <n v="3291.84"/>
    <s v="Completed"/>
    <s v="North"/>
    <s v="Credit Card"/>
    <m/>
    <m/>
  </r>
  <r>
    <n v="4887"/>
    <n v="6199"/>
    <x v="199"/>
    <n v="3291.84"/>
    <s v="Completed"/>
    <s v="East"/>
    <s v="Credit Card"/>
    <m/>
    <m/>
  </r>
  <r>
    <n v="4888"/>
    <n v="5793"/>
    <x v="182"/>
    <n v="3291.84"/>
    <s v="Completed"/>
    <s v="South"/>
    <s v="PayPal"/>
    <m/>
    <m/>
  </r>
  <r>
    <n v="4889"/>
    <n v="983"/>
    <x v="266"/>
    <n v="3291.84"/>
    <s v="Completed"/>
    <s v="West"/>
    <s v="PayPal"/>
    <m/>
    <m/>
  </r>
  <r>
    <n v="4890"/>
    <n v="1016"/>
    <x v="41"/>
    <n v="3291.84"/>
    <s v="Completed"/>
    <s v="East"/>
    <s v="Apple Pay"/>
    <m/>
    <m/>
  </r>
  <r>
    <n v="4891"/>
    <n v="1983"/>
    <x v="115"/>
    <n v="3291.84"/>
    <s v="Completed"/>
    <s v="South"/>
    <s v="Apple Pay"/>
    <m/>
    <m/>
  </r>
  <r>
    <n v="4892"/>
    <n v="3764"/>
    <x v="18"/>
    <n v="3291.84"/>
    <s v="Completed"/>
    <s v="North"/>
    <s v="PayPal"/>
    <m/>
    <m/>
  </r>
  <r>
    <n v="4893"/>
    <n v="3741"/>
    <x v="78"/>
    <n v="3291.84"/>
    <s v="Completed"/>
    <s v="West"/>
    <s v="Debit Card"/>
    <m/>
    <m/>
  </r>
  <r>
    <n v="4894"/>
    <n v="9537"/>
    <x v="127"/>
    <n v="3291.84"/>
    <s v="Completed"/>
    <s v="West"/>
    <s v="Credit Card"/>
    <m/>
    <m/>
  </r>
  <r>
    <n v="4895"/>
    <n v="4019"/>
    <x v="351"/>
    <n v="3291.84"/>
    <s v="Completed"/>
    <s v="South"/>
    <s v="PayPal"/>
    <m/>
    <m/>
  </r>
  <r>
    <n v="4896"/>
    <n v="2940"/>
    <x v="1"/>
    <n v="3291.84"/>
    <s v="Completed"/>
    <s v="East"/>
    <s v="Apple Pay"/>
    <m/>
    <m/>
  </r>
  <r>
    <n v="4897"/>
    <n v="6508"/>
    <x v="130"/>
    <n v="3291.84"/>
    <s v="Completed"/>
    <s v="West"/>
    <s v="Apple Pay"/>
    <m/>
    <m/>
  </r>
  <r>
    <n v="4898"/>
    <n v="7885"/>
    <x v="248"/>
    <n v="3291.84"/>
    <s v="Completed"/>
    <s v="East"/>
    <s v="Debit Card"/>
    <m/>
    <m/>
  </r>
  <r>
    <n v="4899"/>
    <n v="7005"/>
    <x v="37"/>
    <n v="3291.84"/>
    <s v="Completed"/>
    <s v="North"/>
    <s v="Apple Pay"/>
    <m/>
    <m/>
  </r>
  <r>
    <n v="4900"/>
    <n v="4788"/>
    <x v="355"/>
    <n v="3291.84"/>
    <s v="Completed"/>
    <s v="South"/>
    <s v="Credit Card"/>
    <m/>
    <m/>
  </r>
  <r>
    <n v="4901"/>
    <n v="23"/>
    <x v="185"/>
    <n v="3291.84"/>
    <s v="Returned"/>
    <s v="Central"/>
    <s v="PayPal"/>
    <m/>
    <m/>
  </r>
  <r>
    <n v="4902"/>
    <n v="7187"/>
    <x v="357"/>
    <n v="3291.84"/>
    <s v="Completed"/>
    <s v="East"/>
    <s v="Credit Card"/>
    <m/>
    <m/>
  </r>
  <r>
    <n v="4903"/>
    <n v="5512"/>
    <x v="244"/>
    <n v="3291.84"/>
    <s v="Completed"/>
    <s v="West"/>
    <s v="PayPal"/>
    <m/>
    <m/>
  </r>
  <r>
    <n v="4904"/>
    <n v="3281"/>
    <x v="155"/>
    <n v="3291.84"/>
    <s v="Completed"/>
    <s v="North"/>
    <s v="Credit Card"/>
    <m/>
    <m/>
  </r>
  <r>
    <n v="4905"/>
    <n v="2671"/>
    <x v="266"/>
    <n v="3291.84"/>
    <s v="Completed"/>
    <s v="East"/>
    <s v="PayPal"/>
    <m/>
    <m/>
  </r>
  <r>
    <n v="4906"/>
    <n v="2073"/>
    <x v="204"/>
    <n v="3291.84"/>
    <s v="Completed"/>
    <s v="West"/>
    <s v="Debit Card"/>
    <m/>
    <m/>
  </r>
  <r>
    <n v="4907"/>
    <n v="764"/>
    <x v="174"/>
    <n v="3291.84"/>
    <s v="Cancelled"/>
    <s v="East"/>
    <s v="Apple Pay"/>
    <m/>
    <m/>
  </r>
  <r>
    <n v="4908"/>
    <n v="6372"/>
    <x v="85"/>
    <n v="3291.84"/>
    <s v="Completed"/>
    <s v="West"/>
    <s v="PayPal"/>
    <m/>
    <m/>
  </r>
  <r>
    <n v="4909"/>
    <n v="7531"/>
    <x v="345"/>
    <n v="3291.84"/>
    <s v="Completed"/>
    <s v="Central"/>
    <s v="Debit Card"/>
    <m/>
    <m/>
  </r>
  <r>
    <n v="4910"/>
    <n v="3292"/>
    <x v="362"/>
    <n v="3291.84"/>
    <s v="Completed"/>
    <s v="West"/>
    <s v="PayPal"/>
    <m/>
    <m/>
  </r>
  <r>
    <n v="4911"/>
    <n v="4672"/>
    <x v="86"/>
    <n v="3291.84"/>
    <s v="Completed"/>
    <s v="South"/>
    <s v="Credit Card"/>
    <m/>
    <m/>
  </r>
  <r>
    <n v="4912"/>
    <n v="9201"/>
    <x v="245"/>
    <n v="3291.84"/>
    <s v="Completed"/>
    <s v="West"/>
    <s v="Credit Card"/>
    <m/>
    <m/>
  </r>
  <r>
    <n v="4913"/>
    <n v="217"/>
    <x v="296"/>
    <n v="3291.84"/>
    <s v="Completed"/>
    <s v="Central"/>
    <s v="Credit Card"/>
    <m/>
    <m/>
  </r>
  <r>
    <n v="4914"/>
    <n v="3510"/>
    <x v="200"/>
    <n v="3291.84"/>
    <s v="Completed"/>
    <s v="West"/>
    <s v="Credit Card"/>
    <m/>
    <m/>
  </r>
  <r>
    <n v="4915"/>
    <n v="8270"/>
    <x v="17"/>
    <n v="3291.84"/>
    <s v="Completed"/>
    <s v="North"/>
    <s v="Credit Card"/>
    <m/>
    <m/>
  </r>
  <r>
    <n v="4916"/>
    <n v="3156"/>
    <x v="139"/>
    <n v="3291.84"/>
    <s v="Completed"/>
    <s v="Central"/>
    <s v="Credit Card"/>
    <m/>
    <m/>
  </r>
  <r>
    <n v="4917"/>
    <n v="1392"/>
    <x v="79"/>
    <n v="3291.84"/>
    <s v="Cancelled"/>
    <s v="North"/>
    <s v="Credit Card"/>
    <m/>
    <m/>
  </r>
  <r>
    <n v="4918"/>
    <n v="5608"/>
    <x v="73"/>
    <n v="3291.84"/>
    <s v="Completed"/>
    <s v="East"/>
    <s v="Apple Pay"/>
    <m/>
    <m/>
  </r>
  <r>
    <n v="4919"/>
    <n v="5836"/>
    <x v="199"/>
    <n v="3291.84"/>
    <s v="Completed"/>
    <s v="Central"/>
    <s v="PayPal"/>
    <m/>
    <m/>
  </r>
  <r>
    <n v="4920"/>
    <n v="995"/>
    <x v="186"/>
    <n v="3291.84"/>
    <s v="Completed"/>
    <s v="West"/>
    <s v="PayPal"/>
    <m/>
    <m/>
  </r>
  <r>
    <n v="4921"/>
    <n v="6219"/>
    <x v="58"/>
    <n v="3291.84"/>
    <s v="Completed"/>
    <s v="South"/>
    <s v="PayPal"/>
    <m/>
    <m/>
  </r>
  <r>
    <n v="4922"/>
    <n v="5635"/>
    <x v="312"/>
    <n v="3291.84"/>
    <s v="Completed"/>
    <s v="West"/>
    <s v="Apple Pay"/>
    <m/>
    <m/>
  </r>
  <r>
    <n v="4923"/>
    <n v="9271"/>
    <x v="168"/>
    <n v="3291.84"/>
    <s v="Completed"/>
    <s v="Central"/>
    <s v="Credit Card"/>
    <m/>
    <m/>
  </r>
  <r>
    <n v="4924"/>
    <n v="328"/>
    <x v="139"/>
    <n v="3291.84"/>
    <s v="Completed"/>
    <s v="North"/>
    <s v="PayPal"/>
    <m/>
    <m/>
  </r>
  <r>
    <n v="4925"/>
    <n v="1473"/>
    <x v="329"/>
    <n v="3291.84"/>
    <s v="Completed"/>
    <s v="North"/>
    <s v="Apple Pay"/>
    <m/>
    <m/>
  </r>
  <r>
    <n v="4926"/>
    <n v="619"/>
    <x v="23"/>
    <n v="3291.84"/>
    <s v="Returned"/>
    <s v="West"/>
    <s v="Debit Card"/>
    <m/>
    <m/>
  </r>
  <r>
    <n v="4927"/>
    <n v="1031"/>
    <x v="27"/>
    <n v="3291.84"/>
    <s v="Completed"/>
    <s v="South"/>
    <s v="Credit Card"/>
    <m/>
    <m/>
  </r>
  <r>
    <n v="4928"/>
    <n v="8137"/>
    <x v="70"/>
    <n v="3291.84"/>
    <s v="Completed"/>
    <s v="Central"/>
    <s v="PayPal"/>
    <m/>
    <m/>
  </r>
  <r>
    <n v="4929"/>
    <n v="2140"/>
    <x v="289"/>
    <n v="3291.84"/>
    <s v="Completed"/>
    <s v="East"/>
    <s v="PayPal"/>
    <m/>
    <m/>
  </r>
  <r>
    <n v="4930"/>
    <n v="3793"/>
    <x v="306"/>
    <n v="3291.84"/>
    <s v="Completed"/>
    <s v="West"/>
    <s v="PayPal"/>
    <m/>
    <m/>
  </r>
  <r>
    <n v="4931"/>
    <n v="8026"/>
    <x v="74"/>
    <n v="3291.84"/>
    <s v="Completed"/>
    <s v="East"/>
    <s v="PayPal"/>
    <m/>
    <m/>
  </r>
  <r>
    <n v="4932"/>
    <n v="8036"/>
    <x v="89"/>
    <n v="3291.84"/>
    <s v="Completed"/>
    <s v="South"/>
    <s v="Credit Card"/>
    <m/>
    <m/>
  </r>
  <r>
    <n v="4933"/>
    <n v="6047"/>
    <x v="118"/>
    <n v="3291.84"/>
    <s v="Completed"/>
    <s v="East"/>
    <s v="Credit Card"/>
    <m/>
    <m/>
  </r>
  <r>
    <n v="4934"/>
    <n v="6783"/>
    <x v="200"/>
    <n v="3291.84"/>
    <s v="Completed"/>
    <s v="Central"/>
    <s v="Debit Card"/>
    <m/>
    <m/>
  </r>
  <r>
    <n v="4935"/>
    <n v="2612"/>
    <x v="277"/>
    <n v="3291.84"/>
    <s v="Completed"/>
    <s v="West"/>
    <s v="Apple Pay"/>
    <m/>
    <m/>
  </r>
  <r>
    <n v="4936"/>
    <n v="6420"/>
    <x v="243"/>
    <n v="3291.84"/>
    <s v="Completed"/>
    <s v="East"/>
    <s v="Apple Pay"/>
    <m/>
    <m/>
  </r>
  <r>
    <n v="4937"/>
    <n v="8476"/>
    <x v="170"/>
    <n v="3291.84"/>
    <s v="Completed"/>
    <s v="South"/>
    <s v="Debit Card"/>
    <m/>
    <m/>
  </r>
  <r>
    <n v="4938"/>
    <n v="4676"/>
    <x v="325"/>
    <n v="3291.84"/>
    <s v="Completed"/>
    <s v="South"/>
    <s v="PayPal"/>
    <m/>
    <m/>
  </r>
  <r>
    <n v="4939"/>
    <n v="3921"/>
    <x v="223"/>
    <n v="3291.84"/>
    <s v="Completed"/>
    <s v="West"/>
    <s v="Debit Card"/>
    <m/>
    <m/>
  </r>
  <r>
    <n v="4940"/>
    <n v="4437"/>
    <x v="12"/>
    <n v="3291.84"/>
    <s v="Cancelled"/>
    <s v="Central"/>
    <s v="Credit Card"/>
    <m/>
    <m/>
  </r>
  <r>
    <n v="4941"/>
    <n v="9147"/>
    <x v="12"/>
    <n v="3291.84"/>
    <s v="Completed"/>
    <s v="North"/>
    <s v="Credit Card"/>
    <m/>
    <m/>
  </r>
  <r>
    <n v="4942"/>
    <n v="2591"/>
    <x v="364"/>
    <n v="3291.84"/>
    <s v="Completed"/>
    <s v="East"/>
    <s v="PayPal"/>
    <m/>
    <m/>
  </r>
  <r>
    <n v="4943"/>
    <n v="1735"/>
    <x v="286"/>
    <n v="3291.84"/>
    <s v="Completed"/>
    <s v="Central"/>
    <s v="Debit Card"/>
    <m/>
    <m/>
  </r>
  <r>
    <n v="4944"/>
    <n v="4998"/>
    <x v="291"/>
    <n v="3291.84"/>
    <s v="Completed"/>
    <s v="West"/>
    <s v="Debit Card"/>
    <m/>
    <m/>
  </r>
  <r>
    <n v="4945"/>
    <n v="2296"/>
    <x v="180"/>
    <n v="3291.84"/>
    <s v="Completed"/>
    <s v="Central"/>
    <s v="Apple Pay"/>
    <m/>
    <m/>
  </r>
  <r>
    <n v="4946"/>
    <n v="5804"/>
    <x v="246"/>
    <n v="3291.84"/>
    <s v="Completed"/>
    <s v="East"/>
    <s v="PayPal"/>
    <m/>
    <m/>
  </r>
  <r>
    <n v="4947"/>
    <n v="7028"/>
    <x v="307"/>
    <n v="3291.84"/>
    <s v="Completed"/>
    <s v="Central"/>
    <s v="PayPal"/>
    <m/>
    <m/>
  </r>
  <r>
    <n v="4948"/>
    <n v="9669"/>
    <x v="82"/>
    <n v="3291.84"/>
    <s v="Completed"/>
    <s v="West"/>
    <s v="Credit Card"/>
    <m/>
    <m/>
  </r>
  <r>
    <n v="4949"/>
    <n v="8347"/>
    <x v="214"/>
    <n v="3291.84"/>
    <s v="Completed"/>
    <s v="North"/>
    <s v="PayPal"/>
    <m/>
    <m/>
  </r>
  <r>
    <n v="4950"/>
    <n v="6242"/>
    <x v="115"/>
    <n v="3291.84"/>
    <s v="Completed"/>
    <s v="West"/>
    <s v="Debit Card"/>
    <m/>
    <m/>
  </r>
  <r>
    <n v="4951"/>
    <n v="1242"/>
    <x v="216"/>
    <n v="3291.84"/>
    <s v="Completed"/>
    <s v="West"/>
    <s v="Apple Pay"/>
    <m/>
    <m/>
  </r>
  <r>
    <n v="4952"/>
    <n v="5017"/>
    <x v="270"/>
    <n v="3291.84"/>
    <s v="Completed"/>
    <s v="West"/>
    <s v="Apple Pay"/>
    <m/>
    <m/>
  </r>
  <r>
    <n v="4953"/>
    <n v="720"/>
    <x v="170"/>
    <n v="3291.84"/>
    <s v="Completed"/>
    <s v="South"/>
    <s v="PayPal"/>
    <m/>
    <m/>
  </r>
  <r>
    <n v="4954"/>
    <n v="8570"/>
    <x v="214"/>
    <n v="3291.84"/>
    <s v="Completed"/>
    <s v="West"/>
    <s v="Apple Pay"/>
    <m/>
    <m/>
  </r>
  <r>
    <n v="4955"/>
    <n v="4712"/>
    <x v="128"/>
    <n v="3291.84"/>
    <s v="Completed"/>
    <s v="South"/>
    <s v="PayPal"/>
    <m/>
    <m/>
  </r>
  <r>
    <n v="4956"/>
    <n v="2163"/>
    <x v="101"/>
    <n v="3291.84"/>
    <s v="Completed"/>
    <s v="East"/>
    <s v="Credit Card"/>
    <m/>
    <m/>
  </r>
  <r>
    <n v="4957"/>
    <n v="2057"/>
    <x v="41"/>
    <n v="3291.84"/>
    <s v="Completed"/>
    <s v="East"/>
    <s v="Debit Card"/>
    <m/>
    <m/>
  </r>
  <r>
    <n v="4958"/>
    <n v="3748"/>
    <x v="320"/>
    <n v="3291.84"/>
    <s v="Completed"/>
    <s v="West"/>
    <s v="Apple Pay"/>
    <m/>
    <m/>
  </r>
  <r>
    <n v="4959"/>
    <n v="328"/>
    <x v="98"/>
    <n v="3291.84"/>
    <s v="Completed"/>
    <s v="North"/>
    <s v="Apple Pay"/>
    <m/>
    <m/>
  </r>
  <r>
    <n v="4960"/>
    <n v="2292"/>
    <x v="235"/>
    <n v="3291.84"/>
    <s v="Completed"/>
    <s v="West"/>
    <s v="Debit Card"/>
    <m/>
    <m/>
  </r>
  <r>
    <n v="4961"/>
    <n v="1413"/>
    <x v="309"/>
    <n v="3291.84"/>
    <s v="Returned"/>
    <s v="East"/>
    <s v="PayPal"/>
    <m/>
    <m/>
  </r>
  <r>
    <n v="4962"/>
    <n v="4712"/>
    <x v="143"/>
    <n v="3291.84"/>
    <s v="Completed"/>
    <s v="South"/>
    <s v="Credit Card"/>
    <m/>
    <m/>
  </r>
  <r>
    <n v="4963"/>
    <n v="9090"/>
    <x v="237"/>
    <n v="3291.84"/>
    <s v="Completed"/>
    <s v="East"/>
    <s v="PayPal"/>
    <m/>
    <m/>
  </r>
  <r>
    <n v="4964"/>
    <n v="1127"/>
    <x v="162"/>
    <n v="3291.84"/>
    <s v="Completed"/>
    <s v="South"/>
    <s v="PayPal"/>
    <m/>
    <m/>
  </r>
  <r>
    <n v="4965"/>
    <n v="6754"/>
    <x v="60"/>
    <n v="3291.84"/>
    <s v="Completed"/>
    <s v="South"/>
    <s v="Apple Pay"/>
    <m/>
    <m/>
  </r>
  <r>
    <n v="4966"/>
    <n v="1646"/>
    <x v="225"/>
    <n v="3291.84"/>
    <s v="Completed"/>
    <s v="North"/>
    <s v="Credit Card"/>
    <m/>
    <m/>
  </r>
  <r>
    <n v="4967"/>
    <n v="3714"/>
    <x v="218"/>
    <n v="3291.84"/>
    <s v="Completed"/>
    <s v="South"/>
    <s v="Credit Card"/>
    <m/>
    <m/>
  </r>
  <r>
    <n v="4968"/>
    <n v="4759"/>
    <x v="90"/>
    <n v="3291.84"/>
    <s v="Completed"/>
    <s v="South"/>
    <s v="Credit Card"/>
    <m/>
    <m/>
  </r>
  <r>
    <n v="4969"/>
    <n v="5093"/>
    <x v="257"/>
    <n v="3291.84"/>
    <s v="Completed"/>
    <s v="South"/>
    <s v="Debit Card"/>
    <m/>
    <m/>
  </r>
  <r>
    <n v="4970"/>
    <n v="3770"/>
    <x v="239"/>
    <n v="3291.84"/>
    <s v="Completed"/>
    <s v="Central"/>
    <s v="Credit Card"/>
    <m/>
    <m/>
  </r>
  <r>
    <n v="4971"/>
    <n v="4214"/>
    <x v="213"/>
    <n v="3291.84"/>
    <s v="Completed"/>
    <s v="others"/>
    <s v="PayPal"/>
    <m/>
    <m/>
  </r>
  <r>
    <n v="4972"/>
    <n v="7457"/>
    <x v="331"/>
    <n v="3291.84"/>
    <s v="Completed"/>
    <s v="Central"/>
    <s v="PayPal"/>
    <m/>
    <m/>
  </r>
  <r>
    <n v="4973"/>
    <n v="646"/>
    <x v="244"/>
    <n v="3291.84"/>
    <s v="Completed"/>
    <s v="East"/>
    <s v="Credit Card"/>
    <m/>
    <m/>
  </r>
  <r>
    <n v="4974"/>
    <n v="9546"/>
    <x v="176"/>
    <n v="3291.84"/>
    <s v="Completed"/>
    <s v="East"/>
    <s v="PayPal"/>
    <m/>
    <m/>
  </r>
  <r>
    <n v="4975"/>
    <n v="9519"/>
    <x v="115"/>
    <n v="3291.84"/>
    <s v="Completed"/>
    <s v="North"/>
    <s v="Credit Card"/>
    <m/>
    <m/>
  </r>
  <r>
    <n v="4976"/>
    <n v="7388"/>
    <x v="202"/>
    <n v="3291.84"/>
    <s v="Completed"/>
    <s v="East"/>
    <s v="PayPal"/>
    <m/>
    <m/>
  </r>
  <r>
    <n v="4977"/>
    <n v="6287"/>
    <x v="137"/>
    <n v="3291.84"/>
    <s v="Completed"/>
    <s v="South"/>
    <s v="PayPal"/>
    <m/>
    <m/>
  </r>
  <r>
    <n v="4978"/>
    <n v="1140"/>
    <x v="196"/>
    <n v="3291.84"/>
    <s v="Completed"/>
    <s v="East"/>
    <s v="Credit Card"/>
    <m/>
    <m/>
  </r>
  <r>
    <n v="4979"/>
    <n v="1888"/>
    <x v="351"/>
    <n v="3291.84"/>
    <s v="Completed"/>
    <s v="East"/>
    <s v="Debit Card"/>
    <m/>
    <m/>
  </r>
  <r>
    <n v="4980"/>
    <n v="4672"/>
    <x v="228"/>
    <n v="3291.84"/>
    <s v="Completed"/>
    <s v="others"/>
    <s v="Debit Card"/>
    <m/>
    <m/>
  </r>
  <r>
    <n v="4981"/>
    <n v="1934"/>
    <x v="331"/>
    <n v="3291.84"/>
    <s v="Completed"/>
    <s v="East"/>
    <s v="PayPal"/>
    <m/>
    <m/>
  </r>
  <r>
    <n v="4982"/>
    <n v="8476"/>
    <x v="252"/>
    <n v="3291.84"/>
    <s v="Completed"/>
    <s v="South"/>
    <s v="Credit Card"/>
    <m/>
    <m/>
  </r>
  <r>
    <n v="4983"/>
    <n v="4612"/>
    <x v="34"/>
    <n v="3291.84"/>
    <s v="Completed"/>
    <s v="South"/>
    <s v="PayPal"/>
    <m/>
    <m/>
  </r>
  <r>
    <n v="4984"/>
    <n v="5817"/>
    <x v="190"/>
    <n v="3291.84"/>
    <s v="Completed"/>
    <s v="East"/>
    <s v="Debit Card"/>
    <m/>
    <m/>
  </r>
  <r>
    <n v="4985"/>
    <n v="1060"/>
    <x v="291"/>
    <n v="3291.84"/>
    <s v="Completed"/>
    <s v="South"/>
    <s v="Debit Card"/>
    <m/>
    <m/>
  </r>
  <r>
    <n v="4986"/>
    <n v="7036"/>
    <x v="152"/>
    <n v="3291.84"/>
    <s v="Completed"/>
    <s v="North"/>
    <s v="Apple Pay"/>
    <m/>
    <m/>
  </r>
  <r>
    <n v="4987"/>
    <n v="2377"/>
    <x v="203"/>
    <n v="3291.84"/>
    <s v="Completed"/>
    <s v="Central"/>
    <s v="PayPal"/>
    <m/>
    <m/>
  </r>
  <r>
    <n v="4988"/>
    <n v="6828"/>
    <x v="253"/>
    <n v="3291.84"/>
    <s v="Completed"/>
    <s v="North"/>
    <s v="PayPal"/>
    <m/>
    <m/>
  </r>
  <r>
    <n v="4989"/>
    <n v="223"/>
    <x v="63"/>
    <n v="3291.84"/>
    <s v="Cancelled"/>
    <s v="East"/>
    <s v="Credit Card"/>
    <m/>
    <m/>
  </r>
  <r>
    <n v="4990"/>
    <n v="6607"/>
    <x v="221"/>
    <n v="3291.84"/>
    <s v="Completed"/>
    <s v="West"/>
    <s v="PayPal"/>
    <m/>
    <m/>
  </r>
  <r>
    <n v="4991"/>
    <n v="2861"/>
    <x v="283"/>
    <n v="3291.84"/>
    <s v="Completed"/>
    <s v="North"/>
    <s v="Apple Pay"/>
    <m/>
    <m/>
  </r>
  <r>
    <n v="4992"/>
    <n v="5840"/>
    <x v="273"/>
    <n v="3291.84"/>
    <s v="Completed"/>
    <s v="West"/>
    <s v="Apple Pay"/>
    <m/>
    <m/>
  </r>
  <r>
    <n v="4993"/>
    <n v="3110"/>
    <x v="256"/>
    <n v="3291.84"/>
    <s v="Completed"/>
    <s v="Central"/>
    <s v="Credit Card"/>
    <m/>
    <m/>
  </r>
  <r>
    <n v="4994"/>
    <n v="7197"/>
    <x v="52"/>
    <n v="3291.84"/>
    <s v="Completed"/>
    <s v="West"/>
    <s v="Apple Pay"/>
    <m/>
    <m/>
  </r>
  <r>
    <n v="4995"/>
    <n v="8556"/>
    <x v="136"/>
    <n v="3291.84"/>
    <s v="Completed"/>
    <s v="North"/>
    <s v="Apple Pay"/>
    <m/>
    <m/>
  </r>
  <r>
    <n v="4996"/>
    <n v="4480"/>
    <x v="5"/>
    <n v="3291.84"/>
    <s v="Cancelled"/>
    <s v="Central"/>
    <s v="Apple Pay"/>
    <m/>
    <m/>
  </r>
  <r>
    <n v="4997"/>
    <n v="5918"/>
    <x v="296"/>
    <n v="3291.84"/>
    <s v="Completed"/>
    <s v="Central"/>
    <s v="Apple Pay"/>
    <m/>
    <m/>
  </r>
  <r>
    <n v="4998"/>
    <n v="6046"/>
    <x v="296"/>
    <n v="3291.84"/>
    <s v="Completed"/>
    <s v="Central"/>
    <s v="PayPal"/>
    <m/>
    <m/>
  </r>
  <r>
    <n v="4999"/>
    <n v="2716"/>
    <x v="230"/>
    <n v="3291.84"/>
    <s v="Completed"/>
    <s v="Central"/>
    <s v="Apple Pay"/>
    <m/>
    <m/>
  </r>
  <r>
    <n v="5000"/>
    <n v="863"/>
    <x v="150"/>
    <n v="3291.84"/>
    <s v="Completed"/>
    <s v="North"/>
    <s v="Debit Card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A3:H17" firstHeaderRow="1" firstDataRow="2" firstDataCol="1"/>
  <pivotFields count="8">
    <pivotField showAll="0"/>
    <pivotField showAll="0"/>
    <pivotField axis="axisRow" numFmtId="58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axis="axisCol" showAll="0">
      <items count="7">
        <item x="1"/>
        <item x="0"/>
        <item x="2"/>
        <item x="5"/>
        <item x="4"/>
        <item x="3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7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_amount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2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A32:C49" firstHeaderRow="1" firstDataRow="1" firstDataCol="0"/>
  <pivotFields count="10">
    <pivotField showAll="0"/>
    <pivotField showAll="0"/>
    <pivotField numFmtId="58" showAll="0"/>
    <pivotField showAll="0"/>
    <pivotField showAll="0"/>
    <pivotField showAll="0"/>
    <pivotField showAll="0"/>
    <pivotField showAll="0"/>
    <pivotField showAll="0"/>
    <pivotField defaultSubtotal="0"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 chartFormat="7">
  <location ref="A9:B22" firstHeaderRow="1" firstDataRow="1" firstDataCol="1"/>
  <pivotFields count="10">
    <pivotField showAll="0"/>
    <pivotField showAll="0"/>
    <pivotField axis="axisRow" numFmtId="58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9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amount" fld="3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9" type="button" dataOnly="0" labelOnly="1" outline="0" fieldPosition="0"/>
    </format>
    <format dxfId="3">
      <pivotArea dataOnly="0" labelOnly="1" fieldPosition="0">
        <references count="1">
          <reference field="9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">
      <pivotArea dataOnly="0" labelOnly="1" grandRow="1" outline="0" fieldPosition="0"/>
    </format>
    <format dxfId="5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 chartFormat="10">
  <location ref="A3:B9" firstHeaderRow="1" firstDataRow="1" firstDataCol="1"/>
  <pivotFields count="9">
    <pivotField showAll="0"/>
    <pivotField showAll="0"/>
    <pivotField numFmtId="58" showAll="0"/>
    <pivotField dataField="1" showAll="0"/>
    <pivotField showAll="0"/>
    <pivotField showAll="0"/>
    <pivotField showAll="0"/>
    <pivotField showAll="0"/>
    <pivotField axis="axisRow" measureFilter="1" showAll="0">
      <items count="201">
        <item x="89"/>
        <item x="93"/>
        <item x="94"/>
        <item x="97"/>
        <item x="101"/>
        <item x="103"/>
        <item x="116"/>
        <item x="88"/>
        <item x="120"/>
        <item x="130"/>
        <item x="137"/>
        <item x="141"/>
        <item x="142"/>
        <item x="147"/>
        <item x="148"/>
        <item x="122"/>
        <item x="150"/>
        <item x="156"/>
        <item x="158"/>
        <item x="159"/>
        <item x="11"/>
        <item x="12"/>
        <item x="17"/>
        <item x="25"/>
        <item x="26"/>
        <item x="28"/>
        <item x="30"/>
        <item x="32"/>
        <item x="51"/>
        <item x="52"/>
        <item x="56"/>
        <item x="41"/>
        <item x="71"/>
        <item x="72"/>
        <item x="73"/>
        <item x="77"/>
        <item x="179"/>
        <item x="183"/>
        <item x="185"/>
        <item x="192"/>
        <item x="194"/>
        <item x="165"/>
        <item x="168"/>
        <item x="90"/>
        <item x="81"/>
        <item x="102"/>
        <item x="106"/>
        <item x="109"/>
        <item x="110"/>
        <item x="118"/>
        <item x="13"/>
        <item x="21"/>
        <item x="24"/>
        <item x="27"/>
        <item x="2"/>
        <item x="33"/>
        <item x="34"/>
        <item x="39"/>
        <item x="4"/>
        <item x="5"/>
        <item x="132"/>
        <item x="121"/>
        <item x="143"/>
        <item x="145"/>
        <item x="146"/>
        <item x="149"/>
        <item x="0"/>
        <item x="9"/>
        <item x="19"/>
        <item x="22"/>
        <item x="31"/>
        <item x="35"/>
        <item x="3"/>
        <item x="169"/>
        <item x="171"/>
        <item x="178"/>
        <item x="180"/>
        <item x="181"/>
        <item x="182"/>
        <item x="193"/>
        <item x="198"/>
        <item x="164"/>
        <item x="166"/>
        <item x="167"/>
        <item x="172"/>
        <item x="176"/>
        <item x="177"/>
        <item x="188"/>
        <item x="190"/>
        <item x="196"/>
        <item x="197"/>
        <item x="163"/>
        <item x="160"/>
        <item x="170"/>
        <item x="173"/>
        <item x="174"/>
        <item x="184"/>
        <item x="162"/>
        <item x="189"/>
        <item x="199"/>
        <item x="40"/>
        <item x="53"/>
        <item x="58"/>
        <item x="74"/>
        <item x="75"/>
        <item x="79"/>
        <item x="45"/>
        <item x="14"/>
        <item x="15"/>
        <item x="16"/>
        <item x="1"/>
        <item x="20"/>
        <item x="29"/>
        <item x="7"/>
        <item x="8"/>
        <item x="133"/>
        <item x="135"/>
        <item x="136"/>
        <item x="123"/>
        <item x="125"/>
        <item x="126"/>
        <item x="127"/>
        <item x="10"/>
        <item x="18"/>
        <item x="23"/>
        <item x="36"/>
        <item x="37"/>
        <item x="38"/>
        <item x="6"/>
        <item x="80"/>
        <item x="91"/>
        <item x="95"/>
        <item x="96"/>
        <item x="99"/>
        <item x="108"/>
        <item x="112"/>
        <item x="113"/>
        <item x="84"/>
        <item x="85"/>
        <item x="86"/>
        <item x="105"/>
        <item x="119"/>
        <item x="49"/>
        <item x="59"/>
        <item x="61"/>
        <item x="63"/>
        <item x="66"/>
        <item x="67"/>
        <item x="68"/>
        <item x="47"/>
        <item x="54"/>
        <item x="55"/>
        <item x="57"/>
        <item x="62"/>
        <item x="64"/>
        <item x="65"/>
        <item x="69"/>
        <item x="70"/>
        <item x="43"/>
        <item x="44"/>
        <item x="175"/>
        <item x="161"/>
        <item x="186"/>
        <item x="187"/>
        <item x="191"/>
        <item x="195"/>
        <item x="92"/>
        <item x="98"/>
        <item x="100"/>
        <item x="104"/>
        <item x="107"/>
        <item x="82"/>
        <item x="111"/>
        <item x="114"/>
        <item x="115"/>
        <item x="117"/>
        <item x="83"/>
        <item x="87"/>
        <item x="129"/>
        <item x="131"/>
        <item x="138"/>
        <item x="140"/>
        <item x="144"/>
        <item x="153"/>
        <item x="155"/>
        <item x="157"/>
        <item x="124"/>
        <item x="128"/>
        <item x="134"/>
        <item x="139"/>
        <item x="151"/>
        <item x="152"/>
        <item x="154"/>
        <item x="50"/>
        <item x="60"/>
        <item x="42"/>
        <item x="76"/>
        <item x="78"/>
        <item x="46"/>
        <item x="48"/>
        <item t="default"/>
      </items>
    </pivotField>
  </pivotFields>
  <rowFields count="1">
    <field x="8"/>
  </rowFields>
  <rowItems count="6">
    <i>
      <x v="10"/>
    </i>
    <i>
      <x v="27"/>
    </i>
    <i>
      <x v="63"/>
    </i>
    <i>
      <x v="114"/>
    </i>
    <i>
      <x v="157"/>
    </i>
    <i t="grand">
      <x/>
    </i>
  </rowItems>
  <colItems count="1">
    <i/>
  </colItems>
  <dataFields count="1">
    <dataField name="Sum of total_amount" fld="3" baseField="0" baseItem="0"/>
  </dataFields>
  <pivotTableStyleInfo name="PivotStyleLight16" showRowHeaders="1" showColHeaders="1" showLastColumn="1"/>
  <filters count="1">
    <filter evalOrder="-1" fld="8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02"/>
  <sheetViews>
    <sheetView workbookViewId="0">
      <selection activeCell="I3" sqref="I3"/>
    </sheetView>
  </sheetViews>
  <sheetFormatPr defaultColWidth="9" defaultRowHeight="14.4"/>
  <cols>
    <col min="1" max="1" width="12.3333333333333" customWidth="1"/>
    <col min="2" max="2" width="18.6666666666667" customWidth="1"/>
    <col min="3" max="3" width="19.8888888888889" customWidth="1"/>
    <col min="4" max="4" width="19.5555555555556" customWidth="1"/>
    <col min="5" max="5" width="29.7777777777778" customWidth="1"/>
    <col min="6" max="6" width="27.3333333333333" customWidth="1"/>
    <col min="7" max="7" width="30" customWidth="1"/>
    <col min="8" max="8" width="22.1111111111111" customWidth="1"/>
    <col min="9" max="9" width="21.5555555555556" customWidth="1"/>
  </cols>
  <sheetData>
    <row r="1" ht="37.2" customHeight="1" spans="1:9">
      <c r="B1" s="32" t="s">
        <v>0</v>
      </c>
      <c r="C1" s="32"/>
      <c r="D1" s="32"/>
      <c r="E1" s="32"/>
      <c r="F1" s="32"/>
    </row>
    <row r="2" ht="18.75" spans="1:9">
      <c r="A2" s="33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15" t="s">
        <v>8</v>
      </c>
      <c r="I2" s="15" t="s">
        <v>9</v>
      </c>
    </row>
    <row r="3" ht="15.15" spans="1:9">
      <c r="A3" s="20">
        <v>1</v>
      </c>
      <c r="B3" s="20">
        <v>799</v>
      </c>
      <c r="C3" s="21">
        <v>45110</v>
      </c>
      <c r="D3" s="20">
        <v>3291.84</v>
      </c>
      <c r="E3" s="22" t="s">
        <v>10</v>
      </c>
      <c r="F3" s="22" t="s">
        <v>11</v>
      </c>
      <c r="G3" s="22" t="s">
        <v>12</v>
      </c>
      <c r="H3" s="16">
        <v>1</v>
      </c>
      <c r="I3" t="str">
        <f>VLOOKUP(H3,Product!A:B,2,FALSE)</f>
        <v>Dell Laptop Model 1</v>
      </c>
    </row>
    <row r="4" ht="15.15" spans="1:9">
      <c r="A4" s="20">
        <v>2</v>
      </c>
      <c r="B4" s="20">
        <v>5547</v>
      </c>
      <c r="C4" s="21">
        <v>45261</v>
      </c>
      <c r="D4" s="20">
        <v>3291.84</v>
      </c>
      <c r="E4" s="22" t="s">
        <v>10</v>
      </c>
      <c r="F4" s="22" t="s">
        <v>13</v>
      </c>
      <c r="G4" s="22" t="s">
        <v>12</v>
      </c>
      <c r="H4" s="16">
        <v>2</v>
      </c>
      <c r="I4" t="str">
        <f>VLOOKUP(H4,Product!A:B,2,FALSE)</f>
        <v>HP Laptop Model 2</v>
      </c>
    </row>
    <row r="5" ht="15.15" spans="1:9">
      <c r="A5" s="20">
        <v>3</v>
      </c>
      <c r="B5" s="20">
        <v>9198</v>
      </c>
      <c r="C5" s="21">
        <v>44991</v>
      </c>
      <c r="D5" s="20">
        <v>3291.84</v>
      </c>
      <c r="E5" s="22" t="s">
        <v>10</v>
      </c>
      <c r="F5" s="22" t="s">
        <v>11</v>
      </c>
      <c r="G5" s="22" t="s">
        <v>12</v>
      </c>
      <c r="H5" s="16">
        <v>3</v>
      </c>
      <c r="I5" t="str">
        <f>VLOOKUP(H5,Product!A:B,2,FALSE)</f>
        <v>ASUS Laptop Model 3</v>
      </c>
    </row>
    <row r="6" ht="15.15" spans="1:9">
      <c r="A6" s="20">
        <v>4</v>
      </c>
      <c r="B6" s="20">
        <v>4722</v>
      </c>
      <c r="C6" s="21">
        <v>45146</v>
      </c>
      <c r="D6" s="20">
        <v>3291.84</v>
      </c>
      <c r="E6" s="22" t="s">
        <v>10</v>
      </c>
      <c r="F6" s="22" t="s">
        <v>14</v>
      </c>
      <c r="G6" s="22" t="s">
        <v>15</v>
      </c>
      <c r="H6" s="16">
        <v>4</v>
      </c>
      <c r="I6" t="str">
        <f>VLOOKUP(H6,Product!A:B,2,FALSE)</f>
        <v>Dell Laptop Model 4</v>
      </c>
    </row>
    <row r="7" ht="15.15" spans="1:9">
      <c r="A7" s="20">
        <v>5</v>
      </c>
      <c r="B7" s="20">
        <v>1154</v>
      </c>
      <c r="C7" s="21">
        <v>45249</v>
      </c>
      <c r="D7" s="20">
        <v>3291.84</v>
      </c>
      <c r="E7" s="22" t="s">
        <v>10</v>
      </c>
      <c r="F7" s="22" t="s">
        <v>14</v>
      </c>
      <c r="G7" s="22" t="s">
        <v>12</v>
      </c>
      <c r="H7" s="16">
        <v>5</v>
      </c>
      <c r="I7" t="str">
        <f>VLOOKUP(H7,Product!A:B,2,FALSE)</f>
        <v>ASUS Laptop Model 5</v>
      </c>
    </row>
    <row r="8" ht="15.15" spans="1:9">
      <c r="A8" s="20">
        <v>6</v>
      </c>
      <c r="B8" s="20">
        <v>1460</v>
      </c>
      <c r="C8" s="21">
        <v>45162</v>
      </c>
      <c r="D8" s="20">
        <v>3291.84</v>
      </c>
      <c r="E8" s="22" t="s">
        <v>10</v>
      </c>
      <c r="F8" s="22" t="s">
        <v>16</v>
      </c>
      <c r="G8" s="22" t="s">
        <v>12</v>
      </c>
      <c r="H8" s="16">
        <v>6</v>
      </c>
      <c r="I8" t="str">
        <f>VLOOKUP(H8,Product!A:B,2,FALSE)</f>
        <v>ASUS Laptop Model 6</v>
      </c>
    </row>
    <row r="9" ht="15.15" spans="1:9">
      <c r="A9" s="20">
        <v>7</v>
      </c>
      <c r="B9" s="20">
        <v>1308</v>
      </c>
      <c r="C9" s="21">
        <v>45290</v>
      </c>
      <c r="D9" s="20">
        <v>3291.84</v>
      </c>
      <c r="E9" s="22" t="s">
        <v>10</v>
      </c>
      <c r="F9" s="22" t="s">
        <v>16</v>
      </c>
      <c r="G9" s="22" t="s">
        <v>17</v>
      </c>
      <c r="H9" s="16">
        <v>7</v>
      </c>
      <c r="I9" t="str">
        <f>VLOOKUP(H9,Product!A:B,2,FALSE)</f>
        <v>Lenovo Laptop Model 7</v>
      </c>
    </row>
    <row r="10" ht="15.15" spans="1:9">
      <c r="A10" s="20">
        <v>8</v>
      </c>
      <c r="B10" s="20">
        <v>3308</v>
      </c>
      <c r="C10" s="21">
        <v>45227</v>
      </c>
      <c r="D10" s="20">
        <v>3291.84</v>
      </c>
      <c r="E10" s="22" t="s">
        <v>10</v>
      </c>
      <c r="F10" s="22" t="s">
        <v>14</v>
      </c>
      <c r="G10" s="22" t="s">
        <v>12</v>
      </c>
      <c r="H10" s="16">
        <v>8</v>
      </c>
      <c r="I10" t="str">
        <f>VLOOKUP(H10,Product!A:B,2,FALSE)</f>
        <v>HP Laptop Model 8</v>
      </c>
    </row>
    <row r="11" ht="15.15" spans="1:9">
      <c r="A11" s="20">
        <v>9</v>
      </c>
      <c r="B11" s="20">
        <v>2724</v>
      </c>
      <c r="C11" s="21">
        <v>45025</v>
      </c>
      <c r="D11" s="20">
        <v>3291.84</v>
      </c>
      <c r="E11" s="22" t="s">
        <v>10</v>
      </c>
      <c r="F11" s="22" t="s">
        <v>11</v>
      </c>
      <c r="G11" s="22" t="s">
        <v>12</v>
      </c>
      <c r="H11" s="16">
        <v>9</v>
      </c>
      <c r="I11" t="str">
        <f>VLOOKUP(H11,Product!A:B,2,FALSE)</f>
        <v>HP Laptop Model 9</v>
      </c>
    </row>
    <row r="12" ht="15.15" spans="1:9">
      <c r="A12" s="20">
        <v>10</v>
      </c>
      <c r="B12" s="20">
        <v>3884</v>
      </c>
      <c r="C12" s="21">
        <v>45214</v>
      </c>
      <c r="D12" s="20">
        <v>3291.84</v>
      </c>
      <c r="E12" s="22" t="s">
        <v>10</v>
      </c>
      <c r="F12" s="22" t="s">
        <v>14</v>
      </c>
      <c r="G12" s="22" t="s">
        <v>12</v>
      </c>
      <c r="H12" s="16">
        <v>10</v>
      </c>
      <c r="I12" t="str">
        <f>VLOOKUP(H12,Product!A:B,2,FALSE)</f>
        <v>Dell Laptop Model 10</v>
      </c>
    </row>
    <row r="13" ht="15.15" spans="1:9">
      <c r="A13" s="20">
        <v>11</v>
      </c>
      <c r="B13" s="20">
        <v>1180</v>
      </c>
      <c r="C13" s="21">
        <v>45054</v>
      </c>
      <c r="D13" s="20">
        <v>3291.84</v>
      </c>
      <c r="E13" s="22" t="s">
        <v>10</v>
      </c>
      <c r="F13" s="22" t="s">
        <v>13</v>
      </c>
      <c r="G13" s="22" t="s">
        <v>15</v>
      </c>
      <c r="H13" s="16">
        <v>11</v>
      </c>
      <c r="I13" t="str">
        <f>VLOOKUP(H13,Product!A:B,2,FALSE)</f>
        <v>Lenovo Laptop Model 11</v>
      </c>
    </row>
    <row r="14" ht="15.15" spans="1:9">
      <c r="A14" s="20">
        <v>12</v>
      </c>
      <c r="B14" s="20">
        <v>9183</v>
      </c>
      <c r="C14" s="21">
        <v>45131</v>
      </c>
      <c r="D14" s="20">
        <v>3291.84</v>
      </c>
      <c r="E14" s="22" t="s">
        <v>10</v>
      </c>
      <c r="F14" s="22" t="s">
        <v>16</v>
      </c>
      <c r="G14" s="22" t="s">
        <v>15</v>
      </c>
      <c r="H14" s="16">
        <v>12</v>
      </c>
      <c r="I14" t="str">
        <f>VLOOKUP(H14,Product!A:B,2,FALSE)</f>
        <v>Apple Laptop Model 12</v>
      </c>
    </row>
    <row r="15" ht="15.15" spans="1:9">
      <c r="A15" s="20">
        <v>13</v>
      </c>
      <c r="B15" s="20">
        <v>7875</v>
      </c>
      <c r="C15" s="21">
        <v>45182</v>
      </c>
      <c r="D15" s="20">
        <v>3291.84</v>
      </c>
      <c r="E15" s="22" t="s">
        <v>10</v>
      </c>
      <c r="F15" s="22" t="s">
        <v>14</v>
      </c>
      <c r="G15" s="22" t="s">
        <v>17</v>
      </c>
      <c r="H15" s="16">
        <v>13</v>
      </c>
      <c r="I15" t="str">
        <f>VLOOKUP(H15,Product!A:B,2,FALSE)</f>
        <v>Apple Laptop Model 13</v>
      </c>
    </row>
    <row r="16" ht="15.15" spans="1:9">
      <c r="A16" s="20">
        <v>14</v>
      </c>
      <c r="B16" s="20">
        <v>7610</v>
      </c>
      <c r="C16" s="21">
        <v>45135</v>
      </c>
      <c r="D16" s="20">
        <v>3291.84</v>
      </c>
      <c r="E16" s="22" t="s">
        <v>10</v>
      </c>
      <c r="F16" s="22" t="s">
        <v>13</v>
      </c>
      <c r="G16" s="22" t="s">
        <v>15</v>
      </c>
      <c r="H16" s="16">
        <v>14</v>
      </c>
      <c r="I16" t="str">
        <f>VLOOKUP(H16,Product!A:B,2,FALSE)</f>
        <v>ASUS Laptop Model 14</v>
      </c>
    </row>
    <row r="17" ht="15.15" spans="1:9">
      <c r="A17" s="20">
        <v>15</v>
      </c>
      <c r="B17" s="20">
        <v>4366</v>
      </c>
      <c r="C17" s="21">
        <v>45128</v>
      </c>
      <c r="D17" s="20">
        <v>3291.84</v>
      </c>
      <c r="E17" s="22" t="s">
        <v>10</v>
      </c>
      <c r="F17" s="22" t="s">
        <v>18</v>
      </c>
      <c r="G17" s="22" t="s">
        <v>15</v>
      </c>
      <c r="H17" s="16">
        <v>15</v>
      </c>
      <c r="I17" t="str">
        <f>VLOOKUP(H17,Product!A:B,2,FALSE)</f>
        <v>HP Laptop Model 15</v>
      </c>
    </row>
    <row r="18" ht="15.15" spans="1:9">
      <c r="A18" s="20">
        <v>16</v>
      </c>
      <c r="B18" s="20">
        <v>9556</v>
      </c>
      <c r="C18" s="21">
        <v>45283</v>
      </c>
      <c r="D18" s="20">
        <v>3291.84</v>
      </c>
      <c r="E18" s="22" t="s">
        <v>10</v>
      </c>
      <c r="F18" s="22" t="s">
        <v>13</v>
      </c>
      <c r="G18" s="22" t="s">
        <v>12</v>
      </c>
      <c r="H18" s="16">
        <v>16</v>
      </c>
      <c r="I18" t="str">
        <f>VLOOKUP(H18,Product!A:B,2,FALSE)</f>
        <v>HP Laptop Model 16</v>
      </c>
    </row>
    <row r="19" ht="15.15" spans="1:9">
      <c r="A19" s="20">
        <v>17</v>
      </c>
      <c r="B19" s="20">
        <v>799</v>
      </c>
      <c r="C19" s="21">
        <v>45279</v>
      </c>
      <c r="D19" s="20">
        <v>3291.84</v>
      </c>
      <c r="E19" s="22" t="s">
        <v>10</v>
      </c>
      <c r="F19" s="22" t="s">
        <v>19</v>
      </c>
      <c r="G19" s="22" t="s">
        <v>20</v>
      </c>
      <c r="H19" s="16">
        <v>17</v>
      </c>
      <c r="I19" t="str">
        <f>VLOOKUP(H19,Product!A:B,2,FALSE)</f>
        <v>HP Laptop Model 17</v>
      </c>
    </row>
    <row r="20" ht="15.15" spans="1:9">
      <c r="A20" s="20">
        <v>18</v>
      </c>
      <c r="B20" s="20">
        <v>5978</v>
      </c>
      <c r="C20" s="21">
        <v>45276</v>
      </c>
      <c r="D20" s="20">
        <v>3291.84</v>
      </c>
      <c r="E20" s="22" t="s">
        <v>10</v>
      </c>
      <c r="F20" s="22" t="s">
        <v>19</v>
      </c>
      <c r="G20" s="22" t="s">
        <v>12</v>
      </c>
      <c r="H20" s="16">
        <v>18</v>
      </c>
      <c r="I20" t="str">
        <f>VLOOKUP(H20,Product!A:B,2,FALSE)</f>
        <v>Apple Laptop Model 18</v>
      </c>
    </row>
    <row r="21" ht="15.15" spans="1:9">
      <c r="A21" s="20">
        <v>19</v>
      </c>
      <c r="B21" s="20">
        <v>4676</v>
      </c>
      <c r="C21" s="21">
        <v>45238</v>
      </c>
      <c r="D21" s="20">
        <v>3291.84</v>
      </c>
      <c r="E21" s="22" t="s">
        <v>10</v>
      </c>
      <c r="F21" s="22" t="s">
        <v>18</v>
      </c>
      <c r="G21" s="22" t="s">
        <v>15</v>
      </c>
      <c r="H21" s="16">
        <v>19</v>
      </c>
      <c r="I21" t="str">
        <f>VLOOKUP(H21,Product!A:B,2,FALSE)</f>
        <v>Lenovo Laptop Model 19</v>
      </c>
    </row>
    <row r="22" ht="15.15" spans="1:9">
      <c r="A22" s="20">
        <v>20</v>
      </c>
      <c r="B22" s="20">
        <v>4057</v>
      </c>
      <c r="C22" s="21">
        <v>45150</v>
      </c>
      <c r="D22" s="20">
        <v>3291.84</v>
      </c>
      <c r="E22" s="22" t="s">
        <v>10</v>
      </c>
      <c r="F22" s="22" t="s">
        <v>11</v>
      </c>
      <c r="G22" s="22" t="s">
        <v>12</v>
      </c>
      <c r="H22" s="16">
        <v>20</v>
      </c>
      <c r="I22" t="str">
        <f>VLOOKUP(H22,Product!A:B,2,FALSE)</f>
        <v>Dell Laptop Model 20</v>
      </c>
    </row>
    <row r="23" ht="15.15" spans="1:9">
      <c r="A23" s="20">
        <v>21</v>
      </c>
      <c r="B23" s="20">
        <v>2428</v>
      </c>
      <c r="C23" s="21">
        <v>45105</v>
      </c>
      <c r="D23" s="20">
        <v>3291.84</v>
      </c>
      <c r="E23" s="22" t="s">
        <v>10</v>
      </c>
      <c r="F23" s="22" t="s">
        <v>11</v>
      </c>
      <c r="G23" s="22" t="s">
        <v>17</v>
      </c>
      <c r="H23" s="16">
        <v>21</v>
      </c>
      <c r="I23" t="str">
        <f>VLOOKUP(H23,Product!A:B,2,FALSE)</f>
        <v>HP Laptop Model 21</v>
      </c>
    </row>
    <row r="24" ht="15.15" spans="1:9">
      <c r="A24" s="20">
        <v>22</v>
      </c>
      <c r="B24" s="20">
        <v>3514</v>
      </c>
      <c r="C24" s="21">
        <v>45285</v>
      </c>
      <c r="D24" s="20">
        <v>3291.84</v>
      </c>
      <c r="E24" s="22" t="s">
        <v>10</v>
      </c>
      <c r="F24" s="22" t="s">
        <v>18</v>
      </c>
      <c r="G24" s="22" t="s">
        <v>17</v>
      </c>
      <c r="H24" s="16">
        <v>22</v>
      </c>
      <c r="I24" t="str">
        <f>VLOOKUP(H24,Product!A:B,2,FALSE)</f>
        <v>ASUS Laptop Model 22</v>
      </c>
    </row>
    <row r="25" ht="15.15" spans="1:9">
      <c r="A25" s="20">
        <v>23</v>
      </c>
      <c r="B25" s="20">
        <v>9743</v>
      </c>
      <c r="C25" s="21">
        <v>45120</v>
      </c>
      <c r="D25" s="20">
        <v>3291.84</v>
      </c>
      <c r="E25" s="22" t="s">
        <v>10</v>
      </c>
      <c r="F25" s="22" t="s">
        <v>11</v>
      </c>
      <c r="G25" s="22" t="s">
        <v>17</v>
      </c>
      <c r="H25" s="16">
        <v>23</v>
      </c>
      <c r="I25" t="str">
        <f>VLOOKUP(H25,Product!A:B,2,FALSE)</f>
        <v>Dell Laptop Model 23</v>
      </c>
    </row>
    <row r="26" ht="15.15" spans="1:9">
      <c r="A26" s="20">
        <v>24</v>
      </c>
      <c r="B26" s="20">
        <v>4501</v>
      </c>
      <c r="C26" s="21">
        <v>44930</v>
      </c>
      <c r="D26" s="20">
        <v>3291.84</v>
      </c>
      <c r="E26" s="22" t="s">
        <v>21</v>
      </c>
      <c r="F26" s="22" t="s">
        <v>18</v>
      </c>
      <c r="G26" s="22" t="s">
        <v>17</v>
      </c>
      <c r="H26" s="16">
        <v>24</v>
      </c>
      <c r="I26" t="str">
        <f>VLOOKUP(H26,Product!A:B,2,FALSE)</f>
        <v>Lenovo Laptop Model 24</v>
      </c>
    </row>
    <row r="27" ht="15.15" spans="1:9">
      <c r="A27" s="20">
        <v>25</v>
      </c>
      <c r="B27" s="20">
        <v>9749</v>
      </c>
      <c r="C27" s="21">
        <v>45168</v>
      </c>
      <c r="D27" s="20">
        <v>3291.84</v>
      </c>
      <c r="E27" s="22" t="s">
        <v>10</v>
      </c>
      <c r="F27" s="22" t="s">
        <v>16</v>
      </c>
      <c r="G27" s="22" t="s">
        <v>12</v>
      </c>
      <c r="H27" s="16">
        <v>25</v>
      </c>
      <c r="I27" t="str">
        <f>VLOOKUP(H27,Product!A:B,2,FALSE)</f>
        <v>ASUS Laptop Model 25</v>
      </c>
    </row>
    <row r="28" ht="15.15" spans="1:9">
      <c r="A28" s="20">
        <v>26</v>
      </c>
      <c r="B28" s="20">
        <v>9799</v>
      </c>
      <c r="C28" s="21">
        <v>44961</v>
      </c>
      <c r="D28" s="20">
        <v>3291.84</v>
      </c>
      <c r="E28" s="22" t="s">
        <v>10</v>
      </c>
      <c r="F28" s="22" t="s">
        <v>13</v>
      </c>
      <c r="G28" s="22" t="s">
        <v>17</v>
      </c>
      <c r="H28" s="16">
        <v>26</v>
      </c>
      <c r="I28" t="str">
        <f>VLOOKUP(H28,Product!A:B,2,FALSE)</f>
        <v>Apple Laptop Model 26</v>
      </c>
    </row>
    <row r="29" ht="15.15" spans="1:9">
      <c r="A29" s="20">
        <v>27</v>
      </c>
      <c r="B29" s="20">
        <v>4031</v>
      </c>
      <c r="C29" s="21">
        <v>45119</v>
      </c>
      <c r="D29" s="20">
        <v>3291.84</v>
      </c>
      <c r="E29" s="22" t="s">
        <v>10</v>
      </c>
      <c r="F29" s="22" t="s">
        <v>18</v>
      </c>
      <c r="G29" s="22" t="s">
        <v>20</v>
      </c>
      <c r="H29" s="16">
        <v>27</v>
      </c>
      <c r="I29" t="str">
        <f>VLOOKUP(H29,Product!A:B,2,FALSE)</f>
        <v>Apple Laptop Model 27</v>
      </c>
    </row>
    <row r="30" ht="15.15" spans="1:9">
      <c r="A30" s="20">
        <v>28</v>
      </c>
      <c r="B30" s="20">
        <v>6404</v>
      </c>
      <c r="C30" s="21">
        <v>45209</v>
      </c>
      <c r="D30" s="20">
        <v>3291.84</v>
      </c>
      <c r="E30" s="22" t="s">
        <v>22</v>
      </c>
      <c r="F30" s="22" t="s">
        <v>11</v>
      </c>
      <c r="G30" s="22" t="s">
        <v>17</v>
      </c>
      <c r="H30" s="16">
        <v>28</v>
      </c>
      <c r="I30" t="str">
        <f>VLOOKUP(H30,Product!A:B,2,FALSE)</f>
        <v>ASUS Laptop Model 28</v>
      </c>
    </row>
    <row r="31" ht="15.15" spans="1:9">
      <c r="A31" s="20">
        <v>29</v>
      </c>
      <c r="B31" s="20">
        <v>6151</v>
      </c>
      <c r="C31" s="21">
        <v>45117</v>
      </c>
      <c r="D31" s="20">
        <v>3291.84</v>
      </c>
      <c r="E31" s="22" t="s">
        <v>10</v>
      </c>
      <c r="F31" s="22" t="s">
        <v>19</v>
      </c>
      <c r="G31" s="22" t="s">
        <v>15</v>
      </c>
      <c r="H31" s="16">
        <v>29</v>
      </c>
      <c r="I31" t="str">
        <f>VLOOKUP(H31,Product!A:B,2,FALSE)</f>
        <v>Apple Laptop Model 29</v>
      </c>
    </row>
    <row r="32" ht="15.15" spans="1:9">
      <c r="A32" s="20">
        <v>30</v>
      </c>
      <c r="B32" s="20">
        <v>3505</v>
      </c>
      <c r="C32" s="21">
        <v>45263</v>
      </c>
      <c r="D32" s="20">
        <v>3291.84</v>
      </c>
      <c r="E32" s="22" t="s">
        <v>10</v>
      </c>
      <c r="F32" s="22" t="s">
        <v>16</v>
      </c>
      <c r="G32" s="22" t="s">
        <v>12</v>
      </c>
      <c r="H32" s="16">
        <v>30</v>
      </c>
      <c r="I32" t="str">
        <f>VLOOKUP(H32,Product!A:B,2,FALSE)</f>
        <v>HP Laptop Model 30</v>
      </c>
    </row>
    <row r="33" ht="15.15" spans="1:9">
      <c r="A33" s="20">
        <v>31</v>
      </c>
      <c r="B33" s="20">
        <v>2726</v>
      </c>
      <c r="C33" s="21">
        <v>45037</v>
      </c>
      <c r="D33" s="20">
        <v>3291.84</v>
      </c>
      <c r="E33" s="22" t="s">
        <v>10</v>
      </c>
      <c r="F33" s="22" t="s">
        <v>18</v>
      </c>
      <c r="G33" s="22" t="s">
        <v>15</v>
      </c>
      <c r="H33" s="16">
        <v>31</v>
      </c>
      <c r="I33" t="str">
        <f>VLOOKUP(H33,Product!A:B,2,FALSE)</f>
        <v>Apple Laptop Model 31</v>
      </c>
    </row>
    <row r="34" ht="15.15" spans="1:9">
      <c r="A34" s="20">
        <v>32</v>
      </c>
      <c r="B34" s="20">
        <v>4985</v>
      </c>
      <c r="C34" s="21">
        <v>45038</v>
      </c>
      <c r="D34" s="20">
        <v>3291.84</v>
      </c>
      <c r="E34" s="22" t="s">
        <v>10</v>
      </c>
      <c r="F34" s="22" t="s">
        <v>16</v>
      </c>
      <c r="G34" s="22" t="s">
        <v>17</v>
      </c>
      <c r="H34" s="16">
        <v>32</v>
      </c>
      <c r="I34" t="str">
        <f>VLOOKUP(H34,Product!A:B,2,FALSE)</f>
        <v>Dell Laptop Model 32</v>
      </c>
    </row>
    <row r="35" ht="15.15" spans="1:9">
      <c r="A35" s="20">
        <v>33</v>
      </c>
      <c r="B35" s="20">
        <v>537</v>
      </c>
      <c r="C35" s="21">
        <v>45137</v>
      </c>
      <c r="D35" s="20">
        <v>3291.84</v>
      </c>
      <c r="E35" s="22" t="s">
        <v>10</v>
      </c>
      <c r="F35" s="22" t="s">
        <v>16</v>
      </c>
      <c r="G35" s="22" t="s">
        <v>17</v>
      </c>
      <c r="H35" s="16">
        <v>33</v>
      </c>
      <c r="I35" t="str">
        <f>VLOOKUP(H35,Product!A:B,2,FALSE)</f>
        <v>Apple Laptop Model 33</v>
      </c>
    </row>
    <row r="36" ht="15.15" spans="1:9">
      <c r="A36" s="20">
        <v>34</v>
      </c>
      <c r="B36" s="20">
        <v>2445</v>
      </c>
      <c r="C36" s="21">
        <v>45188</v>
      </c>
      <c r="D36" s="20">
        <v>3291.84</v>
      </c>
      <c r="E36" s="22" t="s">
        <v>10</v>
      </c>
      <c r="F36" s="22" t="s">
        <v>16</v>
      </c>
      <c r="G36" s="22" t="s">
        <v>12</v>
      </c>
      <c r="H36" s="16">
        <v>34</v>
      </c>
      <c r="I36" t="str">
        <f>VLOOKUP(H36,Product!A:B,2,FALSE)</f>
        <v>ASUS Laptop Model 34</v>
      </c>
    </row>
    <row r="37" ht="15.15" spans="1:9">
      <c r="A37" s="20">
        <v>35</v>
      </c>
      <c r="B37" s="20">
        <v>9082</v>
      </c>
      <c r="C37" s="21">
        <v>45110</v>
      </c>
      <c r="D37" s="20">
        <v>3291.84</v>
      </c>
      <c r="E37" s="22" t="s">
        <v>10</v>
      </c>
      <c r="F37" s="22" t="s">
        <v>16</v>
      </c>
      <c r="G37" s="22" t="s">
        <v>17</v>
      </c>
      <c r="H37" s="16">
        <v>35</v>
      </c>
      <c r="I37" t="str">
        <f>VLOOKUP(H37,Product!A:B,2,FALSE)</f>
        <v>ASUS Laptop Model 35</v>
      </c>
    </row>
    <row r="38" ht="15.15" spans="1:9">
      <c r="A38" s="20">
        <v>36</v>
      </c>
      <c r="B38" s="20">
        <v>5591</v>
      </c>
      <c r="C38" s="21">
        <v>45246</v>
      </c>
      <c r="D38" s="20">
        <v>3291.84</v>
      </c>
      <c r="E38" s="22" t="s">
        <v>10</v>
      </c>
      <c r="F38" s="22" t="s">
        <v>16</v>
      </c>
      <c r="G38" s="22" t="s">
        <v>12</v>
      </c>
      <c r="H38" s="16">
        <v>36</v>
      </c>
      <c r="I38" t="str">
        <f>VLOOKUP(H38,Product!A:B,2,FALSE)</f>
        <v>Dell Laptop Model 36</v>
      </c>
    </row>
    <row r="39" ht="15.15" spans="1:9">
      <c r="A39" s="20">
        <v>37</v>
      </c>
      <c r="B39" s="20">
        <v>5023</v>
      </c>
      <c r="C39" s="21">
        <v>45253</v>
      </c>
      <c r="D39" s="20">
        <v>3291.84</v>
      </c>
      <c r="E39" s="22" t="s">
        <v>10</v>
      </c>
      <c r="F39" s="22" t="s">
        <v>18</v>
      </c>
      <c r="G39" s="22" t="s">
        <v>20</v>
      </c>
      <c r="H39" s="16">
        <v>37</v>
      </c>
      <c r="I39" t="str">
        <f>VLOOKUP(H39,Product!A:B,2,FALSE)</f>
        <v>Lenovo Laptop Model 37</v>
      </c>
    </row>
    <row r="40" ht="15.15" spans="1:9">
      <c r="A40" s="20">
        <v>38</v>
      </c>
      <c r="B40" s="20">
        <v>8865</v>
      </c>
      <c r="C40" s="21">
        <v>45176</v>
      </c>
      <c r="D40" s="20">
        <v>3291.84</v>
      </c>
      <c r="E40" s="22" t="s">
        <v>10</v>
      </c>
      <c r="F40" s="22" t="s">
        <v>11</v>
      </c>
      <c r="G40" s="22" t="s">
        <v>12</v>
      </c>
      <c r="H40" s="16">
        <v>38</v>
      </c>
      <c r="I40" t="str">
        <f>VLOOKUP(H40,Product!A:B,2,FALSE)</f>
        <v>Lenovo Laptop Model 38</v>
      </c>
    </row>
    <row r="41" ht="15.15" spans="1:9">
      <c r="A41" s="20">
        <v>39</v>
      </c>
      <c r="B41" s="20">
        <v>6670</v>
      </c>
      <c r="C41" s="21">
        <v>45040</v>
      </c>
      <c r="D41" s="20">
        <v>3291.84</v>
      </c>
      <c r="E41" s="22" t="s">
        <v>10</v>
      </c>
      <c r="F41" s="22" t="s">
        <v>16</v>
      </c>
      <c r="G41" s="22" t="s">
        <v>15</v>
      </c>
      <c r="H41" s="16">
        <v>39</v>
      </c>
      <c r="I41" t="str">
        <f>VLOOKUP(H41,Product!A:B,2,FALSE)</f>
        <v>Lenovo Laptop Model 39</v>
      </c>
    </row>
    <row r="42" ht="15.15" spans="1:9">
      <c r="A42" s="20">
        <v>40</v>
      </c>
      <c r="B42" s="20">
        <v>5687</v>
      </c>
      <c r="C42" s="21">
        <v>45076</v>
      </c>
      <c r="D42" s="20">
        <v>3291.84</v>
      </c>
      <c r="E42" s="22" t="s">
        <v>10</v>
      </c>
      <c r="F42" s="22" t="s">
        <v>14</v>
      </c>
      <c r="G42" s="22" t="s">
        <v>20</v>
      </c>
      <c r="H42" s="16">
        <v>40</v>
      </c>
      <c r="I42" t="str">
        <f>VLOOKUP(H42,Product!A:B,2,FALSE)</f>
        <v>ASUS Laptop Model 40</v>
      </c>
    </row>
    <row r="43" ht="15.15" spans="1:9">
      <c r="A43" s="20">
        <v>41</v>
      </c>
      <c r="B43" s="20">
        <v>9437</v>
      </c>
      <c r="C43" s="21">
        <v>45030</v>
      </c>
      <c r="D43" s="20">
        <v>3291.84</v>
      </c>
      <c r="E43" s="22" t="s">
        <v>10</v>
      </c>
      <c r="F43" s="22" t="s">
        <v>18</v>
      </c>
      <c r="G43" s="22" t="s">
        <v>20</v>
      </c>
      <c r="H43" s="16">
        <v>41</v>
      </c>
      <c r="I43" t="str">
        <f>VLOOKUP(H43,Product!A:B,2,FALSE)</f>
        <v>Google Smartphone Model 1</v>
      </c>
    </row>
    <row r="44" ht="15.15" spans="1:9">
      <c r="A44" s="20">
        <v>42</v>
      </c>
      <c r="B44" s="20">
        <v>326</v>
      </c>
      <c r="C44" s="21">
        <v>44962</v>
      </c>
      <c r="D44" s="20">
        <v>3291.84</v>
      </c>
      <c r="E44" s="22" t="s">
        <v>10</v>
      </c>
      <c r="F44" s="22" t="s">
        <v>11</v>
      </c>
      <c r="G44" s="22" t="s">
        <v>20</v>
      </c>
      <c r="H44" s="16">
        <v>42</v>
      </c>
      <c r="I44" t="str">
        <f>VLOOKUP(H44,Product!A:B,2,FALSE)</f>
        <v>Apple Smartphone Model 2</v>
      </c>
    </row>
    <row r="45" ht="15.15" spans="1:9">
      <c r="A45" s="20">
        <v>43</v>
      </c>
      <c r="B45" s="20">
        <v>6313</v>
      </c>
      <c r="C45" s="21">
        <v>45163</v>
      </c>
      <c r="D45" s="20">
        <v>3291.84</v>
      </c>
      <c r="E45" s="22" t="s">
        <v>10</v>
      </c>
      <c r="F45" s="22" t="s">
        <v>13</v>
      </c>
      <c r="G45" s="22" t="s">
        <v>15</v>
      </c>
      <c r="H45" s="16">
        <v>43</v>
      </c>
      <c r="I45" t="str">
        <f>VLOOKUP(H45,Product!A:B,2,FALSE)</f>
        <v>Xiaomi Smartphone Model 3</v>
      </c>
    </row>
    <row r="46" ht="15.15" spans="1:9">
      <c r="A46" s="20">
        <v>44</v>
      </c>
      <c r="B46" s="20">
        <v>875</v>
      </c>
      <c r="C46" s="21">
        <v>45083</v>
      </c>
      <c r="D46" s="20">
        <v>3291.84</v>
      </c>
      <c r="E46" s="22" t="s">
        <v>10</v>
      </c>
      <c r="F46" s="22" t="s">
        <v>18</v>
      </c>
      <c r="G46" s="22" t="s">
        <v>12</v>
      </c>
      <c r="H46" s="16">
        <v>44</v>
      </c>
      <c r="I46" t="str">
        <f>VLOOKUP(H46,Product!A:B,2,FALSE)</f>
        <v>Samsung Smartphone Model 4</v>
      </c>
    </row>
    <row r="47" ht="15.15" spans="1:9">
      <c r="A47" s="20">
        <v>45</v>
      </c>
      <c r="B47" s="20">
        <v>1745</v>
      </c>
      <c r="C47" s="21">
        <v>45085</v>
      </c>
      <c r="D47" s="20">
        <v>3291.84</v>
      </c>
      <c r="E47" s="22" t="s">
        <v>10</v>
      </c>
      <c r="F47" s="22" t="s">
        <v>14</v>
      </c>
      <c r="G47" s="22" t="s">
        <v>15</v>
      </c>
      <c r="H47" s="16">
        <v>45</v>
      </c>
      <c r="I47" t="str">
        <f>VLOOKUP(H47,Product!A:B,2,FALSE)</f>
        <v>Samsung Smartphone Model 5</v>
      </c>
    </row>
    <row r="48" ht="15.15" spans="1:9">
      <c r="A48" s="20">
        <v>46</v>
      </c>
      <c r="B48" s="20">
        <v>8560</v>
      </c>
      <c r="C48" s="21">
        <v>45214</v>
      </c>
      <c r="D48" s="20">
        <v>3291.84</v>
      </c>
      <c r="E48" s="22" t="s">
        <v>10</v>
      </c>
      <c r="F48" s="22" t="s">
        <v>18</v>
      </c>
      <c r="G48" s="22" t="s">
        <v>12</v>
      </c>
      <c r="H48" s="16">
        <v>46</v>
      </c>
      <c r="I48" t="str">
        <f>VLOOKUP(H48,Product!A:B,2,FALSE)</f>
        <v>Google Smartphone Model 6</v>
      </c>
    </row>
    <row r="49" ht="15.15" spans="1:9">
      <c r="A49" s="20">
        <v>47</v>
      </c>
      <c r="B49" s="20">
        <v>2518</v>
      </c>
      <c r="C49" s="21">
        <v>45271</v>
      </c>
      <c r="D49" s="20">
        <v>3291.84</v>
      </c>
      <c r="E49" s="22" t="s">
        <v>10</v>
      </c>
      <c r="F49" s="22" t="s">
        <v>18</v>
      </c>
      <c r="G49" s="22" t="s">
        <v>15</v>
      </c>
      <c r="H49" s="16">
        <v>47</v>
      </c>
      <c r="I49" t="str">
        <f>VLOOKUP(H49,Product!A:B,2,FALSE)</f>
        <v>Xiaomi Smartphone Model 7</v>
      </c>
    </row>
    <row r="50" ht="15.15" spans="1:9">
      <c r="A50" s="20">
        <v>48</v>
      </c>
      <c r="B50" s="20">
        <v>2329</v>
      </c>
      <c r="C50" s="21">
        <v>45040</v>
      </c>
      <c r="D50" s="20">
        <v>3291.84</v>
      </c>
      <c r="E50" s="22" t="s">
        <v>10</v>
      </c>
      <c r="F50" s="22" t="s">
        <v>13</v>
      </c>
      <c r="G50" s="22" t="s">
        <v>15</v>
      </c>
      <c r="H50" s="16">
        <v>48</v>
      </c>
      <c r="I50" t="str">
        <f>VLOOKUP(H50,Product!A:B,2,FALSE)</f>
        <v>OnePlus Smartphone Model 8</v>
      </c>
    </row>
    <row r="51" ht="15.15" spans="1:9">
      <c r="A51" s="20">
        <v>49</v>
      </c>
      <c r="B51" s="20">
        <v>9865</v>
      </c>
      <c r="C51" s="21">
        <v>45224</v>
      </c>
      <c r="D51" s="20">
        <v>3291.84</v>
      </c>
      <c r="E51" s="22" t="s">
        <v>10</v>
      </c>
      <c r="F51" s="22" t="s">
        <v>13</v>
      </c>
      <c r="G51" s="22" t="s">
        <v>17</v>
      </c>
      <c r="H51" s="16">
        <v>49</v>
      </c>
      <c r="I51" t="str">
        <f>VLOOKUP(H51,Product!A:B,2,FALSE)</f>
        <v>Xiaomi Smartphone Model 9</v>
      </c>
    </row>
    <row r="52" ht="15.15" spans="1:9">
      <c r="A52" s="20">
        <v>50</v>
      </c>
      <c r="B52" s="20">
        <v>3015</v>
      </c>
      <c r="C52" s="21">
        <v>44953</v>
      </c>
      <c r="D52" s="20">
        <v>3291.84</v>
      </c>
      <c r="E52" s="22" t="s">
        <v>10</v>
      </c>
      <c r="F52" s="22" t="s">
        <v>13</v>
      </c>
      <c r="G52" s="22" t="s">
        <v>12</v>
      </c>
      <c r="H52" s="16">
        <v>50</v>
      </c>
      <c r="I52" t="str">
        <f>VLOOKUP(H52,Product!A:B,2,FALSE)</f>
        <v>OnePlus Smartphone Model 10</v>
      </c>
    </row>
    <row r="53" ht="15.15" spans="1:9">
      <c r="A53" s="20">
        <v>51</v>
      </c>
      <c r="B53" s="20">
        <v>7498</v>
      </c>
      <c r="C53" s="21">
        <v>45027</v>
      </c>
      <c r="D53" s="20">
        <v>3291.84</v>
      </c>
      <c r="E53" s="22" t="s">
        <v>10</v>
      </c>
      <c r="F53" s="22" t="s">
        <v>13</v>
      </c>
      <c r="G53" s="22" t="s">
        <v>15</v>
      </c>
      <c r="H53" s="16">
        <v>51</v>
      </c>
      <c r="I53" t="str">
        <f>VLOOKUP(H53,Product!A:B,2,FALSE)</f>
        <v>Xiaomi Smartphone Model 11</v>
      </c>
    </row>
    <row r="54" ht="15.15" spans="1:9">
      <c r="A54" s="20">
        <v>52</v>
      </c>
      <c r="B54" s="20">
        <v>2655</v>
      </c>
      <c r="C54" s="21">
        <v>45259</v>
      </c>
      <c r="D54" s="20">
        <v>3291.84</v>
      </c>
      <c r="E54" s="22" t="s">
        <v>10</v>
      </c>
      <c r="F54" s="22" t="s">
        <v>11</v>
      </c>
      <c r="G54" s="22" t="s">
        <v>20</v>
      </c>
      <c r="H54" s="16">
        <v>52</v>
      </c>
      <c r="I54" t="str">
        <f>VLOOKUP(H54,Product!A:B,2,FALSE)</f>
        <v>Apple Smartphone Model 12</v>
      </c>
    </row>
    <row r="55" ht="15.15" spans="1:9">
      <c r="A55" s="20">
        <v>53</v>
      </c>
      <c r="B55" s="20">
        <v>5825</v>
      </c>
      <c r="C55" s="21">
        <v>45018</v>
      </c>
      <c r="D55" s="20">
        <v>3291.84</v>
      </c>
      <c r="E55" s="22" t="s">
        <v>10</v>
      </c>
      <c r="F55" s="22" t="s">
        <v>14</v>
      </c>
      <c r="G55" s="22" t="s">
        <v>12</v>
      </c>
      <c r="H55" s="16">
        <v>53</v>
      </c>
      <c r="I55" t="str">
        <f>VLOOKUP(H55,Product!A:B,2,FALSE)</f>
        <v>Apple Smartphone Model 13</v>
      </c>
    </row>
    <row r="56" ht="15.15" spans="1:9">
      <c r="A56" s="20">
        <v>54</v>
      </c>
      <c r="B56" s="20">
        <v>9437</v>
      </c>
      <c r="C56" s="21">
        <v>45121</v>
      </c>
      <c r="D56" s="20">
        <v>3291.84</v>
      </c>
      <c r="E56" s="22" t="s">
        <v>10</v>
      </c>
      <c r="F56" s="22" t="s">
        <v>18</v>
      </c>
      <c r="G56" s="22" t="s">
        <v>15</v>
      </c>
      <c r="H56" s="16">
        <v>54</v>
      </c>
      <c r="I56" t="str">
        <f>VLOOKUP(H56,Product!A:B,2,FALSE)</f>
        <v>Google Smartphone Model 14</v>
      </c>
    </row>
    <row r="57" ht="15.15" spans="1:9">
      <c r="A57" s="20">
        <v>55</v>
      </c>
      <c r="B57" s="20">
        <v>3897</v>
      </c>
      <c r="C57" s="21">
        <v>45126</v>
      </c>
      <c r="D57" s="20">
        <v>3291.84</v>
      </c>
      <c r="E57" s="22" t="s">
        <v>22</v>
      </c>
      <c r="F57" s="22" t="s">
        <v>13</v>
      </c>
      <c r="G57" s="22" t="s">
        <v>20</v>
      </c>
      <c r="H57" s="16">
        <v>55</v>
      </c>
      <c r="I57" t="str">
        <f>VLOOKUP(H57,Product!A:B,2,FALSE)</f>
        <v>Samsung Smartphone Model 15</v>
      </c>
    </row>
    <row r="58" ht="15.15" spans="1:9">
      <c r="A58" s="20">
        <v>56</v>
      </c>
      <c r="B58" s="20">
        <v>2795</v>
      </c>
      <c r="C58" s="21">
        <v>45237</v>
      </c>
      <c r="D58" s="20">
        <v>3291.84</v>
      </c>
      <c r="E58" s="22" t="s">
        <v>10</v>
      </c>
      <c r="F58" s="22" t="s">
        <v>14</v>
      </c>
      <c r="G58" s="22" t="s">
        <v>17</v>
      </c>
      <c r="H58" s="16">
        <v>56</v>
      </c>
      <c r="I58" t="str">
        <f>VLOOKUP(H58,Product!A:B,2,FALSE)</f>
        <v>Samsung Smartphone Model 16</v>
      </c>
    </row>
    <row r="59" ht="15.15" spans="1:9">
      <c r="A59" s="20">
        <v>57</v>
      </c>
      <c r="B59" s="20">
        <v>3995</v>
      </c>
      <c r="C59" s="21">
        <v>45219</v>
      </c>
      <c r="D59" s="20">
        <v>3291.84</v>
      </c>
      <c r="E59" s="22" t="s">
        <v>10</v>
      </c>
      <c r="F59" s="22" t="s">
        <v>18</v>
      </c>
      <c r="G59" s="22" t="s">
        <v>20</v>
      </c>
      <c r="H59" s="16">
        <v>57</v>
      </c>
      <c r="I59" t="str">
        <f>VLOOKUP(H59,Product!A:B,2,FALSE)</f>
        <v>Apple Smartphone Model 17</v>
      </c>
    </row>
    <row r="60" ht="15.15" spans="1:9">
      <c r="A60" s="20">
        <v>58</v>
      </c>
      <c r="B60" s="20">
        <v>431</v>
      </c>
      <c r="C60" s="21">
        <v>44991</v>
      </c>
      <c r="D60" s="20">
        <v>3291.84</v>
      </c>
      <c r="E60" s="22" t="s">
        <v>10</v>
      </c>
      <c r="F60" s="22" t="s">
        <v>16</v>
      </c>
      <c r="G60" s="22" t="s">
        <v>17</v>
      </c>
      <c r="H60" s="16">
        <v>58</v>
      </c>
      <c r="I60" t="str">
        <f>VLOOKUP(H60,Product!A:B,2,FALSE)</f>
        <v>Samsung Smartphone Model 18</v>
      </c>
    </row>
    <row r="61" ht="15.15" spans="1:9">
      <c r="A61" s="20">
        <v>59</v>
      </c>
      <c r="B61" s="20">
        <v>3211</v>
      </c>
      <c r="C61" s="21">
        <v>45094</v>
      </c>
      <c r="D61" s="20">
        <v>3291.84</v>
      </c>
      <c r="E61" s="22" t="s">
        <v>10</v>
      </c>
      <c r="F61" s="22" t="s">
        <v>16</v>
      </c>
      <c r="G61" s="22" t="s">
        <v>12</v>
      </c>
      <c r="H61" s="16">
        <v>59</v>
      </c>
      <c r="I61" t="str">
        <f>VLOOKUP(H61,Product!A:B,2,FALSE)</f>
        <v>Google Smartphone Model 19</v>
      </c>
    </row>
    <row r="62" ht="15.15" spans="1:9">
      <c r="A62" s="20">
        <v>60</v>
      </c>
      <c r="B62" s="20">
        <v>3960</v>
      </c>
      <c r="C62" s="21">
        <v>45209</v>
      </c>
      <c r="D62" s="20">
        <v>3291.84</v>
      </c>
      <c r="E62" s="22" t="s">
        <v>10</v>
      </c>
      <c r="F62" s="22" t="s">
        <v>11</v>
      </c>
      <c r="G62" s="22" t="s">
        <v>17</v>
      </c>
      <c r="H62" s="16">
        <v>60</v>
      </c>
      <c r="I62" t="str">
        <f>VLOOKUP(H62,Product!A:B,2,FALSE)</f>
        <v>OnePlus Smartphone Model 20</v>
      </c>
    </row>
    <row r="63" ht="15.15" spans="1:9">
      <c r="A63" s="20">
        <v>61</v>
      </c>
      <c r="B63" s="20">
        <v>1881</v>
      </c>
      <c r="C63" s="21">
        <v>45106</v>
      </c>
      <c r="D63" s="20">
        <v>3291.84</v>
      </c>
      <c r="E63" s="22" t="s">
        <v>10</v>
      </c>
      <c r="F63" s="22" t="s">
        <v>13</v>
      </c>
      <c r="G63" s="22" t="s">
        <v>20</v>
      </c>
      <c r="H63" s="16">
        <v>61</v>
      </c>
      <c r="I63" t="str">
        <f>VLOOKUP(H63,Product!A:B,2,FALSE)</f>
        <v>Xiaomi Smartphone Model 21</v>
      </c>
    </row>
    <row r="64" ht="15.15" spans="1:9">
      <c r="A64" s="20">
        <v>62</v>
      </c>
      <c r="B64" s="20">
        <v>5022</v>
      </c>
      <c r="C64" s="21">
        <v>44948</v>
      </c>
      <c r="D64" s="20">
        <v>3291.84</v>
      </c>
      <c r="E64" s="22" t="s">
        <v>10</v>
      </c>
      <c r="F64" s="22" t="s">
        <v>11</v>
      </c>
      <c r="G64" s="22" t="s">
        <v>12</v>
      </c>
      <c r="H64" s="16">
        <v>62</v>
      </c>
      <c r="I64" t="str">
        <f>VLOOKUP(H64,Product!A:B,2,FALSE)</f>
        <v>OnePlus Smartphone Model 22</v>
      </c>
    </row>
    <row r="65" ht="15.15" spans="1:9">
      <c r="A65" s="20">
        <v>63</v>
      </c>
      <c r="B65" s="20">
        <v>2661</v>
      </c>
      <c r="C65" s="21">
        <v>45162</v>
      </c>
      <c r="D65" s="20">
        <v>3291.84</v>
      </c>
      <c r="E65" s="22" t="s">
        <v>10</v>
      </c>
      <c r="F65" s="22" t="s">
        <v>16</v>
      </c>
      <c r="G65" s="22" t="s">
        <v>20</v>
      </c>
      <c r="H65" s="16">
        <v>63</v>
      </c>
      <c r="I65" t="str">
        <f>VLOOKUP(H65,Product!A:B,2,FALSE)</f>
        <v>Samsung Smartphone Model 23</v>
      </c>
    </row>
    <row r="66" ht="15.15" spans="1:9">
      <c r="A66" s="20">
        <v>64</v>
      </c>
      <c r="B66" s="20">
        <v>2219</v>
      </c>
      <c r="C66" s="21">
        <v>45168</v>
      </c>
      <c r="D66" s="20">
        <v>3291.84</v>
      </c>
      <c r="E66" s="22" t="s">
        <v>22</v>
      </c>
      <c r="F66" s="22" t="s">
        <v>18</v>
      </c>
      <c r="G66" s="22" t="s">
        <v>20</v>
      </c>
      <c r="H66" s="16">
        <v>64</v>
      </c>
      <c r="I66" t="str">
        <f>VLOOKUP(H66,Product!A:B,2,FALSE)</f>
        <v>OnePlus Smartphone Model 24</v>
      </c>
    </row>
    <row r="67" ht="15.15" spans="1:9">
      <c r="A67" s="20">
        <v>65</v>
      </c>
      <c r="B67" s="20">
        <v>5094</v>
      </c>
      <c r="C67" s="21">
        <v>45199</v>
      </c>
      <c r="D67" s="20">
        <v>3291.84</v>
      </c>
      <c r="E67" s="22" t="s">
        <v>10</v>
      </c>
      <c r="F67" s="22" t="s">
        <v>11</v>
      </c>
      <c r="G67" s="22" t="s">
        <v>12</v>
      </c>
      <c r="H67" s="16">
        <v>65</v>
      </c>
      <c r="I67" t="str">
        <f>VLOOKUP(H67,Product!A:B,2,FALSE)</f>
        <v>Samsung Smartphone Model 25</v>
      </c>
    </row>
    <row r="68" ht="15.15" spans="1:9">
      <c r="A68" s="20">
        <v>66</v>
      </c>
      <c r="B68" s="20">
        <v>2821</v>
      </c>
      <c r="C68" s="21">
        <v>45243</v>
      </c>
      <c r="D68" s="20">
        <v>3291.84</v>
      </c>
      <c r="E68" s="22" t="s">
        <v>10</v>
      </c>
      <c r="F68" s="22" t="s">
        <v>13</v>
      </c>
      <c r="G68" s="22" t="s">
        <v>20</v>
      </c>
      <c r="H68" s="16">
        <v>66</v>
      </c>
      <c r="I68" t="str">
        <f>VLOOKUP(H68,Product!A:B,2,FALSE)</f>
        <v>Samsung Smartphone Model 26</v>
      </c>
    </row>
    <row r="69" ht="15.15" spans="1:9">
      <c r="A69" s="20">
        <v>67</v>
      </c>
      <c r="B69" s="20">
        <v>2144</v>
      </c>
      <c r="C69" s="21">
        <v>45082</v>
      </c>
      <c r="D69" s="20">
        <v>3291.84</v>
      </c>
      <c r="E69" s="22" t="s">
        <v>22</v>
      </c>
      <c r="F69" s="22" t="s">
        <v>16</v>
      </c>
      <c r="G69" s="22" t="s">
        <v>15</v>
      </c>
      <c r="H69" s="16">
        <v>67</v>
      </c>
      <c r="I69" t="str">
        <f>VLOOKUP(H69,Product!A:B,2,FALSE)</f>
        <v>OnePlus Smartphone Model 27</v>
      </c>
    </row>
    <row r="70" ht="15.15" spans="1:9">
      <c r="A70" s="20">
        <v>68</v>
      </c>
      <c r="B70" s="20">
        <v>6529</v>
      </c>
      <c r="C70" s="21">
        <v>45272</v>
      </c>
      <c r="D70" s="20">
        <v>3291.84</v>
      </c>
      <c r="E70" s="22" t="s">
        <v>10</v>
      </c>
      <c r="F70" s="22" t="s">
        <v>13</v>
      </c>
      <c r="G70" s="22" t="s">
        <v>17</v>
      </c>
      <c r="H70" s="16">
        <v>68</v>
      </c>
      <c r="I70" t="str">
        <f>VLOOKUP(H70,Product!A:B,2,FALSE)</f>
        <v>OnePlus Smartphone Model 28</v>
      </c>
    </row>
    <row r="71" ht="15.15" spans="1:9">
      <c r="A71" s="20">
        <v>69</v>
      </c>
      <c r="B71" s="20">
        <v>9673</v>
      </c>
      <c r="C71" s="21">
        <v>45273</v>
      </c>
      <c r="D71" s="20">
        <v>3291.84</v>
      </c>
      <c r="E71" s="22" t="s">
        <v>10</v>
      </c>
      <c r="F71" s="22" t="s">
        <v>14</v>
      </c>
      <c r="G71" s="22" t="s">
        <v>15</v>
      </c>
      <c r="H71" s="16">
        <v>69</v>
      </c>
      <c r="I71" t="str">
        <f>VLOOKUP(H71,Product!A:B,2,FALSE)</f>
        <v>OnePlus Smartphone Model 29</v>
      </c>
    </row>
    <row r="72" ht="15.15" spans="1:9">
      <c r="A72" s="20">
        <v>70</v>
      </c>
      <c r="B72" s="20">
        <v>835</v>
      </c>
      <c r="C72" s="21">
        <v>45262</v>
      </c>
      <c r="D72" s="20">
        <v>3291.84</v>
      </c>
      <c r="E72" s="22" t="s">
        <v>10</v>
      </c>
      <c r="F72" s="22" t="s">
        <v>13</v>
      </c>
      <c r="G72" s="22" t="s">
        <v>20</v>
      </c>
      <c r="H72" s="16">
        <v>70</v>
      </c>
      <c r="I72" t="str">
        <f>VLOOKUP(H72,Product!A:B,2,FALSE)</f>
        <v>Samsung Smartphone Model 30</v>
      </c>
    </row>
    <row r="73" ht="15.15" spans="1:9">
      <c r="A73" s="20">
        <v>71</v>
      </c>
      <c r="B73" s="20">
        <v>7710</v>
      </c>
      <c r="C73" s="21">
        <v>45149</v>
      </c>
      <c r="D73" s="20">
        <v>3291.84</v>
      </c>
      <c r="E73" s="22" t="s">
        <v>10</v>
      </c>
      <c r="F73" s="22" t="s">
        <v>16</v>
      </c>
      <c r="G73" s="22" t="s">
        <v>17</v>
      </c>
      <c r="H73" s="16">
        <v>71</v>
      </c>
      <c r="I73" t="str">
        <f>VLOOKUP(H73,Product!A:B,2,FALSE)</f>
        <v>Samsung Smartphone Model 31</v>
      </c>
    </row>
    <row r="74" ht="15.15" spans="1:9">
      <c r="A74" s="20">
        <v>72</v>
      </c>
      <c r="B74" s="20">
        <v>6920</v>
      </c>
      <c r="C74" s="21">
        <v>44958</v>
      </c>
      <c r="D74" s="20">
        <v>3291.84</v>
      </c>
      <c r="E74" s="22" t="s">
        <v>10</v>
      </c>
      <c r="F74" s="22" t="s">
        <v>13</v>
      </c>
      <c r="G74" s="22" t="s">
        <v>12</v>
      </c>
      <c r="H74" s="16">
        <v>72</v>
      </c>
      <c r="I74" t="str">
        <f>VLOOKUP(H74,Product!A:B,2,FALSE)</f>
        <v>Apple Smartphone Model 32</v>
      </c>
    </row>
    <row r="75" ht="15.15" spans="1:9">
      <c r="A75" s="20">
        <v>73</v>
      </c>
      <c r="B75" s="20">
        <v>5920</v>
      </c>
      <c r="C75" s="21">
        <v>45228</v>
      </c>
      <c r="D75" s="20">
        <v>3291.84</v>
      </c>
      <c r="E75" s="22" t="s">
        <v>10</v>
      </c>
      <c r="F75" s="22" t="s">
        <v>14</v>
      </c>
      <c r="G75" s="22" t="s">
        <v>17</v>
      </c>
      <c r="H75" s="16">
        <v>73</v>
      </c>
      <c r="I75" t="str">
        <f>VLOOKUP(H75,Product!A:B,2,FALSE)</f>
        <v>Apple Smartphone Model 33</v>
      </c>
    </row>
    <row r="76" ht="15.15" spans="1:9">
      <c r="A76" s="20">
        <v>74</v>
      </c>
      <c r="B76" s="20">
        <v>5998</v>
      </c>
      <c r="C76" s="21">
        <v>45272</v>
      </c>
      <c r="D76" s="20">
        <v>3291.84</v>
      </c>
      <c r="E76" s="22" t="s">
        <v>10</v>
      </c>
      <c r="F76" s="22" t="s">
        <v>13</v>
      </c>
      <c r="G76" s="22" t="s">
        <v>20</v>
      </c>
      <c r="H76" s="16">
        <v>74</v>
      </c>
      <c r="I76" t="str">
        <f>VLOOKUP(H76,Product!A:B,2,FALSE)</f>
        <v>Apple Smartphone Model 34</v>
      </c>
    </row>
    <row r="77" ht="15.15" spans="1:9">
      <c r="A77" s="20">
        <v>75</v>
      </c>
      <c r="B77" s="20">
        <v>574</v>
      </c>
      <c r="C77" s="21">
        <v>45075</v>
      </c>
      <c r="D77" s="20">
        <v>3291.84</v>
      </c>
      <c r="E77" s="22" t="s">
        <v>10</v>
      </c>
      <c r="F77" s="22" t="s">
        <v>16</v>
      </c>
      <c r="G77" s="22" t="s">
        <v>20</v>
      </c>
      <c r="H77" s="16">
        <v>75</v>
      </c>
      <c r="I77" t="str">
        <f>VLOOKUP(H77,Product!A:B,2,FALSE)</f>
        <v>Google Smartphone Model 35</v>
      </c>
    </row>
    <row r="78" ht="15.15" spans="1:9">
      <c r="A78" s="20">
        <v>76</v>
      </c>
      <c r="B78" s="20">
        <v>7701</v>
      </c>
      <c r="C78" s="21">
        <v>45218</v>
      </c>
      <c r="D78" s="20">
        <v>3291.84</v>
      </c>
      <c r="E78" s="22" t="s">
        <v>10</v>
      </c>
      <c r="F78" s="22" t="s">
        <v>18</v>
      </c>
      <c r="G78" s="22" t="s">
        <v>17</v>
      </c>
      <c r="H78" s="16">
        <v>76</v>
      </c>
      <c r="I78" t="str">
        <f>VLOOKUP(H78,Product!A:B,2,FALSE)</f>
        <v>Google Smartphone Model 36</v>
      </c>
    </row>
    <row r="79" ht="15.15" spans="1:9">
      <c r="A79" s="20">
        <v>77</v>
      </c>
      <c r="B79" s="20">
        <v>13</v>
      </c>
      <c r="C79" s="21">
        <v>45202</v>
      </c>
      <c r="D79" s="20">
        <v>3291.84</v>
      </c>
      <c r="E79" s="22" t="s">
        <v>10</v>
      </c>
      <c r="F79" s="22" t="s">
        <v>11</v>
      </c>
      <c r="G79" s="22" t="s">
        <v>12</v>
      </c>
      <c r="H79" s="16">
        <v>77</v>
      </c>
      <c r="I79" t="str">
        <f>VLOOKUP(H79,Product!A:B,2,FALSE)</f>
        <v>Xiaomi Smartphone Model 37</v>
      </c>
    </row>
    <row r="80" ht="15.15" spans="1:9">
      <c r="A80" s="20">
        <v>78</v>
      </c>
      <c r="B80" s="20">
        <v>9973</v>
      </c>
      <c r="C80" s="21">
        <v>44928</v>
      </c>
      <c r="D80" s="20">
        <v>3291.84</v>
      </c>
      <c r="E80" s="22" t="s">
        <v>10</v>
      </c>
      <c r="F80" s="22" t="s">
        <v>11</v>
      </c>
      <c r="G80" s="22" t="s">
        <v>20</v>
      </c>
      <c r="H80" s="16">
        <v>78</v>
      </c>
      <c r="I80" t="str">
        <f>VLOOKUP(H80,Product!A:B,2,FALSE)</f>
        <v>Apple Smartphone Model 38</v>
      </c>
    </row>
    <row r="81" ht="15.15" spans="1:9">
      <c r="A81" s="20">
        <v>79</v>
      </c>
      <c r="B81" s="20">
        <v>6297</v>
      </c>
      <c r="C81" s="21">
        <v>45050</v>
      </c>
      <c r="D81" s="20">
        <v>3291.84</v>
      </c>
      <c r="E81" s="22" t="s">
        <v>10</v>
      </c>
      <c r="F81" s="22" t="s">
        <v>11</v>
      </c>
      <c r="G81" s="22" t="s">
        <v>17</v>
      </c>
      <c r="H81" s="16">
        <v>79</v>
      </c>
      <c r="I81" t="str">
        <f>VLOOKUP(H81,Product!A:B,2,FALSE)</f>
        <v>Xiaomi Smartphone Model 39</v>
      </c>
    </row>
    <row r="82" ht="15.15" spans="1:9">
      <c r="A82" s="20">
        <v>80</v>
      </c>
      <c r="B82" s="20">
        <v>7652</v>
      </c>
      <c r="C82" s="21">
        <v>45108</v>
      </c>
      <c r="D82" s="20">
        <v>3291.84</v>
      </c>
      <c r="E82" s="22" t="s">
        <v>10</v>
      </c>
      <c r="F82" s="22" t="s">
        <v>11</v>
      </c>
      <c r="G82" s="22" t="s">
        <v>12</v>
      </c>
      <c r="H82" s="16">
        <v>80</v>
      </c>
      <c r="I82" t="str">
        <f>VLOOKUP(H82,Product!A:B,2,FALSE)</f>
        <v>Google Smartphone Model 40</v>
      </c>
    </row>
    <row r="83" ht="15.15" spans="1:9">
      <c r="A83" s="20">
        <v>81</v>
      </c>
      <c r="B83" s="20">
        <v>2163</v>
      </c>
      <c r="C83" s="21">
        <v>44969</v>
      </c>
      <c r="D83" s="20">
        <v>3291.84</v>
      </c>
      <c r="E83" s="22" t="s">
        <v>10</v>
      </c>
      <c r="F83" s="22" t="s">
        <v>11</v>
      </c>
      <c r="G83" s="22" t="s">
        <v>17</v>
      </c>
      <c r="H83" s="16">
        <v>81</v>
      </c>
      <c r="I83" t="str">
        <f>VLOOKUP(H83,Product!A:B,2,FALSE)</f>
        <v>Lenovo Tablet Model 1</v>
      </c>
    </row>
    <row r="84" ht="15.15" spans="1:9">
      <c r="A84" s="20">
        <v>82</v>
      </c>
      <c r="B84" s="20">
        <v>2269</v>
      </c>
      <c r="C84" s="21">
        <v>44965</v>
      </c>
      <c r="D84" s="20">
        <v>3291.84</v>
      </c>
      <c r="E84" s="22" t="s">
        <v>10</v>
      </c>
      <c r="F84" s="22" t="s">
        <v>16</v>
      </c>
      <c r="G84" s="22" t="s">
        <v>12</v>
      </c>
      <c r="H84" s="16">
        <v>82</v>
      </c>
      <c r="I84" t="str">
        <f>VLOOKUP(H84,Product!A:B,2,FALSE)</f>
        <v>Apple Tablet Model 2</v>
      </c>
    </row>
    <row r="85" ht="15.15" spans="1:9">
      <c r="A85" s="20">
        <v>83</v>
      </c>
      <c r="B85" s="20">
        <v>17</v>
      </c>
      <c r="C85" s="21">
        <v>45212</v>
      </c>
      <c r="D85" s="20">
        <v>3291.84</v>
      </c>
      <c r="E85" s="22" t="s">
        <v>10</v>
      </c>
      <c r="F85" s="22" t="s">
        <v>16</v>
      </c>
      <c r="G85" s="22" t="s">
        <v>12</v>
      </c>
      <c r="H85" s="16">
        <v>83</v>
      </c>
      <c r="I85" t="str">
        <f>VLOOKUP(H85,Product!A:B,2,FALSE)</f>
        <v>Samsung Tablet Model 3</v>
      </c>
    </row>
    <row r="86" ht="15.15" spans="1:9">
      <c r="A86" s="20">
        <v>84</v>
      </c>
      <c r="B86" s="20">
        <v>4775</v>
      </c>
      <c r="C86" s="21">
        <v>45040</v>
      </c>
      <c r="D86" s="20">
        <v>3291.84</v>
      </c>
      <c r="E86" s="22" t="s">
        <v>10</v>
      </c>
      <c r="F86" s="22" t="s">
        <v>18</v>
      </c>
      <c r="G86" s="22" t="s">
        <v>20</v>
      </c>
      <c r="H86" s="16">
        <v>84</v>
      </c>
      <c r="I86" t="str">
        <f>VLOOKUP(H86,Product!A:B,2,FALSE)</f>
        <v>Samsung Tablet Model 4</v>
      </c>
    </row>
    <row r="87" ht="15.15" spans="1:9">
      <c r="A87" s="20">
        <v>85</v>
      </c>
      <c r="B87" s="20">
        <v>3868</v>
      </c>
      <c r="C87" s="21">
        <v>45018</v>
      </c>
      <c r="D87" s="20">
        <v>3291.84</v>
      </c>
      <c r="E87" s="22" t="s">
        <v>10</v>
      </c>
      <c r="F87" s="22" t="s">
        <v>13</v>
      </c>
      <c r="G87" s="22" t="s">
        <v>15</v>
      </c>
      <c r="H87" s="16">
        <v>85</v>
      </c>
      <c r="I87" t="str">
        <f>VLOOKUP(H87,Product!A:B,2,FALSE)</f>
        <v>Lenovo Tablet Model 5</v>
      </c>
    </row>
    <row r="88" ht="15.15" spans="1:9">
      <c r="A88" s="20">
        <v>86</v>
      </c>
      <c r="B88" s="20">
        <v>3415</v>
      </c>
      <c r="C88" s="21">
        <v>44945</v>
      </c>
      <c r="D88" s="20">
        <v>3291.84</v>
      </c>
      <c r="E88" s="22" t="s">
        <v>10</v>
      </c>
      <c r="F88" s="22" t="s">
        <v>13</v>
      </c>
      <c r="G88" s="22" t="s">
        <v>20</v>
      </c>
      <c r="H88" s="16">
        <v>86</v>
      </c>
      <c r="I88" t="str">
        <f>VLOOKUP(H88,Product!A:B,2,FALSE)</f>
        <v>Lenovo Tablet Model 6</v>
      </c>
    </row>
    <row r="89" ht="15.15" spans="1:9">
      <c r="A89" s="20">
        <v>87</v>
      </c>
      <c r="B89" s="20">
        <v>9028</v>
      </c>
      <c r="C89" s="21">
        <v>45088</v>
      </c>
      <c r="D89" s="20">
        <v>3291.84</v>
      </c>
      <c r="E89" s="22" t="s">
        <v>10</v>
      </c>
      <c r="F89" s="22" t="s">
        <v>13</v>
      </c>
      <c r="G89" s="22" t="s">
        <v>17</v>
      </c>
      <c r="H89" s="16">
        <v>87</v>
      </c>
      <c r="I89" t="str">
        <f>VLOOKUP(H89,Product!A:B,2,FALSE)</f>
        <v>Lenovo Tablet Model 7</v>
      </c>
    </row>
    <row r="90" ht="15.15" spans="1:9">
      <c r="A90" s="20">
        <v>88</v>
      </c>
      <c r="B90" s="20">
        <v>7200</v>
      </c>
      <c r="C90" s="21">
        <v>45091</v>
      </c>
      <c r="D90" s="20">
        <v>3291.84</v>
      </c>
      <c r="E90" s="22" t="s">
        <v>10</v>
      </c>
      <c r="F90" s="22" t="s">
        <v>18</v>
      </c>
      <c r="G90" s="22" t="s">
        <v>17</v>
      </c>
      <c r="H90" s="16">
        <v>88</v>
      </c>
      <c r="I90" t="str">
        <f>VLOOKUP(H90,Product!A:B,2,FALSE)</f>
        <v>Samsung Tablet Model 8</v>
      </c>
    </row>
    <row r="91" ht="15.15" spans="1:9">
      <c r="A91" s="20">
        <v>89</v>
      </c>
      <c r="B91" s="20">
        <v>9679</v>
      </c>
      <c r="C91" s="21">
        <v>45055</v>
      </c>
      <c r="D91" s="20">
        <v>3291.84</v>
      </c>
      <c r="E91" s="22" t="s">
        <v>10</v>
      </c>
      <c r="F91" s="22" t="s">
        <v>16</v>
      </c>
      <c r="G91" s="22" t="s">
        <v>12</v>
      </c>
      <c r="H91" s="16">
        <v>89</v>
      </c>
      <c r="I91" t="str">
        <f>VLOOKUP(H91,Product!A:B,2,FALSE)</f>
        <v>Amazon Tablet Model 9</v>
      </c>
    </row>
    <row r="92" ht="15.15" spans="1:9">
      <c r="A92" s="20">
        <v>90</v>
      </c>
      <c r="B92" s="20">
        <v>9529</v>
      </c>
      <c r="C92" s="21">
        <v>45142</v>
      </c>
      <c r="D92" s="20">
        <v>3291.84</v>
      </c>
      <c r="E92" s="22" t="s">
        <v>22</v>
      </c>
      <c r="F92" s="22" t="s">
        <v>18</v>
      </c>
      <c r="G92" s="22" t="s">
        <v>17</v>
      </c>
      <c r="H92" s="16">
        <v>90</v>
      </c>
      <c r="I92" t="str">
        <f>VLOOKUP(H92,Product!A:B,2,FALSE)</f>
        <v>Amazon Tablet Model 10</v>
      </c>
    </row>
    <row r="93" ht="15.15" spans="1:9">
      <c r="A93" s="20">
        <v>91</v>
      </c>
      <c r="B93" s="20">
        <v>5292</v>
      </c>
      <c r="C93" s="21">
        <v>44966</v>
      </c>
      <c r="D93" s="20">
        <v>3291.84</v>
      </c>
      <c r="E93" s="22" t="s">
        <v>10</v>
      </c>
      <c r="F93" s="22" t="s">
        <v>14</v>
      </c>
      <c r="G93" s="22" t="s">
        <v>20</v>
      </c>
      <c r="H93" s="16">
        <v>91</v>
      </c>
      <c r="I93" t="str">
        <f>VLOOKUP(H93,Product!A:B,2,FALSE)</f>
        <v>Apple Tablet Model 11</v>
      </c>
    </row>
    <row r="94" ht="15.15" spans="1:9">
      <c r="A94" s="20">
        <v>92</v>
      </c>
      <c r="B94" s="20">
        <v>1929</v>
      </c>
      <c r="C94" s="21">
        <v>45031</v>
      </c>
      <c r="D94" s="20">
        <v>3291.84</v>
      </c>
      <c r="E94" s="22" t="s">
        <v>10</v>
      </c>
      <c r="F94" s="22" t="s">
        <v>14</v>
      </c>
      <c r="G94" s="22" t="s">
        <v>17</v>
      </c>
      <c r="H94" s="16">
        <v>92</v>
      </c>
      <c r="I94" t="str">
        <f>VLOOKUP(H94,Product!A:B,2,FALSE)</f>
        <v>Lenovo Tablet Model 12</v>
      </c>
    </row>
    <row r="95" ht="15.15" spans="1:9">
      <c r="A95" s="20">
        <v>93</v>
      </c>
      <c r="B95" s="20">
        <v>4392</v>
      </c>
      <c r="C95" s="21">
        <v>45272</v>
      </c>
      <c r="D95" s="20">
        <v>3291.84</v>
      </c>
      <c r="E95" s="22" t="s">
        <v>10</v>
      </c>
      <c r="F95" s="22" t="s">
        <v>13</v>
      </c>
      <c r="G95" s="22" t="s">
        <v>15</v>
      </c>
      <c r="H95" s="16">
        <v>93</v>
      </c>
      <c r="I95" t="str">
        <f>VLOOKUP(H95,Product!A:B,2,FALSE)</f>
        <v>Samsung Tablet Model 13</v>
      </c>
    </row>
    <row r="96" ht="15.15" spans="1:9">
      <c r="A96" s="20">
        <v>94</v>
      </c>
      <c r="B96" s="20">
        <v>5447</v>
      </c>
      <c r="C96" s="21">
        <v>45228</v>
      </c>
      <c r="D96" s="20">
        <v>3291.84</v>
      </c>
      <c r="E96" s="22" t="s">
        <v>10</v>
      </c>
      <c r="F96" s="22" t="s">
        <v>13</v>
      </c>
      <c r="G96" s="22" t="s">
        <v>20</v>
      </c>
      <c r="H96" s="16">
        <v>94</v>
      </c>
      <c r="I96" t="str">
        <f>VLOOKUP(H96,Product!A:B,2,FALSE)</f>
        <v>Amazon Tablet Model 14</v>
      </c>
    </row>
    <row r="97" ht="15.15" spans="1:9">
      <c r="A97" s="20">
        <v>95</v>
      </c>
      <c r="B97" s="20">
        <v>5612</v>
      </c>
      <c r="C97" s="21">
        <v>45290</v>
      </c>
      <c r="D97" s="20">
        <v>3291.84</v>
      </c>
      <c r="E97" s="22" t="s">
        <v>10</v>
      </c>
      <c r="F97" s="22" t="s">
        <v>14</v>
      </c>
      <c r="G97" s="22" t="s">
        <v>17</v>
      </c>
      <c r="H97" s="16">
        <v>95</v>
      </c>
      <c r="I97" t="str">
        <f>VLOOKUP(H97,Product!A:B,2,FALSE)</f>
        <v>Amazon Tablet Model 15</v>
      </c>
    </row>
    <row r="98" ht="15.15" spans="1:9">
      <c r="A98" s="20">
        <v>96</v>
      </c>
      <c r="B98" s="20">
        <v>3661</v>
      </c>
      <c r="C98" s="21">
        <v>44958</v>
      </c>
      <c r="D98" s="20">
        <v>3291.84</v>
      </c>
      <c r="E98" s="22" t="s">
        <v>10</v>
      </c>
      <c r="F98" s="22" t="s">
        <v>18</v>
      </c>
      <c r="G98" s="22" t="s">
        <v>20</v>
      </c>
      <c r="H98" s="16">
        <v>96</v>
      </c>
      <c r="I98" t="str">
        <f>VLOOKUP(H98,Product!A:B,2,FALSE)</f>
        <v>Lenovo Tablet Model 16</v>
      </c>
    </row>
    <row r="99" ht="15.15" spans="1:9">
      <c r="A99" s="20">
        <v>97</v>
      </c>
      <c r="B99" s="20">
        <v>252</v>
      </c>
      <c r="C99" s="21">
        <v>44956</v>
      </c>
      <c r="D99" s="20">
        <v>3291.84</v>
      </c>
      <c r="E99" s="22" t="s">
        <v>10</v>
      </c>
      <c r="F99" s="22" t="s">
        <v>11</v>
      </c>
      <c r="G99" s="22" t="s">
        <v>17</v>
      </c>
      <c r="H99" s="16">
        <v>97</v>
      </c>
      <c r="I99" t="str">
        <f>VLOOKUP(H99,Product!A:B,2,FALSE)</f>
        <v>Lenovo Tablet Model 17</v>
      </c>
    </row>
    <row r="100" ht="15.15" spans="1:9">
      <c r="A100" s="20">
        <v>98</v>
      </c>
      <c r="B100" s="20">
        <v>7714</v>
      </c>
      <c r="C100" s="21">
        <v>45245</v>
      </c>
      <c r="D100" s="20">
        <v>3291.84</v>
      </c>
      <c r="E100" s="22" t="s">
        <v>10</v>
      </c>
      <c r="F100" s="22" t="s">
        <v>18</v>
      </c>
      <c r="G100" s="22" t="s">
        <v>20</v>
      </c>
      <c r="H100" s="16">
        <v>98</v>
      </c>
      <c r="I100" t="str">
        <f>VLOOKUP(H100,Product!A:B,2,FALSE)</f>
        <v>Amazon Tablet Model 18</v>
      </c>
    </row>
    <row r="101" ht="15.15" spans="1:9">
      <c r="A101" s="20">
        <v>99</v>
      </c>
      <c r="B101" s="20">
        <v>6060</v>
      </c>
      <c r="C101" s="21">
        <v>45243</v>
      </c>
      <c r="D101" s="20">
        <v>3291.84</v>
      </c>
      <c r="E101" s="22" t="s">
        <v>10</v>
      </c>
      <c r="F101" s="22" t="s">
        <v>14</v>
      </c>
      <c r="G101" s="22" t="s">
        <v>15</v>
      </c>
      <c r="H101" s="16">
        <v>99</v>
      </c>
      <c r="I101" t="str">
        <f>VLOOKUP(H101,Product!A:B,2,FALSE)</f>
        <v>Samsung Tablet Model 19</v>
      </c>
    </row>
    <row r="102" ht="15.15" spans="1:9">
      <c r="A102" s="20">
        <v>100</v>
      </c>
      <c r="B102" s="20">
        <v>1637</v>
      </c>
      <c r="C102" s="21">
        <v>45205</v>
      </c>
      <c r="D102" s="20">
        <v>3291.84</v>
      </c>
      <c r="E102" s="22" t="s">
        <v>10</v>
      </c>
      <c r="F102" s="22" t="s">
        <v>16</v>
      </c>
      <c r="G102" s="22" t="s">
        <v>12</v>
      </c>
      <c r="H102" s="16">
        <v>100</v>
      </c>
      <c r="I102" t="str">
        <f>VLOOKUP(H102,Product!A:B,2,FALSE)</f>
        <v>Lenovo Tablet Model 20</v>
      </c>
    </row>
    <row r="103" ht="15.15" spans="1:9">
      <c r="A103" s="20">
        <v>101</v>
      </c>
      <c r="B103" s="20">
        <v>3128</v>
      </c>
      <c r="C103" s="21">
        <v>45268</v>
      </c>
      <c r="D103" s="20">
        <v>3291.84</v>
      </c>
      <c r="E103" s="22" t="s">
        <v>10</v>
      </c>
      <c r="F103" s="22" t="s">
        <v>14</v>
      </c>
      <c r="G103" s="22" t="s">
        <v>15</v>
      </c>
      <c r="H103" s="16">
        <v>101</v>
      </c>
      <c r="I103" t="str">
        <f>VLOOKUP(H103,Product!A:B,2,FALSE)</f>
        <v>Samsung Tablet Model 21</v>
      </c>
    </row>
    <row r="104" ht="15.15" spans="1:9">
      <c r="A104" s="20">
        <v>102</v>
      </c>
      <c r="B104" s="20">
        <v>3899</v>
      </c>
      <c r="C104" s="21">
        <v>45208</v>
      </c>
      <c r="D104" s="20">
        <v>3291.84</v>
      </c>
      <c r="E104" s="22" t="s">
        <v>10</v>
      </c>
      <c r="F104" s="22" t="s">
        <v>16</v>
      </c>
      <c r="G104" s="22" t="s">
        <v>15</v>
      </c>
      <c r="H104" s="16">
        <v>102</v>
      </c>
      <c r="I104" t="str">
        <f>VLOOKUP(H104,Product!A:B,2,FALSE)</f>
        <v>Amazon Tablet Model 22</v>
      </c>
    </row>
    <row r="105" ht="15.15" spans="1:9">
      <c r="A105" s="20">
        <v>103</v>
      </c>
      <c r="B105" s="20">
        <v>9817</v>
      </c>
      <c r="C105" s="21">
        <v>45169</v>
      </c>
      <c r="D105" s="20">
        <v>3291.84</v>
      </c>
      <c r="E105" s="22" t="s">
        <v>10</v>
      </c>
      <c r="F105" s="22" t="s">
        <v>11</v>
      </c>
      <c r="G105" s="22" t="s">
        <v>15</v>
      </c>
      <c r="H105" s="16">
        <v>103</v>
      </c>
      <c r="I105" t="str">
        <f>VLOOKUP(H105,Product!A:B,2,FALSE)</f>
        <v>Apple Tablet Model 23</v>
      </c>
    </row>
    <row r="106" ht="15.15" spans="1:9">
      <c r="A106" s="20">
        <v>104</v>
      </c>
      <c r="B106" s="20">
        <v>2478</v>
      </c>
      <c r="C106" s="21">
        <v>45265</v>
      </c>
      <c r="D106" s="20">
        <v>3291.84</v>
      </c>
      <c r="E106" s="22" t="s">
        <v>10</v>
      </c>
      <c r="F106" s="22" t="s">
        <v>13</v>
      </c>
      <c r="G106" s="22" t="s">
        <v>17</v>
      </c>
      <c r="H106" s="16">
        <v>104</v>
      </c>
      <c r="I106" t="str">
        <f>VLOOKUP(H106,Product!A:B,2,FALSE)</f>
        <v>Amazon Tablet Model 24</v>
      </c>
    </row>
    <row r="107" ht="15.15" spans="1:9">
      <c r="A107" s="20">
        <v>105</v>
      </c>
      <c r="B107" s="20">
        <v>8493</v>
      </c>
      <c r="C107" s="21">
        <v>45246</v>
      </c>
      <c r="D107" s="20">
        <v>3291.84</v>
      </c>
      <c r="E107" s="22" t="s">
        <v>10</v>
      </c>
      <c r="F107" s="22" t="s">
        <v>13</v>
      </c>
      <c r="G107" s="22" t="s">
        <v>20</v>
      </c>
      <c r="H107" s="16">
        <v>105</v>
      </c>
      <c r="I107" t="str">
        <f>VLOOKUP(H107,Product!A:B,2,FALSE)</f>
        <v>Samsung Tablet Model 25</v>
      </c>
    </row>
    <row r="108" ht="15.15" spans="1:9">
      <c r="A108" s="20">
        <v>106</v>
      </c>
      <c r="B108" s="20">
        <v>6690</v>
      </c>
      <c r="C108" s="21">
        <v>45291</v>
      </c>
      <c r="D108" s="20">
        <v>3291.84</v>
      </c>
      <c r="E108" s="22" t="s">
        <v>10</v>
      </c>
      <c r="F108" s="22" t="s">
        <v>18</v>
      </c>
      <c r="G108" s="22" t="s">
        <v>17</v>
      </c>
      <c r="H108" s="16">
        <v>106</v>
      </c>
      <c r="I108" t="str">
        <f>VLOOKUP(H108,Product!A:B,2,FALSE)</f>
        <v>Microsoft Tablet Model 26</v>
      </c>
    </row>
    <row r="109" ht="15.15" spans="1:9">
      <c r="A109" s="20">
        <v>107</v>
      </c>
      <c r="B109" s="20">
        <v>8857</v>
      </c>
      <c r="C109" s="21">
        <v>45254</v>
      </c>
      <c r="D109" s="20">
        <v>3291.84</v>
      </c>
      <c r="E109" s="22" t="s">
        <v>10</v>
      </c>
      <c r="F109" s="22" t="s">
        <v>11</v>
      </c>
      <c r="G109" s="22" t="s">
        <v>17</v>
      </c>
      <c r="H109" s="16">
        <v>107</v>
      </c>
      <c r="I109" t="str">
        <f>VLOOKUP(H109,Product!A:B,2,FALSE)</f>
        <v>Apple Tablet Model 27</v>
      </c>
    </row>
    <row r="110" ht="15.15" spans="1:9">
      <c r="A110" s="20">
        <v>108</v>
      </c>
      <c r="B110" s="20">
        <v>9904</v>
      </c>
      <c r="C110" s="21">
        <v>45282</v>
      </c>
      <c r="D110" s="20">
        <v>3291.84</v>
      </c>
      <c r="E110" s="22" t="s">
        <v>10</v>
      </c>
      <c r="F110" s="22" t="s">
        <v>18</v>
      </c>
      <c r="G110" s="22" t="s">
        <v>17</v>
      </c>
      <c r="H110" s="16">
        <v>108</v>
      </c>
      <c r="I110" t="str">
        <f>VLOOKUP(H110,Product!A:B,2,FALSE)</f>
        <v>Samsung Tablet Model 28</v>
      </c>
    </row>
    <row r="111" ht="15.15" spans="1:9">
      <c r="A111" s="20">
        <v>109</v>
      </c>
      <c r="B111" s="20">
        <v>7569</v>
      </c>
      <c r="C111" s="21">
        <v>45254</v>
      </c>
      <c r="D111" s="20">
        <v>3291.84</v>
      </c>
      <c r="E111" s="22" t="s">
        <v>10</v>
      </c>
      <c r="F111" s="22" t="s">
        <v>11</v>
      </c>
      <c r="G111" s="22" t="s">
        <v>17</v>
      </c>
      <c r="H111" s="16">
        <v>109</v>
      </c>
      <c r="I111" t="str">
        <f>VLOOKUP(H111,Product!A:B,2,FALSE)</f>
        <v>Lenovo Tablet Model 29</v>
      </c>
    </row>
    <row r="112" ht="15.15" spans="1:9">
      <c r="A112" s="20">
        <v>110</v>
      </c>
      <c r="B112" s="20">
        <v>4358</v>
      </c>
      <c r="C112" s="21">
        <v>45159</v>
      </c>
      <c r="D112" s="20">
        <v>3291.84</v>
      </c>
      <c r="E112" s="22" t="s">
        <v>10</v>
      </c>
      <c r="F112" s="22" t="s">
        <v>16</v>
      </c>
      <c r="G112" s="22" t="s">
        <v>15</v>
      </c>
      <c r="H112" s="16">
        <v>110</v>
      </c>
      <c r="I112" t="str">
        <f>VLOOKUP(H112,Product!A:B,2,FALSE)</f>
        <v>Apple Tablet Model 30</v>
      </c>
    </row>
    <row r="113" ht="15.15" spans="1:9">
      <c r="A113" s="20">
        <v>111</v>
      </c>
      <c r="B113" s="20">
        <v>3325</v>
      </c>
      <c r="C113" s="21">
        <v>45027</v>
      </c>
      <c r="D113" s="20">
        <v>3291.84</v>
      </c>
      <c r="E113" s="22" t="s">
        <v>10</v>
      </c>
      <c r="F113" s="22" t="s">
        <v>13</v>
      </c>
      <c r="G113" s="22" t="s">
        <v>17</v>
      </c>
      <c r="H113" s="16">
        <v>111</v>
      </c>
      <c r="I113" t="str">
        <f>VLOOKUP(H113,Product!A:B,2,FALSE)</f>
        <v>Apple Tablet Model 31</v>
      </c>
    </row>
    <row r="114" ht="15.15" spans="1:9">
      <c r="A114" s="20">
        <v>112</v>
      </c>
      <c r="B114" s="20">
        <v>3648</v>
      </c>
      <c r="C114" s="21">
        <v>45277</v>
      </c>
      <c r="D114" s="20">
        <v>3291.84</v>
      </c>
      <c r="E114" s="22" t="s">
        <v>10</v>
      </c>
      <c r="F114" s="22" t="s">
        <v>14</v>
      </c>
      <c r="G114" s="22" t="s">
        <v>17</v>
      </c>
      <c r="H114" s="16">
        <v>112</v>
      </c>
      <c r="I114" t="str">
        <f>VLOOKUP(H114,Product!A:B,2,FALSE)</f>
        <v>Samsung Tablet Model 32</v>
      </c>
    </row>
    <row r="115" ht="15.15" spans="1:9">
      <c r="A115" s="20">
        <v>113</v>
      </c>
      <c r="B115" s="20">
        <v>5220</v>
      </c>
      <c r="C115" s="21">
        <v>45029</v>
      </c>
      <c r="D115" s="20">
        <v>3291.84</v>
      </c>
      <c r="E115" s="22" t="s">
        <v>10</v>
      </c>
      <c r="F115" s="22" t="s">
        <v>16</v>
      </c>
      <c r="G115" s="22" t="s">
        <v>15</v>
      </c>
      <c r="H115" s="16">
        <v>113</v>
      </c>
      <c r="I115" t="str">
        <f>VLOOKUP(H115,Product!A:B,2,FALSE)</f>
        <v>Lenovo Tablet Model 33</v>
      </c>
    </row>
    <row r="116" ht="15.15" spans="1:9">
      <c r="A116" s="20">
        <v>114</v>
      </c>
      <c r="B116" s="20">
        <v>1765</v>
      </c>
      <c r="C116" s="21">
        <v>45154</v>
      </c>
      <c r="D116" s="20">
        <v>3291.84</v>
      </c>
      <c r="E116" s="22" t="s">
        <v>10</v>
      </c>
      <c r="F116" s="22" t="s">
        <v>18</v>
      </c>
      <c r="G116" s="22" t="s">
        <v>15</v>
      </c>
      <c r="H116" s="16">
        <v>114</v>
      </c>
      <c r="I116" t="str">
        <f>VLOOKUP(H116,Product!A:B,2,FALSE)</f>
        <v>Lenovo Tablet Model 34</v>
      </c>
    </row>
    <row r="117" ht="15.15" spans="1:9">
      <c r="A117" s="20">
        <v>115</v>
      </c>
      <c r="B117" s="20">
        <v>6907</v>
      </c>
      <c r="C117" s="21">
        <v>45231</v>
      </c>
      <c r="D117" s="20">
        <v>3291.84</v>
      </c>
      <c r="E117" s="22" t="s">
        <v>10</v>
      </c>
      <c r="F117" s="22" t="s">
        <v>14</v>
      </c>
      <c r="G117" s="22" t="s">
        <v>20</v>
      </c>
      <c r="H117" s="16">
        <v>115</v>
      </c>
      <c r="I117" t="str">
        <f>VLOOKUP(H117,Product!A:B,2,FALSE)</f>
        <v>Samsung Tablet Model 35</v>
      </c>
    </row>
    <row r="118" ht="15.15" spans="1:9">
      <c r="A118" s="20">
        <v>116</v>
      </c>
      <c r="B118" s="20">
        <v>2252</v>
      </c>
      <c r="C118" s="21">
        <v>45287</v>
      </c>
      <c r="D118" s="20">
        <v>3291.84</v>
      </c>
      <c r="E118" s="22" t="s">
        <v>10</v>
      </c>
      <c r="F118" s="22" t="s">
        <v>11</v>
      </c>
      <c r="G118" s="22" t="s">
        <v>20</v>
      </c>
      <c r="H118" s="16">
        <v>116</v>
      </c>
      <c r="I118" t="str">
        <f>VLOOKUP(H118,Product!A:B,2,FALSE)</f>
        <v>Samsung Tablet Model 36</v>
      </c>
    </row>
    <row r="119" ht="15.15" spans="1:9">
      <c r="A119" s="20">
        <v>117</v>
      </c>
      <c r="B119" s="20">
        <v>4293</v>
      </c>
      <c r="C119" s="21">
        <v>45118</v>
      </c>
      <c r="D119" s="20">
        <v>3291.84</v>
      </c>
      <c r="E119" s="22" t="s">
        <v>10</v>
      </c>
      <c r="F119" s="22" t="s">
        <v>18</v>
      </c>
      <c r="G119" s="22" t="s">
        <v>12</v>
      </c>
      <c r="H119" s="16">
        <v>117</v>
      </c>
      <c r="I119" t="str">
        <f>VLOOKUP(H119,Product!A:B,2,FALSE)</f>
        <v>Amazon Tablet Model 37</v>
      </c>
    </row>
    <row r="120" ht="15.15" spans="1:9">
      <c r="A120" s="20">
        <v>118</v>
      </c>
      <c r="B120" s="20">
        <v>4625</v>
      </c>
      <c r="C120" s="21">
        <v>45057</v>
      </c>
      <c r="D120" s="20">
        <v>3291.84</v>
      </c>
      <c r="E120" s="22" t="s">
        <v>10</v>
      </c>
      <c r="F120" s="22" t="s">
        <v>14</v>
      </c>
      <c r="G120" s="22" t="s">
        <v>20</v>
      </c>
      <c r="H120" s="16">
        <v>118</v>
      </c>
      <c r="I120" t="str">
        <f>VLOOKUP(H120,Product!A:B,2,FALSE)</f>
        <v>Samsung Tablet Model 38</v>
      </c>
    </row>
    <row r="121" ht="15.15" spans="1:9">
      <c r="A121" s="20">
        <v>119</v>
      </c>
      <c r="B121" s="20">
        <v>6665</v>
      </c>
      <c r="C121" s="21">
        <v>45141</v>
      </c>
      <c r="D121" s="20">
        <v>3291.84</v>
      </c>
      <c r="E121" s="22" t="s">
        <v>10</v>
      </c>
      <c r="F121" s="22" t="s">
        <v>16</v>
      </c>
      <c r="G121" s="22" t="s">
        <v>20</v>
      </c>
      <c r="H121" s="16">
        <v>119</v>
      </c>
      <c r="I121" t="str">
        <f>VLOOKUP(H121,Product!A:B,2,FALSE)</f>
        <v>Apple Tablet Model 39</v>
      </c>
    </row>
    <row r="122" ht="15.15" spans="1:9">
      <c r="A122" s="20">
        <v>120</v>
      </c>
      <c r="B122" s="20">
        <v>9753</v>
      </c>
      <c r="C122" s="21">
        <v>45243</v>
      </c>
      <c r="D122" s="20">
        <v>3291.84</v>
      </c>
      <c r="E122" s="22" t="s">
        <v>10</v>
      </c>
      <c r="F122" s="22" t="s">
        <v>13</v>
      </c>
      <c r="G122" s="22" t="s">
        <v>15</v>
      </c>
      <c r="H122" s="16">
        <v>120</v>
      </c>
      <c r="I122" t="str">
        <f>VLOOKUP(H122,Product!A:B,2,FALSE)</f>
        <v>Microsoft Tablet Model 40</v>
      </c>
    </row>
    <row r="123" ht="15.15" spans="1:9">
      <c r="A123" s="20">
        <v>121</v>
      </c>
      <c r="B123" s="20">
        <v>1158</v>
      </c>
      <c r="C123" s="21">
        <v>45290</v>
      </c>
      <c r="D123" s="20">
        <v>3291.84</v>
      </c>
      <c r="E123" s="22" t="s">
        <v>10</v>
      </c>
      <c r="F123" s="22" t="s">
        <v>14</v>
      </c>
      <c r="G123" s="22" t="s">
        <v>20</v>
      </c>
      <c r="H123" s="16">
        <v>121</v>
      </c>
      <c r="I123" t="str">
        <f>VLOOKUP(H123,Product!A:B,2,FALSE)</f>
        <v>Apple Headphone Model 1</v>
      </c>
    </row>
    <row r="124" ht="15.15" spans="1:9">
      <c r="A124" s="20">
        <v>122</v>
      </c>
      <c r="B124" s="20">
        <v>3040</v>
      </c>
      <c r="C124" s="21">
        <v>45084</v>
      </c>
      <c r="D124" s="20">
        <v>3291.84</v>
      </c>
      <c r="E124" s="22" t="s">
        <v>10</v>
      </c>
      <c r="F124" s="22" t="s">
        <v>13</v>
      </c>
      <c r="G124" s="22" t="s">
        <v>20</v>
      </c>
      <c r="H124" s="16">
        <v>122</v>
      </c>
      <c r="I124" t="str">
        <f>VLOOKUP(H124,Product!A:B,2,FALSE)</f>
        <v>Bose Headphone Model 2</v>
      </c>
    </row>
    <row r="125" ht="15.15" spans="1:9">
      <c r="A125" s="20">
        <v>123</v>
      </c>
      <c r="B125" s="20">
        <v>6832</v>
      </c>
      <c r="C125" s="21">
        <v>45234</v>
      </c>
      <c r="D125" s="20">
        <v>3291.84</v>
      </c>
      <c r="E125" s="22" t="s">
        <v>10</v>
      </c>
      <c r="F125" s="22" t="s">
        <v>18</v>
      </c>
      <c r="G125" s="22" t="s">
        <v>20</v>
      </c>
      <c r="H125" s="16">
        <v>123</v>
      </c>
      <c r="I125" t="str">
        <f>VLOOKUP(H125,Product!A:B,2,FALSE)</f>
        <v>Apple Headphone Model 3</v>
      </c>
    </row>
    <row r="126" ht="15.15" spans="1:9">
      <c r="A126" s="20">
        <v>124</v>
      </c>
      <c r="B126" s="20">
        <v>7927</v>
      </c>
      <c r="C126" s="21">
        <v>45088</v>
      </c>
      <c r="D126" s="20">
        <v>3291.84</v>
      </c>
      <c r="E126" s="22" t="s">
        <v>10</v>
      </c>
      <c r="F126" s="22" t="s">
        <v>11</v>
      </c>
      <c r="G126" s="22" t="s">
        <v>12</v>
      </c>
      <c r="H126" s="16">
        <v>124</v>
      </c>
      <c r="I126" t="str">
        <f>VLOOKUP(H126,Product!A:B,2,FALSE)</f>
        <v>JBL Headphone Model 4</v>
      </c>
    </row>
    <row r="127" ht="15.15" spans="1:9">
      <c r="A127" s="20">
        <v>125</v>
      </c>
      <c r="B127" s="20">
        <v>1940</v>
      </c>
      <c r="C127" s="21">
        <v>45240</v>
      </c>
      <c r="D127" s="20">
        <v>3291.84</v>
      </c>
      <c r="E127" s="22" t="s">
        <v>10</v>
      </c>
      <c r="F127" s="22" t="s">
        <v>18</v>
      </c>
      <c r="G127" s="22" t="s">
        <v>12</v>
      </c>
      <c r="H127" s="16">
        <v>125</v>
      </c>
      <c r="I127" t="str">
        <f>VLOOKUP(H127,Product!A:B,2,FALSE)</f>
        <v>Sennheiser Headphone Model 5</v>
      </c>
    </row>
    <row r="128" ht="15.15" spans="1:9">
      <c r="A128" s="20">
        <v>126</v>
      </c>
      <c r="B128" s="20">
        <v>5013</v>
      </c>
      <c r="C128" s="21">
        <v>45181</v>
      </c>
      <c r="D128" s="20">
        <v>3291.84</v>
      </c>
      <c r="E128" s="22" t="s">
        <v>10</v>
      </c>
      <c r="F128" s="22" t="s">
        <v>16</v>
      </c>
      <c r="G128" s="22" t="s">
        <v>12</v>
      </c>
      <c r="H128" s="16">
        <v>126</v>
      </c>
      <c r="I128" t="str">
        <f>VLOOKUP(H128,Product!A:B,2,FALSE)</f>
        <v>JBL Headphone Model 6</v>
      </c>
    </row>
    <row r="129" ht="15.15" spans="1:9">
      <c r="A129" s="20">
        <v>127</v>
      </c>
      <c r="B129" s="20">
        <v>1300</v>
      </c>
      <c r="C129" s="21">
        <v>45146</v>
      </c>
      <c r="D129" s="20">
        <v>3291.84</v>
      </c>
      <c r="E129" s="22" t="s">
        <v>10</v>
      </c>
      <c r="F129" s="22" t="s">
        <v>13</v>
      </c>
      <c r="G129" s="22" t="s">
        <v>17</v>
      </c>
      <c r="H129" s="16">
        <v>127</v>
      </c>
      <c r="I129" t="str">
        <f>VLOOKUP(H129,Product!A:B,2,FALSE)</f>
        <v>JBL Headphone Model 7</v>
      </c>
    </row>
    <row r="130" ht="15.15" spans="1:9">
      <c r="A130" s="20">
        <v>128</v>
      </c>
      <c r="B130" s="20">
        <v>394</v>
      </c>
      <c r="C130" s="21">
        <v>44972</v>
      </c>
      <c r="D130" s="20">
        <v>3291.84</v>
      </c>
      <c r="E130" s="22" t="s">
        <v>10</v>
      </c>
      <c r="F130" s="22" t="s">
        <v>16</v>
      </c>
      <c r="G130" s="22" t="s">
        <v>12</v>
      </c>
      <c r="H130" s="16">
        <v>128</v>
      </c>
      <c r="I130" t="str">
        <f>VLOOKUP(H130,Product!A:B,2,FALSE)</f>
        <v>JBL Headphone Model 8</v>
      </c>
    </row>
    <row r="131" ht="15.15" spans="1:9">
      <c r="A131" s="20">
        <v>129</v>
      </c>
      <c r="B131" s="20">
        <v>9908</v>
      </c>
      <c r="C131" s="21">
        <v>45246</v>
      </c>
      <c r="D131" s="20">
        <v>3291.84</v>
      </c>
      <c r="E131" s="22" t="s">
        <v>10</v>
      </c>
      <c r="F131" s="22" t="s">
        <v>11</v>
      </c>
      <c r="G131" s="22" t="s">
        <v>12</v>
      </c>
      <c r="H131" s="16">
        <v>129</v>
      </c>
      <c r="I131" t="str">
        <f>VLOOKUP(H131,Product!A:B,2,FALSE)</f>
        <v>Sennheiser Headphone Model 9</v>
      </c>
    </row>
    <row r="132" ht="15.15" spans="1:9">
      <c r="A132" s="20">
        <v>130</v>
      </c>
      <c r="B132" s="20">
        <v>9139</v>
      </c>
      <c r="C132" s="21">
        <v>45043</v>
      </c>
      <c r="D132" s="20">
        <v>3291.84</v>
      </c>
      <c r="E132" s="22" t="s">
        <v>10</v>
      </c>
      <c r="F132" s="22" t="s">
        <v>16</v>
      </c>
      <c r="G132" s="22" t="s">
        <v>20</v>
      </c>
      <c r="H132" s="16">
        <v>130</v>
      </c>
      <c r="I132" t="str">
        <f>VLOOKUP(H132,Product!A:B,2,FALSE)</f>
        <v>Sennheiser Headphone Model 10</v>
      </c>
    </row>
    <row r="133" ht="15.15" spans="1:9">
      <c r="A133" s="20">
        <v>131</v>
      </c>
      <c r="B133" s="20">
        <v>5281</v>
      </c>
      <c r="C133" s="21">
        <v>45260</v>
      </c>
      <c r="D133" s="20">
        <v>3291.84</v>
      </c>
      <c r="E133" s="22" t="s">
        <v>10</v>
      </c>
      <c r="F133" s="22" t="s">
        <v>11</v>
      </c>
      <c r="G133" s="22" t="s">
        <v>12</v>
      </c>
      <c r="H133" s="16">
        <v>131</v>
      </c>
      <c r="I133" t="str">
        <f>VLOOKUP(H133,Product!A:B,2,FALSE)</f>
        <v>Apple Headphone Model 11</v>
      </c>
    </row>
    <row r="134" ht="15.15" spans="1:9">
      <c r="A134" s="20">
        <v>132</v>
      </c>
      <c r="B134" s="20">
        <v>4722</v>
      </c>
      <c r="C134" s="21">
        <v>45149</v>
      </c>
      <c r="D134" s="20">
        <v>3291.84</v>
      </c>
      <c r="E134" s="22" t="s">
        <v>10</v>
      </c>
      <c r="F134" s="22" t="s">
        <v>14</v>
      </c>
      <c r="G134" s="22" t="s">
        <v>15</v>
      </c>
      <c r="H134" s="16">
        <v>132</v>
      </c>
      <c r="I134" t="str">
        <f>VLOOKUP(H134,Product!A:B,2,FALSE)</f>
        <v>Sennheiser Headphone Model 12</v>
      </c>
    </row>
    <row r="135" ht="15.15" spans="1:9">
      <c r="A135" s="20">
        <v>133</v>
      </c>
      <c r="B135" s="20">
        <v>4458</v>
      </c>
      <c r="C135" s="21">
        <v>44936</v>
      </c>
      <c r="D135" s="20">
        <v>3291.84</v>
      </c>
      <c r="E135" s="22" t="s">
        <v>10</v>
      </c>
      <c r="F135" s="22" t="s">
        <v>16</v>
      </c>
      <c r="G135" s="22" t="s">
        <v>17</v>
      </c>
      <c r="H135" s="16">
        <v>133</v>
      </c>
      <c r="I135" t="str">
        <f>VLOOKUP(H135,Product!A:B,2,FALSE)</f>
        <v>Bose Headphone Model 13</v>
      </c>
    </row>
    <row r="136" ht="15.15" spans="1:9">
      <c r="A136" s="20">
        <v>134</v>
      </c>
      <c r="B136" s="20">
        <v>2839</v>
      </c>
      <c r="C136" s="21">
        <v>45105</v>
      </c>
      <c r="D136" s="20">
        <v>3291.84</v>
      </c>
      <c r="E136" s="22" t="s">
        <v>10</v>
      </c>
      <c r="F136" s="22" t="s">
        <v>11</v>
      </c>
      <c r="G136" s="22" t="s">
        <v>12</v>
      </c>
      <c r="H136" s="16">
        <v>134</v>
      </c>
      <c r="I136" t="str">
        <f>VLOOKUP(H136,Product!A:B,2,FALSE)</f>
        <v>JBL Headphone Model 14</v>
      </c>
    </row>
    <row r="137" ht="15.15" spans="1:9">
      <c r="A137" s="20">
        <v>135</v>
      </c>
      <c r="B137" s="20">
        <v>7</v>
      </c>
      <c r="C137" s="21">
        <v>45245</v>
      </c>
      <c r="D137" s="20">
        <v>3291.84</v>
      </c>
      <c r="E137" s="22" t="s">
        <v>10</v>
      </c>
      <c r="F137" s="22" t="s">
        <v>14</v>
      </c>
      <c r="G137" s="22" t="s">
        <v>20</v>
      </c>
      <c r="H137" s="16">
        <v>135</v>
      </c>
      <c r="I137" t="str">
        <f>VLOOKUP(H137,Product!A:B,2,FALSE)</f>
        <v>Sony Headphone Model 15</v>
      </c>
    </row>
    <row r="138" ht="15.15" spans="1:9">
      <c r="A138" s="20">
        <v>136</v>
      </c>
      <c r="B138" s="20">
        <v>1566</v>
      </c>
      <c r="C138" s="21">
        <v>45154</v>
      </c>
      <c r="D138" s="20">
        <v>3291.84</v>
      </c>
      <c r="E138" s="22" t="s">
        <v>10</v>
      </c>
      <c r="F138" s="22" t="s">
        <v>11</v>
      </c>
      <c r="G138" s="22" t="s">
        <v>20</v>
      </c>
      <c r="H138" s="16">
        <v>136</v>
      </c>
      <c r="I138" t="str">
        <f>VLOOKUP(H138,Product!A:B,2,FALSE)</f>
        <v>JBL Headphone Model 16</v>
      </c>
    </row>
    <row r="139" ht="15.15" spans="1:9">
      <c r="A139" s="20">
        <v>137</v>
      </c>
      <c r="B139" s="20">
        <v>1604</v>
      </c>
      <c r="C139" s="21">
        <v>45263</v>
      </c>
      <c r="D139" s="20">
        <v>3291.84</v>
      </c>
      <c r="E139" s="22" t="s">
        <v>10</v>
      </c>
      <c r="F139" s="22" t="s">
        <v>16</v>
      </c>
      <c r="G139" s="22" t="s">
        <v>12</v>
      </c>
      <c r="H139" s="16">
        <v>137</v>
      </c>
      <c r="I139" t="str">
        <f>VLOOKUP(H139,Product!A:B,2,FALSE)</f>
        <v>JBL Headphone Model 17</v>
      </c>
    </row>
    <row r="140" ht="15.15" spans="1:9">
      <c r="A140" s="20">
        <v>138</v>
      </c>
      <c r="B140" s="20">
        <v>3846</v>
      </c>
      <c r="C140" s="21">
        <v>45059</v>
      </c>
      <c r="D140" s="20">
        <v>3291.84</v>
      </c>
      <c r="E140" s="22" t="s">
        <v>10</v>
      </c>
      <c r="F140" s="22" t="s">
        <v>11</v>
      </c>
      <c r="G140" s="22" t="s">
        <v>12</v>
      </c>
      <c r="H140" s="16">
        <v>138</v>
      </c>
      <c r="I140" t="str">
        <f>VLOOKUP(H140,Product!A:B,2,FALSE)</f>
        <v>Apple Headphone Model 18</v>
      </c>
    </row>
    <row r="141" ht="15.15" spans="1:9">
      <c r="A141" s="20">
        <v>139</v>
      </c>
      <c r="B141" s="20">
        <v>8004</v>
      </c>
      <c r="C141" s="21">
        <v>45070</v>
      </c>
      <c r="D141" s="20">
        <v>3291.84</v>
      </c>
      <c r="E141" s="22" t="s">
        <v>10</v>
      </c>
      <c r="F141" s="22" t="s">
        <v>16</v>
      </c>
      <c r="G141" s="22" t="s">
        <v>17</v>
      </c>
      <c r="H141" s="16">
        <v>139</v>
      </c>
      <c r="I141" t="str">
        <f>VLOOKUP(H141,Product!A:B,2,FALSE)</f>
        <v>Sennheiser Headphone Model 19</v>
      </c>
    </row>
    <row r="142" ht="15.15" spans="1:9">
      <c r="A142" s="20">
        <v>140</v>
      </c>
      <c r="B142" s="20">
        <v>7343</v>
      </c>
      <c r="C142" s="21">
        <v>45035</v>
      </c>
      <c r="D142" s="20">
        <v>3291.84</v>
      </c>
      <c r="E142" s="22" t="s">
        <v>10</v>
      </c>
      <c r="F142" s="22" t="s">
        <v>14</v>
      </c>
      <c r="G142" s="22" t="s">
        <v>20</v>
      </c>
      <c r="H142" s="16">
        <v>140</v>
      </c>
      <c r="I142" t="str">
        <f>VLOOKUP(H142,Product!A:B,2,FALSE)</f>
        <v>Sony Headphone Model 20</v>
      </c>
    </row>
    <row r="143" ht="15.15" spans="1:9">
      <c r="A143" s="20">
        <v>141</v>
      </c>
      <c r="B143" s="20">
        <v>9531</v>
      </c>
      <c r="C143" s="21">
        <v>45240</v>
      </c>
      <c r="D143" s="20">
        <v>3291.84</v>
      </c>
      <c r="E143" s="22" t="s">
        <v>10</v>
      </c>
      <c r="F143" s="22" t="s">
        <v>18</v>
      </c>
      <c r="G143" s="22" t="s">
        <v>15</v>
      </c>
      <c r="H143" s="16">
        <v>141</v>
      </c>
      <c r="I143" t="str">
        <f>VLOOKUP(H143,Product!A:B,2,FALSE)</f>
        <v>Sennheiser Headphone Model 21</v>
      </c>
    </row>
    <row r="144" ht="15.15" spans="1:9">
      <c r="A144" s="20">
        <v>142</v>
      </c>
      <c r="B144" s="20">
        <v>2426</v>
      </c>
      <c r="C144" s="21">
        <v>45260</v>
      </c>
      <c r="D144" s="20">
        <v>3291.84</v>
      </c>
      <c r="E144" s="22" t="s">
        <v>10</v>
      </c>
      <c r="F144" s="22" t="s">
        <v>14</v>
      </c>
      <c r="G144" s="22" t="s">
        <v>12</v>
      </c>
      <c r="H144" s="16">
        <v>142</v>
      </c>
      <c r="I144" t="str">
        <f>VLOOKUP(H144,Product!A:B,2,FALSE)</f>
        <v>Apple Headphone Model 22</v>
      </c>
    </row>
    <row r="145" ht="15.15" spans="1:9">
      <c r="A145" s="20">
        <v>143</v>
      </c>
      <c r="B145" s="20">
        <v>8362</v>
      </c>
      <c r="C145" s="21">
        <v>45153</v>
      </c>
      <c r="D145" s="20">
        <v>3291.84</v>
      </c>
      <c r="E145" s="22" t="s">
        <v>10</v>
      </c>
      <c r="F145" s="22" t="s">
        <v>16</v>
      </c>
      <c r="G145" s="22" t="s">
        <v>15</v>
      </c>
      <c r="H145" s="16">
        <v>143</v>
      </c>
      <c r="I145" t="str">
        <f>VLOOKUP(H145,Product!A:B,2,FALSE)</f>
        <v>Apple Headphone Model 23</v>
      </c>
    </row>
    <row r="146" ht="15.15" spans="1:9">
      <c r="A146" s="20">
        <v>144</v>
      </c>
      <c r="B146" s="20">
        <v>5701</v>
      </c>
      <c r="C146" s="21">
        <v>45059</v>
      </c>
      <c r="D146" s="20">
        <v>3291.84</v>
      </c>
      <c r="E146" s="22" t="s">
        <v>10</v>
      </c>
      <c r="F146" s="22" t="s">
        <v>14</v>
      </c>
      <c r="G146" s="22" t="s">
        <v>17</v>
      </c>
      <c r="H146" s="16">
        <v>144</v>
      </c>
      <c r="I146" t="str">
        <f>VLOOKUP(H146,Product!A:B,2,FALSE)</f>
        <v>Bose Headphone Model 24</v>
      </c>
    </row>
    <row r="147" ht="15.15" spans="1:9">
      <c r="A147" s="20">
        <v>145</v>
      </c>
      <c r="B147" s="20">
        <v>2798</v>
      </c>
      <c r="C147" s="21">
        <v>45029</v>
      </c>
      <c r="D147" s="20">
        <v>3291.84</v>
      </c>
      <c r="E147" s="22" t="s">
        <v>10</v>
      </c>
      <c r="F147" s="22" t="s">
        <v>13</v>
      </c>
      <c r="G147" s="22" t="s">
        <v>12</v>
      </c>
      <c r="H147" s="16">
        <v>145</v>
      </c>
      <c r="I147" t="str">
        <f>VLOOKUP(H147,Product!A:B,2,FALSE)</f>
        <v>Sennheiser Headphone Model 25</v>
      </c>
    </row>
    <row r="148" ht="15.15" spans="1:9">
      <c r="A148" s="20">
        <v>146</v>
      </c>
      <c r="B148" s="20">
        <v>6045</v>
      </c>
      <c r="C148" s="21">
        <v>45267</v>
      </c>
      <c r="D148" s="20">
        <v>3291.84</v>
      </c>
      <c r="E148" s="22" t="s">
        <v>10</v>
      </c>
      <c r="F148" s="22" t="s">
        <v>11</v>
      </c>
      <c r="G148" s="22" t="s">
        <v>12</v>
      </c>
      <c r="H148" s="16">
        <v>146</v>
      </c>
      <c r="I148" t="str">
        <f>VLOOKUP(H148,Product!A:B,2,FALSE)</f>
        <v>Bose Headphone Model 26</v>
      </c>
    </row>
    <row r="149" ht="15.15" spans="1:9">
      <c r="A149" s="20">
        <v>147</v>
      </c>
      <c r="B149" s="20">
        <v>1956</v>
      </c>
      <c r="C149" s="21">
        <v>45229</v>
      </c>
      <c r="D149" s="20">
        <v>3291.84</v>
      </c>
      <c r="E149" s="22" t="s">
        <v>10</v>
      </c>
      <c r="F149" s="22" t="s">
        <v>16</v>
      </c>
      <c r="G149" s="22" t="s">
        <v>12</v>
      </c>
      <c r="H149" s="16">
        <v>147</v>
      </c>
      <c r="I149" t="str">
        <f>VLOOKUP(H149,Product!A:B,2,FALSE)</f>
        <v>Bose Headphone Model 27</v>
      </c>
    </row>
    <row r="150" ht="15.15" spans="1:9">
      <c r="A150" s="20">
        <v>148</v>
      </c>
      <c r="B150" s="20">
        <v>2684</v>
      </c>
      <c r="C150" s="21">
        <v>45192</v>
      </c>
      <c r="D150" s="20">
        <v>3291.84</v>
      </c>
      <c r="E150" s="22" t="s">
        <v>10</v>
      </c>
      <c r="F150" s="22" t="s">
        <v>13</v>
      </c>
      <c r="G150" s="22" t="s">
        <v>15</v>
      </c>
      <c r="H150" s="16">
        <v>148</v>
      </c>
      <c r="I150" t="str">
        <f>VLOOKUP(H150,Product!A:B,2,FALSE)</f>
        <v>Apple Headphone Model 28</v>
      </c>
    </row>
    <row r="151" ht="15.15" spans="1:9">
      <c r="A151" s="20">
        <v>149</v>
      </c>
      <c r="B151" s="20">
        <v>3573</v>
      </c>
      <c r="C151" s="21">
        <v>45031</v>
      </c>
      <c r="D151" s="20">
        <v>3291.84</v>
      </c>
      <c r="E151" s="22" t="s">
        <v>10</v>
      </c>
      <c r="F151" s="22" t="s">
        <v>13</v>
      </c>
      <c r="G151" s="22" t="s">
        <v>15</v>
      </c>
      <c r="H151" s="16">
        <v>149</v>
      </c>
      <c r="I151" t="str">
        <f>VLOOKUP(H151,Product!A:B,2,FALSE)</f>
        <v>Apple Headphone Model 29</v>
      </c>
    </row>
    <row r="152" ht="15.15" spans="1:9">
      <c r="A152" s="20">
        <v>150</v>
      </c>
      <c r="B152" s="20">
        <v>9973</v>
      </c>
      <c r="C152" s="21">
        <v>45280</v>
      </c>
      <c r="D152" s="20">
        <v>3291.84</v>
      </c>
      <c r="E152" s="22" t="s">
        <v>10</v>
      </c>
      <c r="F152" s="22" t="s">
        <v>11</v>
      </c>
      <c r="G152" s="22" t="s">
        <v>12</v>
      </c>
      <c r="H152" s="16">
        <v>150</v>
      </c>
      <c r="I152" t="str">
        <f>VLOOKUP(H152,Product!A:B,2,FALSE)</f>
        <v>Bose Headphone Model 30</v>
      </c>
    </row>
    <row r="153" ht="15.15" spans="1:9">
      <c r="A153" s="20">
        <v>151</v>
      </c>
      <c r="B153" s="20">
        <v>6147</v>
      </c>
      <c r="C153" s="21">
        <v>45141</v>
      </c>
      <c r="D153" s="20">
        <v>3291.84</v>
      </c>
      <c r="E153" s="22" t="s">
        <v>10</v>
      </c>
      <c r="F153" s="22" t="s">
        <v>16</v>
      </c>
      <c r="G153" s="22" t="s">
        <v>12</v>
      </c>
      <c r="H153" s="16">
        <v>151</v>
      </c>
      <c r="I153" t="str">
        <f>VLOOKUP(H153,Product!A:B,2,FALSE)</f>
        <v>Apple Headphone Model 31</v>
      </c>
    </row>
    <row r="154" ht="15.15" spans="1:9">
      <c r="A154" s="20">
        <v>152</v>
      </c>
      <c r="B154" s="20">
        <v>3032</v>
      </c>
      <c r="C154" s="21">
        <v>45254</v>
      </c>
      <c r="D154" s="20">
        <v>3291.84</v>
      </c>
      <c r="E154" s="22" t="s">
        <v>10</v>
      </c>
      <c r="F154" s="22" t="s">
        <v>16</v>
      </c>
      <c r="G154" s="22" t="s">
        <v>20</v>
      </c>
      <c r="H154" s="16">
        <v>152</v>
      </c>
      <c r="I154" t="str">
        <f>VLOOKUP(H154,Product!A:B,2,FALSE)</f>
        <v>Sony Headphone Model 32</v>
      </c>
    </row>
    <row r="155" ht="15.15" spans="1:9">
      <c r="A155" s="20">
        <v>153</v>
      </c>
      <c r="B155" s="20">
        <v>7882</v>
      </c>
      <c r="C155" s="21">
        <v>44979</v>
      </c>
      <c r="D155" s="20">
        <v>3291.84</v>
      </c>
      <c r="E155" s="22" t="s">
        <v>10</v>
      </c>
      <c r="F155" s="22" t="s">
        <v>14</v>
      </c>
      <c r="G155" s="22" t="s">
        <v>12</v>
      </c>
      <c r="H155" s="16">
        <v>153</v>
      </c>
      <c r="I155" t="str">
        <f>VLOOKUP(H155,Product!A:B,2,FALSE)</f>
        <v>Sony Headphone Model 33</v>
      </c>
    </row>
    <row r="156" ht="15.15" spans="1:9">
      <c r="A156" s="20">
        <v>154</v>
      </c>
      <c r="B156" s="20">
        <v>9739</v>
      </c>
      <c r="C156" s="21">
        <v>44993</v>
      </c>
      <c r="D156" s="20">
        <v>3291.84</v>
      </c>
      <c r="E156" s="22" t="s">
        <v>10</v>
      </c>
      <c r="F156" s="22" t="s">
        <v>16</v>
      </c>
      <c r="G156" s="22" t="s">
        <v>12</v>
      </c>
      <c r="H156" s="16">
        <v>154</v>
      </c>
      <c r="I156" t="str">
        <f>VLOOKUP(H156,Product!A:B,2,FALSE)</f>
        <v>Sennheiser Headphone Model 34</v>
      </c>
    </row>
    <row r="157" ht="15.15" spans="1:9">
      <c r="A157" s="20">
        <v>155</v>
      </c>
      <c r="B157" s="20">
        <v>9862</v>
      </c>
      <c r="C157" s="21">
        <v>44952</v>
      </c>
      <c r="D157" s="20">
        <v>3291.84</v>
      </c>
      <c r="E157" s="22" t="s">
        <v>10</v>
      </c>
      <c r="F157" s="22" t="s">
        <v>16</v>
      </c>
      <c r="G157" s="22" t="s">
        <v>20</v>
      </c>
      <c r="H157" s="16">
        <v>155</v>
      </c>
      <c r="I157" t="str">
        <f>VLOOKUP(H157,Product!A:B,2,FALSE)</f>
        <v>Sony Headphone Model 35</v>
      </c>
    </row>
    <row r="158" ht="15.15" spans="1:9">
      <c r="A158" s="20">
        <v>156</v>
      </c>
      <c r="B158" s="20">
        <v>2199</v>
      </c>
      <c r="C158" s="21">
        <v>45164</v>
      </c>
      <c r="D158" s="20">
        <v>3291.84</v>
      </c>
      <c r="E158" s="22" t="s">
        <v>10</v>
      </c>
      <c r="F158" s="22" t="s">
        <v>14</v>
      </c>
      <c r="G158" s="22" t="s">
        <v>20</v>
      </c>
      <c r="H158" s="16">
        <v>156</v>
      </c>
      <c r="I158" t="str">
        <f>VLOOKUP(H158,Product!A:B,2,FALSE)</f>
        <v>Sennheiser Headphone Model 36</v>
      </c>
    </row>
    <row r="159" ht="15.15" spans="1:9">
      <c r="A159" s="20">
        <v>157</v>
      </c>
      <c r="B159" s="20">
        <v>3962</v>
      </c>
      <c r="C159" s="21">
        <v>44993</v>
      </c>
      <c r="D159" s="20">
        <v>3291.84</v>
      </c>
      <c r="E159" s="22" t="s">
        <v>10</v>
      </c>
      <c r="F159" s="22" t="s">
        <v>14</v>
      </c>
      <c r="G159" s="22" t="s">
        <v>17</v>
      </c>
      <c r="H159" s="16">
        <v>157</v>
      </c>
      <c r="I159" t="str">
        <f>VLOOKUP(H159,Product!A:B,2,FALSE)</f>
        <v>Apple Headphone Model 37</v>
      </c>
    </row>
    <row r="160" ht="15.15" spans="1:9">
      <c r="A160" s="20">
        <v>158</v>
      </c>
      <c r="B160" s="20">
        <v>2040</v>
      </c>
      <c r="C160" s="21">
        <v>45004</v>
      </c>
      <c r="D160" s="20">
        <v>3291.84</v>
      </c>
      <c r="E160" s="22" t="s">
        <v>10</v>
      </c>
      <c r="F160" s="22" t="s">
        <v>18</v>
      </c>
      <c r="G160" s="22" t="s">
        <v>12</v>
      </c>
      <c r="H160" s="16">
        <v>158</v>
      </c>
      <c r="I160" t="str">
        <f>VLOOKUP(H160,Product!A:B,2,FALSE)</f>
        <v>Sennheiser Headphone Model 38</v>
      </c>
    </row>
    <row r="161" ht="15.15" spans="1:9">
      <c r="A161" s="20">
        <v>159</v>
      </c>
      <c r="B161" s="20">
        <v>8737</v>
      </c>
      <c r="C161" s="21">
        <v>45289</v>
      </c>
      <c r="D161" s="20">
        <v>3291.84</v>
      </c>
      <c r="E161" s="22" t="s">
        <v>10</v>
      </c>
      <c r="F161" s="22" t="s">
        <v>16</v>
      </c>
      <c r="G161" s="22" t="s">
        <v>20</v>
      </c>
      <c r="H161" s="16">
        <v>159</v>
      </c>
      <c r="I161" t="str">
        <f>VLOOKUP(H161,Product!A:B,2,FALSE)</f>
        <v>Apple Headphone Model 39</v>
      </c>
    </row>
    <row r="162" ht="15.15" spans="1:9">
      <c r="A162" s="20">
        <v>160</v>
      </c>
      <c r="B162" s="20">
        <v>6122</v>
      </c>
      <c r="C162" s="21">
        <v>45291</v>
      </c>
      <c r="D162" s="20">
        <v>3291.84</v>
      </c>
      <c r="E162" s="22" t="s">
        <v>10</v>
      </c>
      <c r="F162" s="22" t="s">
        <v>11</v>
      </c>
      <c r="G162" s="22" t="s">
        <v>17</v>
      </c>
      <c r="H162" s="16">
        <v>160</v>
      </c>
      <c r="I162" t="str">
        <f>VLOOKUP(H162,Product!A:B,2,FALSE)</f>
        <v>Apple Headphone Model 40</v>
      </c>
    </row>
    <row r="163" ht="15.15" spans="1:9">
      <c r="A163" s="20">
        <v>161</v>
      </c>
      <c r="B163" s="20">
        <v>1112</v>
      </c>
      <c r="C163" s="21">
        <v>45200</v>
      </c>
      <c r="D163" s="20">
        <v>3291.84</v>
      </c>
      <c r="E163" s="22" t="s">
        <v>10</v>
      </c>
      <c r="F163" s="22" t="s">
        <v>16</v>
      </c>
      <c r="G163" s="22" t="s">
        <v>20</v>
      </c>
      <c r="H163" s="16">
        <v>161</v>
      </c>
      <c r="I163" t="str">
        <f>VLOOKUP(H163,Product!A:B,2,FALSE)</f>
        <v>Garmin Smartwatche Model 1</v>
      </c>
    </row>
    <row r="164" ht="15.15" spans="1:9">
      <c r="A164" s="20">
        <v>162</v>
      </c>
      <c r="B164" s="20">
        <v>9761</v>
      </c>
      <c r="C164" s="21">
        <v>45029</v>
      </c>
      <c r="D164" s="20">
        <v>3291.84</v>
      </c>
      <c r="E164" s="22" t="s">
        <v>10</v>
      </c>
      <c r="F164" s="22" t="s">
        <v>13</v>
      </c>
      <c r="G164" s="22" t="s">
        <v>12</v>
      </c>
      <c r="H164" s="16">
        <v>162</v>
      </c>
      <c r="I164" t="str">
        <f>VLOOKUP(H164,Product!A:B,2,FALSE)</f>
        <v>Samsung Smartwatche Model 2</v>
      </c>
    </row>
    <row r="165" ht="15.15" spans="1:9">
      <c r="A165" s="20">
        <v>163</v>
      </c>
      <c r="B165" s="20">
        <v>5463</v>
      </c>
      <c r="C165" s="21">
        <v>45140</v>
      </c>
      <c r="D165" s="20">
        <v>3291.84</v>
      </c>
      <c r="E165" s="22" t="s">
        <v>10</v>
      </c>
      <c r="F165" s="22" t="s">
        <v>18</v>
      </c>
      <c r="G165" s="22" t="s">
        <v>15</v>
      </c>
      <c r="H165" s="16">
        <v>163</v>
      </c>
      <c r="I165" t="str">
        <f>VLOOKUP(H165,Product!A:B,2,FALSE)</f>
        <v>Garmin Smartwatche Model 3</v>
      </c>
    </row>
    <row r="166" ht="15.15" spans="1:9">
      <c r="A166" s="20">
        <v>164</v>
      </c>
      <c r="B166" s="20">
        <v>9953</v>
      </c>
      <c r="C166" s="21">
        <v>45231</v>
      </c>
      <c r="D166" s="20">
        <v>3291.84</v>
      </c>
      <c r="E166" s="22" t="s">
        <v>10</v>
      </c>
      <c r="F166" s="22" t="s">
        <v>16</v>
      </c>
      <c r="G166" s="22" t="s">
        <v>17</v>
      </c>
      <c r="H166" s="16">
        <v>164</v>
      </c>
      <c r="I166" t="str">
        <f>VLOOKUP(H166,Product!A:B,2,FALSE)</f>
        <v>Fossil Smartwatche Model 4</v>
      </c>
    </row>
    <row r="167" ht="15.15" spans="1:9">
      <c r="A167" s="20">
        <v>165</v>
      </c>
      <c r="B167" s="20">
        <v>8680</v>
      </c>
      <c r="C167" s="21">
        <v>45241</v>
      </c>
      <c r="D167" s="20">
        <v>3291.84</v>
      </c>
      <c r="E167" s="22" t="s">
        <v>10</v>
      </c>
      <c r="F167" s="22" t="s">
        <v>13</v>
      </c>
      <c r="G167" s="22" t="s">
        <v>12</v>
      </c>
      <c r="H167" s="16">
        <v>165</v>
      </c>
      <c r="I167" t="str">
        <f>VLOOKUP(H167,Product!A:B,2,FALSE)</f>
        <v>Fitbit Smartwatche Model 5</v>
      </c>
    </row>
    <row r="168" ht="15.15" spans="1:9">
      <c r="A168" s="20">
        <v>166</v>
      </c>
      <c r="B168" s="20">
        <v>9531</v>
      </c>
      <c r="C168" s="21">
        <v>45210</v>
      </c>
      <c r="D168" s="20">
        <v>3291.84</v>
      </c>
      <c r="E168" s="22" t="s">
        <v>10</v>
      </c>
      <c r="F168" s="22" t="s">
        <v>18</v>
      </c>
      <c r="G168" s="22" t="s">
        <v>12</v>
      </c>
      <c r="H168" s="16">
        <v>166</v>
      </c>
      <c r="I168" t="str">
        <f>VLOOKUP(H168,Product!A:B,2,FALSE)</f>
        <v>Apple Smartwatche Model 6</v>
      </c>
    </row>
    <row r="169" ht="15.15" spans="1:9">
      <c r="A169" s="20">
        <v>167</v>
      </c>
      <c r="B169" s="20">
        <v>6540</v>
      </c>
      <c r="C169" s="21">
        <v>45241</v>
      </c>
      <c r="D169" s="20">
        <v>3291.84</v>
      </c>
      <c r="E169" s="22" t="s">
        <v>10</v>
      </c>
      <c r="F169" s="22" t="s">
        <v>18</v>
      </c>
      <c r="G169" s="22" t="s">
        <v>20</v>
      </c>
      <c r="H169" s="16">
        <v>167</v>
      </c>
      <c r="I169" t="str">
        <f>VLOOKUP(H169,Product!A:B,2,FALSE)</f>
        <v>Fitbit Smartwatche Model 7</v>
      </c>
    </row>
    <row r="170" ht="15.15" spans="1:9">
      <c r="A170" s="20">
        <v>168</v>
      </c>
      <c r="B170" s="20">
        <v>923</v>
      </c>
      <c r="C170" s="21">
        <v>45289</v>
      </c>
      <c r="D170" s="20">
        <v>3291.84</v>
      </c>
      <c r="E170" s="22" t="s">
        <v>10</v>
      </c>
      <c r="F170" s="22" t="s">
        <v>13</v>
      </c>
      <c r="G170" s="22" t="s">
        <v>20</v>
      </c>
      <c r="H170" s="16">
        <v>168</v>
      </c>
      <c r="I170" t="str">
        <f>VLOOKUP(H170,Product!A:B,2,FALSE)</f>
        <v>Fitbit Smartwatche Model 8</v>
      </c>
    </row>
    <row r="171" ht="15.15" spans="1:9">
      <c r="A171" s="20">
        <v>169</v>
      </c>
      <c r="B171" s="20">
        <v>5751</v>
      </c>
      <c r="C171" s="21">
        <v>45039</v>
      </c>
      <c r="D171" s="20">
        <v>3291.84</v>
      </c>
      <c r="E171" s="22" t="s">
        <v>10</v>
      </c>
      <c r="F171" s="22" t="s">
        <v>13</v>
      </c>
      <c r="G171" s="22" t="s">
        <v>20</v>
      </c>
      <c r="H171" s="16">
        <v>169</v>
      </c>
      <c r="I171" t="str">
        <f>VLOOKUP(H171,Product!A:B,2,FALSE)</f>
        <v>Apple Smartwatche Model 9</v>
      </c>
    </row>
    <row r="172" ht="15.15" spans="1:9">
      <c r="A172" s="20">
        <v>170</v>
      </c>
      <c r="B172" s="20">
        <v>1180</v>
      </c>
      <c r="C172" s="21">
        <v>44993</v>
      </c>
      <c r="D172" s="20">
        <v>3291.84</v>
      </c>
      <c r="E172" s="22" t="s">
        <v>10</v>
      </c>
      <c r="F172" s="22" t="s">
        <v>13</v>
      </c>
      <c r="G172" s="22" t="s">
        <v>20</v>
      </c>
      <c r="H172" s="16">
        <v>170</v>
      </c>
      <c r="I172" t="str">
        <f>VLOOKUP(H172,Product!A:B,2,FALSE)</f>
        <v>Fitbit Smartwatche Model 10</v>
      </c>
    </row>
    <row r="173" ht="15.15" spans="1:9">
      <c r="A173" s="20">
        <v>171</v>
      </c>
      <c r="B173" s="20">
        <v>4321</v>
      </c>
      <c r="C173" s="21">
        <v>45244</v>
      </c>
      <c r="D173" s="20">
        <v>3291.84</v>
      </c>
      <c r="E173" s="22" t="s">
        <v>10</v>
      </c>
      <c r="F173" s="22" t="s">
        <v>18</v>
      </c>
      <c r="G173" s="22" t="s">
        <v>15</v>
      </c>
      <c r="H173" s="16">
        <v>171</v>
      </c>
      <c r="I173" t="str">
        <f>VLOOKUP(H173,Product!A:B,2,FALSE)</f>
        <v>Garmin Smartwatche Model 11</v>
      </c>
    </row>
    <row r="174" ht="15.15" spans="1:9">
      <c r="A174" s="20">
        <v>172</v>
      </c>
      <c r="B174" s="20">
        <v>1885</v>
      </c>
      <c r="C174" s="21">
        <v>45245</v>
      </c>
      <c r="D174" s="20">
        <v>3291.84</v>
      </c>
      <c r="E174" s="22" t="s">
        <v>10</v>
      </c>
      <c r="F174" s="22" t="s">
        <v>11</v>
      </c>
      <c r="G174" s="22" t="s">
        <v>17</v>
      </c>
      <c r="H174" s="16">
        <v>172</v>
      </c>
      <c r="I174" t="str">
        <f>VLOOKUP(H174,Product!A:B,2,FALSE)</f>
        <v>Fitbit Smartwatche Model 12</v>
      </c>
    </row>
    <row r="175" ht="15.15" spans="1:9">
      <c r="A175" s="20">
        <v>173</v>
      </c>
      <c r="B175" s="20">
        <v>9172</v>
      </c>
      <c r="C175" s="21">
        <v>45102</v>
      </c>
      <c r="D175" s="20">
        <v>3291.84</v>
      </c>
      <c r="E175" s="22" t="s">
        <v>10</v>
      </c>
      <c r="F175" s="22" t="s">
        <v>16</v>
      </c>
      <c r="G175" s="22" t="s">
        <v>12</v>
      </c>
      <c r="H175" s="16">
        <v>173</v>
      </c>
      <c r="I175" t="str">
        <f>VLOOKUP(H175,Product!A:B,2,FALSE)</f>
        <v>Fossil Smartwatche Model 13</v>
      </c>
    </row>
    <row r="176" ht="15.15" spans="1:9">
      <c r="A176" s="20">
        <v>174</v>
      </c>
      <c r="B176" s="20">
        <v>597</v>
      </c>
      <c r="C176" s="21">
        <v>45172</v>
      </c>
      <c r="D176" s="20">
        <v>3291.84</v>
      </c>
      <c r="E176" s="22" t="s">
        <v>10</v>
      </c>
      <c r="F176" s="22" t="s">
        <v>18</v>
      </c>
      <c r="G176" s="22" t="s">
        <v>20</v>
      </c>
      <c r="H176" s="16">
        <v>174</v>
      </c>
      <c r="I176" t="str">
        <f>VLOOKUP(H176,Product!A:B,2,FALSE)</f>
        <v>Garmin Smartwatche Model 14</v>
      </c>
    </row>
    <row r="177" ht="15.15" spans="1:9">
      <c r="A177" s="20">
        <v>175</v>
      </c>
      <c r="B177" s="20">
        <v>8691</v>
      </c>
      <c r="C177" s="21">
        <v>45020</v>
      </c>
      <c r="D177" s="20">
        <v>3291.84</v>
      </c>
      <c r="E177" s="22" t="s">
        <v>10</v>
      </c>
      <c r="F177" s="22" t="s">
        <v>13</v>
      </c>
      <c r="G177" s="22" t="s">
        <v>12</v>
      </c>
      <c r="H177" s="16">
        <v>175</v>
      </c>
      <c r="I177" t="str">
        <f>VLOOKUP(H177,Product!A:B,2,FALSE)</f>
        <v>Garmin Smartwatche Model 15</v>
      </c>
    </row>
    <row r="178" ht="15.15" spans="1:9">
      <c r="A178" s="20">
        <v>176</v>
      </c>
      <c r="B178" s="20">
        <v>8684</v>
      </c>
      <c r="C178" s="21">
        <v>44941</v>
      </c>
      <c r="D178" s="20">
        <v>3291.84</v>
      </c>
      <c r="E178" s="22" t="s">
        <v>10</v>
      </c>
      <c r="F178" s="22" t="s">
        <v>16</v>
      </c>
      <c r="G178" s="22" t="s">
        <v>17</v>
      </c>
      <c r="H178" s="16">
        <v>176</v>
      </c>
      <c r="I178" t="str">
        <f>VLOOKUP(H178,Product!A:B,2,FALSE)</f>
        <v>Samsung Smartwatche Model 16</v>
      </c>
    </row>
    <row r="179" ht="15.15" spans="1:9">
      <c r="A179" s="20">
        <v>177</v>
      </c>
      <c r="B179" s="20">
        <v>3553</v>
      </c>
      <c r="C179" s="21">
        <v>44997</v>
      </c>
      <c r="D179" s="20">
        <v>3291.84</v>
      </c>
      <c r="E179" s="22" t="s">
        <v>10</v>
      </c>
      <c r="F179" s="22" t="s">
        <v>11</v>
      </c>
      <c r="G179" s="22" t="s">
        <v>17</v>
      </c>
      <c r="H179" s="16">
        <v>177</v>
      </c>
      <c r="I179" t="str">
        <f>VLOOKUP(H179,Product!A:B,2,FALSE)</f>
        <v>Fossil Smartwatche Model 17</v>
      </c>
    </row>
    <row r="180" ht="15.15" spans="1:9">
      <c r="A180" s="20">
        <v>178</v>
      </c>
      <c r="B180" s="20">
        <v>4796</v>
      </c>
      <c r="C180" s="21">
        <v>45260</v>
      </c>
      <c r="D180" s="20">
        <v>3291.84</v>
      </c>
      <c r="E180" s="22" t="s">
        <v>10</v>
      </c>
      <c r="F180" s="22" t="s">
        <v>18</v>
      </c>
      <c r="G180" s="22" t="s">
        <v>12</v>
      </c>
      <c r="H180" s="16">
        <v>178</v>
      </c>
      <c r="I180" t="str">
        <f>VLOOKUP(H180,Product!A:B,2,FALSE)</f>
        <v>Fossil Smartwatche Model 18</v>
      </c>
    </row>
    <row r="181" ht="15.15" spans="1:9">
      <c r="A181" s="20">
        <v>179</v>
      </c>
      <c r="B181" s="20">
        <v>4891</v>
      </c>
      <c r="C181" s="21">
        <v>44928</v>
      </c>
      <c r="D181" s="20">
        <v>3291.84</v>
      </c>
      <c r="E181" s="22" t="s">
        <v>10</v>
      </c>
      <c r="F181" s="22" t="s">
        <v>13</v>
      </c>
      <c r="G181" s="22" t="s">
        <v>17</v>
      </c>
      <c r="H181" s="16">
        <v>179</v>
      </c>
      <c r="I181" t="str">
        <f>VLOOKUP(H181,Product!A:B,2,FALSE)</f>
        <v>Fitbit Smartwatche Model 19</v>
      </c>
    </row>
    <row r="182" ht="15.15" spans="1:9">
      <c r="A182" s="20">
        <v>180</v>
      </c>
      <c r="B182" s="20">
        <v>1791</v>
      </c>
      <c r="C182" s="21">
        <v>45227</v>
      </c>
      <c r="D182" s="20">
        <v>3291.84</v>
      </c>
      <c r="E182" s="22" t="s">
        <v>10</v>
      </c>
      <c r="F182" s="22" t="s">
        <v>18</v>
      </c>
      <c r="G182" s="22" t="s">
        <v>17</v>
      </c>
      <c r="H182" s="16">
        <v>180</v>
      </c>
      <c r="I182" t="str">
        <f>VLOOKUP(H182,Product!A:B,2,FALSE)</f>
        <v>Apple Smartwatche Model 20</v>
      </c>
    </row>
    <row r="183" ht="15.15" spans="1:9">
      <c r="A183" s="20">
        <v>181</v>
      </c>
      <c r="B183" s="20">
        <v>943</v>
      </c>
      <c r="C183" s="21">
        <v>45006</v>
      </c>
      <c r="D183" s="20">
        <v>3291.84</v>
      </c>
      <c r="E183" s="22" t="s">
        <v>10</v>
      </c>
      <c r="F183" s="22" t="s">
        <v>11</v>
      </c>
      <c r="G183" s="22" t="s">
        <v>20</v>
      </c>
      <c r="H183" s="16">
        <v>181</v>
      </c>
      <c r="I183" t="str">
        <f>VLOOKUP(H183,Product!A:B,2,FALSE)</f>
        <v>Fitbit Smartwatche Model 21</v>
      </c>
    </row>
    <row r="184" ht="15.15" spans="1:9">
      <c r="A184" s="20">
        <v>182</v>
      </c>
      <c r="B184" s="20">
        <v>1682</v>
      </c>
      <c r="C184" s="21">
        <v>45159</v>
      </c>
      <c r="D184" s="20">
        <v>3291.84</v>
      </c>
      <c r="E184" s="22" t="s">
        <v>10</v>
      </c>
      <c r="F184" s="22" t="s">
        <v>16</v>
      </c>
      <c r="G184" s="22" t="s">
        <v>12</v>
      </c>
      <c r="H184" s="16">
        <v>182</v>
      </c>
      <c r="I184" t="str">
        <f>VLOOKUP(H184,Product!A:B,2,FALSE)</f>
        <v>Fitbit Smartwatche Model 22</v>
      </c>
    </row>
    <row r="185" ht="15.15" spans="1:9">
      <c r="A185" s="20">
        <v>183</v>
      </c>
      <c r="B185" s="20">
        <v>5689</v>
      </c>
      <c r="C185" s="21">
        <v>44938</v>
      </c>
      <c r="D185" s="20">
        <v>3291.84</v>
      </c>
      <c r="E185" s="22" t="s">
        <v>10</v>
      </c>
      <c r="F185" s="22" t="s">
        <v>18</v>
      </c>
      <c r="G185" s="22" t="s">
        <v>12</v>
      </c>
      <c r="H185" s="16">
        <v>183</v>
      </c>
      <c r="I185" t="str">
        <f>VLOOKUP(H185,Product!A:B,2,FALSE)</f>
        <v>Fitbit Smartwatche Model 23</v>
      </c>
    </row>
    <row r="186" ht="15.15" spans="1:9">
      <c r="A186" s="20">
        <v>184</v>
      </c>
      <c r="B186" s="20">
        <v>9292</v>
      </c>
      <c r="C186" s="21">
        <v>45148</v>
      </c>
      <c r="D186" s="20">
        <v>3291.84</v>
      </c>
      <c r="E186" s="22" t="s">
        <v>10</v>
      </c>
      <c r="F186" s="22" t="s">
        <v>13</v>
      </c>
      <c r="G186" s="22" t="s">
        <v>15</v>
      </c>
      <c r="H186" s="16">
        <v>184</v>
      </c>
      <c r="I186" t="str">
        <f>VLOOKUP(H186,Product!A:B,2,FALSE)</f>
        <v>Apple Smartwatche Model 24</v>
      </c>
    </row>
    <row r="187" ht="15.15" spans="1:9">
      <c r="A187" s="20">
        <v>185</v>
      </c>
      <c r="B187" s="20">
        <v>4122</v>
      </c>
      <c r="C187" s="21">
        <v>45177</v>
      </c>
      <c r="D187" s="20">
        <v>3291.84</v>
      </c>
      <c r="E187" s="22" t="s">
        <v>21</v>
      </c>
      <c r="F187" s="22" t="s">
        <v>13</v>
      </c>
      <c r="G187" s="22" t="s">
        <v>15</v>
      </c>
      <c r="H187" s="16">
        <v>185</v>
      </c>
      <c r="I187" t="str">
        <f>VLOOKUP(H187,Product!A:B,2,FALSE)</f>
        <v>Garmin Smartwatche Model 25</v>
      </c>
    </row>
    <row r="188" ht="15.15" spans="1:9">
      <c r="A188" s="20">
        <v>186</v>
      </c>
      <c r="B188" s="20">
        <v>3974</v>
      </c>
      <c r="C188" s="21">
        <v>44938</v>
      </c>
      <c r="D188" s="20">
        <v>3291.84</v>
      </c>
      <c r="E188" s="22" t="s">
        <v>10</v>
      </c>
      <c r="F188" s="22" t="s">
        <v>16</v>
      </c>
      <c r="G188" s="22" t="s">
        <v>20</v>
      </c>
      <c r="H188" s="16">
        <v>186</v>
      </c>
      <c r="I188" t="str">
        <f>VLOOKUP(H188,Product!A:B,2,FALSE)</f>
        <v>Apple Smartwatche Model 26</v>
      </c>
    </row>
    <row r="189" ht="15.15" spans="1:9">
      <c r="A189" s="20">
        <v>187</v>
      </c>
      <c r="B189" s="20">
        <v>6762</v>
      </c>
      <c r="C189" s="21">
        <v>45271</v>
      </c>
      <c r="D189" s="20">
        <v>3291.84</v>
      </c>
      <c r="E189" s="22" t="s">
        <v>10</v>
      </c>
      <c r="F189" s="22" t="s">
        <v>14</v>
      </c>
      <c r="G189" s="22" t="s">
        <v>15</v>
      </c>
      <c r="H189" s="16">
        <v>187</v>
      </c>
      <c r="I189" t="str">
        <f>VLOOKUP(H189,Product!A:B,2,FALSE)</f>
        <v>Samsung Smartwatche Model 27</v>
      </c>
    </row>
    <row r="190" ht="15.15" spans="1:9">
      <c r="A190" s="20">
        <v>188</v>
      </c>
      <c r="B190" s="20">
        <v>3876</v>
      </c>
      <c r="C190" s="21">
        <v>44972</v>
      </c>
      <c r="D190" s="20">
        <v>3291.84</v>
      </c>
      <c r="E190" s="22" t="s">
        <v>10</v>
      </c>
      <c r="F190" s="22" t="s">
        <v>18</v>
      </c>
      <c r="G190" s="22" t="s">
        <v>12</v>
      </c>
      <c r="H190" s="16">
        <v>188</v>
      </c>
      <c r="I190" t="str">
        <f>VLOOKUP(H190,Product!A:B,2,FALSE)</f>
        <v>Samsung Smartwatche Model 28</v>
      </c>
    </row>
    <row r="191" ht="15.15" spans="1:9">
      <c r="A191" s="20">
        <v>189</v>
      </c>
      <c r="B191" s="20">
        <v>3041</v>
      </c>
      <c r="C191" s="21">
        <v>44970</v>
      </c>
      <c r="D191" s="20">
        <v>3291.84</v>
      </c>
      <c r="E191" s="22" t="s">
        <v>10</v>
      </c>
      <c r="F191" s="22" t="s">
        <v>18</v>
      </c>
      <c r="G191" s="22" t="s">
        <v>17</v>
      </c>
      <c r="H191" s="16">
        <v>189</v>
      </c>
      <c r="I191" t="str">
        <f>VLOOKUP(H191,Product!A:B,2,FALSE)</f>
        <v>Fossil Smartwatche Model 29</v>
      </c>
    </row>
    <row r="192" ht="15.15" spans="1:9">
      <c r="A192" s="20">
        <v>190</v>
      </c>
      <c r="B192" s="20">
        <v>3493</v>
      </c>
      <c r="C192" s="21">
        <v>44957</v>
      </c>
      <c r="D192" s="20">
        <v>3291.84</v>
      </c>
      <c r="E192" s="22" t="s">
        <v>10</v>
      </c>
      <c r="F192" s="22" t="s">
        <v>11</v>
      </c>
      <c r="G192" s="22" t="s">
        <v>20</v>
      </c>
      <c r="H192" s="16">
        <v>190</v>
      </c>
      <c r="I192" t="str">
        <f>VLOOKUP(H192,Product!A:B,2,FALSE)</f>
        <v>Garmin Smartwatche Model 30</v>
      </c>
    </row>
    <row r="193" ht="15.15" spans="1:9">
      <c r="A193" s="20">
        <v>191</v>
      </c>
      <c r="B193" s="20">
        <v>447</v>
      </c>
      <c r="C193" s="21">
        <v>45265</v>
      </c>
      <c r="D193" s="20">
        <v>3291.84</v>
      </c>
      <c r="E193" s="22" t="s">
        <v>10</v>
      </c>
      <c r="F193" s="22" t="s">
        <v>14</v>
      </c>
      <c r="G193" s="22" t="s">
        <v>12</v>
      </c>
      <c r="H193" s="16">
        <v>191</v>
      </c>
      <c r="I193" t="str">
        <f>VLOOKUP(H193,Product!A:B,2,FALSE)</f>
        <v>Fossil Smartwatche Model 31</v>
      </c>
    </row>
    <row r="194" ht="15.15" spans="1:9">
      <c r="A194" s="20">
        <v>192</v>
      </c>
      <c r="B194" s="20">
        <v>5978</v>
      </c>
      <c r="C194" s="21">
        <v>44930</v>
      </c>
      <c r="D194" s="20">
        <v>3291.84</v>
      </c>
      <c r="E194" s="22" t="s">
        <v>10</v>
      </c>
      <c r="F194" s="22" t="s">
        <v>14</v>
      </c>
      <c r="G194" s="22" t="s">
        <v>20</v>
      </c>
      <c r="H194" s="16">
        <v>192</v>
      </c>
      <c r="I194" t="str">
        <f>VLOOKUP(H194,Product!A:B,2,FALSE)</f>
        <v>Samsung Smartwatche Model 32</v>
      </c>
    </row>
    <row r="195" ht="15.15" spans="1:9">
      <c r="A195" s="20">
        <v>193</v>
      </c>
      <c r="B195" s="20">
        <v>3713</v>
      </c>
      <c r="C195" s="21">
        <v>45178</v>
      </c>
      <c r="D195" s="20">
        <v>3291.84</v>
      </c>
      <c r="E195" s="22" t="s">
        <v>10</v>
      </c>
      <c r="F195" s="22" t="s">
        <v>14</v>
      </c>
      <c r="G195" s="22" t="s">
        <v>12</v>
      </c>
      <c r="H195" s="16">
        <v>193</v>
      </c>
      <c r="I195" t="str">
        <f>VLOOKUP(H195,Product!A:B,2,FALSE)</f>
        <v>Apple Smartwatche Model 33</v>
      </c>
    </row>
    <row r="196" ht="15.15" spans="1:9">
      <c r="A196" s="20">
        <v>194</v>
      </c>
      <c r="B196" s="20">
        <v>2255</v>
      </c>
      <c r="C196" s="21">
        <v>45244</v>
      </c>
      <c r="D196" s="20">
        <v>3291.84</v>
      </c>
      <c r="E196" s="22" t="s">
        <v>10</v>
      </c>
      <c r="F196" s="22" t="s">
        <v>18</v>
      </c>
      <c r="G196" s="22" t="s">
        <v>12</v>
      </c>
      <c r="H196" s="16">
        <v>194</v>
      </c>
      <c r="I196" t="str">
        <f>VLOOKUP(H196,Product!A:B,2,FALSE)</f>
        <v>Fitbit Smartwatche Model 34</v>
      </c>
    </row>
    <row r="197" ht="15.15" spans="1:9">
      <c r="A197" s="20">
        <v>195</v>
      </c>
      <c r="B197" s="20">
        <v>7183</v>
      </c>
      <c r="C197" s="21">
        <v>44954</v>
      </c>
      <c r="D197" s="20">
        <v>3291.84</v>
      </c>
      <c r="E197" s="22" t="s">
        <v>10</v>
      </c>
      <c r="F197" s="22" t="s">
        <v>14</v>
      </c>
      <c r="G197" s="22" t="s">
        <v>15</v>
      </c>
      <c r="H197" s="16">
        <v>195</v>
      </c>
      <c r="I197" t="str">
        <f>VLOOKUP(H197,Product!A:B,2,FALSE)</f>
        <v>Apple Smartwatche Model 35</v>
      </c>
    </row>
    <row r="198" ht="15.15" spans="1:9">
      <c r="A198" s="20">
        <v>196</v>
      </c>
      <c r="B198" s="20">
        <v>4449</v>
      </c>
      <c r="C198" s="21">
        <v>44978</v>
      </c>
      <c r="D198" s="20">
        <v>3291.84</v>
      </c>
      <c r="E198" s="22" t="s">
        <v>10</v>
      </c>
      <c r="F198" s="22" t="s">
        <v>13</v>
      </c>
      <c r="G198" s="22" t="s">
        <v>17</v>
      </c>
      <c r="H198" s="16">
        <v>196</v>
      </c>
      <c r="I198" t="str">
        <f>VLOOKUP(H198,Product!A:B,2,FALSE)</f>
        <v>Samsung Smartwatche Model 36</v>
      </c>
    </row>
    <row r="199" ht="15.15" spans="1:9">
      <c r="A199" s="20">
        <v>197</v>
      </c>
      <c r="B199" s="20">
        <v>3272</v>
      </c>
      <c r="C199" s="21">
        <v>45006</v>
      </c>
      <c r="D199" s="20">
        <v>3291.84</v>
      </c>
      <c r="E199" s="22" t="s">
        <v>10</v>
      </c>
      <c r="F199" s="22" t="s">
        <v>18</v>
      </c>
      <c r="G199" s="22" t="s">
        <v>17</v>
      </c>
      <c r="H199" s="16">
        <v>197</v>
      </c>
      <c r="I199" t="str">
        <f>VLOOKUP(H199,Product!A:B,2,FALSE)</f>
        <v>Fossil Smartwatche Model 37</v>
      </c>
    </row>
    <row r="200" ht="15.15" spans="1:9">
      <c r="A200" s="20">
        <v>198</v>
      </c>
      <c r="B200" s="20">
        <v>5882</v>
      </c>
      <c r="C200" s="21">
        <v>45061</v>
      </c>
      <c r="D200" s="20">
        <v>3291.84</v>
      </c>
      <c r="E200" s="22" t="s">
        <v>10</v>
      </c>
      <c r="F200" s="22" t="s">
        <v>16</v>
      </c>
      <c r="G200" s="22" t="s">
        <v>12</v>
      </c>
      <c r="H200" s="16">
        <v>198</v>
      </c>
      <c r="I200" t="str">
        <f>VLOOKUP(H200,Product!A:B,2,FALSE)</f>
        <v>Fossil Smartwatche Model 38</v>
      </c>
    </row>
    <row r="201" ht="15.15" spans="1:9">
      <c r="A201" s="20">
        <v>199</v>
      </c>
      <c r="B201" s="20">
        <v>8953</v>
      </c>
      <c r="C201" s="21">
        <v>45071</v>
      </c>
      <c r="D201" s="20">
        <v>3291.84</v>
      </c>
      <c r="E201" s="22" t="s">
        <v>10</v>
      </c>
      <c r="F201" s="22" t="s">
        <v>16</v>
      </c>
      <c r="G201" s="22" t="s">
        <v>12</v>
      </c>
      <c r="H201" s="16">
        <v>199</v>
      </c>
      <c r="I201" t="str">
        <f>VLOOKUP(H201,Product!A:B,2,FALSE)</f>
        <v>Fitbit Smartwatche Model 39</v>
      </c>
    </row>
    <row r="202" ht="15.15" spans="1:9">
      <c r="A202" s="20">
        <v>200</v>
      </c>
      <c r="B202" s="20">
        <v>651</v>
      </c>
      <c r="C202" s="21">
        <v>45041</v>
      </c>
      <c r="D202" s="20">
        <v>3291.84</v>
      </c>
      <c r="E202" s="22" t="s">
        <v>10</v>
      </c>
      <c r="F202" s="22" t="s">
        <v>16</v>
      </c>
      <c r="G202" s="22" t="s">
        <v>17</v>
      </c>
      <c r="H202" s="16">
        <v>200</v>
      </c>
      <c r="I202" t="str">
        <f>VLOOKUP(H202,Product!A:B,2,FALSE)</f>
        <v>Garmin Smartwatche Model 40</v>
      </c>
    </row>
    <row r="203" ht="15.15" spans="1:9">
      <c r="A203" s="20">
        <v>201</v>
      </c>
      <c r="B203" s="20">
        <v>731</v>
      </c>
      <c r="C203" s="21">
        <v>45149</v>
      </c>
      <c r="D203" s="20">
        <v>3291.84</v>
      </c>
      <c r="E203" s="22" t="s">
        <v>10</v>
      </c>
      <c r="F203" s="22" t="s">
        <v>11</v>
      </c>
      <c r="G203" s="22" t="s">
        <v>17</v>
      </c>
    </row>
    <row r="204" ht="15.15" spans="1:9">
      <c r="A204" s="20">
        <v>202</v>
      </c>
      <c r="B204" s="20">
        <v>2296</v>
      </c>
      <c r="C204" s="21">
        <v>45250</v>
      </c>
      <c r="D204" s="20">
        <v>3291.84</v>
      </c>
      <c r="E204" s="22" t="s">
        <v>10</v>
      </c>
      <c r="F204" s="22" t="s">
        <v>13</v>
      </c>
      <c r="G204" s="22" t="s">
        <v>20</v>
      </c>
    </row>
    <row r="205" ht="15.15" spans="1:9">
      <c r="A205" s="20">
        <v>203</v>
      </c>
      <c r="B205" s="20">
        <v>2754</v>
      </c>
      <c r="C205" s="21">
        <v>44989</v>
      </c>
      <c r="D205" s="20">
        <v>3291.84</v>
      </c>
      <c r="E205" s="22" t="s">
        <v>10</v>
      </c>
      <c r="F205" s="22" t="s">
        <v>18</v>
      </c>
      <c r="G205" s="22" t="s">
        <v>12</v>
      </c>
    </row>
    <row r="206" ht="15.15" spans="1:9">
      <c r="A206" s="20">
        <v>204</v>
      </c>
      <c r="B206" s="20">
        <v>2145</v>
      </c>
      <c r="C206" s="21">
        <v>45232</v>
      </c>
      <c r="D206" s="20">
        <v>3291.84</v>
      </c>
      <c r="E206" s="22" t="s">
        <v>10</v>
      </c>
      <c r="F206" s="22" t="s">
        <v>16</v>
      </c>
      <c r="G206" s="22" t="s">
        <v>15</v>
      </c>
    </row>
    <row r="207" ht="15.15" spans="1:9">
      <c r="A207" s="20">
        <v>205</v>
      </c>
      <c r="B207" s="20">
        <v>1562</v>
      </c>
      <c r="C207" s="21">
        <v>45229</v>
      </c>
      <c r="D207" s="20">
        <v>3291.84</v>
      </c>
      <c r="E207" s="22" t="s">
        <v>10</v>
      </c>
      <c r="F207" s="22" t="s">
        <v>13</v>
      </c>
      <c r="G207" s="22" t="s">
        <v>15</v>
      </c>
    </row>
    <row r="208" ht="15.15" spans="1:9">
      <c r="A208" s="20">
        <v>206</v>
      </c>
      <c r="B208" s="20">
        <v>7148</v>
      </c>
      <c r="C208" s="21">
        <v>45106</v>
      </c>
      <c r="D208" s="20">
        <v>3291.84</v>
      </c>
      <c r="E208" s="22" t="s">
        <v>10</v>
      </c>
      <c r="F208" s="22" t="s">
        <v>18</v>
      </c>
      <c r="G208" s="22" t="s">
        <v>15</v>
      </c>
    </row>
    <row r="209" ht="15.15" spans="1:7">
      <c r="A209" s="20">
        <v>207</v>
      </c>
      <c r="B209" s="20">
        <v>2966</v>
      </c>
      <c r="C209" s="21">
        <v>45018</v>
      </c>
      <c r="D209" s="20">
        <v>3291.84</v>
      </c>
      <c r="E209" s="22" t="s">
        <v>21</v>
      </c>
      <c r="F209" s="22" t="s">
        <v>13</v>
      </c>
      <c r="G209" s="22" t="s">
        <v>15</v>
      </c>
    </row>
    <row r="210" ht="15.15" spans="1:7">
      <c r="A210" s="20">
        <v>208</v>
      </c>
      <c r="B210" s="20">
        <v>9250</v>
      </c>
      <c r="C210" s="21">
        <v>45163</v>
      </c>
      <c r="D210" s="20">
        <v>3291.84</v>
      </c>
      <c r="E210" s="22" t="s">
        <v>10</v>
      </c>
      <c r="F210" s="22" t="s">
        <v>11</v>
      </c>
      <c r="G210" s="22" t="s">
        <v>15</v>
      </c>
    </row>
    <row r="211" ht="15.15" spans="1:7">
      <c r="A211" s="20">
        <v>209</v>
      </c>
      <c r="B211" s="20">
        <v>3412</v>
      </c>
      <c r="C211" s="21">
        <v>45006</v>
      </c>
      <c r="D211" s="20">
        <v>3291.84</v>
      </c>
      <c r="E211" s="22" t="s">
        <v>22</v>
      </c>
      <c r="F211" s="22" t="s">
        <v>16</v>
      </c>
      <c r="G211" s="22" t="s">
        <v>20</v>
      </c>
    </row>
    <row r="212" ht="15.15" spans="1:7">
      <c r="A212" s="20">
        <v>210</v>
      </c>
      <c r="B212" s="20">
        <v>7717</v>
      </c>
      <c r="C212" s="21">
        <v>45026</v>
      </c>
      <c r="D212" s="20">
        <v>3291.84</v>
      </c>
      <c r="E212" s="22" t="s">
        <v>10</v>
      </c>
      <c r="F212" s="22" t="s">
        <v>13</v>
      </c>
      <c r="G212" s="22" t="s">
        <v>17</v>
      </c>
    </row>
    <row r="213" ht="15.15" spans="1:7">
      <c r="A213" s="20">
        <v>211</v>
      </c>
      <c r="B213" s="20">
        <v>5927</v>
      </c>
      <c r="C213" s="21">
        <v>45197</v>
      </c>
      <c r="D213" s="20">
        <v>3291.84</v>
      </c>
      <c r="E213" s="22" t="s">
        <v>10</v>
      </c>
      <c r="F213" s="22" t="s">
        <v>11</v>
      </c>
      <c r="G213" s="22" t="s">
        <v>17</v>
      </c>
    </row>
    <row r="214" ht="15.15" spans="1:7">
      <c r="A214" s="20">
        <v>212</v>
      </c>
      <c r="B214" s="20">
        <v>3663</v>
      </c>
      <c r="C214" s="21">
        <v>45273</v>
      </c>
      <c r="D214" s="20">
        <v>3291.84</v>
      </c>
      <c r="E214" s="22" t="s">
        <v>10</v>
      </c>
      <c r="F214" s="22" t="s">
        <v>18</v>
      </c>
      <c r="G214" s="22" t="s">
        <v>12</v>
      </c>
    </row>
    <row r="215" ht="15.15" spans="1:7">
      <c r="A215" s="20">
        <v>213</v>
      </c>
      <c r="B215" s="20">
        <v>5879</v>
      </c>
      <c r="C215" s="21">
        <v>45017</v>
      </c>
      <c r="D215" s="20">
        <v>3291.84</v>
      </c>
      <c r="E215" s="22" t="s">
        <v>10</v>
      </c>
      <c r="F215" s="22" t="s">
        <v>13</v>
      </c>
      <c r="G215" s="22" t="s">
        <v>15</v>
      </c>
    </row>
    <row r="216" ht="15.15" spans="1:7">
      <c r="A216" s="20">
        <v>214</v>
      </c>
      <c r="B216" s="20">
        <v>3484</v>
      </c>
      <c r="C216" s="21">
        <v>45137</v>
      </c>
      <c r="D216" s="20">
        <v>3291.84</v>
      </c>
      <c r="E216" s="22" t="s">
        <v>10</v>
      </c>
      <c r="F216" s="22" t="s">
        <v>14</v>
      </c>
      <c r="G216" s="22" t="s">
        <v>12</v>
      </c>
    </row>
    <row r="217" ht="15.15" spans="1:7">
      <c r="A217" s="20">
        <v>215</v>
      </c>
      <c r="B217" s="20">
        <v>8133</v>
      </c>
      <c r="C217" s="21">
        <v>45110</v>
      </c>
      <c r="D217" s="20">
        <v>3291.84</v>
      </c>
      <c r="E217" s="22" t="s">
        <v>10</v>
      </c>
      <c r="F217" s="22" t="s">
        <v>14</v>
      </c>
      <c r="G217" s="22" t="s">
        <v>12</v>
      </c>
    </row>
    <row r="218" ht="15.15" spans="1:7">
      <c r="A218" s="20">
        <v>216</v>
      </c>
      <c r="B218" s="20">
        <v>9954</v>
      </c>
      <c r="C218" s="21">
        <v>45059</v>
      </c>
      <c r="D218" s="20">
        <v>3291.84</v>
      </c>
      <c r="E218" s="22" t="s">
        <v>10</v>
      </c>
      <c r="F218" s="22" t="s">
        <v>16</v>
      </c>
      <c r="G218" s="22" t="s">
        <v>15</v>
      </c>
    </row>
    <row r="219" ht="15.15" spans="1:7">
      <c r="A219" s="20">
        <v>217</v>
      </c>
      <c r="B219" s="20">
        <v>3106</v>
      </c>
      <c r="C219" s="21">
        <v>45278</v>
      </c>
      <c r="D219" s="20">
        <v>3291.84</v>
      </c>
      <c r="E219" s="22" t="s">
        <v>10</v>
      </c>
      <c r="F219" s="22" t="s">
        <v>13</v>
      </c>
      <c r="G219" s="22" t="s">
        <v>15</v>
      </c>
    </row>
    <row r="220" ht="15.15" spans="1:7">
      <c r="A220" s="20">
        <v>218</v>
      </c>
      <c r="B220" s="20">
        <v>9410</v>
      </c>
      <c r="C220" s="21">
        <v>45259</v>
      </c>
      <c r="D220" s="20">
        <v>3291.84</v>
      </c>
      <c r="E220" s="22" t="s">
        <v>10</v>
      </c>
      <c r="F220" s="22" t="s">
        <v>16</v>
      </c>
      <c r="G220" s="22" t="s">
        <v>20</v>
      </c>
    </row>
    <row r="221" ht="15.15" spans="1:7">
      <c r="A221" s="20">
        <v>219</v>
      </c>
      <c r="B221" s="20">
        <v>4493</v>
      </c>
      <c r="C221" s="21">
        <v>45282</v>
      </c>
      <c r="D221" s="20">
        <v>3291.84</v>
      </c>
      <c r="E221" s="22" t="s">
        <v>10</v>
      </c>
      <c r="F221" s="22" t="s">
        <v>18</v>
      </c>
      <c r="G221" s="22" t="s">
        <v>12</v>
      </c>
    </row>
    <row r="222" ht="15.15" spans="1:7">
      <c r="A222" s="20">
        <v>220</v>
      </c>
      <c r="B222" s="20">
        <v>9038</v>
      </c>
      <c r="C222" s="21">
        <v>45127</v>
      </c>
      <c r="D222" s="20">
        <v>3291.84</v>
      </c>
      <c r="E222" s="22" t="s">
        <v>10</v>
      </c>
      <c r="F222" s="22" t="s">
        <v>14</v>
      </c>
      <c r="G222" s="22" t="s">
        <v>15</v>
      </c>
    </row>
    <row r="223" ht="15.15" spans="1:7">
      <c r="A223" s="20">
        <v>221</v>
      </c>
      <c r="B223" s="20">
        <v>8021</v>
      </c>
      <c r="C223" s="21">
        <v>44929</v>
      </c>
      <c r="D223" s="20">
        <v>3291.84</v>
      </c>
      <c r="E223" s="22" t="s">
        <v>10</v>
      </c>
      <c r="F223" s="22" t="s">
        <v>18</v>
      </c>
      <c r="G223" s="22" t="s">
        <v>12</v>
      </c>
    </row>
    <row r="224" ht="15.15" spans="1:7">
      <c r="A224" s="20">
        <v>222</v>
      </c>
      <c r="B224" s="20">
        <v>1864</v>
      </c>
      <c r="C224" s="21">
        <v>45027</v>
      </c>
      <c r="D224" s="20">
        <v>3291.84</v>
      </c>
      <c r="E224" s="22" t="s">
        <v>10</v>
      </c>
      <c r="F224" s="22" t="s">
        <v>13</v>
      </c>
      <c r="G224" s="22" t="s">
        <v>17</v>
      </c>
    </row>
    <row r="225" ht="15.15" spans="1:7">
      <c r="A225" s="20">
        <v>223</v>
      </c>
      <c r="B225" s="20">
        <v>2241</v>
      </c>
      <c r="C225" s="21">
        <v>45203</v>
      </c>
      <c r="D225" s="20">
        <v>3291.84</v>
      </c>
      <c r="E225" s="22" t="s">
        <v>10</v>
      </c>
      <c r="F225" s="22" t="s">
        <v>11</v>
      </c>
      <c r="G225" s="22" t="s">
        <v>20</v>
      </c>
    </row>
    <row r="226" ht="15.15" spans="1:7">
      <c r="A226" s="20">
        <v>224</v>
      </c>
      <c r="B226" s="20">
        <v>2712</v>
      </c>
      <c r="C226" s="21">
        <v>45008</v>
      </c>
      <c r="D226" s="20">
        <v>3291.84</v>
      </c>
      <c r="E226" s="22" t="s">
        <v>10</v>
      </c>
      <c r="F226" s="22" t="s">
        <v>18</v>
      </c>
      <c r="G226" s="22" t="s">
        <v>20</v>
      </c>
    </row>
    <row r="227" ht="15.15" spans="1:7">
      <c r="A227" s="20">
        <v>225</v>
      </c>
      <c r="B227" s="20">
        <v>9242</v>
      </c>
      <c r="C227" s="21">
        <v>45251</v>
      </c>
      <c r="D227" s="20">
        <v>3291.84</v>
      </c>
      <c r="E227" s="22" t="s">
        <v>10</v>
      </c>
      <c r="F227" s="22" t="s">
        <v>13</v>
      </c>
      <c r="G227" s="22" t="s">
        <v>15</v>
      </c>
    </row>
    <row r="228" ht="15.15" spans="1:7">
      <c r="A228" s="20">
        <v>226</v>
      </c>
      <c r="B228" s="20">
        <v>2682</v>
      </c>
      <c r="C228" s="21">
        <v>45227</v>
      </c>
      <c r="D228" s="20">
        <v>3291.84</v>
      </c>
      <c r="E228" s="22" t="s">
        <v>10</v>
      </c>
      <c r="F228" s="22" t="s">
        <v>16</v>
      </c>
      <c r="G228" s="22" t="s">
        <v>20</v>
      </c>
    </row>
    <row r="229" ht="15.15" spans="1:7">
      <c r="A229" s="20">
        <v>227</v>
      </c>
      <c r="B229" s="20">
        <v>8433</v>
      </c>
      <c r="C229" s="21">
        <v>44948</v>
      </c>
      <c r="D229" s="20">
        <v>3291.84</v>
      </c>
      <c r="E229" s="22" t="s">
        <v>10</v>
      </c>
      <c r="F229" s="22" t="s">
        <v>11</v>
      </c>
      <c r="G229" s="22" t="s">
        <v>15</v>
      </c>
    </row>
    <row r="230" ht="15.15" spans="1:7">
      <c r="A230" s="20">
        <v>228</v>
      </c>
      <c r="B230" s="20">
        <v>4894</v>
      </c>
      <c r="C230" s="21">
        <v>45035</v>
      </c>
      <c r="D230" s="20">
        <v>3291.84</v>
      </c>
      <c r="E230" s="22" t="s">
        <v>10</v>
      </c>
      <c r="F230" s="22" t="s">
        <v>16</v>
      </c>
      <c r="G230" s="22" t="s">
        <v>15</v>
      </c>
    </row>
    <row r="231" ht="15.15" spans="1:7">
      <c r="A231" s="20">
        <v>229</v>
      </c>
      <c r="B231" s="20">
        <v>5578</v>
      </c>
      <c r="C231" s="21">
        <v>45228</v>
      </c>
      <c r="D231" s="20">
        <v>3291.84</v>
      </c>
      <c r="E231" s="22" t="s">
        <v>10</v>
      </c>
      <c r="F231" s="22" t="s">
        <v>11</v>
      </c>
      <c r="G231" s="22" t="s">
        <v>17</v>
      </c>
    </row>
    <row r="232" ht="15.15" spans="1:7">
      <c r="A232" s="20">
        <v>230</v>
      </c>
      <c r="B232" s="20">
        <v>9282</v>
      </c>
      <c r="C232" s="21">
        <v>45099</v>
      </c>
      <c r="D232" s="20">
        <v>3291.84</v>
      </c>
      <c r="E232" s="22" t="s">
        <v>10</v>
      </c>
      <c r="F232" s="22" t="s">
        <v>13</v>
      </c>
      <c r="G232" s="22" t="s">
        <v>17</v>
      </c>
    </row>
    <row r="233" ht="15.15" spans="1:7">
      <c r="A233" s="20">
        <v>231</v>
      </c>
      <c r="B233" s="20">
        <v>1224</v>
      </c>
      <c r="C233" s="21">
        <v>45040</v>
      </c>
      <c r="D233" s="20">
        <v>3291.84</v>
      </c>
      <c r="E233" s="22" t="s">
        <v>10</v>
      </c>
      <c r="F233" s="22" t="s">
        <v>14</v>
      </c>
      <c r="G233" s="22" t="s">
        <v>20</v>
      </c>
    </row>
    <row r="234" ht="15.15" spans="1:7">
      <c r="A234" s="20">
        <v>232</v>
      </c>
      <c r="B234" s="20">
        <v>9954</v>
      </c>
      <c r="C234" s="21">
        <v>44958</v>
      </c>
      <c r="D234" s="20">
        <v>3291.84</v>
      </c>
      <c r="E234" s="22" t="s">
        <v>10</v>
      </c>
      <c r="F234" s="22" t="s">
        <v>16</v>
      </c>
      <c r="G234" s="22" t="s">
        <v>12</v>
      </c>
    </row>
    <row r="235" ht="15.15" spans="1:7">
      <c r="A235" s="20">
        <v>233</v>
      </c>
      <c r="B235" s="20">
        <v>9461</v>
      </c>
      <c r="C235" s="21">
        <v>45269</v>
      </c>
      <c r="D235" s="20">
        <v>3291.84</v>
      </c>
      <c r="E235" s="22" t="s">
        <v>10</v>
      </c>
      <c r="F235" s="22" t="s">
        <v>11</v>
      </c>
      <c r="G235" s="22" t="s">
        <v>17</v>
      </c>
    </row>
    <row r="236" ht="15.15" spans="1:7">
      <c r="A236" s="20">
        <v>234</v>
      </c>
      <c r="B236" s="20">
        <v>5803</v>
      </c>
      <c r="C236" s="21">
        <v>44996</v>
      </c>
      <c r="D236" s="20">
        <v>3291.84</v>
      </c>
      <c r="E236" s="22" t="s">
        <v>10</v>
      </c>
      <c r="F236" s="22" t="s">
        <v>18</v>
      </c>
      <c r="G236" s="22" t="s">
        <v>12</v>
      </c>
    </row>
    <row r="237" ht="15.15" spans="1:7">
      <c r="A237" s="20">
        <v>235</v>
      </c>
      <c r="B237" s="20">
        <v>3072</v>
      </c>
      <c r="C237" s="21">
        <v>45286</v>
      </c>
      <c r="D237" s="20">
        <v>3291.84</v>
      </c>
      <c r="E237" s="22" t="s">
        <v>10</v>
      </c>
      <c r="F237" s="22" t="s">
        <v>13</v>
      </c>
      <c r="G237" s="22" t="s">
        <v>17</v>
      </c>
    </row>
    <row r="238" ht="15.15" spans="1:7">
      <c r="A238" s="20">
        <v>236</v>
      </c>
      <c r="B238" s="20">
        <v>557</v>
      </c>
      <c r="C238" s="21">
        <v>45264</v>
      </c>
      <c r="D238" s="20">
        <v>3291.84</v>
      </c>
      <c r="E238" s="22" t="s">
        <v>10</v>
      </c>
      <c r="F238" s="22" t="s">
        <v>18</v>
      </c>
      <c r="G238" s="22" t="s">
        <v>20</v>
      </c>
    </row>
    <row r="239" ht="15.15" spans="1:7">
      <c r="A239" s="20">
        <v>237</v>
      </c>
      <c r="B239" s="20">
        <v>1422</v>
      </c>
      <c r="C239" s="21">
        <v>44982</v>
      </c>
      <c r="D239" s="20">
        <v>3291.84</v>
      </c>
      <c r="E239" s="22" t="s">
        <v>10</v>
      </c>
      <c r="F239" s="22" t="s">
        <v>18</v>
      </c>
      <c r="G239" s="22" t="s">
        <v>20</v>
      </c>
    </row>
    <row r="240" ht="15.15" spans="1:7">
      <c r="A240" s="20">
        <v>238</v>
      </c>
      <c r="B240" s="20">
        <v>1177</v>
      </c>
      <c r="C240" s="21">
        <v>45278</v>
      </c>
      <c r="D240" s="20">
        <v>3291.84</v>
      </c>
      <c r="E240" s="22" t="s">
        <v>10</v>
      </c>
      <c r="F240" s="22" t="s">
        <v>13</v>
      </c>
      <c r="G240" s="22" t="s">
        <v>15</v>
      </c>
    </row>
    <row r="241" ht="15.15" spans="1:7">
      <c r="A241" s="20">
        <v>239</v>
      </c>
      <c r="B241" s="20">
        <v>314</v>
      </c>
      <c r="C241" s="21">
        <v>45216</v>
      </c>
      <c r="D241" s="20">
        <v>3291.84</v>
      </c>
      <c r="E241" s="22" t="s">
        <v>10</v>
      </c>
      <c r="F241" s="22" t="s">
        <v>11</v>
      </c>
      <c r="G241" s="22" t="s">
        <v>20</v>
      </c>
    </row>
    <row r="242" ht="15.15" spans="1:7">
      <c r="A242" s="20">
        <v>240</v>
      </c>
      <c r="B242" s="20">
        <v>5049</v>
      </c>
      <c r="C242" s="21">
        <v>44976</v>
      </c>
      <c r="D242" s="20">
        <v>3291.84</v>
      </c>
      <c r="E242" s="22" t="s">
        <v>10</v>
      </c>
      <c r="F242" s="22" t="s">
        <v>16</v>
      </c>
      <c r="G242" s="22" t="s">
        <v>17</v>
      </c>
    </row>
    <row r="243" ht="15.15" spans="1:7">
      <c r="A243" s="20">
        <v>241</v>
      </c>
      <c r="B243" s="20">
        <v>6305</v>
      </c>
      <c r="C243" s="21">
        <v>45177</v>
      </c>
      <c r="D243" s="20">
        <v>3291.84</v>
      </c>
      <c r="E243" s="22" t="s">
        <v>10</v>
      </c>
      <c r="F243" s="22" t="s">
        <v>18</v>
      </c>
      <c r="G243" s="22" t="s">
        <v>17</v>
      </c>
    </row>
    <row r="244" ht="15.15" spans="1:7">
      <c r="A244" s="20">
        <v>242</v>
      </c>
      <c r="B244" s="20">
        <v>3008</v>
      </c>
      <c r="C244" s="21">
        <v>45242</v>
      </c>
      <c r="D244" s="20">
        <v>3291.84</v>
      </c>
      <c r="E244" s="22" t="s">
        <v>10</v>
      </c>
      <c r="F244" s="22" t="s">
        <v>16</v>
      </c>
      <c r="G244" s="22" t="s">
        <v>20</v>
      </c>
    </row>
    <row r="245" ht="15.15" spans="1:7">
      <c r="A245" s="20">
        <v>243</v>
      </c>
      <c r="B245" s="20">
        <v>8565</v>
      </c>
      <c r="C245" s="21">
        <v>45264</v>
      </c>
      <c r="D245" s="20">
        <v>3291.84</v>
      </c>
      <c r="E245" s="22" t="s">
        <v>10</v>
      </c>
      <c r="F245" s="22" t="s">
        <v>18</v>
      </c>
      <c r="G245" s="22" t="s">
        <v>12</v>
      </c>
    </row>
    <row r="246" ht="15.15" spans="1:7">
      <c r="A246" s="20">
        <v>244</v>
      </c>
      <c r="B246" s="20">
        <v>1728</v>
      </c>
      <c r="C246" s="21">
        <v>45221</v>
      </c>
      <c r="D246" s="20">
        <v>3291.84</v>
      </c>
      <c r="E246" s="22" t="s">
        <v>10</v>
      </c>
      <c r="F246" s="22" t="s">
        <v>14</v>
      </c>
      <c r="G246" s="22" t="s">
        <v>12</v>
      </c>
    </row>
    <row r="247" ht="15.15" spans="1:7">
      <c r="A247" s="20">
        <v>245</v>
      </c>
      <c r="B247" s="20">
        <v>5990</v>
      </c>
      <c r="C247" s="21">
        <v>45120</v>
      </c>
      <c r="D247" s="20">
        <v>3291.84</v>
      </c>
      <c r="E247" s="22" t="s">
        <v>10</v>
      </c>
      <c r="F247" s="22" t="s">
        <v>16</v>
      </c>
      <c r="G247" s="22" t="s">
        <v>15</v>
      </c>
    </row>
    <row r="248" ht="15.15" spans="1:7">
      <c r="A248" s="20">
        <v>246</v>
      </c>
      <c r="B248" s="20">
        <v>4125</v>
      </c>
      <c r="C248" s="21">
        <v>45179</v>
      </c>
      <c r="D248" s="20">
        <v>3291.84</v>
      </c>
      <c r="E248" s="22" t="s">
        <v>10</v>
      </c>
      <c r="F248" s="22" t="s">
        <v>18</v>
      </c>
      <c r="G248" s="22" t="s">
        <v>20</v>
      </c>
    </row>
    <row r="249" ht="15.15" spans="1:7">
      <c r="A249" s="20">
        <v>247</v>
      </c>
      <c r="B249" s="20">
        <v>9901</v>
      </c>
      <c r="C249" s="21">
        <v>45243</v>
      </c>
      <c r="D249" s="20">
        <v>3291.84</v>
      </c>
      <c r="E249" s="22" t="s">
        <v>10</v>
      </c>
      <c r="F249" s="22" t="s">
        <v>16</v>
      </c>
      <c r="G249" s="22" t="s">
        <v>15</v>
      </c>
    </row>
    <row r="250" ht="15.15" spans="1:7">
      <c r="A250" s="20">
        <v>248</v>
      </c>
      <c r="B250" s="20">
        <v>690</v>
      </c>
      <c r="C250" s="21">
        <v>45114</v>
      </c>
      <c r="D250" s="20">
        <v>3291.84</v>
      </c>
      <c r="E250" s="22" t="s">
        <v>10</v>
      </c>
      <c r="F250" s="22" t="s">
        <v>16</v>
      </c>
      <c r="G250" s="22" t="s">
        <v>17</v>
      </c>
    </row>
    <row r="251" ht="15.15" spans="1:7">
      <c r="A251" s="20">
        <v>249</v>
      </c>
      <c r="B251" s="20">
        <v>57</v>
      </c>
      <c r="C251" s="21">
        <v>45096</v>
      </c>
      <c r="D251" s="20">
        <v>3291.84</v>
      </c>
      <c r="E251" s="22" t="s">
        <v>10</v>
      </c>
      <c r="F251" s="22" t="s">
        <v>18</v>
      </c>
      <c r="G251" s="22" t="s">
        <v>15</v>
      </c>
    </row>
    <row r="252" ht="15.15" spans="1:7">
      <c r="A252" s="20">
        <v>250</v>
      </c>
      <c r="B252" s="20">
        <v>3571</v>
      </c>
      <c r="C252" s="21">
        <v>44993</v>
      </c>
      <c r="D252" s="20">
        <v>3291.84</v>
      </c>
      <c r="E252" s="22" t="s">
        <v>10</v>
      </c>
      <c r="F252" s="22" t="s">
        <v>14</v>
      </c>
      <c r="G252" s="22" t="s">
        <v>15</v>
      </c>
    </row>
    <row r="253" ht="15.15" spans="1:7">
      <c r="A253" s="20">
        <v>251</v>
      </c>
      <c r="B253" s="20">
        <v>534</v>
      </c>
      <c r="C253" s="21">
        <v>45244</v>
      </c>
      <c r="D253" s="20">
        <v>3291.84</v>
      </c>
      <c r="E253" s="22" t="s">
        <v>10</v>
      </c>
      <c r="F253" s="22" t="s">
        <v>11</v>
      </c>
      <c r="G253" s="22" t="s">
        <v>20</v>
      </c>
    </row>
    <row r="254" ht="15.15" spans="1:7">
      <c r="A254" s="20">
        <v>252</v>
      </c>
      <c r="B254" s="20">
        <v>6461</v>
      </c>
      <c r="C254" s="21">
        <v>45209</v>
      </c>
      <c r="D254" s="20">
        <v>3291.84</v>
      </c>
      <c r="E254" s="22" t="s">
        <v>10</v>
      </c>
      <c r="F254" s="22" t="s">
        <v>13</v>
      </c>
      <c r="G254" s="22" t="s">
        <v>15</v>
      </c>
    </row>
    <row r="255" ht="15.15" spans="1:7">
      <c r="A255" s="20">
        <v>253</v>
      </c>
      <c r="B255" s="20">
        <v>598</v>
      </c>
      <c r="C255" s="21">
        <v>45146</v>
      </c>
      <c r="D255" s="20">
        <v>3291.84</v>
      </c>
      <c r="E255" s="22" t="s">
        <v>10</v>
      </c>
      <c r="F255" s="22" t="s">
        <v>14</v>
      </c>
      <c r="G255" s="22" t="s">
        <v>17</v>
      </c>
    </row>
    <row r="256" ht="15.15" spans="1:7">
      <c r="A256" s="20">
        <v>254</v>
      </c>
      <c r="B256" s="20">
        <v>4048</v>
      </c>
      <c r="C256" s="21">
        <v>45135</v>
      </c>
      <c r="D256" s="20">
        <v>3291.84</v>
      </c>
      <c r="E256" s="22" t="s">
        <v>10</v>
      </c>
      <c r="F256" s="22" t="s">
        <v>16</v>
      </c>
      <c r="G256" s="22" t="s">
        <v>15</v>
      </c>
    </row>
    <row r="257" ht="15.15" spans="1:7">
      <c r="A257" s="20">
        <v>255</v>
      </c>
      <c r="B257" s="20">
        <v>4637</v>
      </c>
      <c r="C257" s="21">
        <v>45000</v>
      </c>
      <c r="D257" s="20">
        <v>3291.84</v>
      </c>
      <c r="E257" s="22" t="s">
        <v>10</v>
      </c>
      <c r="F257" s="22" t="s">
        <v>14</v>
      </c>
      <c r="G257" s="22" t="s">
        <v>17</v>
      </c>
    </row>
    <row r="258" ht="15.15" spans="1:7">
      <c r="A258" s="20">
        <v>256</v>
      </c>
      <c r="B258" s="20">
        <v>7479</v>
      </c>
      <c r="C258" s="21">
        <v>45119</v>
      </c>
      <c r="D258" s="20">
        <v>3291.84</v>
      </c>
      <c r="E258" s="22" t="s">
        <v>10</v>
      </c>
      <c r="F258" s="22" t="s">
        <v>16</v>
      </c>
      <c r="G258" s="22" t="s">
        <v>12</v>
      </c>
    </row>
    <row r="259" ht="15.15" spans="1:7">
      <c r="A259" s="20">
        <v>257</v>
      </c>
      <c r="B259" s="20">
        <v>49</v>
      </c>
      <c r="C259" s="21">
        <v>45235</v>
      </c>
      <c r="D259" s="20">
        <v>3291.84</v>
      </c>
      <c r="E259" s="22" t="s">
        <v>10</v>
      </c>
      <c r="F259" s="22" t="s">
        <v>14</v>
      </c>
      <c r="G259" s="22" t="s">
        <v>15</v>
      </c>
    </row>
    <row r="260" ht="15.15" spans="1:7">
      <c r="A260" s="20">
        <v>258</v>
      </c>
      <c r="B260" s="20">
        <v>3947</v>
      </c>
      <c r="C260" s="21">
        <v>45134</v>
      </c>
      <c r="D260" s="20">
        <v>3291.84</v>
      </c>
      <c r="E260" s="22" t="s">
        <v>10</v>
      </c>
      <c r="F260" s="22" t="s">
        <v>11</v>
      </c>
      <c r="G260" s="22" t="s">
        <v>12</v>
      </c>
    </row>
    <row r="261" ht="15.15" spans="1:7">
      <c r="A261" s="20">
        <v>259</v>
      </c>
      <c r="B261" s="20">
        <v>982</v>
      </c>
      <c r="C261" s="21">
        <v>45029</v>
      </c>
      <c r="D261" s="20">
        <v>3291.84</v>
      </c>
      <c r="E261" s="22" t="s">
        <v>10</v>
      </c>
      <c r="F261" s="22" t="s">
        <v>14</v>
      </c>
      <c r="G261" s="22" t="s">
        <v>17</v>
      </c>
    </row>
    <row r="262" ht="15.15" spans="1:7">
      <c r="A262" s="20">
        <v>260</v>
      </c>
      <c r="B262" s="20">
        <v>7308</v>
      </c>
      <c r="C262" s="21">
        <v>45254</v>
      </c>
      <c r="D262" s="20">
        <v>3291.84</v>
      </c>
      <c r="E262" s="22" t="s">
        <v>10</v>
      </c>
      <c r="F262" s="22" t="s">
        <v>13</v>
      </c>
      <c r="G262" s="22" t="s">
        <v>12</v>
      </c>
    </row>
    <row r="263" ht="15.15" spans="1:7">
      <c r="A263" s="20">
        <v>261</v>
      </c>
      <c r="B263" s="20">
        <v>1449</v>
      </c>
      <c r="C263" s="21">
        <v>45207</v>
      </c>
      <c r="D263" s="20">
        <v>3291.84</v>
      </c>
      <c r="E263" s="22" t="s">
        <v>10</v>
      </c>
      <c r="F263" s="22" t="s">
        <v>13</v>
      </c>
      <c r="G263" s="22" t="s">
        <v>15</v>
      </c>
    </row>
    <row r="264" ht="15.15" spans="1:7">
      <c r="A264" s="20">
        <v>262</v>
      </c>
      <c r="B264" s="20">
        <v>6828</v>
      </c>
      <c r="C264" s="21">
        <v>45104</v>
      </c>
      <c r="D264" s="20">
        <v>3291.84</v>
      </c>
      <c r="E264" s="22" t="s">
        <v>10</v>
      </c>
      <c r="F264" s="22" t="s">
        <v>14</v>
      </c>
      <c r="G264" s="22" t="s">
        <v>15</v>
      </c>
    </row>
    <row r="265" ht="15.15" spans="1:7">
      <c r="A265" s="20">
        <v>263</v>
      </c>
      <c r="B265" s="20">
        <v>4246</v>
      </c>
      <c r="C265" s="21">
        <v>45234</v>
      </c>
      <c r="D265" s="20">
        <v>3291.84</v>
      </c>
      <c r="E265" s="22" t="s">
        <v>10</v>
      </c>
      <c r="F265" s="22" t="s">
        <v>14</v>
      </c>
      <c r="G265" s="22" t="s">
        <v>17</v>
      </c>
    </row>
    <row r="266" ht="15.15" spans="1:7">
      <c r="A266" s="20">
        <v>264</v>
      </c>
      <c r="B266" s="20">
        <v>8478</v>
      </c>
      <c r="C266" s="21">
        <v>44972</v>
      </c>
      <c r="D266" s="20">
        <v>3291.84</v>
      </c>
      <c r="E266" s="22" t="s">
        <v>10</v>
      </c>
      <c r="F266" s="22" t="s">
        <v>11</v>
      </c>
      <c r="G266" s="22" t="s">
        <v>17</v>
      </c>
    </row>
    <row r="267" ht="15.15" spans="1:7">
      <c r="A267" s="20">
        <v>265</v>
      </c>
      <c r="B267" s="20">
        <v>1292</v>
      </c>
      <c r="C267" s="21">
        <v>45135</v>
      </c>
      <c r="D267" s="20">
        <v>3291.84</v>
      </c>
      <c r="E267" s="22" t="s">
        <v>10</v>
      </c>
      <c r="F267" s="22" t="s">
        <v>16</v>
      </c>
      <c r="G267" s="22" t="s">
        <v>15</v>
      </c>
    </row>
    <row r="268" ht="15.15" spans="1:7">
      <c r="A268" s="20">
        <v>266</v>
      </c>
      <c r="B268" s="20">
        <v>4055</v>
      </c>
      <c r="C268" s="21">
        <v>45237</v>
      </c>
      <c r="D268" s="20">
        <v>3291.84</v>
      </c>
      <c r="E268" s="22" t="s">
        <v>10</v>
      </c>
      <c r="F268" s="22" t="s">
        <v>11</v>
      </c>
      <c r="G268" s="22" t="s">
        <v>17</v>
      </c>
    </row>
    <row r="269" ht="15.15" spans="1:7">
      <c r="A269" s="20">
        <v>267</v>
      </c>
      <c r="B269" s="20">
        <v>3571</v>
      </c>
      <c r="C269" s="21">
        <v>45162</v>
      </c>
      <c r="D269" s="20">
        <v>3291.84</v>
      </c>
      <c r="E269" s="22" t="s">
        <v>10</v>
      </c>
      <c r="F269" s="22" t="s">
        <v>14</v>
      </c>
      <c r="G269" s="22" t="s">
        <v>15</v>
      </c>
    </row>
    <row r="270" ht="15.15" spans="1:7">
      <c r="A270" s="20">
        <v>268</v>
      </c>
      <c r="B270" s="20">
        <v>9009</v>
      </c>
      <c r="C270" s="21">
        <v>45247</v>
      </c>
      <c r="D270" s="20">
        <v>3291.84</v>
      </c>
      <c r="E270" s="22" t="s">
        <v>10</v>
      </c>
      <c r="F270" s="22" t="s">
        <v>11</v>
      </c>
      <c r="G270" s="22" t="s">
        <v>15</v>
      </c>
    </row>
    <row r="271" ht="15.15" spans="1:7">
      <c r="A271" s="20">
        <v>269</v>
      </c>
      <c r="B271" s="20">
        <v>7640</v>
      </c>
      <c r="C271" s="21">
        <v>45203</v>
      </c>
      <c r="D271" s="20">
        <v>3291.84</v>
      </c>
      <c r="E271" s="22" t="s">
        <v>10</v>
      </c>
      <c r="F271" s="22" t="s">
        <v>11</v>
      </c>
      <c r="G271" s="22" t="s">
        <v>17</v>
      </c>
    </row>
    <row r="272" ht="15.15" spans="1:7">
      <c r="A272" s="20">
        <v>270</v>
      </c>
      <c r="B272" s="20">
        <v>4469</v>
      </c>
      <c r="C272" s="21">
        <v>45237</v>
      </c>
      <c r="D272" s="20">
        <v>3291.84</v>
      </c>
      <c r="E272" s="22" t="s">
        <v>10</v>
      </c>
      <c r="F272" s="22" t="s">
        <v>13</v>
      </c>
      <c r="G272" s="22" t="s">
        <v>17</v>
      </c>
    </row>
    <row r="273" ht="15.15" spans="1:7">
      <c r="A273" s="20">
        <v>271</v>
      </c>
      <c r="B273" s="20">
        <v>5478</v>
      </c>
      <c r="C273" s="21">
        <v>45280</v>
      </c>
      <c r="D273" s="20">
        <v>3291.84</v>
      </c>
      <c r="E273" s="22" t="s">
        <v>10</v>
      </c>
      <c r="F273" s="22" t="s">
        <v>11</v>
      </c>
      <c r="G273" s="22" t="s">
        <v>15</v>
      </c>
    </row>
    <row r="274" ht="15.15" spans="1:7">
      <c r="A274" s="20">
        <v>272</v>
      </c>
      <c r="B274" s="20">
        <v>9904</v>
      </c>
      <c r="C274" s="21">
        <v>45167</v>
      </c>
      <c r="D274" s="20">
        <v>3291.84</v>
      </c>
      <c r="E274" s="22" t="s">
        <v>10</v>
      </c>
      <c r="F274" s="22" t="s">
        <v>18</v>
      </c>
      <c r="G274" s="22" t="s">
        <v>15</v>
      </c>
    </row>
    <row r="275" ht="15.15" spans="1:7">
      <c r="A275" s="20">
        <v>273</v>
      </c>
      <c r="B275" s="20">
        <v>4551</v>
      </c>
      <c r="C275" s="21">
        <v>45206</v>
      </c>
      <c r="D275" s="20">
        <v>3291.84</v>
      </c>
      <c r="E275" s="22" t="s">
        <v>10</v>
      </c>
      <c r="F275" s="22" t="s">
        <v>14</v>
      </c>
      <c r="G275" s="22" t="s">
        <v>17</v>
      </c>
    </row>
    <row r="276" ht="15.15" spans="1:7">
      <c r="A276" s="20">
        <v>274</v>
      </c>
      <c r="B276" s="20">
        <v>1735</v>
      </c>
      <c r="C276" s="21">
        <v>45271</v>
      </c>
      <c r="D276" s="20">
        <v>3291.84</v>
      </c>
      <c r="E276" s="22" t="s">
        <v>10</v>
      </c>
      <c r="F276" s="22" t="s">
        <v>13</v>
      </c>
      <c r="G276" s="22" t="s">
        <v>20</v>
      </c>
    </row>
    <row r="277" ht="15.15" spans="1:7">
      <c r="A277" s="20">
        <v>275</v>
      </c>
      <c r="B277" s="20">
        <v>7027</v>
      </c>
      <c r="C277" s="21">
        <v>45012</v>
      </c>
      <c r="D277" s="20">
        <v>3291.84</v>
      </c>
      <c r="E277" s="22" t="s">
        <v>10</v>
      </c>
      <c r="F277" s="22" t="s">
        <v>14</v>
      </c>
      <c r="G277" s="22" t="s">
        <v>15</v>
      </c>
    </row>
    <row r="278" ht="15.15" spans="1:7">
      <c r="A278" s="20">
        <v>276</v>
      </c>
      <c r="B278" s="20">
        <v>8776</v>
      </c>
      <c r="C278" s="21">
        <v>45224</v>
      </c>
      <c r="D278" s="20">
        <v>3291.84</v>
      </c>
      <c r="E278" s="22" t="s">
        <v>10</v>
      </c>
      <c r="F278" s="22" t="s">
        <v>18</v>
      </c>
      <c r="G278" s="22" t="s">
        <v>15</v>
      </c>
    </row>
    <row r="279" ht="15.15" spans="1:7">
      <c r="A279" s="20">
        <v>277</v>
      </c>
      <c r="B279" s="20">
        <v>2986</v>
      </c>
      <c r="C279" s="21">
        <v>45281</v>
      </c>
      <c r="D279" s="20">
        <v>3291.84</v>
      </c>
      <c r="E279" s="22" t="s">
        <v>10</v>
      </c>
      <c r="F279" s="22" t="s">
        <v>16</v>
      </c>
      <c r="G279" s="22" t="s">
        <v>17</v>
      </c>
    </row>
    <row r="280" ht="15.15" spans="1:7">
      <c r="A280" s="20">
        <v>278</v>
      </c>
      <c r="B280" s="20">
        <v>2040</v>
      </c>
      <c r="C280" s="21">
        <v>45003</v>
      </c>
      <c r="D280" s="20">
        <v>3291.84</v>
      </c>
      <c r="E280" s="22" t="s">
        <v>10</v>
      </c>
      <c r="F280" s="22" t="s">
        <v>18</v>
      </c>
      <c r="G280" s="22" t="s">
        <v>20</v>
      </c>
    </row>
    <row r="281" ht="15.15" spans="1:7">
      <c r="A281" s="20">
        <v>279</v>
      </c>
      <c r="B281" s="20">
        <v>9077</v>
      </c>
      <c r="C281" s="21">
        <v>45217</v>
      </c>
      <c r="D281" s="20">
        <v>3291.84</v>
      </c>
      <c r="E281" s="22" t="s">
        <v>10</v>
      </c>
      <c r="F281" s="22" t="s">
        <v>16</v>
      </c>
      <c r="G281" s="22" t="s">
        <v>12</v>
      </c>
    </row>
    <row r="282" ht="15.15" spans="1:7">
      <c r="A282" s="20">
        <v>280</v>
      </c>
      <c r="B282" s="20">
        <v>5332</v>
      </c>
      <c r="C282" s="21">
        <v>45117</v>
      </c>
      <c r="D282" s="20">
        <v>3291.84</v>
      </c>
      <c r="E282" s="22" t="s">
        <v>10</v>
      </c>
      <c r="F282" s="22" t="s">
        <v>16</v>
      </c>
      <c r="G282" s="22" t="s">
        <v>20</v>
      </c>
    </row>
    <row r="283" ht="15.15" spans="1:7">
      <c r="A283" s="20">
        <v>281</v>
      </c>
      <c r="B283" s="20">
        <v>1320</v>
      </c>
      <c r="C283" s="21">
        <v>45244</v>
      </c>
      <c r="D283" s="20">
        <v>3291.84</v>
      </c>
      <c r="E283" s="22" t="s">
        <v>10</v>
      </c>
      <c r="F283" s="22" t="s">
        <v>19</v>
      </c>
      <c r="G283" s="22" t="s">
        <v>20</v>
      </c>
    </row>
    <row r="284" ht="15.15" spans="1:7">
      <c r="A284" s="20">
        <v>282</v>
      </c>
      <c r="B284" s="20">
        <v>8251</v>
      </c>
      <c r="C284" s="21">
        <v>45094</v>
      </c>
      <c r="D284" s="20">
        <v>3291.84</v>
      </c>
      <c r="E284" s="22" t="s">
        <v>10</v>
      </c>
      <c r="F284" s="22" t="s">
        <v>11</v>
      </c>
      <c r="G284" s="22" t="s">
        <v>15</v>
      </c>
    </row>
    <row r="285" ht="15.15" spans="1:7">
      <c r="A285" s="20">
        <v>283</v>
      </c>
      <c r="B285" s="20">
        <v>9402</v>
      </c>
      <c r="C285" s="21">
        <v>45246</v>
      </c>
      <c r="D285" s="20">
        <v>3291.84</v>
      </c>
      <c r="E285" s="22" t="s">
        <v>10</v>
      </c>
      <c r="F285" s="22" t="s">
        <v>13</v>
      </c>
      <c r="G285" s="22" t="s">
        <v>17</v>
      </c>
    </row>
    <row r="286" ht="15.15" spans="1:7">
      <c r="A286" s="20">
        <v>284</v>
      </c>
      <c r="B286" s="20">
        <v>157</v>
      </c>
      <c r="C286" s="21">
        <v>44953</v>
      </c>
      <c r="D286" s="20">
        <v>3291.84</v>
      </c>
      <c r="E286" s="22" t="s">
        <v>10</v>
      </c>
      <c r="F286" s="22" t="s">
        <v>18</v>
      </c>
      <c r="G286" s="22" t="s">
        <v>20</v>
      </c>
    </row>
    <row r="287" ht="15.15" spans="1:7">
      <c r="A287" s="20">
        <v>285</v>
      </c>
      <c r="B287" s="20">
        <v>4732</v>
      </c>
      <c r="C287" s="21">
        <v>45065</v>
      </c>
      <c r="D287" s="20">
        <v>3291.84</v>
      </c>
      <c r="E287" s="22" t="s">
        <v>10</v>
      </c>
      <c r="F287" s="22" t="s">
        <v>14</v>
      </c>
      <c r="G287" s="22" t="s">
        <v>12</v>
      </c>
    </row>
    <row r="288" ht="15.15" spans="1:7">
      <c r="A288" s="20">
        <v>286</v>
      </c>
      <c r="B288" s="20">
        <v>9023</v>
      </c>
      <c r="C288" s="21">
        <v>45228</v>
      </c>
      <c r="D288" s="20">
        <v>3291.84</v>
      </c>
      <c r="E288" s="22" t="s">
        <v>10</v>
      </c>
      <c r="F288" s="22" t="s">
        <v>11</v>
      </c>
      <c r="G288" s="22" t="s">
        <v>17</v>
      </c>
    </row>
    <row r="289" ht="15.15" spans="1:7">
      <c r="A289" s="20">
        <v>287</v>
      </c>
      <c r="B289" s="20">
        <v>4783</v>
      </c>
      <c r="C289" s="21">
        <v>45141</v>
      </c>
      <c r="D289" s="20">
        <v>3291.84</v>
      </c>
      <c r="E289" s="22" t="s">
        <v>10</v>
      </c>
      <c r="F289" s="22" t="s">
        <v>16</v>
      </c>
      <c r="G289" s="22" t="s">
        <v>12</v>
      </c>
    </row>
    <row r="290" ht="15.15" spans="1:7">
      <c r="A290" s="20">
        <v>288</v>
      </c>
      <c r="B290" s="20">
        <v>5743</v>
      </c>
      <c r="C290" s="21">
        <v>44983</v>
      </c>
      <c r="D290" s="20">
        <v>3291.84</v>
      </c>
      <c r="E290" s="22" t="s">
        <v>10</v>
      </c>
      <c r="F290" s="22" t="s">
        <v>14</v>
      </c>
      <c r="G290" s="22" t="s">
        <v>17</v>
      </c>
    </row>
    <row r="291" ht="15.15" spans="1:7">
      <c r="A291" s="20">
        <v>289</v>
      </c>
      <c r="B291" s="20">
        <v>9541</v>
      </c>
      <c r="C291" s="21">
        <v>45183</v>
      </c>
      <c r="D291" s="20">
        <v>3291.84</v>
      </c>
      <c r="E291" s="22" t="s">
        <v>10</v>
      </c>
      <c r="F291" s="22" t="s">
        <v>11</v>
      </c>
      <c r="G291" s="22" t="s">
        <v>17</v>
      </c>
    </row>
    <row r="292" ht="15.15" spans="1:7">
      <c r="A292" s="20">
        <v>290</v>
      </c>
      <c r="B292" s="20">
        <v>5053</v>
      </c>
      <c r="C292" s="21">
        <v>44983</v>
      </c>
      <c r="D292" s="20">
        <v>3291.84</v>
      </c>
      <c r="E292" s="22" t="s">
        <v>10</v>
      </c>
      <c r="F292" s="22" t="s">
        <v>18</v>
      </c>
      <c r="G292" s="22" t="s">
        <v>12</v>
      </c>
    </row>
    <row r="293" ht="15.15" spans="1:7">
      <c r="A293" s="20">
        <v>291</v>
      </c>
      <c r="B293" s="20">
        <v>7343</v>
      </c>
      <c r="C293" s="21">
        <v>44930</v>
      </c>
      <c r="D293" s="20">
        <v>3291.84</v>
      </c>
      <c r="E293" s="22" t="s">
        <v>10</v>
      </c>
      <c r="F293" s="22" t="s">
        <v>14</v>
      </c>
      <c r="G293" s="22" t="s">
        <v>12</v>
      </c>
    </row>
    <row r="294" ht="15.15" spans="1:7">
      <c r="A294" s="20">
        <v>292</v>
      </c>
      <c r="B294" s="20">
        <v>9000</v>
      </c>
      <c r="C294" s="21">
        <v>45276</v>
      </c>
      <c r="D294" s="20">
        <v>3291.84</v>
      </c>
      <c r="E294" s="22" t="s">
        <v>10</v>
      </c>
      <c r="F294" s="22" t="s">
        <v>18</v>
      </c>
      <c r="G294" s="22" t="s">
        <v>15</v>
      </c>
    </row>
    <row r="295" ht="15.15" spans="1:7">
      <c r="A295" s="20">
        <v>293</v>
      </c>
      <c r="B295" s="20">
        <v>4689</v>
      </c>
      <c r="C295" s="21">
        <v>45125</v>
      </c>
      <c r="D295" s="20">
        <v>3291.84</v>
      </c>
      <c r="E295" s="22" t="s">
        <v>10</v>
      </c>
      <c r="F295" s="22" t="s">
        <v>14</v>
      </c>
      <c r="G295" s="22" t="s">
        <v>15</v>
      </c>
    </row>
    <row r="296" ht="15.15" spans="1:7">
      <c r="A296" s="20">
        <v>294</v>
      </c>
      <c r="B296" s="20">
        <v>1759</v>
      </c>
      <c r="C296" s="21">
        <v>45012</v>
      </c>
      <c r="D296" s="20">
        <v>3291.84</v>
      </c>
      <c r="E296" s="22" t="s">
        <v>10</v>
      </c>
      <c r="F296" s="22" t="s">
        <v>16</v>
      </c>
      <c r="G296" s="22" t="s">
        <v>17</v>
      </c>
    </row>
    <row r="297" ht="15.15" spans="1:7">
      <c r="A297" s="20">
        <v>295</v>
      </c>
      <c r="B297" s="20">
        <v>3291</v>
      </c>
      <c r="C297" s="21">
        <v>45142</v>
      </c>
      <c r="D297" s="20">
        <v>3291.84</v>
      </c>
      <c r="E297" s="22" t="s">
        <v>10</v>
      </c>
      <c r="F297" s="22" t="s">
        <v>13</v>
      </c>
      <c r="G297" s="22" t="s">
        <v>12</v>
      </c>
    </row>
    <row r="298" ht="15.15" spans="1:7">
      <c r="A298" s="20">
        <v>296</v>
      </c>
      <c r="B298" s="20">
        <v>5426</v>
      </c>
      <c r="C298" s="21">
        <v>44937</v>
      </c>
      <c r="D298" s="20">
        <v>3291.84</v>
      </c>
      <c r="E298" s="22" t="s">
        <v>10</v>
      </c>
      <c r="F298" s="22" t="s">
        <v>11</v>
      </c>
      <c r="G298" s="22" t="s">
        <v>17</v>
      </c>
    </row>
    <row r="299" ht="15.15" spans="1:7">
      <c r="A299" s="20">
        <v>297</v>
      </c>
      <c r="B299" s="20">
        <v>4242</v>
      </c>
      <c r="C299" s="21">
        <v>45050</v>
      </c>
      <c r="D299" s="20">
        <v>3291.84</v>
      </c>
      <c r="E299" s="22" t="s">
        <v>10</v>
      </c>
      <c r="F299" s="22" t="s">
        <v>19</v>
      </c>
      <c r="G299" s="22" t="s">
        <v>12</v>
      </c>
    </row>
    <row r="300" ht="15.15" spans="1:7">
      <c r="A300" s="20">
        <v>298</v>
      </c>
      <c r="B300" s="20">
        <v>9080</v>
      </c>
      <c r="C300" s="21">
        <v>45223</v>
      </c>
      <c r="D300" s="20">
        <v>3291.84</v>
      </c>
      <c r="E300" s="22" t="s">
        <v>10</v>
      </c>
      <c r="F300" s="22" t="s">
        <v>16</v>
      </c>
      <c r="G300" s="22" t="s">
        <v>15</v>
      </c>
    </row>
    <row r="301" ht="15.15" spans="1:7">
      <c r="A301" s="20">
        <v>299</v>
      </c>
      <c r="B301" s="20">
        <v>4612</v>
      </c>
      <c r="C301" s="21">
        <v>45174</v>
      </c>
      <c r="D301" s="20">
        <v>3291.84</v>
      </c>
      <c r="E301" s="22" t="s">
        <v>10</v>
      </c>
      <c r="F301" s="22" t="s">
        <v>18</v>
      </c>
      <c r="G301" s="22" t="s">
        <v>15</v>
      </c>
    </row>
    <row r="302" ht="15.15" spans="1:7">
      <c r="A302" s="20">
        <v>300</v>
      </c>
      <c r="B302" s="20">
        <v>7977</v>
      </c>
      <c r="C302" s="21">
        <v>45121</v>
      </c>
      <c r="D302" s="20">
        <v>3291.84</v>
      </c>
      <c r="E302" s="22" t="s">
        <v>10</v>
      </c>
      <c r="F302" s="22" t="s">
        <v>14</v>
      </c>
      <c r="G302" s="22" t="s">
        <v>20</v>
      </c>
    </row>
    <row r="303" ht="15.15" spans="1:7">
      <c r="A303" s="20">
        <v>301</v>
      </c>
      <c r="B303" s="20">
        <v>8114</v>
      </c>
      <c r="C303" s="21">
        <v>45290</v>
      </c>
      <c r="D303" s="20">
        <v>3291.84</v>
      </c>
      <c r="E303" s="22" t="s">
        <v>10</v>
      </c>
      <c r="F303" s="22" t="s">
        <v>16</v>
      </c>
      <c r="G303" s="22" t="s">
        <v>12</v>
      </c>
    </row>
    <row r="304" ht="15.15" spans="1:7">
      <c r="A304" s="20">
        <v>302</v>
      </c>
      <c r="B304" s="20">
        <v>951</v>
      </c>
      <c r="C304" s="21">
        <v>45209</v>
      </c>
      <c r="D304" s="20">
        <v>3291.84</v>
      </c>
      <c r="E304" s="22" t="s">
        <v>10</v>
      </c>
      <c r="F304" s="22" t="s">
        <v>16</v>
      </c>
      <c r="G304" s="22" t="s">
        <v>20</v>
      </c>
    </row>
    <row r="305" ht="15.15" spans="1:7">
      <c r="A305" s="20">
        <v>303</v>
      </c>
      <c r="B305" s="20">
        <v>7355</v>
      </c>
      <c r="C305" s="21">
        <v>45120</v>
      </c>
      <c r="D305" s="20">
        <v>3291.84</v>
      </c>
      <c r="E305" s="22" t="s">
        <v>10</v>
      </c>
      <c r="F305" s="22" t="s">
        <v>13</v>
      </c>
      <c r="G305" s="22" t="s">
        <v>17</v>
      </c>
    </row>
    <row r="306" ht="15.15" spans="1:7">
      <c r="A306" s="20">
        <v>304</v>
      </c>
      <c r="B306" s="20">
        <v>7091</v>
      </c>
      <c r="C306" s="21">
        <v>44982</v>
      </c>
      <c r="D306" s="20">
        <v>3291.84</v>
      </c>
      <c r="E306" s="22" t="s">
        <v>10</v>
      </c>
      <c r="F306" s="22" t="s">
        <v>16</v>
      </c>
      <c r="G306" s="22" t="s">
        <v>15</v>
      </c>
    </row>
    <row r="307" ht="15.15" spans="1:7">
      <c r="A307" s="20">
        <v>305</v>
      </c>
      <c r="B307" s="20">
        <v>9308</v>
      </c>
      <c r="C307" s="21">
        <v>45223</v>
      </c>
      <c r="D307" s="20">
        <v>3291.84</v>
      </c>
      <c r="E307" s="22" t="s">
        <v>10</v>
      </c>
      <c r="F307" s="22" t="s">
        <v>13</v>
      </c>
      <c r="G307" s="22" t="s">
        <v>20</v>
      </c>
    </row>
    <row r="308" ht="15.15" spans="1:7">
      <c r="A308" s="20">
        <v>306</v>
      </c>
      <c r="B308" s="20">
        <v>171</v>
      </c>
      <c r="C308" s="21">
        <v>44979</v>
      </c>
      <c r="D308" s="20">
        <v>3291.84</v>
      </c>
      <c r="E308" s="22" t="s">
        <v>10</v>
      </c>
      <c r="F308" s="22" t="s">
        <v>11</v>
      </c>
      <c r="G308" s="22" t="s">
        <v>20</v>
      </c>
    </row>
    <row r="309" ht="15.15" spans="1:7">
      <c r="A309" s="20">
        <v>307</v>
      </c>
      <c r="B309" s="20">
        <v>4479</v>
      </c>
      <c r="C309" s="21">
        <v>45236</v>
      </c>
      <c r="D309" s="20">
        <v>3291.84</v>
      </c>
      <c r="E309" s="22" t="s">
        <v>10</v>
      </c>
      <c r="F309" s="22" t="s">
        <v>14</v>
      </c>
      <c r="G309" s="22" t="s">
        <v>12</v>
      </c>
    </row>
    <row r="310" ht="15.15" spans="1:7">
      <c r="A310" s="20">
        <v>308</v>
      </c>
      <c r="B310" s="20">
        <v>2133</v>
      </c>
      <c r="C310" s="21">
        <v>45052</v>
      </c>
      <c r="D310" s="20">
        <v>3291.84</v>
      </c>
      <c r="E310" s="22" t="s">
        <v>10</v>
      </c>
      <c r="F310" s="22" t="s">
        <v>18</v>
      </c>
      <c r="G310" s="22" t="s">
        <v>12</v>
      </c>
    </row>
    <row r="311" ht="15.15" spans="1:7">
      <c r="A311" s="20">
        <v>309</v>
      </c>
      <c r="B311" s="20">
        <v>3385</v>
      </c>
      <c r="C311" s="21">
        <v>45004</v>
      </c>
      <c r="D311" s="20">
        <v>3291.84</v>
      </c>
      <c r="E311" s="22" t="s">
        <v>10</v>
      </c>
      <c r="F311" s="22" t="s">
        <v>14</v>
      </c>
      <c r="G311" s="22" t="s">
        <v>20</v>
      </c>
    </row>
    <row r="312" ht="15.15" spans="1:7">
      <c r="A312" s="20">
        <v>310</v>
      </c>
      <c r="B312" s="20">
        <v>3943</v>
      </c>
      <c r="C312" s="21">
        <v>45095</v>
      </c>
      <c r="D312" s="20">
        <v>3291.84</v>
      </c>
      <c r="E312" s="22" t="s">
        <v>10</v>
      </c>
      <c r="F312" s="22" t="s">
        <v>14</v>
      </c>
      <c r="G312" s="22" t="s">
        <v>15</v>
      </c>
    </row>
    <row r="313" ht="15.15" spans="1:7">
      <c r="A313" s="20">
        <v>311</v>
      </c>
      <c r="B313" s="20">
        <v>4249</v>
      </c>
      <c r="C313" s="21">
        <v>44997</v>
      </c>
      <c r="D313" s="20">
        <v>3291.84</v>
      </c>
      <c r="E313" s="22" t="s">
        <v>10</v>
      </c>
      <c r="F313" s="22" t="s">
        <v>16</v>
      </c>
      <c r="G313" s="22" t="s">
        <v>17</v>
      </c>
    </row>
    <row r="314" ht="15.15" spans="1:7">
      <c r="A314" s="20">
        <v>312</v>
      </c>
      <c r="B314" s="20">
        <v>6644</v>
      </c>
      <c r="C314" s="21">
        <v>44942</v>
      </c>
      <c r="D314" s="20">
        <v>3291.84</v>
      </c>
      <c r="E314" s="22" t="s">
        <v>10</v>
      </c>
      <c r="F314" s="22" t="s">
        <v>11</v>
      </c>
      <c r="G314" s="22" t="s">
        <v>20</v>
      </c>
    </row>
    <row r="315" ht="15.15" spans="1:7">
      <c r="A315" s="20">
        <v>313</v>
      </c>
      <c r="B315" s="20">
        <v>1292</v>
      </c>
      <c r="C315" s="21">
        <v>45289</v>
      </c>
      <c r="D315" s="20">
        <v>3291.84</v>
      </c>
      <c r="E315" s="22" t="s">
        <v>10</v>
      </c>
      <c r="F315" s="22" t="s">
        <v>16</v>
      </c>
      <c r="G315" s="22" t="s">
        <v>17</v>
      </c>
    </row>
    <row r="316" ht="15.15" spans="1:7">
      <c r="A316" s="20">
        <v>314</v>
      </c>
      <c r="B316" s="20">
        <v>6036</v>
      </c>
      <c r="C316" s="21">
        <v>45256</v>
      </c>
      <c r="D316" s="20">
        <v>3291.84</v>
      </c>
      <c r="E316" s="22" t="s">
        <v>10</v>
      </c>
      <c r="F316" s="22" t="s">
        <v>11</v>
      </c>
      <c r="G316" s="22" t="s">
        <v>15</v>
      </c>
    </row>
    <row r="317" ht="15.15" spans="1:7">
      <c r="A317" s="20">
        <v>315</v>
      </c>
      <c r="B317" s="20">
        <v>1875</v>
      </c>
      <c r="C317" s="21">
        <v>45151</v>
      </c>
      <c r="D317" s="20">
        <v>3291.84</v>
      </c>
      <c r="E317" s="22" t="s">
        <v>10</v>
      </c>
      <c r="F317" s="22" t="s">
        <v>13</v>
      </c>
      <c r="G317" s="22" t="s">
        <v>12</v>
      </c>
    </row>
    <row r="318" ht="15.15" spans="1:7">
      <c r="A318" s="20">
        <v>316</v>
      </c>
      <c r="B318" s="20">
        <v>2139</v>
      </c>
      <c r="C318" s="21">
        <v>44933</v>
      </c>
      <c r="D318" s="20">
        <v>3291.84</v>
      </c>
      <c r="E318" s="22" t="s">
        <v>10</v>
      </c>
      <c r="F318" s="22" t="s">
        <v>16</v>
      </c>
      <c r="G318" s="22" t="s">
        <v>12</v>
      </c>
    </row>
    <row r="319" ht="15.15" spans="1:7">
      <c r="A319" s="20">
        <v>317</v>
      </c>
      <c r="B319" s="20">
        <v>5999</v>
      </c>
      <c r="C319" s="21">
        <v>45259</v>
      </c>
      <c r="D319" s="20">
        <v>3291.84</v>
      </c>
      <c r="E319" s="22" t="s">
        <v>10</v>
      </c>
      <c r="F319" s="22" t="s">
        <v>11</v>
      </c>
      <c r="G319" s="22" t="s">
        <v>12</v>
      </c>
    </row>
    <row r="320" ht="15.15" spans="1:7">
      <c r="A320" s="20">
        <v>318</v>
      </c>
      <c r="B320" s="20">
        <v>2491</v>
      </c>
      <c r="C320" s="21">
        <v>44953</v>
      </c>
      <c r="D320" s="20">
        <v>3291.84</v>
      </c>
      <c r="E320" s="22" t="s">
        <v>10</v>
      </c>
      <c r="F320" s="22" t="s">
        <v>11</v>
      </c>
      <c r="G320" s="22" t="s">
        <v>17</v>
      </c>
    </row>
    <row r="321" ht="15.15" spans="1:7">
      <c r="A321" s="20">
        <v>319</v>
      </c>
      <c r="B321" s="20">
        <v>7875</v>
      </c>
      <c r="C321" s="21">
        <v>44981</v>
      </c>
      <c r="D321" s="20">
        <v>3291.84</v>
      </c>
      <c r="E321" s="22" t="s">
        <v>10</v>
      </c>
      <c r="F321" s="22" t="s">
        <v>14</v>
      </c>
      <c r="G321" s="22" t="s">
        <v>15</v>
      </c>
    </row>
    <row r="322" ht="15.15" spans="1:7">
      <c r="A322" s="20">
        <v>320</v>
      </c>
      <c r="B322" s="20">
        <v>8250</v>
      </c>
      <c r="C322" s="21">
        <v>45246</v>
      </c>
      <c r="D322" s="20">
        <v>3291.84</v>
      </c>
      <c r="E322" s="22" t="s">
        <v>10</v>
      </c>
      <c r="F322" s="22" t="s">
        <v>13</v>
      </c>
      <c r="G322" s="22" t="s">
        <v>15</v>
      </c>
    </row>
    <row r="323" ht="15.15" spans="1:7">
      <c r="A323" s="20">
        <v>321</v>
      </c>
      <c r="B323" s="20">
        <v>3510</v>
      </c>
      <c r="C323" s="21">
        <v>45271</v>
      </c>
      <c r="D323" s="20">
        <v>3291.84</v>
      </c>
      <c r="E323" s="22" t="s">
        <v>10</v>
      </c>
      <c r="F323" s="22" t="s">
        <v>16</v>
      </c>
      <c r="G323" s="22" t="s">
        <v>20</v>
      </c>
    </row>
    <row r="324" ht="15.15" spans="1:7">
      <c r="A324" s="20">
        <v>322</v>
      </c>
      <c r="B324" s="20">
        <v>1506</v>
      </c>
      <c r="C324" s="21">
        <v>45206</v>
      </c>
      <c r="D324" s="20">
        <v>3291.84</v>
      </c>
      <c r="E324" s="22" t="s">
        <v>10</v>
      </c>
      <c r="F324" s="22" t="s">
        <v>18</v>
      </c>
      <c r="G324" s="22" t="s">
        <v>15</v>
      </c>
    </row>
    <row r="325" ht="15.15" spans="1:7">
      <c r="A325" s="20">
        <v>323</v>
      </c>
      <c r="B325" s="20">
        <v>6608</v>
      </c>
      <c r="C325" s="21">
        <v>45158</v>
      </c>
      <c r="D325" s="20">
        <v>3291.84</v>
      </c>
      <c r="E325" s="22" t="s">
        <v>10</v>
      </c>
      <c r="F325" s="22" t="s">
        <v>18</v>
      </c>
      <c r="G325" s="22" t="s">
        <v>15</v>
      </c>
    </row>
    <row r="326" ht="15.15" spans="1:7">
      <c r="A326" s="20">
        <v>324</v>
      </c>
      <c r="B326" s="20">
        <v>3200</v>
      </c>
      <c r="C326" s="21">
        <v>45226</v>
      </c>
      <c r="D326" s="20">
        <v>3291.84</v>
      </c>
      <c r="E326" s="22" t="s">
        <v>10</v>
      </c>
      <c r="F326" s="22" t="s">
        <v>13</v>
      </c>
      <c r="G326" s="22" t="s">
        <v>15</v>
      </c>
    </row>
    <row r="327" ht="15.15" spans="1:7">
      <c r="A327" s="20">
        <v>325</v>
      </c>
      <c r="B327" s="20">
        <v>597</v>
      </c>
      <c r="C327" s="21">
        <v>45248</v>
      </c>
      <c r="D327" s="20">
        <v>3291.84</v>
      </c>
      <c r="E327" s="22" t="s">
        <v>10</v>
      </c>
      <c r="F327" s="22" t="s">
        <v>18</v>
      </c>
      <c r="G327" s="22" t="s">
        <v>15</v>
      </c>
    </row>
    <row r="328" ht="15.15" spans="1:7">
      <c r="A328" s="20">
        <v>326</v>
      </c>
      <c r="B328" s="20">
        <v>6841</v>
      </c>
      <c r="C328" s="21">
        <v>45005</v>
      </c>
      <c r="D328" s="20">
        <v>3291.84</v>
      </c>
      <c r="E328" s="22" t="s">
        <v>10</v>
      </c>
      <c r="F328" s="22" t="s">
        <v>14</v>
      </c>
      <c r="G328" s="22" t="s">
        <v>15</v>
      </c>
    </row>
    <row r="329" ht="15.15" spans="1:7">
      <c r="A329" s="20">
        <v>327</v>
      </c>
      <c r="B329" s="20">
        <v>53</v>
      </c>
      <c r="C329" s="21">
        <v>45202</v>
      </c>
      <c r="D329" s="20">
        <v>3291.84</v>
      </c>
      <c r="E329" s="22" t="s">
        <v>10</v>
      </c>
      <c r="F329" s="22" t="s">
        <v>18</v>
      </c>
      <c r="G329" s="22" t="s">
        <v>20</v>
      </c>
    </row>
    <row r="330" ht="15.15" spans="1:7">
      <c r="A330" s="20">
        <v>328</v>
      </c>
      <c r="B330" s="20">
        <v>9497</v>
      </c>
      <c r="C330" s="21">
        <v>45182</v>
      </c>
      <c r="D330" s="20">
        <v>3291.84</v>
      </c>
      <c r="E330" s="22" t="s">
        <v>10</v>
      </c>
      <c r="F330" s="22" t="s">
        <v>14</v>
      </c>
      <c r="G330" s="22" t="s">
        <v>20</v>
      </c>
    </row>
    <row r="331" ht="15.15" spans="1:7">
      <c r="A331" s="20">
        <v>329</v>
      </c>
      <c r="B331" s="20">
        <v>3869</v>
      </c>
      <c r="C331" s="21">
        <v>45266</v>
      </c>
      <c r="D331" s="20">
        <v>3291.84</v>
      </c>
      <c r="E331" s="22" t="s">
        <v>10</v>
      </c>
      <c r="F331" s="22" t="s">
        <v>14</v>
      </c>
      <c r="G331" s="22" t="s">
        <v>12</v>
      </c>
    </row>
    <row r="332" ht="15.15" spans="1:7">
      <c r="A332" s="20">
        <v>330</v>
      </c>
      <c r="B332" s="20">
        <v>8114</v>
      </c>
      <c r="C332" s="21">
        <v>45246</v>
      </c>
      <c r="D332" s="20">
        <v>3291.84</v>
      </c>
      <c r="E332" s="22" t="s">
        <v>10</v>
      </c>
      <c r="F332" s="22" t="s">
        <v>16</v>
      </c>
      <c r="G332" s="22" t="s">
        <v>20</v>
      </c>
    </row>
    <row r="333" ht="15.15" spans="1:7">
      <c r="A333" s="20">
        <v>331</v>
      </c>
      <c r="B333" s="20">
        <v>4252</v>
      </c>
      <c r="C333" s="21">
        <v>45024</v>
      </c>
      <c r="D333" s="20">
        <v>3291.84</v>
      </c>
      <c r="E333" s="22" t="s">
        <v>10</v>
      </c>
      <c r="F333" s="22" t="s">
        <v>11</v>
      </c>
      <c r="G333" s="22" t="s">
        <v>12</v>
      </c>
    </row>
    <row r="334" ht="15.15" spans="1:7">
      <c r="A334" s="20">
        <v>332</v>
      </c>
      <c r="B334" s="20">
        <v>994</v>
      </c>
      <c r="C334" s="21">
        <v>45246</v>
      </c>
      <c r="D334" s="20">
        <v>3291.84</v>
      </c>
      <c r="E334" s="22" t="s">
        <v>10</v>
      </c>
      <c r="F334" s="22" t="s">
        <v>18</v>
      </c>
      <c r="G334" s="22" t="s">
        <v>20</v>
      </c>
    </row>
    <row r="335" ht="15.15" spans="1:7">
      <c r="A335" s="20">
        <v>333</v>
      </c>
      <c r="B335" s="20">
        <v>3252</v>
      </c>
      <c r="C335" s="21">
        <v>45111</v>
      </c>
      <c r="D335" s="20">
        <v>3291.84</v>
      </c>
      <c r="E335" s="22" t="s">
        <v>10</v>
      </c>
      <c r="F335" s="22" t="s">
        <v>14</v>
      </c>
      <c r="G335" s="22" t="s">
        <v>17</v>
      </c>
    </row>
    <row r="336" ht="15.15" spans="1:7">
      <c r="A336" s="20">
        <v>334</v>
      </c>
      <c r="B336" s="20">
        <v>5077</v>
      </c>
      <c r="C336" s="21">
        <v>45273</v>
      </c>
      <c r="D336" s="20">
        <v>3291.84</v>
      </c>
      <c r="E336" s="22" t="s">
        <v>10</v>
      </c>
      <c r="F336" s="22" t="s">
        <v>11</v>
      </c>
      <c r="G336" s="22" t="s">
        <v>20</v>
      </c>
    </row>
    <row r="337" ht="15.15" spans="1:7">
      <c r="A337" s="20">
        <v>335</v>
      </c>
      <c r="B337" s="20">
        <v>1850</v>
      </c>
      <c r="C337" s="21">
        <v>45083</v>
      </c>
      <c r="D337" s="20">
        <v>3291.84</v>
      </c>
      <c r="E337" s="22" t="s">
        <v>10</v>
      </c>
      <c r="F337" s="22" t="s">
        <v>11</v>
      </c>
      <c r="G337" s="22" t="s">
        <v>12</v>
      </c>
    </row>
    <row r="338" ht="15.15" spans="1:7">
      <c r="A338" s="20">
        <v>336</v>
      </c>
      <c r="B338" s="20">
        <v>2627</v>
      </c>
      <c r="C338" s="21">
        <v>45223</v>
      </c>
      <c r="D338" s="20">
        <v>3291.84</v>
      </c>
      <c r="E338" s="22" t="s">
        <v>10</v>
      </c>
      <c r="F338" s="22" t="s">
        <v>11</v>
      </c>
      <c r="G338" s="22" t="s">
        <v>17</v>
      </c>
    </row>
    <row r="339" ht="15.15" spans="1:7">
      <c r="A339" s="20">
        <v>337</v>
      </c>
      <c r="B339" s="20">
        <v>883</v>
      </c>
      <c r="C339" s="21">
        <v>45217</v>
      </c>
      <c r="D339" s="20">
        <v>3291.84</v>
      </c>
      <c r="E339" s="22" t="s">
        <v>10</v>
      </c>
      <c r="F339" s="22" t="s">
        <v>18</v>
      </c>
      <c r="G339" s="22" t="s">
        <v>12</v>
      </c>
    </row>
    <row r="340" ht="15.15" spans="1:7">
      <c r="A340" s="20">
        <v>338</v>
      </c>
      <c r="B340" s="20">
        <v>3110</v>
      </c>
      <c r="C340" s="21">
        <v>45201</v>
      </c>
      <c r="D340" s="20">
        <v>3291.84</v>
      </c>
      <c r="E340" s="22" t="s">
        <v>10</v>
      </c>
      <c r="F340" s="22" t="s">
        <v>13</v>
      </c>
      <c r="G340" s="22" t="s">
        <v>20</v>
      </c>
    </row>
    <row r="341" ht="15.15" spans="1:7">
      <c r="A341" s="20">
        <v>339</v>
      </c>
      <c r="B341" s="20">
        <v>6815</v>
      </c>
      <c r="C341" s="21">
        <v>45062</v>
      </c>
      <c r="D341" s="20">
        <v>3291.84</v>
      </c>
      <c r="E341" s="22" t="s">
        <v>10</v>
      </c>
      <c r="F341" s="22" t="s">
        <v>13</v>
      </c>
      <c r="G341" s="22" t="s">
        <v>12</v>
      </c>
    </row>
    <row r="342" ht="15.15" spans="1:7">
      <c r="A342" s="20">
        <v>340</v>
      </c>
      <c r="B342" s="20">
        <v>292</v>
      </c>
      <c r="C342" s="21">
        <v>45002</v>
      </c>
      <c r="D342" s="20">
        <v>3291.84</v>
      </c>
      <c r="E342" s="22" t="s">
        <v>10</v>
      </c>
      <c r="F342" s="22" t="s">
        <v>18</v>
      </c>
      <c r="G342" s="22" t="s">
        <v>15</v>
      </c>
    </row>
    <row r="343" ht="15.15" spans="1:7">
      <c r="A343" s="20">
        <v>341</v>
      </c>
      <c r="B343" s="20">
        <v>6553</v>
      </c>
      <c r="C343" s="21">
        <v>45191</v>
      </c>
      <c r="D343" s="20">
        <v>3291.84</v>
      </c>
      <c r="E343" s="22" t="s">
        <v>10</v>
      </c>
      <c r="F343" s="22" t="s">
        <v>11</v>
      </c>
      <c r="G343" s="22" t="s">
        <v>15</v>
      </c>
    </row>
    <row r="344" ht="15.15" spans="1:7">
      <c r="A344" s="20">
        <v>342</v>
      </c>
      <c r="B344" s="20">
        <v>2475</v>
      </c>
      <c r="C344" s="21">
        <v>45098</v>
      </c>
      <c r="D344" s="20">
        <v>3291.84</v>
      </c>
      <c r="E344" s="22" t="s">
        <v>10</v>
      </c>
      <c r="F344" s="22" t="s">
        <v>16</v>
      </c>
      <c r="G344" s="22" t="s">
        <v>17</v>
      </c>
    </row>
    <row r="345" ht="15.15" spans="1:7">
      <c r="A345" s="20">
        <v>343</v>
      </c>
      <c r="B345" s="20">
        <v>1215</v>
      </c>
      <c r="C345" s="21">
        <v>45124</v>
      </c>
      <c r="D345" s="20">
        <v>3291.84</v>
      </c>
      <c r="E345" s="22" t="s">
        <v>10</v>
      </c>
      <c r="F345" s="22" t="s">
        <v>18</v>
      </c>
      <c r="G345" s="22" t="s">
        <v>20</v>
      </c>
    </row>
    <row r="346" ht="15.15" spans="1:7">
      <c r="A346" s="20">
        <v>344</v>
      </c>
      <c r="B346" s="20">
        <v>7269</v>
      </c>
      <c r="C346" s="21">
        <v>45258</v>
      </c>
      <c r="D346" s="20">
        <v>3291.84</v>
      </c>
      <c r="E346" s="22" t="s">
        <v>10</v>
      </c>
      <c r="F346" s="22" t="s">
        <v>14</v>
      </c>
      <c r="G346" s="22" t="s">
        <v>17</v>
      </c>
    </row>
    <row r="347" ht="15.15" spans="1:7">
      <c r="A347" s="20">
        <v>345</v>
      </c>
      <c r="B347" s="20">
        <v>3542</v>
      </c>
      <c r="C347" s="21">
        <v>45037</v>
      </c>
      <c r="D347" s="20">
        <v>3291.84</v>
      </c>
      <c r="E347" s="22" t="s">
        <v>10</v>
      </c>
      <c r="F347" s="22" t="s">
        <v>14</v>
      </c>
      <c r="G347" s="22" t="s">
        <v>15</v>
      </c>
    </row>
    <row r="348" ht="15.15" spans="1:7">
      <c r="A348" s="20">
        <v>346</v>
      </c>
      <c r="B348" s="20">
        <v>3498</v>
      </c>
      <c r="C348" s="21">
        <v>44962</v>
      </c>
      <c r="D348" s="20">
        <v>3291.84</v>
      </c>
      <c r="E348" s="22" t="s">
        <v>10</v>
      </c>
      <c r="F348" s="22" t="s">
        <v>11</v>
      </c>
      <c r="G348" s="22" t="s">
        <v>20</v>
      </c>
    </row>
    <row r="349" ht="15.15" spans="1:7">
      <c r="A349" s="20">
        <v>347</v>
      </c>
      <c r="B349" s="20">
        <v>5923</v>
      </c>
      <c r="C349" s="21">
        <v>45058</v>
      </c>
      <c r="D349" s="20">
        <v>3291.84</v>
      </c>
      <c r="E349" s="22" t="s">
        <v>10</v>
      </c>
      <c r="F349" s="22" t="s">
        <v>11</v>
      </c>
      <c r="G349" s="22" t="s">
        <v>17</v>
      </c>
    </row>
    <row r="350" ht="15.15" spans="1:7">
      <c r="A350" s="20">
        <v>348</v>
      </c>
      <c r="B350" s="20">
        <v>7973</v>
      </c>
      <c r="C350" s="21">
        <v>44965</v>
      </c>
      <c r="D350" s="20">
        <v>3291.84</v>
      </c>
      <c r="E350" s="22" t="s">
        <v>10</v>
      </c>
      <c r="F350" s="22" t="s">
        <v>16</v>
      </c>
      <c r="G350" s="22" t="s">
        <v>20</v>
      </c>
    </row>
    <row r="351" ht="15.15" spans="1:7">
      <c r="A351" s="20">
        <v>349</v>
      </c>
      <c r="B351" s="20">
        <v>4373</v>
      </c>
      <c r="C351" s="21">
        <v>45243</v>
      </c>
      <c r="D351" s="20">
        <v>3291.84</v>
      </c>
      <c r="E351" s="22" t="s">
        <v>10</v>
      </c>
      <c r="F351" s="22" t="s">
        <v>18</v>
      </c>
      <c r="G351" s="22" t="s">
        <v>15</v>
      </c>
    </row>
    <row r="352" ht="15.15" spans="1:7">
      <c r="A352" s="20">
        <v>350</v>
      </c>
      <c r="B352" s="20">
        <v>2113</v>
      </c>
      <c r="C352" s="21">
        <v>45097</v>
      </c>
      <c r="D352" s="20">
        <v>3291.84</v>
      </c>
      <c r="E352" s="22" t="s">
        <v>10</v>
      </c>
      <c r="F352" s="22" t="s">
        <v>11</v>
      </c>
      <c r="G352" s="22" t="s">
        <v>20</v>
      </c>
    </row>
    <row r="353" ht="15.15" spans="1:7">
      <c r="A353" s="20">
        <v>351</v>
      </c>
      <c r="B353" s="20">
        <v>9158</v>
      </c>
      <c r="C353" s="21">
        <v>44935</v>
      </c>
      <c r="D353" s="20">
        <v>3291.84</v>
      </c>
      <c r="E353" s="22" t="s">
        <v>10</v>
      </c>
      <c r="F353" s="22" t="s">
        <v>16</v>
      </c>
      <c r="G353" s="22" t="s">
        <v>17</v>
      </c>
    </row>
    <row r="354" ht="15.15" spans="1:7">
      <c r="A354" s="20">
        <v>352</v>
      </c>
      <c r="B354" s="20">
        <v>9139</v>
      </c>
      <c r="C354" s="21">
        <v>45091</v>
      </c>
      <c r="D354" s="20">
        <v>3291.84</v>
      </c>
      <c r="E354" s="22" t="s">
        <v>10</v>
      </c>
      <c r="F354" s="22" t="s">
        <v>16</v>
      </c>
      <c r="G354" s="22" t="s">
        <v>15</v>
      </c>
    </row>
    <row r="355" ht="15.15" spans="1:7">
      <c r="A355" s="20">
        <v>353</v>
      </c>
      <c r="B355" s="20">
        <v>1751</v>
      </c>
      <c r="C355" s="21">
        <v>44940</v>
      </c>
      <c r="D355" s="20">
        <v>3291.84</v>
      </c>
      <c r="E355" s="22" t="s">
        <v>10</v>
      </c>
      <c r="F355" s="22" t="s">
        <v>14</v>
      </c>
      <c r="G355" s="22" t="s">
        <v>15</v>
      </c>
    </row>
    <row r="356" ht="15.15" spans="1:7">
      <c r="A356" s="20">
        <v>354</v>
      </c>
      <c r="B356" s="20">
        <v>5591</v>
      </c>
      <c r="C356" s="21">
        <v>45270</v>
      </c>
      <c r="D356" s="20">
        <v>3291.84</v>
      </c>
      <c r="E356" s="22" t="s">
        <v>22</v>
      </c>
      <c r="F356" s="22" t="s">
        <v>16</v>
      </c>
      <c r="G356" s="22" t="s">
        <v>12</v>
      </c>
    </row>
    <row r="357" ht="15.15" spans="1:7">
      <c r="A357" s="20">
        <v>355</v>
      </c>
      <c r="B357" s="20">
        <v>4121</v>
      </c>
      <c r="C357" s="21">
        <v>44987</v>
      </c>
      <c r="D357" s="20">
        <v>3291.84</v>
      </c>
      <c r="E357" s="22" t="s">
        <v>10</v>
      </c>
      <c r="F357" s="22" t="s">
        <v>18</v>
      </c>
      <c r="G357" s="22" t="s">
        <v>17</v>
      </c>
    </row>
    <row r="358" ht="15.15" spans="1:7">
      <c r="A358" s="20">
        <v>356</v>
      </c>
      <c r="B358" s="20">
        <v>3960</v>
      </c>
      <c r="C358" s="21">
        <v>45032</v>
      </c>
      <c r="D358" s="20">
        <v>3291.84</v>
      </c>
      <c r="E358" s="22" t="s">
        <v>10</v>
      </c>
      <c r="F358" s="22" t="s">
        <v>11</v>
      </c>
      <c r="G358" s="22" t="s">
        <v>12</v>
      </c>
    </row>
    <row r="359" ht="15.15" spans="1:7">
      <c r="A359" s="20">
        <v>357</v>
      </c>
      <c r="B359" s="20">
        <v>824</v>
      </c>
      <c r="C359" s="21">
        <v>45070</v>
      </c>
      <c r="D359" s="20">
        <v>3291.84</v>
      </c>
      <c r="E359" s="22" t="s">
        <v>10</v>
      </c>
      <c r="F359" s="22" t="s">
        <v>14</v>
      </c>
      <c r="G359" s="22" t="s">
        <v>20</v>
      </c>
    </row>
    <row r="360" ht="15.15" spans="1:7">
      <c r="A360" s="20">
        <v>358</v>
      </c>
      <c r="B360" s="20">
        <v>3460</v>
      </c>
      <c r="C360" s="21">
        <v>45143</v>
      </c>
      <c r="D360" s="20">
        <v>3291.84</v>
      </c>
      <c r="E360" s="22" t="s">
        <v>10</v>
      </c>
      <c r="F360" s="22" t="s">
        <v>13</v>
      </c>
      <c r="G360" s="22" t="s">
        <v>20</v>
      </c>
    </row>
    <row r="361" ht="15.15" spans="1:7">
      <c r="A361" s="20">
        <v>359</v>
      </c>
      <c r="B361" s="20">
        <v>2395</v>
      </c>
      <c r="C361" s="21">
        <v>45270</v>
      </c>
      <c r="D361" s="20">
        <v>3291.84</v>
      </c>
      <c r="E361" s="22" t="s">
        <v>10</v>
      </c>
      <c r="F361" s="22" t="s">
        <v>16</v>
      </c>
      <c r="G361" s="22" t="s">
        <v>12</v>
      </c>
    </row>
    <row r="362" ht="15.15" spans="1:7">
      <c r="A362" s="20">
        <v>360</v>
      </c>
      <c r="B362" s="20">
        <v>5442</v>
      </c>
      <c r="C362" s="21">
        <v>45241</v>
      </c>
      <c r="D362" s="20">
        <v>3291.84</v>
      </c>
      <c r="E362" s="22" t="s">
        <v>10</v>
      </c>
      <c r="F362" s="22" t="s">
        <v>14</v>
      </c>
      <c r="G362" s="22" t="s">
        <v>20</v>
      </c>
    </row>
    <row r="363" ht="15.15" spans="1:7">
      <c r="A363" s="20">
        <v>361</v>
      </c>
      <c r="B363" s="20">
        <v>3585</v>
      </c>
      <c r="C363" s="21">
        <v>45055</v>
      </c>
      <c r="D363" s="20">
        <v>3291.84</v>
      </c>
      <c r="E363" s="22" t="s">
        <v>10</v>
      </c>
      <c r="F363" s="22" t="s">
        <v>16</v>
      </c>
      <c r="G363" s="22" t="s">
        <v>15</v>
      </c>
    </row>
    <row r="364" ht="15.15" spans="1:7">
      <c r="A364" s="20">
        <v>362</v>
      </c>
      <c r="B364" s="20">
        <v>8493</v>
      </c>
      <c r="C364" s="21">
        <v>45131</v>
      </c>
      <c r="D364" s="20">
        <v>3291.84</v>
      </c>
      <c r="E364" s="22" t="s">
        <v>10</v>
      </c>
      <c r="F364" s="22" t="s">
        <v>13</v>
      </c>
      <c r="G364" s="22" t="s">
        <v>15</v>
      </c>
    </row>
    <row r="365" ht="15.15" spans="1:7">
      <c r="A365" s="20">
        <v>363</v>
      </c>
      <c r="B365" s="20">
        <v>4753</v>
      </c>
      <c r="C365" s="21">
        <v>44974</v>
      </c>
      <c r="D365" s="20">
        <v>3291.84</v>
      </c>
      <c r="E365" s="22" t="s">
        <v>10</v>
      </c>
      <c r="F365" s="22" t="s">
        <v>14</v>
      </c>
      <c r="G365" s="22" t="s">
        <v>15</v>
      </c>
    </row>
    <row r="366" ht="15.15" spans="1:7">
      <c r="A366" s="20">
        <v>364</v>
      </c>
      <c r="B366" s="20">
        <v>3123</v>
      </c>
      <c r="C366" s="21">
        <v>45266</v>
      </c>
      <c r="D366" s="20">
        <v>3291.84</v>
      </c>
      <c r="E366" s="22" t="s">
        <v>10</v>
      </c>
      <c r="F366" s="22" t="s">
        <v>18</v>
      </c>
      <c r="G366" s="22" t="s">
        <v>20</v>
      </c>
    </row>
    <row r="367" ht="15.15" spans="1:7">
      <c r="A367" s="20">
        <v>365</v>
      </c>
      <c r="B367" s="20">
        <v>308</v>
      </c>
      <c r="C367" s="21">
        <v>44947</v>
      </c>
      <c r="D367" s="20">
        <v>3291.84</v>
      </c>
      <c r="E367" s="22" t="s">
        <v>10</v>
      </c>
      <c r="F367" s="22" t="s">
        <v>18</v>
      </c>
      <c r="G367" s="22" t="s">
        <v>17</v>
      </c>
    </row>
    <row r="368" ht="15.15" spans="1:7">
      <c r="A368" s="20">
        <v>366</v>
      </c>
      <c r="B368" s="20">
        <v>619</v>
      </c>
      <c r="C368" s="21">
        <v>45267</v>
      </c>
      <c r="D368" s="20">
        <v>3291.84</v>
      </c>
      <c r="E368" s="22" t="s">
        <v>10</v>
      </c>
      <c r="F368" s="22" t="s">
        <v>16</v>
      </c>
      <c r="G368" s="22" t="s">
        <v>12</v>
      </c>
    </row>
    <row r="369" ht="15.15" spans="1:7">
      <c r="A369" s="20">
        <v>367</v>
      </c>
      <c r="B369" s="20">
        <v>5137</v>
      </c>
      <c r="C369" s="21">
        <v>45027</v>
      </c>
      <c r="D369" s="20">
        <v>3291.84</v>
      </c>
      <c r="E369" s="22" t="s">
        <v>10</v>
      </c>
      <c r="F369" s="22" t="s">
        <v>18</v>
      </c>
      <c r="G369" s="22" t="s">
        <v>15</v>
      </c>
    </row>
    <row r="370" ht="15.15" spans="1:7">
      <c r="A370" s="20">
        <v>368</v>
      </c>
      <c r="B370" s="20">
        <v>975</v>
      </c>
      <c r="C370" s="21">
        <v>45222</v>
      </c>
      <c r="D370" s="20">
        <v>3291.84</v>
      </c>
      <c r="E370" s="22" t="s">
        <v>10</v>
      </c>
      <c r="F370" s="22" t="s">
        <v>14</v>
      </c>
      <c r="G370" s="22" t="s">
        <v>15</v>
      </c>
    </row>
    <row r="371" ht="15.15" spans="1:7">
      <c r="A371" s="20">
        <v>369</v>
      </c>
      <c r="B371" s="20">
        <v>8476</v>
      </c>
      <c r="C371" s="21">
        <v>45284</v>
      </c>
      <c r="D371" s="20">
        <v>3291.84</v>
      </c>
      <c r="E371" s="22" t="s">
        <v>10</v>
      </c>
      <c r="F371" s="22" t="s">
        <v>18</v>
      </c>
      <c r="G371" s="22" t="s">
        <v>12</v>
      </c>
    </row>
    <row r="372" ht="15.15" spans="1:7">
      <c r="A372" s="20">
        <v>370</v>
      </c>
      <c r="B372" s="20">
        <v>7356</v>
      </c>
      <c r="C372" s="21">
        <v>45274</v>
      </c>
      <c r="D372" s="20">
        <v>3291.84</v>
      </c>
      <c r="E372" s="22" t="s">
        <v>10</v>
      </c>
      <c r="F372" s="22" t="s">
        <v>13</v>
      </c>
      <c r="G372" s="22" t="s">
        <v>20</v>
      </c>
    </row>
    <row r="373" ht="15.15" spans="1:7">
      <c r="A373" s="20">
        <v>371</v>
      </c>
      <c r="B373" s="20">
        <v>6014</v>
      </c>
      <c r="C373" s="21">
        <v>45084</v>
      </c>
      <c r="D373" s="20">
        <v>3291.84</v>
      </c>
      <c r="E373" s="22" t="s">
        <v>21</v>
      </c>
      <c r="F373" s="22" t="s">
        <v>13</v>
      </c>
      <c r="G373" s="22" t="s">
        <v>20</v>
      </c>
    </row>
    <row r="374" ht="15.15" spans="1:7">
      <c r="A374" s="20">
        <v>372</v>
      </c>
      <c r="B374" s="20">
        <v>2437</v>
      </c>
      <c r="C374" s="21">
        <v>45236</v>
      </c>
      <c r="D374" s="20">
        <v>3291.84</v>
      </c>
      <c r="E374" s="22" t="s">
        <v>22</v>
      </c>
      <c r="F374" s="22" t="s">
        <v>14</v>
      </c>
      <c r="G374" s="22" t="s">
        <v>12</v>
      </c>
    </row>
    <row r="375" ht="15.15" spans="1:7">
      <c r="A375" s="20">
        <v>373</v>
      </c>
      <c r="B375" s="20">
        <v>2004</v>
      </c>
      <c r="C375" s="21">
        <v>44932</v>
      </c>
      <c r="D375" s="20">
        <v>3291.84</v>
      </c>
      <c r="E375" s="22" t="s">
        <v>10</v>
      </c>
      <c r="F375" s="22" t="s">
        <v>16</v>
      </c>
      <c r="G375" s="22" t="s">
        <v>17</v>
      </c>
    </row>
    <row r="376" ht="15.15" spans="1:7">
      <c r="A376" s="20">
        <v>374</v>
      </c>
      <c r="B376" s="20">
        <v>7197</v>
      </c>
      <c r="C376" s="21">
        <v>45246</v>
      </c>
      <c r="D376" s="20">
        <v>3291.84</v>
      </c>
      <c r="E376" s="22" t="s">
        <v>10</v>
      </c>
      <c r="F376" s="22" t="s">
        <v>16</v>
      </c>
      <c r="G376" s="22" t="s">
        <v>17</v>
      </c>
    </row>
    <row r="377" ht="15.15" spans="1:7">
      <c r="A377" s="20">
        <v>375</v>
      </c>
      <c r="B377" s="20">
        <v>1396</v>
      </c>
      <c r="C377" s="21">
        <v>45059</v>
      </c>
      <c r="D377" s="20">
        <v>3291.84</v>
      </c>
      <c r="E377" s="22" t="s">
        <v>10</v>
      </c>
      <c r="F377" s="22" t="s">
        <v>16</v>
      </c>
      <c r="G377" s="22" t="s">
        <v>15</v>
      </c>
    </row>
    <row r="378" ht="15.15" spans="1:7">
      <c r="A378" s="20">
        <v>376</v>
      </c>
      <c r="B378" s="20">
        <v>2889</v>
      </c>
      <c r="C378" s="21">
        <v>44928</v>
      </c>
      <c r="D378" s="20">
        <v>3291.84</v>
      </c>
      <c r="E378" s="22" t="s">
        <v>10</v>
      </c>
      <c r="F378" s="22" t="s">
        <v>13</v>
      </c>
      <c r="G378" s="22" t="s">
        <v>17</v>
      </c>
    </row>
    <row r="379" ht="15.15" spans="1:7">
      <c r="A379" s="20">
        <v>377</v>
      </c>
      <c r="B379" s="20">
        <v>2132</v>
      </c>
      <c r="C379" s="21">
        <v>45233</v>
      </c>
      <c r="D379" s="20">
        <v>3291.84</v>
      </c>
      <c r="E379" s="22" t="s">
        <v>10</v>
      </c>
      <c r="F379" s="22" t="s">
        <v>16</v>
      </c>
      <c r="G379" s="22" t="s">
        <v>12</v>
      </c>
    </row>
    <row r="380" ht="15.15" spans="1:7">
      <c r="A380" s="20">
        <v>378</v>
      </c>
      <c r="B380" s="20">
        <v>2584</v>
      </c>
      <c r="C380" s="21">
        <v>44994</v>
      </c>
      <c r="D380" s="20">
        <v>3291.84</v>
      </c>
      <c r="E380" s="22" t="s">
        <v>10</v>
      </c>
      <c r="F380" s="22" t="s">
        <v>11</v>
      </c>
      <c r="G380" s="22" t="s">
        <v>15</v>
      </c>
    </row>
    <row r="381" ht="15.15" spans="1:7">
      <c r="A381" s="20">
        <v>379</v>
      </c>
      <c r="B381" s="20">
        <v>8114</v>
      </c>
      <c r="C381" s="21">
        <v>44991</v>
      </c>
      <c r="D381" s="20">
        <v>3291.84</v>
      </c>
      <c r="E381" s="22" t="s">
        <v>10</v>
      </c>
      <c r="F381" s="22" t="s">
        <v>16</v>
      </c>
      <c r="G381" s="22" t="s">
        <v>15</v>
      </c>
    </row>
    <row r="382" ht="15.15" spans="1:7">
      <c r="A382" s="20">
        <v>380</v>
      </c>
      <c r="B382" s="20">
        <v>3944</v>
      </c>
      <c r="C382" s="21">
        <v>44974</v>
      </c>
      <c r="D382" s="20">
        <v>3291.84</v>
      </c>
      <c r="E382" s="22" t="s">
        <v>10</v>
      </c>
      <c r="F382" s="22" t="s">
        <v>13</v>
      </c>
      <c r="G382" s="22" t="s">
        <v>20</v>
      </c>
    </row>
    <row r="383" ht="15.15" spans="1:7">
      <c r="A383" s="20">
        <v>381</v>
      </c>
      <c r="B383" s="20">
        <v>150</v>
      </c>
      <c r="C383" s="21">
        <v>45228</v>
      </c>
      <c r="D383" s="20">
        <v>3291.84</v>
      </c>
      <c r="E383" s="22" t="s">
        <v>10</v>
      </c>
      <c r="F383" s="22" t="s">
        <v>11</v>
      </c>
      <c r="G383" s="22" t="s">
        <v>15</v>
      </c>
    </row>
    <row r="384" ht="15.15" spans="1:7">
      <c r="A384" s="20">
        <v>382</v>
      </c>
      <c r="B384" s="20">
        <v>3336</v>
      </c>
      <c r="C384" s="21">
        <v>45085</v>
      </c>
      <c r="D384" s="20">
        <v>3291.84</v>
      </c>
      <c r="E384" s="22" t="s">
        <v>10</v>
      </c>
      <c r="F384" s="22" t="s">
        <v>18</v>
      </c>
      <c r="G384" s="22" t="s">
        <v>15</v>
      </c>
    </row>
    <row r="385" ht="15.15" spans="1:7">
      <c r="A385" s="20">
        <v>383</v>
      </c>
      <c r="B385" s="20">
        <v>7521</v>
      </c>
      <c r="C385" s="21">
        <v>45115</v>
      </c>
      <c r="D385" s="20">
        <v>3291.84</v>
      </c>
      <c r="E385" s="22" t="s">
        <v>10</v>
      </c>
      <c r="F385" s="22" t="s">
        <v>13</v>
      </c>
      <c r="G385" s="22" t="s">
        <v>15</v>
      </c>
    </row>
    <row r="386" ht="15.15" spans="1:7">
      <c r="A386" s="20">
        <v>384</v>
      </c>
      <c r="B386" s="20">
        <v>9169</v>
      </c>
      <c r="C386" s="21">
        <v>45190</v>
      </c>
      <c r="D386" s="20">
        <v>3291.84</v>
      </c>
      <c r="E386" s="22" t="s">
        <v>10</v>
      </c>
      <c r="F386" s="22" t="s">
        <v>13</v>
      </c>
      <c r="G386" s="22" t="s">
        <v>17</v>
      </c>
    </row>
    <row r="387" ht="15.15" spans="1:7">
      <c r="A387" s="20">
        <v>385</v>
      </c>
      <c r="B387" s="20">
        <v>5716</v>
      </c>
      <c r="C387" s="21">
        <v>45126</v>
      </c>
      <c r="D387" s="20">
        <v>3291.84</v>
      </c>
      <c r="E387" s="22" t="s">
        <v>10</v>
      </c>
      <c r="F387" s="22" t="s">
        <v>11</v>
      </c>
      <c r="G387" s="22" t="s">
        <v>15</v>
      </c>
    </row>
    <row r="388" ht="15.15" spans="1:7">
      <c r="A388" s="20">
        <v>386</v>
      </c>
      <c r="B388" s="20">
        <v>1136</v>
      </c>
      <c r="C388" s="21">
        <v>45279</v>
      </c>
      <c r="D388" s="20">
        <v>3291.84</v>
      </c>
      <c r="E388" s="22" t="s">
        <v>10</v>
      </c>
      <c r="F388" s="22" t="s">
        <v>14</v>
      </c>
      <c r="G388" s="22" t="s">
        <v>17</v>
      </c>
    </row>
    <row r="389" ht="15.15" spans="1:7">
      <c r="A389" s="20">
        <v>387</v>
      </c>
      <c r="B389" s="20">
        <v>2892</v>
      </c>
      <c r="C389" s="21">
        <v>44948</v>
      </c>
      <c r="D389" s="20">
        <v>3291.84</v>
      </c>
      <c r="E389" s="22" t="s">
        <v>10</v>
      </c>
      <c r="F389" s="22" t="s">
        <v>14</v>
      </c>
      <c r="G389" s="22" t="s">
        <v>20</v>
      </c>
    </row>
    <row r="390" ht="15.15" spans="1:7">
      <c r="A390" s="20">
        <v>388</v>
      </c>
      <c r="B390" s="20">
        <v>918</v>
      </c>
      <c r="C390" s="21">
        <v>45009</v>
      </c>
      <c r="D390" s="20">
        <v>3291.84</v>
      </c>
      <c r="E390" s="22" t="s">
        <v>10</v>
      </c>
      <c r="F390" s="22" t="s">
        <v>18</v>
      </c>
      <c r="G390" s="22" t="s">
        <v>17</v>
      </c>
    </row>
    <row r="391" ht="15.15" spans="1:7">
      <c r="A391" s="20">
        <v>389</v>
      </c>
      <c r="B391" s="20">
        <v>1069</v>
      </c>
      <c r="C391" s="21">
        <v>45237</v>
      </c>
      <c r="D391" s="20">
        <v>3291.84</v>
      </c>
      <c r="E391" s="22" t="s">
        <v>10</v>
      </c>
      <c r="F391" s="22" t="s">
        <v>14</v>
      </c>
      <c r="G391" s="22" t="s">
        <v>20</v>
      </c>
    </row>
    <row r="392" ht="15.15" spans="1:7">
      <c r="A392" s="20">
        <v>390</v>
      </c>
      <c r="B392" s="20">
        <v>1636</v>
      </c>
      <c r="C392" s="21">
        <v>45226</v>
      </c>
      <c r="D392" s="20">
        <v>3291.84</v>
      </c>
      <c r="E392" s="22" t="s">
        <v>10</v>
      </c>
      <c r="F392" s="22" t="s">
        <v>14</v>
      </c>
      <c r="G392" s="22" t="s">
        <v>17</v>
      </c>
    </row>
    <row r="393" ht="15.15" spans="1:7">
      <c r="A393" s="20">
        <v>391</v>
      </c>
      <c r="B393" s="20">
        <v>5489</v>
      </c>
      <c r="C393" s="21">
        <v>45094</v>
      </c>
      <c r="D393" s="20">
        <v>3291.84</v>
      </c>
      <c r="E393" s="22" t="s">
        <v>10</v>
      </c>
      <c r="F393" s="22" t="s">
        <v>13</v>
      </c>
      <c r="G393" s="22" t="s">
        <v>15</v>
      </c>
    </row>
    <row r="394" ht="15.15" spans="1:7">
      <c r="A394" s="20">
        <v>392</v>
      </c>
      <c r="B394" s="20">
        <v>8101</v>
      </c>
      <c r="C394" s="21">
        <v>45003</v>
      </c>
      <c r="D394" s="20">
        <v>3291.84</v>
      </c>
      <c r="E394" s="22" t="s">
        <v>10</v>
      </c>
      <c r="F394" s="22" t="s">
        <v>13</v>
      </c>
      <c r="G394" s="22" t="s">
        <v>17</v>
      </c>
    </row>
    <row r="395" ht="15.15" spans="1:7">
      <c r="A395" s="20">
        <v>393</v>
      </c>
      <c r="B395" s="20">
        <v>7658</v>
      </c>
      <c r="C395" s="21">
        <v>45266</v>
      </c>
      <c r="D395" s="20">
        <v>3291.84</v>
      </c>
      <c r="E395" s="22" t="s">
        <v>10</v>
      </c>
      <c r="F395" s="22" t="s">
        <v>16</v>
      </c>
      <c r="G395" s="22" t="s">
        <v>20</v>
      </c>
    </row>
    <row r="396" ht="15.15" spans="1:7">
      <c r="A396" s="20">
        <v>394</v>
      </c>
      <c r="B396" s="20">
        <v>8889</v>
      </c>
      <c r="C396" s="21">
        <v>45103</v>
      </c>
      <c r="D396" s="20">
        <v>3291.84</v>
      </c>
      <c r="E396" s="22" t="s">
        <v>10</v>
      </c>
      <c r="F396" s="22" t="s">
        <v>13</v>
      </c>
      <c r="G396" s="22" t="s">
        <v>17</v>
      </c>
    </row>
    <row r="397" ht="15.15" spans="1:7">
      <c r="A397" s="20">
        <v>395</v>
      </c>
      <c r="B397" s="20">
        <v>5356</v>
      </c>
      <c r="C397" s="21">
        <v>45218</v>
      </c>
      <c r="D397" s="20">
        <v>3291.84</v>
      </c>
      <c r="E397" s="22" t="s">
        <v>10</v>
      </c>
      <c r="F397" s="22" t="s">
        <v>18</v>
      </c>
      <c r="G397" s="22" t="s">
        <v>17</v>
      </c>
    </row>
    <row r="398" ht="15.15" spans="1:7">
      <c r="A398" s="20">
        <v>396</v>
      </c>
      <c r="B398" s="20">
        <v>1277</v>
      </c>
      <c r="C398" s="21">
        <v>45241</v>
      </c>
      <c r="D398" s="20">
        <v>3291.84</v>
      </c>
      <c r="E398" s="22" t="s">
        <v>10</v>
      </c>
      <c r="F398" s="22" t="s">
        <v>18</v>
      </c>
      <c r="G398" s="22" t="s">
        <v>17</v>
      </c>
    </row>
    <row r="399" ht="15.15" spans="1:7">
      <c r="A399" s="20">
        <v>397</v>
      </c>
      <c r="B399" s="20">
        <v>7183</v>
      </c>
      <c r="C399" s="21">
        <v>44945</v>
      </c>
      <c r="D399" s="20">
        <v>3291.84</v>
      </c>
      <c r="E399" s="22" t="s">
        <v>10</v>
      </c>
      <c r="F399" s="22" t="s">
        <v>14</v>
      </c>
      <c r="G399" s="22" t="s">
        <v>12</v>
      </c>
    </row>
    <row r="400" ht="15.15" spans="1:7">
      <c r="A400" s="20">
        <v>398</v>
      </c>
      <c r="B400" s="20">
        <v>344</v>
      </c>
      <c r="C400" s="21">
        <v>45003</v>
      </c>
      <c r="D400" s="20">
        <v>3291.84</v>
      </c>
      <c r="E400" s="22" t="s">
        <v>21</v>
      </c>
      <c r="F400" s="22" t="s">
        <v>19</v>
      </c>
      <c r="G400" s="22" t="s">
        <v>20</v>
      </c>
    </row>
    <row r="401" ht="15.15" spans="1:7">
      <c r="A401" s="20">
        <v>399</v>
      </c>
      <c r="B401" s="20">
        <v>4508</v>
      </c>
      <c r="C401" s="21">
        <v>44975</v>
      </c>
      <c r="D401" s="20">
        <v>3291.84</v>
      </c>
      <c r="E401" s="22" t="s">
        <v>10</v>
      </c>
      <c r="F401" s="22" t="s">
        <v>13</v>
      </c>
      <c r="G401" s="22" t="s">
        <v>12</v>
      </c>
    </row>
    <row r="402" ht="15.15" spans="1:7">
      <c r="A402" s="20">
        <v>400</v>
      </c>
      <c r="B402" s="20">
        <v>6946</v>
      </c>
      <c r="C402" s="21">
        <v>45140</v>
      </c>
      <c r="D402" s="20">
        <v>3291.84</v>
      </c>
      <c r="E402" s="22" t="s">
        <v>10</v>
      </c>
      <c r="F402" s="22" t="s">
        <v>18</v>
      </c>
      <c r="G402" s="22" t="s">
        <v>17</v>
      </c>
    </row>
    <row r="403" ht="15.15" spans="1:7">
      <c r="A403" s="20">
        <v>401</v>
      </c>
      <c r="B403" s="20">
        <v>1730</v>
      </c>
      <c r="C403" s="21">
        <v>45212</v>
      </c>
      <c r="D403" s="20">
        <v>3291.84</v>
      </c>
      <c r="E403" s="22" t="s">
        <v>10</v>
      </c>
      <c r="F403" s="22" t="s">
        <v>13</v>
      </c>
      <c r="G403" s="22" t="s">
        <v>12</v>
      </c>
    </row>
    <row r="404" ht="15.15" spans="1:7">
      <c r="A404" s="20">
        <v>402</v>
      </c>
      <c r="B404" s="20">
        <v>266</v>
      </c>
      <c r="C404" s="21">
        <v>45181</v>
      </c>
      <c r="D404" s="20">
        <v>3291.84</v>
      </c>
      <c r="E404" s="22" t="s">
        <v>10</v>
      </c>
      <c r="F404" s="22" t="s">
        <v>11</v>
      </c>
      <c r="G404" s="22" t="s">
        <v>12</v>
      </c>
    </row>
    <row r="405" ht="15.15" spans="1:7">
      <c r="A405" s="20">
        <v>403</v>
      </c>
      <c r="B405" s="20">
        <v>7472</v>
      </c>
      <c r="C405" s="21">
        <v>45259</v>
      </c>
      <c r="D405" s="20">
        <v>3291.84</v>
      </c>
      <c r="E405" s="22" t="s">
        <v>10</v>
      </c>
      <c r="F405" s="22" t="s">
        <v>16</v>
      </c>
      <c r="G405" s="22" t="s">
        <v>12</v>
      </c>
    </row>
    <row r="406" ht="15.15" spans="1:7">
      <c r="A406" s="20">
        <v>404</v>
      </c>
      <c r="B406" s="20">
        <v>4834</v>
      </c>
      <c r="C406" s="21">
        <v>45020</v>
      </c>
      <c r="D406" s="20">
        <v>3291.84</v>
      </c>
      <c r="E406" s="22" t="s">
        <v>10</v>
      </c>
      <c r="F406" s="22" t="s">
        <v>16</v>
      </c>
      <c r="G406" s="22" t="s">
        <v>20</v>
      </c>
    </row>
    <row r="407" ht="15.15" spans="1:7">
      <c r="A407" s="20">
        <v>405</v>
      </c>
      <c r="B407" s="20">
        <v>5691</v>
      </c>
      <c r="C407" s="21">
        <v>45113</v>
      </c>
      <c r="D407" s="20">
        <v>3291.84</v>
      </c>
      <c r="E407" s="22" t="s">
        <v>10</v>
      </c>
      <c r="F407" s="22" t="s">
        <v>13</v>
      </c>
      <c r="G407" s="22" t="s">
        <v>17</v>
      </c>
    </row>
    <row r="408" ht="15.15" spans="1:7">
      <c r="A408" s="20">
        <v>406</v>
      </c>
      <c r="B408" s="20">
        <v>8017</v>
      </c>
      <c r="C408" s="21">
        <v>45232</v>
      </c>
      <c r="D408" s="20">
        <v>3291.84</v>
      </c>
      <c r="E408" s="22" t="s">
        <v>10</v>
      </c>
      <c r="F408" s="22" t="s">
        <v>19</v>
      </c>
      <c r="G408" s="22" t="s">
        <v>12</v>
      </c>
    </row>
    <row r="409" ht="15.15" spans="1:7">
      <c r="A409" s="20">
        <v>407</v>
      </c>
      <c r="B409" s="20">
        <v>6965</v>
      </c>
      <c r="C409" s="21">
        <v>45242</v>
      </c>
      <c r="D409" s="20">
        <v>3291.84</v>
      </c>
      <c r="E409" s="22" t="s">
        <v>21</v>
      </c>
      <c r="F409" s="22" t="s">
        <v>14</v>
      </c>
      <c r="G409" s="22" t="s">
        <v>15</v>
      </c>
    </row>
    <row r="410" ht="15.15" spans="1:7">
      <c r="A410" s="20">
        <v>408</v>
      </c>
      <c r="B410" s="20">
        <v>1627</v>
      </c>
      <c r="C410" s="21">
        <v>45262</v>
      </c>
      <c r="D410" s="20">
        <v>3291.84</v>
      </c>
      <c r="E410" s="22" t="s">
        <v>10</v>
      </c>
      <c r="F410" s="22" t="s">
        <v>11</v>
      </c>
      <c r="G410" s="22" t="s">
        <v>15</v>
      </c>
    </row>
    <row r="411" ht="15.15" spans="1:7">
      <c r="A411" s="20">
        <v>409</v>
      </c>
      <c r="B411" s="20">
        <v>8231</v>
      </c>
      <c r="C411" s="21">
        <v>45138</v>
      </c>
      <c r="D411" s="20">
        <v>3291.84</v>
      </c>
      <c r="E411" s="22" t="s">
        <v>10</v>
      </c>
      <c r="F411" s="22" t="s">
        <v>16</v>
      </c>
      <c r="G411" s="22" t="s">
        <v>12</v>
      </c>
    </row>
    <row r="412" ht="15.15" spans="1:7">
      <c r="A412" s="20">
        <v>410</v>
      </c>
      <c r="B412" s="20">
        <v>9546</v>
      </c>
      <c r="C412" s="21">
        <v>45188</v>
      </c>
      <c r="D412" s="20">
        <v>3291.84</v>
      </c>
      <c r="E412" s="22" t="s">
        <v>10</v>
      </c>
      <c r="F412" s="22" t="s">
        <v>11</v>
      </c>
      <c r="G412" s="22" t="s">
        <v>12</v>
      </c>
    </row>
    <row r="413" ht="15.15" spans="1:7">
      <c r="A413" s="20">
        <v>411</v>
      </c>
      <c r="B413" s="20">
        <v>8963</v>
      </c>
      <c r="C413" s="21">
        <v>44957</v>
      </c>
      <c r="D413" s="20">
        <v>3291.84</v>
      </c>
      <c r="E413" s="22" t="s">
        <v>10</v>
      </c>
      <c r="F413" s="22" t="s">
        <v>18</v>
      </c>
      <c r="G413" s="22" t="s">
        <v>20</v>
      </c>
    </row>
    <row r="414" ht="15.15" spans="1:7">
      <c r="A414" s="20">
        <v>412</v>
      </c>
      <c r="B414" s="20">
        <v>2184</v>
      </c>
      <c r="C414" s="21">
        <v>45164</v>
      </c>
      <c r="D414" s="20">
        <v>3291.84</v>
      </c>
      <c r="E414" s="22" t="s">
        <v>10</v>
      </c>
      <c r="F414" s="22" t="s">
        <v>11</v>
      </c>
      <c r="G414" s="22" t="s">
        <v>15</v>
      </c>
    </row>
    <row r="415" ht="15.15" spans="1:7">
      <c r="A415" s="20">
        <v>413</v>
      </c>
      <c r="B415" s="20">
        <v>1252</v>
      </c>
      <c r="C415" s="21">
        <v>45256</v>
      </c>
      <c r="D415" s="20">
        <v>3291.84</v>
      </c>
      <c r="E415" s="22" t="s">
        <v>10</v>
      </c>
      <c r="F415" s="22" t="s">
        <v>18</v>
      </c>
      <c r="G415" s="22" t="s">
        <v>12</v>
      </c>
    </row>
    <row r="416" ht="15.15" spans="1:7">
      <c r="A416" s="20">
        <v>414</v>
      </c>
      <c r="B416" s="20">
        <v>3282</v>
      </c>
      <c r="C416" s="21">
        <v>45221</v>
      </c>
      <c r="D416" s="20">
        <v>3291.84</v>
      </c>
      <c r="E416" s="22" t="s">
        <v>10</v>
      </c>
      <c r="F416" s="22" t="s">
        <v>14</v>
      </c>
      <c r="G416" s="22" t="s">
        <v>17</v>
      </c>
    </row>
    <row r="417" ht="15.15" spans="1:7">
      <c r="A417" s="20">
        <v>415</v>
      </c>
      <c r="B417" s="20">
        <v>7148</v>
      </c>
      <c r="C417" s="21">
        <v>45160</v>
      </c>
      <c r="D417" s="20">
        <v>3291.84</v>
      </c>
      <c r="E417" s="22" t="s">
        <v>10</v>
      </c>
      <c r="F417" s="22" t="s">
        <v>18</v>
      </c>
      <c r="G417" s="22" t="s">
        <v>17</v>
      </c>
    </row>
    <row r="418" ht="15.15" spans="1:7">
      <c r="A418" s="20">
        <v>416</v>
      </c>
      <c r="B418" s="20">
        <v>6710</v>
      </c>
      <c r="C418" s="21">
        <v>44996</v>
      </c>
      <c r="D418" s="20">
        <v>3291.84</v>
      </c>
      <c r="E418" s="22" t="s">
        <v>10</v>
      </c>
      <c r="F418" s="22" t="s">
        <v>18</v>
      </c>
      <c r="G418" s="22" t="s">
        <v>20</v>
      </c>
    </row>
    <row r="419" ht="15.15" spans="1:7">
      <c r="A419" s="20">
        <v>417</v>
      </c>
      <c r="B419" s="20">
        <v>6325</v>
      </c>
      <c r="C419" s="21">
        <v>45274</v>
      </c>
      <c r="D419" s="20">
        <v>3291.84</v>
      </c>
      <c r="E419" s="22" t="s">
        <v>10</v>
      </c>
      <c r="F419" s="22" t="s">
        <v>14</v>
      </c>
      <c r="G419" s="22" t="s">
        <v>12</v>
      </c>
    </row>
    <row r="420" ht="15.15" spans="1:7">
      <c r="A420" s="20">
        <v>418</v>
      </c>
      <c r="B420" s="20">
        <v>4288</v>
      </c>
      <c r="C420" s="21">
        <v>45203</v>
      </c>
      <c r="D420" s="20">
        <v>3291.84</v>
      </c>
      <c r="E420" s="22" t="s">
        <v>10</v>
      </c>
      <c r="F420" s="22" t="s">
        <v>13</v>
      </c>
      <c r="G420" s="22" t="s">
        <v>17</v>
      </c>
    </row>
    <row r="421" ht="15.15" spans="1:7">
      <c r="A421" s="20">
        <v>419</v>
      </c>
      <c r="B421" s="20">
        <v>4312</v>
      </c>
      <c r="C421" s="21">
        <v>45113</v>
      </c>
      <c r="D421" s="20">
        <v>3291.84</v>
      </c>
      <c r="E421" s="22" t="s">
        <v>10</v>
      </c>
      <c r="F421" s="22" t="s">
        <v>16</v>
      </c>
      <c r="G421" s="22" t="s">
        <v>20</v>
      </c>
    </row>
    <row r="422" ht="15.15" spans="1:7">
      <c r="A422" s="20">
        <v>420</v>
      </c>
      <c r="B422" s="20">
        <v>2837</v>
      </c>
      <c r="C422" s="21">
        <v>45225</v>
      </c>
      <c r="D422" s="20">
        <v>3291.84</v>
      </c>
      <c r="E422" s="22" t="s">
        <v>10</v>
      </c>
      <c r="F422" s="22" t="s">
        <v>16</v>
      </c>
      <c r="G422" s="22" t="s">
        <v>12</v>
      </c>
    </row>
    <row r="423" ht="15.15" spans="1:7">
      <c r="A423" s="20">
        <v>421</v>
      </c>
      <c r="B423" s="20">
        <v>1571</v>
      </c>
      <c r="C423" s="21">
        <v>45202</v>
      </c>
      <c r="D423" s="20">
        <v>3291.84</v>
      </c>
      <c r="E423" s="22" t="s">
        <v>10</v>
      </c>
      <c r="F423" s="22" t="s">
        <v>16</v>
      </c>
      <c r="G423" s="22" t="s">
        <v>15</v>
      </c>
    </row>
    <row r="424" ht="15.15" spans="1:7">
      <c r="A424" s="20">
        <v>422</v>
      </c>
      <c r="B424" s="20">
        <v>8781</v>
      </c>
      <c r="C424" s="21">
        <v>45137</v>
      </c>
      <c r="D424" s="20">
        <v>3291.84</v>
      </c>
      <c r="E424" s="22" t="s">
        <v>10</v>
      </c>
      <c r="F424" s="22" t="s">
        <v>13</v>
      </c>
      <c r="G424" s="22" t="s">
        <v>12</v>
      </c>
    </row>
    <row r="425" ht="15.15" spans="1:7">
      <c r="A425" s="20">
        <v>423</v>
      </c>
      <c r="B425" s="20">
        <v>3602</v>
      </c>
      <c r="C425" s="21">
        <v>44958</v>
      </c>
      <c r="D425" s="20">
        <v>3291.84</v>
      </c>
      <c r="E425" s="22" t="s">
        <v>10</v>
      </c>
      <c r="F425" s="22" t="s">
        <v>14</v>
      </c>
      <c r="G425" s="22" t="s">
        <v>12</v>
      </c>
    </row>
    <row r="426" ht="15.15" spans="1:7">
      <c r="A426" s="20">
        <v>424</v>
      </c>
      <c r="B426" s="20">
        <v>9139</v>
      </c>
      <c r="C426" s="21">
        <v>44981</v>
      </c>
      <c r="D426" s="20">
        <v>3291.84</v>
      </c>
      <c r="E426" s="22" t="s">
        <v>10</v>
      </c>
      <c r="F426" s="22" t="s">
        <v>16</v>
      </c>
      <c r="G426" s="22" t="s">
        <v>12</v>
      </c>
    </row>
    <row r="427" ht="15.15" spans="1:7">
      <c r="A427" s="20">
        <v>425</v>
      </c>
      <c r="B427" s="20">
        <v>3250</v>
      </c>
      <c r="C427" s="21">
        <v>45241</v>
      </c>
      <c r="D427" s="20">
        <v>3291.84</v>
      </c>
      <c r="E427" s="22" t="s">
        <v>10</v>
      </c>
      <c r="F427" s="22" t="s">
        <v>16</v>
      </c>
      <c r="G427" s="22" t="s">
        <v>20</v>
      </c>
    </row>
    <row r="428" ht="15.15" spans="1:7">
      <c r="A428" s="20">
        <v>426</v>
      </c>
      <c r="B428" s="20">
        <v>9029</v>
      </c>
      <c r="C428" s="21">
        <v>45037</v>
      </c>
      <c r="D428" s="20">
        <v>3291.84</v>
      </c>
      <c r="E428" s="22" t="s">
        <v>10</v>
      </c>
      <c r="F428" s="22" t="s">
        <v>11</v>
      </c>
      <c r="G428" s="22" t="s">
        <v>17</v>
      </c>
    </row>
    <row r="429" ht="15.15" spans="1:7">
      <c r="A429" s="20">
        <v>427</v>
      </c>
      <c r="B429" s="20">
        <v>5677</v>
      </c>
      <c r="C429" s="21">
        <v>45219</v>
      </c>
      <c r="D429" s="20">
        <v>3291.84</v>
      </c>
      <c r="E429" s="22" t="s">
        <v>10</v>
      </c>
      <c r="F429" s="22" t="s">
        <v>18</v>
      </c>
      <c r="G429" s="22" t="s">
        <v>17</v>
      </c>
    </row>
    <row r="430" ht="15.15" spans="1:7">
      <c r="A430" s="20">
        <v>428</v>
      </c>
      <c r="B430" s="20">
        <v>1457</v>
      </c>
      <c r="C430" s="21">
        <v>45151</v>
      </c>
      <c r="D430" s="20">
        <v>3291.84</v>
      </c>
      <c r="E430" s="22" t="s">
        <v>10</v>
      </c>
      <c r="F430" s="22" t="s">
        <v>11</v>
      </c>
      <c r="G430" s="22" t="s">
        <v>20</v>
      </c>
    </row>
    <row r="431" ht="15.15" spans="1:7">
      <c r="A431" s="20">
        <v>429</v>
      </c>
      <c r="B431" s="20">
        <v>3046</v>
      </c>
      <c r="C431" s="21">
        <v>45026</v>
      </c>
      <c r="D431" s="20">
        <v>3291.84</v>
      </c>
      <c r="E431" s="22" t="s">
        <v>10</v>
      </c>
      <c r="F431" s="22" t="s">
        <v>18</v>
      </c>
      <c r="G431" s="22" t="s">
        <v>20</v>
      </c>
    </row>
    <row r="432" ht="15.15" spans="1:7">
      <c r="A432" s="20">
        <v>430</v>
      </c>
      <c r="B432" s="20">
        <v>7237</v>
      </c>
      <c r="C432" s="21">
        <v>45204</v>
      </c>
      <c r="D432" s="20">
        <v>3291.84</v>
      </c>
      <c r="E432" s="22" t="s">
        <v>10</v>
      </c>
      <c r="F432" s="22" t="s">
        <v>11</v>
      </c>
      <c r="G432" s="22" t="s">
        <v>15</v>
      </c>
    </row>
    <row r="433" ht="15.15" spans="1:7">
      <c r="A433" s="20">
        <v>431</v>
      </c>
      <c r="B433" s="20">
        <v>7569</v>
      </c>
      <c r="C433" s="21">
        <v>45110</v>
      </c>
      <c r="D433" s="20">
        <v>3291.84</v>
      </c>
      <c r="E433" s="22" t="s">
        <v>10</v>
      </c>
      <c r="F433" s="22" t="s">
        <v>11</v>
      </c>
      <c r="G433" s="22" t="s">
        <v>15</v>
      </c>
    </row>
    <row r="434" ht="15.15" spans="1:7">
      <c r="A434" s="20">
        <v>432</v>
      </c>
      <c r="B434" s="20">
        <v>1056</v>
      </c>
      <c r="C434" s="21">
        <v>45064</v>
      </c>
      <c r="D434" s="20">
        <v>3291.84</v>
      </c>
      <c r="E434" s="22" t="s">
        <v>10</v>
      </c>
      <c r="F434" s="22" t="s">
        <v>16</v>
      </c>
      <c r="G434" s="22" t="s">
        <v>12</v>
      </c>
    </row>
    <row r="435" ht="15.15" spans="1:7">
      <c r="A435" s="20">
        <v>433</v>
      </c>
      <c r="B435" s="20">
        <v>9767</v>
      </c>
      <c r="C435" s="21">
        <v>45077</v>
      </c>
      <c r="D435" s="20">
        <v>3291.84</v>
      </c>
      <c r="E435" s="22" t="s">
        <v>10</v>
      </c>
      <c r="F435" s="22" t="s">
        <v>18</v>
      </c>
      <c r="G435" s="22" t="s">
        <v>12</v>
      </c>
    </row>
    <row r="436" ht="15.15" spans="1:7">
      <c r="A436" s="20">
        <v>434</v>
      </c>
      <c r="B436" s="20">
        <v>4484</v>
      </c>
      <c r="C436" s="21">
        <v>45217</v>
      </c>
      <c r="D436" s="20">
        <v>3291.84</v>
      </c>
      <c r="E436" s="22" t="s">
        <v>10</v>
      </c>
      <c r="F436" s="22" t="s">
        <v>14</v>
      </c>
      <c r="G436" s="22" t="s">
        <v>20</v>
      </c>
    </row>
    <row r="437" ht="15.15" spans="1:7">
      <c r="A437" s="20">
        <v>435</v>
      </c>
      <c r="B437" s="20">
        <v>3045</v>
      </c>
      <c r="C437" s="21">
        <v>45263</v>
      </c>
      <c r="D437" s="20">
        <v>3291.84</v>
      </c>
      <c r="E437" s="22" t="s">
        <v>10</v>
      </c>
      <c r="F437" s="22" t="s">
        <v>11</v>
      </c>
      <c r="G437" s="22" t="s">
        <v>17</v>
      </c>
    </row>
    <row r="438" ht="15.15" spans="1:7">
      <c r="A438" s="20">
        <v>436</v>
      </c>
      <c r="B438" s="20">
        <v>4193</v>
      </c>
      <c r="C438" s="21">
        <v>45034</v>
      </c>
      <c r="D438" s="20">
        <v>3291.84</v>
      </c>
      <c r="E438" s="22" t="s">
        <v>10</v>
      </c>
      <c r="F438" s="22" t="s">
        <v>13</v>
      </c>
      <c r="G438" s="22" t="s">
        <v>17</v>
      </c>
    </row>
    <row r="439" ht="15.15" spans="1:7">
      <c r="A439" s="20">
        <v>437</v>
      </c>
      <c r="B439" s="20">
        <v>2160</v>
      </c>
      <c r="C439" s="21">
        <v>45251</v>
      </c>
      <c r="D439" s="20">
        <v>3291.84</v>
      </c>
      <c r="E439" s="22" t="s">
        <v>10</v>
      </c>
      <c r="F439" s="22" t="s">
        <v>16</v>
      </c>
      <c r="G439" s="22" t="s">
        <v>17</v>
      </c>
    </row>
    <row r="440" ht="15.15" spans="1:7">
      <c r="A440" s="20">
        <v>438</v>
      </c>
      <c r="B440" s="20">
        <v>1949</v>
      </c>
      <c r="C440" s="21">
        <v>45273</v>
      </c>
      <c r="D440" s="20">
        <v>3291.84</v>
      </c>
      <c r="E440" s="22" t="s">
        <v>10</v>
      </c>
      <c r="F440" s="22" t="s">
        <v>11</v>
      </c>
      <c r="G440" s="22" t="s">
        <v>20</v>
      </c>
    </row>
    <row r="441" ht="15.15" spans="1:7">
      <c r="A441" s="20">
        <v>439</v>
      </c>
      <c r="B441" s="20">
        <v>3287</v>
      </c>
      <c r="C441" s="21">
        <v>45242</v>
      </c>
      <c r="D441" s="20">
        <v>3291.84</v>
      </c>
      <c r="E441" s="22" t="s">
        <v>10</v>
      </c>
      <c r="F441" s="22" t="s">
        <v>14</v>
      </c>
      <c r="G441" s="22" t="s">
        <v>12</v>
      </c>
    </row>
    <row r="442" ht="15.15" spans="1:7">
      <c r="A442" s="20">
        <v>440</v>
      </c>
      <c r="B442" s="20">
        <v>2608</v>
      </c>
      <c r="C442" s="21">
        <v>45008</v>
      </c>
      <c r="D442" s="20">
        <v>3291.84</v>
      </c>
      <c r="E442" s="22" t="s">
        <v>10</v>
      </c>
      <c r="F442" s="22" t="s">
        <v>13</v>
      </c>
      <c r="G442" s="22" t="s">
        <v>17</v>
      </c>
    </row>
    <row r="443" ht="15.15" spans="1:7">
      <c r="A443" s="20">
        <v>441</v>
      </c>
      <c r="B443" s="20">
        <v>2147</v>
      </c>
      <c r="C443" s="21">
        <v>44965</v>
      </c>
      <c r="D443" s="20">
        <v>3291.84</v>
      </c>
      <c r="E443" s="22" t="s">
        <v>10</v>
      </c>
      <c r="F443" s="22" t="s">
        <v>11</v>
      </c>
      <c r="G443" s="22" t="s">
        <v>20</v>
      </c>
    </row>
    <row r="444" ht="15.15" spans="1:7">
      <c r="A444" s="20">
        <v>442</v>
      </c>
      <c r="B444" s="20">
        <v>4242</v>
      </c>
      <c r="C444" s="21">
        <v>45097</v>
      </c>
      <c r="D444" s="20">
        <v>3291.84</v>
      </c>
      <c r="E444" s="22" t="s">
        <v>10</v>
      </c>
      <c r="F444" s="22" t="s">
        <v>18</v>
      </c>
      <c r="G444" s="22" t="s">
        <v>17</v>
      </c>
    </row>
    <row r="445" ht="15.15" spans="1:7">
      <c r="A445" s="20">
        <v>443</v>
      </c>
      <c r="B445" s="20">
        <v>7151</v>
      </c>
      <c r="C445" s="21">
        <v>44941</v>
      </c>
      <c r="D445" s="20">
        <v>3291.84</v>
      </c>
      <c r="E445" s="22" t="s">
        <v>10</v>
      </c>
      <c r="F445" s="22" t="s">
        <v>16</v>
      </c>
      <c r="G445" s="22" t="s">
        <v>17</v>
      </c>
    </row>
    <row r="446" ht="15.15" spans="1:7">
      <c r="A446" s="20">
        <v>444</v>
      </c>
      <c r="B446" s="20">
        <v>4164</v>
      </c>
      <c r="C446" s="21">
        <v>44964</v>
      </c>
      <c r="D446" s="20">
        <v>3291.84</v>
      </c>
      <c r="E446" s="22" t="s">
        <v>10</v>
      </c>
      <c r="F446" s="22" t="s">
        <v>13</v>
      </c>
      <c r="G446" s="22" t="s">
        <v>15</v>
      </c>
    </row>
    <row r="447" ht="15.15" spans="1:7">
      <c r="A447" s="20">
        <v>445</v>
      </c>
      <c r="B447" s="20">
        <v>8616</v>
      </c>
      <c r="C447" s="21">
        <v>45112</v>
      </c>
      <c r="D447" s="20">
        <v>3291.84</v>
      </c>
      <c r="E447" s="22" t="s">
        <v>10</v>
      </c>
      <c r="F447" s="22" t="s">
        <v>11</v>
      </c>
      <c r="G447" s="22" t="s">
        <v>17</v>
      </c>
    </row>
    <row r="448" ht="15.15" spans="1:7">
      <c r="A448" s="20">
        <v>446</v>
      </c>
      <c r="B448" s="20">
        <v>2998</v>
      </c>
      <c r="C448" s="21">
        <v>45035</v>
      </c>
      <c r="D448" s="20">
        <v>3291.84</v>
      </c>
      <c r="E448" s="22" t="s">
        <v>10</v>
      </c>
      <c r="F448" s="22" t="s">
        <v>18</v>
      </c>
      <c r="G448" s="22" t="s">
        <v>12</v>
      </c>
    </row>
    <row r="449" ht="15.15" spans="1:7">
      <c r="A449" s="20">
        <v>447</v>
      </c>
      <c r="B449" s="20">
        <v>1674</v>
      </c>
      <c r="C449" s="21">
        <v>45175</v>
      </c>
      <c r="D449" s="20">
        <v>3291.84</v>
      </c>
      <c r="E449" s="22" t="s">
        <v>10</v>
      </c>
      <c r="F449" s="22" t="s">
        <v>18</v>
      </c>
      <c r="G449" s="22" t="s">
        <v>20</v>
      </c>
    </row>
    <row r="450" ht="15.15" spans="1:7">
      <c r="A450" s="20">
        <v>448</v>
      </c>
      <c r="B450" s="20">
        <v>1224</v>
      </c>
      <c r="C450" s="21">
        <v>45007</v>
      </c>
      <c r="D450" s="20">
        <v>3291.84</v>
      </c>
      <c r="E450" s="22" t="s">
        <v>10</v>
      </c>
      <c r="F450" s="22" t="s">
        <v>14</v>
      </c>
      <c r="G450" s="22" t="s">
        <v>12</v>
      </c>
    </row>
    <row r="451" ht="15.15" spans="1:7">
      <c r="A451" s="20">
        <v>449</v>
      </c>
      <c r="B451" s="20">
        <v>7080</v>
      </c>
      <c r="C451" s="21">
        <v>45240</v>
      </c>
      <c r="D451" s="20">
        <v>3291.84</v>
      </c>
      <c r="E451" s="22" t="s">
        <v>10</v>
      </c>
      <c r="F451" s="22" t="s">
        <v>11</v>
      </c>
      <c r="G451" s="22" t="s">
        <v>12</v>
      </c>
    </row>
    <row r="452" ht="15.15" spans="1:7">
      <c r="A452" s="20">
        <v>450</v>
      </c>
      <c r="B452" s="20">
        <v>3086</v>
      </c>
      <c r="C452" s="21">
        <v>45226</v>
      </c>
      <c r="D452" s="20">
        <v>3291.84</v>
      </c>
      <c r="E452" s="22" t="s">
        <v>10</v>
      </c>
      <c r="F452" s="22" t="s">
        <v>13</v>
      </c>
      <c r="G452" s="22" t="s">
        <v>12</v>
      </c>
    </row>
    <row r="453" ht="15.15" spans="1:7">
      <c r="A453" s="20">
        <v>451</v>
      </c>
      <c r="B453" s="20">
        <v>2510</v>
      </c>
      <c r="C453" s="21">
        <v>45130</v>
      </c>
      <c r="D453" s="20">
        <v>3291.84</v>
      </c>
      <c r="E453" s="22" t="s">
        <v>10</v>
      </c>
      <c r="F453" s="22" t="s">
        <v>14</v>
      </c>
      <c r="G453" s="22" t="s">
        <v>12</v>
      </c>
    </row>
    <row r="454" ht="15.15" spans="1:7">
      <c r="A454" s="20">
        <v>452</v>
      </c>
      <c r="B454" s="20">
        <v>1372</v>
      </c>
      <c r="C454" s="21">
        <v>45226</v>
      </c>
      <c r="D454" s="20">
        <v>3291.84</v>
      </c>
      <c r="E454" s="22" t="s">
        <v>10</v>
      </c>
      <c r="F454" s="22" t="s">
        <v>13</v>
      </c>
      <c r="G454" s="22" t="s">
        <v>12</v>
      </c>
    </row>
    <row r="455" ht="15.15" spans="1:7">
      <c r="A455" s="20">
        <v>453</v>
      </c>
      <c r="B455" s="20">
        <v>5651</v>
      </c>
      <c r="C455" s="21">
        <v>45076</v>
      </c>
      <c r="D455" s="20">
        <v>3291.84</v>
      </c>
      <c r="E455" s="22" t="s">
        <v>10</v>
      </c>
      <c r="F455" s="22" t="s">
        <v>18</v>
      </c>
      <c r="G455" s="22" t="s">
        <v>20</v>
      </c>
    </row>
    <row r="456" ht="15.15" spans="1:7">
      <c r="A456" s="20">
        <v>454</v>
      </c>
      <c r="B456" s="20">
        <v>7597</v>
      </c>
      <c r="C456" s="21">
        <v>45238</v>
      </c>
      <c r="D456" s="20">
        <v>3291.84</v>
      </c>
      <c r="E456" s="22" t="s">
        <v>10</v>
      </c>
      <c r="F456" s="22" t="s">
        <v>16</v>
      </c>
      <c r="G456" s="22" t="s">
        <v>20</v>
      </c>
    </row>
    <row r="457" ht="15.15" spans="1:7">
      <c r="A457" s="20">
        <v>455</v>
      </c>
      <c r="B457" s="20">
        <v>2982</v>
      </c>
      <c r="C457" s="21">
        <v>45231</v>
      </c>
      <c r="D457" s="20">
        <v>3291.84</v>
      </c>
      <c r="E457" s="22" t="s">
        <v>10</v>
      </c>
      <c r="F457" s="22" t="s">
        <v>16</v>
      </c>
      <c r="G457" s="22" t="s">
        <v>20</v>
      </c>
    </row>
    <row r="458" ht="15.15" spans="1:7">
      <c r="A458" s="20">
        <v>456</v>
      </c>
      <c r="B458" s="20">
        <v>6526</v>
      </c>
      <c r="C458" s="21">
        <v>45266</v>
      </c>
      <c r="D458" s="20">
        <v>3291.84</v>
      </c>
      <c r="E458" s="22" t="s">
        <v>22</v>
      </c>
      <c r="F458" s="22" t="s">
        <v>11</v>
      </c>
      <c r="G458" s="22" t="s">
        <v>12</v>
      </c>
    </row>
    <row r="459" ht="15.15" spans="1:7">
      <c r="A459" s="20">
        <v>457</v>
      </c>
      <c r="B459" s="20">
        <v>7493</v>
      </c>
      <c r="C459" s="21">
        <v>45221</v>
      </c>
      <c r="D459" s="20">
        <v>3291.84</v>
      </c>
      <c r="E459" s="22" t="s">
        <v>21</v>
      </c>
      <c r="F459" s="22" t="s">
        <v>11</v>
      </c>
      <c r="G459" s="22" t="s">
        <v>12</v>
      </c>
    </row>
    <row r="460" ht="15.15" spans="1:7">
      <c r="A460" s="20">
        <v>458</v>
      </c>
      <c r="B460" s="20">
        <v>5552</v>
      </c>
      <c r="C460" s="21">
        <v>45255</v>
      </c>
      <c r="D460" s="20">
        <v>3291.84</v>
      </c>
      <c r="E460" s="22" t="s">
        <v>10</v>
      </c>
      <c r="F460" s="22" t="s">
        <v>19</v>
      </c>
      <c r="G460" s="22" t="s">
        <v>20</v>
      </c>
    </row>
    <row r="461" ht="15.15" spans="1:7">
      <c r="A461" s="20">
        <v>459</v>
      </c>
      <c r="B461" s="20">
        <v>8128</v>
      </c>
      <c r="C461" s="21">
        <v>44965</v>
      </c>
      <c r="D461" s="20">
        <v>3291.84</v>
      </c>
      <c r="E461" s="22" t="s">
        <v>22</v>
      </c>
      <c r="F461" s="22" t="s">
        <v>14</v>
      </c>
      <c r="G461" s="22" t="s">
        <v>17</v>
      </c>
    </row>
    <row r="462" ht="15.15" spans="1:7">
      <c r="A462" s="20">
        <v>460</v>
      </c>
      <c r="B462" s="20">
        <v>1777</v>
      </c>
      <c r="C462" s="21">
        <v>45211</v>
      </c>
      <c r="D462" s="20">
        <v>3291.84</v>
      </c>
      <c r="E462" s="22" t="s">
        <v>10</v>
      </c>
      <c r="F462" s="22" t="s">
        <v>13</v>
      </c>
      <c r="G462" s="22" t="s">
        <v>15</v>
      </c>
    </row>
    <row r="463" ht="15.15" spans="1:7">
      <c r="A463" s="20">
        <v>461</v>
      </c>
      <c r="B463" s="20">
        <v>5119</v>
      </c>
      <c r="C463" s="21">
        <v>45241</v>
      </c>
      <c r="D463" s="20">
        <v>3291.84</v>
      </c>
      <c r="E463" s="22" t="s">
        <v>10</v>
      </c>
      <c r="F463" s="22" t="s">
        <v>14</v>
      </c>
      <c r="G463" s="22" t="s">
        <v>20</v>
      </c>
    </row>
    <row r="464" ht="15.15" spans="1:7">
      <c r="A464" s="20">
        <v>462</v>
      </c>
      <c r="B464" s="20">
        <v>9369</v>
      </c>
      <c r="C464" s="21">
        <v>45103</v>
      </c>
      <c r="D464" s="20">
        <v>3291.84</v>
      </c>
      <c r="E464" s="22" t="s">
        <v>10</v>
      </c>
      <c r="F464" s="22" t="s">
        <v>16</v>
      </c>
      <c r="G464" s="22" t="s">
        <v>17</v>
      </c>
    </row>
    <row r="465" ht="15.15" spans="1:7">
      <c r="A465" s="20">
        <v>463</v>
      </c>
      <c r="B465" s="20">
        <v>7074</v>
      </c>
      <c r="C465" s="21">
        <v>45258</v>
      </c>
      <c r="D465" s="20">
        <v>3291.84</v>
      </c>
      <c r="E465" s="22" t="s">
        <v>10</v>
      </c>
      <c r="F465" s="22" t="s">
        <v>18</v>
      </c>
      <c r="G465" s="22" t="s">
        <v>12</v>
      </c>
    </row>
    <row r="466" ht="15.15" spans="1:7">
      <c r="A466" s="20">
        <v>464</v>
      </c>
      <c r="B466" s="20">
        <v>6743</v>
      </c>
      <c r="C466" s="21">
        <v>45221</v>
      </c>
      <c r="D466" s="20">
        <v>3291.84</v>
      </c>
      <c r="E466" s="22" t="s">
        <v>10</v>
      </c>
      <c r="F466" s="22" t="s">
        <v>13</v>
      </c>
      <c r="G466" s="22" t="s">
        <v>15</v>
      </c>
    </row>
    <row r="467" ht="15.15" spans="1:7">
      <c r="A467" s="20">
        <v>465</v>
      </c>
      <c r="B467" s="20">
        <v>488</v>
      </c>
      <c r="C467" s="21">
        <v>45127</v>
      </c>
      <c r="D467" s="20">
        <v>3291.84</v>
      </c>
      <c r="E467" s="22" t="s">
        <v>22</v>
      </c>
      <c r="F467" s="22" t="s">
        <v>16</v>
      </c>
      <c r="G467" s="22" t="s">
        <v>17</v>
      </c>
    </row>
    <row r="468" ht="15.15" spans="1:7">
      <c r="A468" s="20">
        <v>466</v>
      </c>
      <c r="B468" s="20">
        <v>8722</v>
      </c>
      <c r="C468" s="21">
        <v>45064</v>
      </c>
      <c r="D468" s="20">
        <v>3291.84</v>
      </c>
      <c r="E468" s="22" t="s">
        <v>10</v>
      </c>
      <c r="F468" s="22" t="s">
        <v>16</v>
      </c>
      <c r="G468" s="22" t="s">
        <v>17</v>
      </c>
    </row>
    <row r="469" ht="15.15" spans="1:7">
      <c r="A469" s="20">
        <v>467</v>
      </c>
      <c r="B469" s="20">
        <v>1069</v>
      </c>
      <c r="C469" s="21">
        <v>44978</v>
      </c>
      <c r="D469" s="20">
        <v>3291.84</v>
      </c>
      <c r="E469" s="22" t="s">
        <v>10</v>
      </c>
      <c r="F469" s="22" t="s">
        <v>14</v>
      </c>
      <c r="G469" s="22" t="s">
        <v>17</v>
      </c>
    </row>
    <row r="470" ht="15.15" spans="1:7">
      <c r="A470" s="20">
        <v>468</v>
      </c>
      <c r="B470" s="20">
        <v>1463</v>
      </c>
      <c r="C470" s="21">
        <v>45245</v>
      </c>
      <c r="D470" s="20">
        <v>3291.84</v>
      </c>
      <c r="E470" s="22" t="s">
        <v>10</v>
      </c>
      <c r="F470" s="22" t="s">
        <v>16</v>
      </c>
      <c r="G470" s="22" t="s">
        <v>12</v>
      </c>
    </row>
    <row r="471" ht="15.15" spans="1:7">
      <c r="A471" s="20">
        <v>469</v>
      </c>
      <c r="B471" s="20">
        <v>6989</v>
      </c>
      <c r="C471" s="21">
        <v>45134</v>
      </c>
      <c r="D471" s="20">
        <v>3291.84</v>
      </c>
      <c r="E471" s="22" t="s">
        <v>10</v>
      </c>
      <c r="F471" s="22" t="s">
        <v>16</v>
      </c>
      <c r="G471" s="22" t="s">
        <v>20</v>
      </c>
    </row>
    <row r="472" ht="15.15" spans="1:7">
      <c r="A472" s="20">
        <v>470</v>
      </c>
      <c r="B472" s="20">
        <v>5464</v>
      </c>
      <c r="C472" s="21">
        <v>44957</v>
      </c>
      <c r="D472" s="20">
        <v>3291.84</v>
      </c>
      <c r="E472" s="22" t="s">
        <v>21</v>
      </c>
      <c r="F472" s="22" t="s">
        <v>16</v>
      </c>
      <c r="G472" s="22" t="s">
        <v>17</v>
      </c>
    </row>
    <row r="473" ht="15.15" spans="1:7">
      <c r="A473" s="20">
        <v>471</v>
      </c>
      <c r="B473" s="20">
        <v>2797</v>
      </c>
      <c r="C473" s="21">
        <v>45221</v>
      </c>
      <c r="D473" s="20">
        <v>3291.84</v>
      </c>
      <c r="E473" s="22" t="s">
        <v>10</v>
      </c>
      <c r="F473" s="22" t="s">
        <v>16</v>
      </c>
      <c r="G473" s="22" t="s">
        <v>12</v>
      </c>
    </row>
    <row r="474" ht="15.15" spans="1:7">
      <c r="A474" s="20">
        <v>472</v>
      </c>
      <c r="B474" s="20">
        <v>1224</v>
      </c>
      <c r="C474" s="21">
        <v>44975</v>
      </c>
      <c r="D474" s="20">
        <v>3291.84</v>
      </c>
      <c r="E474" s="22" t="s">
        <v>10</v>
      </c>
      <c r="F474" s="22" t="s">
        <v>14</v>
      </c>
      <c r="G474" s="22" t="s">
        <v>15</v>
      </c>
    </row>
    <row r="475" ht="15.15" spans="1:7">
      <c r="A475" s="20">
        <v>473</v>
      </c>
      <c r="B475" s="20">
        <v>5778</v>
      </c>
      <c r="C475" s="21">
        <v>45235</v>
      </c>
      <c r="D475" s="20">
        <v>3291.84</v>
      </c>
      <c r="E475" s="22" t="s">
        <v>10</v>
      </c>
      <c r="F475" s="22" t="s">
        <v>16</v>
      </c>
      <c r="G475" s="22" t="s">
        <v>17</v>
      </c>
    </row>
    <row r="476" ht="15.15" spans="1:7">
      <c r="A476" s="20">
        <v>474</v>
      </c>
      <c r="B476" s="20">
        <v>4685</v>
      </c>
      <c r="C476" s="21">
        <v>45288</v>
      </c>
      <c r="D476" s="20">
        <v>3291.84</v>
      </c>
      <c r="E476" s="22" t="s">
        <v>10</v>
      </c>
      <c r="F476" s="22" t="s">
        <v>14</v>
      </c>
      <c r="G476" s="22" t="s">
        <v>12</v>
      </c>
    </row>
    <row r="477" ht="15.15" spans="1:7">
      <c r="A477" s="20">
        <v>475</v>
      </c>
      <c r="B477" s="20">
        <v>3609</v>
      </c>
      <c r="C477" s="21">
        <v>45147</v>
      </c>
      <c r="D477" s="20">
        <v>3291.84</v>
      </c>
      <c r="E477" s="22" t="s">
        <v>10</v>
      </c>
      <c r="F477" s="22" t="s">
        <v>14</v>
      </c>
      <c r="G477" s="22" t="s">
        <v>12</v>
      </c>
    </row>
    <row r="478" ht="15.15" spans="1:7">
      <c r="A478" s="20">
        <v>476</v>
      </c>
      <c r="B478" s="20">
        <v>9210</v>
      </c>
      <c r="C478" s="21">
        <v>45031</v>
      </c>
      <c r="D478" s="20">
        <v>3291.84</v>
      </c>
      <c r="E478" s="22" t="s">
        <v>10</v>
      </c>
      <c r="F478" s="22" t="s">
        <v>16</v>
      </c>
      <c r="G478" s="22" t="s">
        <v>20</v>
      </c>
    </row>
    <row r="479" ht="15.15" spans="1:7">
      <c r="A479" s="20">
        <v>477</v>
      </c>
      <c r="B479" s="20">
        <v>7686</v>
      </c>
      <c r="C479" s="21">
        <v>44956</v>
      </c>
      <c r="D479" s="20">
        <v>3291.84</v>
      </c>
      <c r="E479" s="22" t="s">
        <v>10</v>
      </c>
      <c r="F479" s="22" t="s">
        <v>18</v>
      </c>
      <c r="G479" s="22" t="s">
        <v>12</v>
      </c>
    </row>
    <row r="480" ht="15.15" spans="1:7">
      <c r="A480" s="20">
        <v>478</v>
      </c>
      <c r="B480" s="20">
        <v>4856</v>
      </c>
      <c r="C480" s="21">
        <v>45266</v>
      </c>
      <c r="D480" s="20">
        <v>3291.84</v>
      </c>
      <c r="E480" s="22" t="s">
        <v>10</v>
      </c>
      <c r="F480" s="22" t="s">
        <v>18</v>
      </c>
      <c r="G480" s="22" t="s">
        <v>17</v>
      </c>
    </row>
    <row r="481" ht="15.15" spans="1:7">
      <c r="A481" s="20">
        <v>479</v>
      </c>
      <c r="B481" s="20">
        <v>973</v>
      </c>
      <c r="C481" s="21">
        <v>45213</v>
      </c>
      <c r="D481" s="20">
        <v>3291.84</v>
      </c>
      <c r="E481" s="22" t="s">
        <v>22</v>
      </c>
      <c r="F481" s="22" t="s">
        <v>16</v>
      </c>
      <c r="G481" s="22" t="s">
        <v>15</v>
      </c>
    </row>
    <row r="482" ht="15.15" spans="1:7">
      <c r="A482" s="20">
        <v>480</v>
      </c>
      <c r="B482" s="20">
        <v>7909</v>
      </c>
      <c r="C482" s="21">
        <v>45268</v>
      </c>
      <c r="D482" s="20">
        <v>3291.84</v>
      </c>
      <c r="E482" s="22" t="s">
        <v>10</v>
      </c>
      <c r="F482" s="22" t="s">
        <v>14</v>
      </c>
      <c r="G482" s="22" t="s">
        <v>12</v>
      </c>
    </row>
    <row r="483" ht="15.15" spans="1:7">
      <c r="A483" s="20">
        <v>481</v>
      </c>
      <c r="B483" s="20">
        <v>5443</v>
      </c>
      <c r="C483" s="21">
        <v>45130</v>
      </c>
      <c r="D483" s="20">
        <v>3291.84</v>
      </c>
      <c r="E483" s="22" t="s">
        <v>10</v>
      </c>
      <c r="F483" s="22" t="s">
        <v>11</v>
      </c>
      <c r="G483" s="22" t="s">
        <v>17</v>
      </c>
    </row>
    <row r="484" ht="15.15" spans="1:7">
      <c r="A484" s="20">
        <v>482</v>
      </c>
      <c r="B484" s="20">
        <v>8164</v>
      </c>
      <c r="C484" s="21">
        <v>44983</v>
      </c>
      <c r="D484" s="20">
        <v>3291.84</v>
      </c>
      <c r="E484" s="22" t="s">
        <v>10</v>
      </c>
      <c r="F484" s="22" t="s">
        <v>11</v>
      </c>
      <c r="G484" s="22" t="s">
        <v>15</v>
      </c>
    </row>
    <row r="485" ht="15.15" spans="1:7">
      <c r="A485" s="20">
        <v>483</v>
      </c>
      <c r="B485" s="20">
        <v>4685</v>
      </c>
      <c r="C485" s="21">
        <v>45277</v>
      </c>
      <c r="D485" s="20">
        <v>3291.84</v>
      </c>
      <c r="E485" s="22" t="s">
        <v>10</v>
      </c>
      <c r="F485" s="22" t="s">
        <v>14</v>
      </c>
      <c r="G485" s="22" t="s">
        <v>12</v>
      </c>
    </row>
    <row r="486" ht="15.15" spans="1:7">
      <c r="A486" s="20">
        <v>484</v>
      </c>
      <c r="B486" s="20">
        <v>8722</v>
      </c>
      <c r="C486" s="21">
        <v>45142</v>
      </c>
      <c r="D486" s="20">
        <v>3291.84</v>
      </c>
      <c r="E486" s="22" t="s">
        <v>10</v>
      </c>
      <c r="F486" s="22" t="s">
        <v>16</v>
      </c>
      <c r="G486" s="22" t="s">
        <v>20</v>
      </c>
    </row>
    <row r="487" ht="15.15" spans="1:7">
      <c r="A487" s="20">
        <v>485</v>
      </c>
      <c r="B487" s="20">
        <v>2913</v>
      </c>
      <c r="C487" s="21">
        <v>45238</v>
      </c>
      <c r="D487" s="20">
        <v>3291.84</v>
      </c>
      <c r="E487" s="22" t="s">
        <v>10</v>
      </c>
      <c r="F487" s="22" t="s">
        <v>18</v>
      </c>
      <c r="G487" s="22" t="s">
        <v>15</v>
      </c>
    </row>
    <row r="488" ht="15.15" spans="1:7">
      <c r="A488" s="20">
        <v>486</v>
      </c>
      <c r="B488" s="20">
        <v>5596</v>
      </c>
      <c r="C488" s="21">
        <v>45181</v>
      </c>
      <c r="D488" s="20">
        <v>3291.84</v>
      </c>
      <c r="E488" s="22" t="s">
        <v>10</v>
      </c>
      <c r="F488" s="22" t="s">
        <v>14</v>
      </c>
      <c r="G488" s="22" t="s">
        <v>15</v>
      </c>
    </row>
    <row r="489" ht="15.15" spans="1:7">
      <c r="A489" s="20">
        <v>487</v>
      </c>
      <c r="B489" s="20">
        <v>6115</v>
      </c>
      <c r="C489" s="21">
        <v>44943</v>
      </c>
      <c r="D489" s="20">
        <v>3291.84</v>
      </c>
      <c r="E489" s="22" t="s">
        <v>10</v>
      </c>
      <c r="F489" s="22" t="s">
        <v>18</v>
      </c>
      <c r="G489" s="22" t="s">
        <v>12</v>
      </c>
    </row>
    <row r="490" ht="15.15" spans="1:7">
      <c r="A490" s="20">
        <v>488</v>
      </c>
      <c r="B490" s="20">
        <v>5073</v>
      </c>
      <c r="C490" s="21">
        <v>45239</v>
      </c>
      <c r="D490" s="20">
        <v>3291.84</v>
      </c>
      <c r="E490" s="22" t="s">
        <v>10</v>
      </c>
      <c r="F490" s="22" t="s">
        <v>18</v>
      </c>
      <c r="G490" s="22" t="s">
        <v>15</v>
      </c>
    </row>
    <row r="491" ht="15.15" spans="1:7">
      <c r="A491" s="20">
        <v>489</v>
      </c>
      <c r="B491" s="20">
        <v>7243</v>
      </c>
      <c r="C491" s="21">
        <v>45032</v>
      </c>
      <c r="D491" s="20">
        <v>3291.84</v>
      </c>
      <c r="E491" s="22" t="s">
        <v>10</v>
      </c>
      <c r="F491" s="22" t="s">
        <v>14</v>
      </c>
      <c r="G491" s="22" t="s">
        <v>17</v>
      </c>
    </row>
    <row r="492" ht="15.15" spans="1:7">
      <c r="A492" s="20">
        <v>490</v>
      </c>
      <c r="B492" s="20">
        <v>824</v>
      </c>
      <c r="C492" s="21">
        <v>45249</v>
      </c>
      <c r="D492" s="20">
        <v>3291.84</v>
      </c>
      <c r="E492" s="22" t="s">
        <v>10</v>
      </c>
      <c r="F492" s="22" t="s">
        <v>14</v>
      </c>
      <c r="G492" s="22" t="s">
        <v>20</v>
      </c>
    </row>
    <row r="493" ht="15.15" spans="1:7">
      <c r="A493" s="20">
        <v>491</v>
      </c>
      <c r="B493" s="20">
        <v>7155</v>
      </c>
      <c r="C493" s="21">
        <v>44927</v>
      </c>
      <c r="D493" s="20">
        <v>3291.84</v>
      </c>
      <c r="E493" s="22" t="s">
        <v>10</v>
      </c>
      <c r="F493" s="22" t="s">
        <v>16</v>
      </c>
      <c r="G493" s="22" t="s">
        <v>12</v>
      </c>
    </row>
    <row r="494" ht="15.15" spans="1:7">
      <c r="A494" s="20">
        <v>492</v>
      </c>
      <c r="B494" s="20">
        <v>9583</v>
      </c>
      <c r="C494" s="21">
        <v>45254</v>
      </c>
      <c r="D494" s="20">
        <v>3291.84</v>
      </c>
      <c r="E494" s="22" t="s">
        <v>10</v>
      </c>
      <c r="F494" s="22" t="s">
        <v>11</v>
      </c>
      <c r="G494" s="22" t="s">
        <v>17</v>
      </c>
    </row>
    <row r="495" ht="15.15" spans="1:7">
      <c r="A495" s="20">
        <v>493</v>
      </c>
      <c r="B495" s="20">
        <v>9273</v>
      </c>
      <c r="C495" s="21">
        <v>45028</v>
      </c>
      <c r="D495" s="20">
        <v>3291.84</v>
      </c>
      <c r="E495" s="22" t="s">
        <v>10</v>
      </c>
      <c r="F495" s="22" t="s">
        <v>13</v>
      </c>
      <c r="G495" s="22" t="s">
        <v>17</v>
      </c>
    </row>
    <row r="496" ht="15.15" spans="1:7">
      <c r="A496" s="20">
        <v>494</v>
      </c>
      <c r="B496" s="20">
        <v>4368</v>
      </c>
      <c r="C496" s="21">
        <v>44953</v>
      </c>
      <c r="D496" s="20">
        <v>3291.84</v>
      </c>
      <c r="E496" s="22" t="s">
        <v>10</v>
      </c>
      <c r="F496" s="22" t="s">
        <v>11</v>
      </c>
      <c r="G496" s="22" t="s">
        <v>20</v>
      </c>
    </row>
    <row r="497" ht="15.15" spans="1:7">
      <c r="A497" s="20">
        <v>495</v>
      </c>
      <c r="B497" s="20">
        <v>4367</v>
      </c>
      <c r="C497" s="21">
        <v>44962</v>
      </c>
      <c r="D497" s="20">
        <v>3291.84</v>
      </c>
      <c r="E497" s="22" t="s">
        <v>10</v>
      </c>
      <c r="F497" s="22" t="s">
        <v>16</v>
      </c>
      <c r="G497" s="22" t="s">
        <v>12</v>
      </c>
    </row>
    <row r="498" ht="15.15" spans="1:7">
      <c r="A498" s="20">
        <v>496</v>
      </c>
      <c r="B498" s="20">
        <v>9199</v>
      </c>
      <c r="C498" s="21">
        <v>45004</v>
      </c>
      <c r="D498" s="20">
        <v>3291.84</v>
      </c>
      <c r="E498" s="22" t="s">
        <v>10</v>
      </c>
      <c r="F498" s="22" t="s">
        <v>16</v>
      </c>
      <c r="G498" s="22" t="s">
        <v>17</v>
      </c>
    </row>
    <row r="499" ht="15.15" spans="1:7">
      <c r="A499" s="20">
        <v>497</v>
      </c>
      <c r="B499" s="20">
        <v>6006</v>
      </c>
      <c r="C499" s="21">
        <v>45149</v>
      </c>
      <c r="D499" s="20">
        <v>3291.84</v>
      </c>
      <c r="E499" s="22" t="s">
        <v>10</v>
      </c>
      <c r="F499" s="22" t="s">
        <v>13</v>
      </c>
      <c r="G499" s="22" t="s">
        <v>20</v>
      </c>
    </row>
    <row r="500" ht="15.15" spans="1:7">
      <c r="A500" s="20">
        <v>498</v>
      </c>
      <c r="B500" s="20">
        <v>8173</v>
      </c>
      <c r="C500" s="21">
        <v>44973</v>
      </c>
      <c r="D500" s="20">
        <v>3291.84</v>
      </c>
      <c r="E500" s="22" t="s">
        <v>10</v>
      </c>
      <c r="F500" s="22" t="s">
        <v>13</v>
      </c>
      <c r="G500" s="22" t="s">
        <v>20</v>
      </c>
    </row>
    <row r="501" ht="15.15" spans="1:7">
      <c r="A501" s="20">
        <v>499</v>
      </c>
      <c r="B501" s="20">
        <v>8298</v>
      </c>
      <c r="C501" s="21">
        <v>45264</v>
      </c>
      <c r="D501" s="20">
        <v>3291.84</v>
      </c>
      <c r="E501" s="22" t="s">
        <v>10</v>
      </c>
      <c r="F501" s="22" t="s">
        <v>11</v>
      </c>
      <c r="G501" s="22" t="s">
        <v>20</v>
      </c>
    </row>
    <row r="502" ht="15.15" spans="1:7">
      <c r="A502" s="20">
        <v>500</v>
      </c>
      <c r="B502" s="20">
        <v>115</v>
      </c>
      <c r="C502" s="21">
        <v>45140</v>
      </c>
      <c r="D502" s="20">
        <v>3291.84</v>
      </c>
      <c r="E502" s="22" t="s">
        <v>10</v>
      </c>
      <c r="F502" s="22" t="s">
        <v>11</v>
      </c>
      <c r="G502" s="22" t="s">
        <v>15</v>
      </c>
    </row>
    <row r="503" ht="15.15" spans="1:7">
      <c r="A503" s="20">
        <v>501</v>
      </c>
      <c r="B503" s="20">
        <v>7638</v>
      </c>
      <c r="C503" s="21">
        <v>45252</v>
      </c>
      <c r="D503" s="20">
        <v>3291.84</v>
      </c>
      <c r="E503" s="22" t="s">
        <v>10</v>
      </c>
      <c r="F503" s="22" t="s">
        <v>11</v>
      </c>
      <c r="G503" s="22" t="s">
        <v>15</v>
      </c>
    </row>
    <row r="504" ht="15.15" spans="1:7">
      <c r="A504" s="20">
        <v>502</v>
      </c>
      <c r="B504" s="20">
        <v>9787</v>
      </c>
      <c r="C504" s="21">
        <v>45221</v>
      </c>
      <c r="D504" s="20">
        <v>3291.84</v>
      </c>
      <c r="E504" s="22" t="s">
        <v>10</v>
      </c>
      <c r="F504" s="22" t="s">
        <v>14</v>
      </c>
      <c r="G504" s="22" t="s">
        <v>17</v>
      </c>
    </row>
    <row r="505" ht="15.15" spans="1:7">
      <c r="A505" s="20">
        <v>503</v>
      </c>
      <c r="B505" s="20">
        <v>4480</v>
      </c>
      <c r="C505" s="21">
        <v>45012</v>
      </c>
      <c r="D505" s="20">
        <v>3291.84</v>
      </c>
      <c r="E505" s="22" t="s">
        <v>10</v>
      </c>
      <c r="F505" s="22" t="s">
        <v>13</v>
      </c>
      <c r="G505" s="22" t="s">
        <v>15</v>
      </c>
    </row>
    <row r="506" ht="15.15" spans="1:7">
      <c r="A506" s="20">
        <v>504</v>
      </c>
      <c r="B506" s="20">
        <v>1141</v>
      </c>
      <c r="C506" s="21">
        <v>45164</v>
      </c>
      <c r="D506" s="20">
        <v>3291.84</v>
      </c>
      <c r="E506" s="22" t="s">
        <v>10</v>
      </c>
      <c r="F506" s="22" t="s">
        <v>14</v>
      </c>
      <c r="G506" s="22" t="s">
        <v>15</v>
      </c>
    </row>
    <row r="507" ht="15.15" spans="1:7">
      <c r="A507" s="20">
        <v>505</v>
      </c>
      <c r="B507" s="20">
        <v>2727</v>
      </c>
      <c r="C507" s="21">
        <v>44988</v>
      </c>
      <c r="D507" s="20">
        <v>3291.84</v>
      </c>
      <c r="E507" s="22" t="s">
        <v>10</v>
      </c>
      <c r="F507" s="22" t="s">
        <v>16</v>
      </c>
      <c r="G507" s="22" t="s">
        <v>17</v>
      </c>
    </row>
    <row r="508" ht="15.15" spans="1:7">
      <c r="A508" s="20">
        <v>506</v>
      </c>
      <c r="B508" s="20">
        <v>5897</v>
      </c>
      <c r="C508" s="21">
        <v>45263</v>
      </c>
      <c r="D508" s="20">
        <v>3291.84</v>
      </c>
      <c r="E508" s="22" t="s">
        <v>10</v>
      </c>
      <c r="F508" s="22" t="s">
        <v>16</v>
      </c>
      <c r="G508" s="22" t="s">
        <v>17</v>
      </c>
    </row>
    <row r="509" ht="15.15" spans="1:7">
      <c r="A509" s="20">
        <v>507</v>
      </c>
      <c r="B509" s="20">
        <v>395</v>
      </c>
      <c r="C509" s="21">
        <v>45045</v>
      </c>
      <c r="D509" s="20">
        <v>3291.84</v>
      </c>
      <c r="E509" s="22" t="s">
        <v>10</v>
      </c>
      <c r="F509" s="22" t="s">
        <v>18</v>
      </c>
      <c r="G509" s="22" t="s">
        <v>12</v>
      </c>
    </row>
    <row r="510" ht="15.15" spans="1:7">
      <c r="A510" s="20">
        <v>508</v>
      </c>
      <c r="B510" s="20">
        <v>9443</v>
      </c>
      <c r="C510" s="21">
        <v>45212</v>
      </c>
      <c r="D510" s="20">
        <v>3291.84</v>
      </c>
      <c r="E510" s="22" t="s">
        <v>10</v>
      </c>
      <c r="F510" s="22" t="s">
        <v>18</v>
      </c>
      <c r="G510" s="22" t="s">
        <v>15</v>
      </c>
    </row>
    <row r="511" ht="15.15" spans="1:7">
      <c r="A511" s="20">
        <v>509</v>
      </c>
      <c r="B511" s="20">
        <v>3622</v>
      </c>
      <c r="C511" s="21">
        <v>45169</v>
      </c>
      <c r="D511" s="20">
        <v>3291.84</v>
      </c>
      <c r="E511" s="22" t="s">
        <v>10</v>
      </c>
      <c r="F511" s="22" t="s">
        <v>19</v>
      </c>
      <c r="G511" s="22" t="s">
        <v>17</v>
      </c>
    </row>
    <row r="512" ht="15.15" spans="1:7">
      <c r="A512" s="20">
        <v>510</v>
      </c>
      <c r="B512" s="20">
        <v>7908</v>
      </c>
      <c r="C512" s="21">
        <v>44929</v>
      </c>
      <c r="D512" s="20">
        <v>3291.84</v>
      </c>
      <c r="E512" s="22" t="s">
        <v>10</v>
      </c>
      <c r="F512" s="22" t="s">
        <v>16</v>
      </c>
      <c r="G512" s="22" t="s">
        <v>15</v>
      </c>
    </row>
    <row r="513" ht="15.15" spans="1:7">
      <c r="A513" s="20">
        <v>511</v>
      </c>
      <c r="B513" s="20">
        <v>1287</v>
      </c>
      <c r="C513" s="21">
        <v>45099</v>
      </c>
      <c r="D513" s="20">
        <v>3291.84</v>
      </c>
      <c r="E513" s="22" t="s">
        <v>10</v>
      </c>
      <c r="F513" s="22" t="s">
        <v>14</v>
      </c>
      <c r="G513" s="22" t="s">
        <v>20</v>
      </c>
    </row>
    <row r="514" ht="15.15" spans="1:7">
      <c r="A514" s="20">
        <v>512</v>
      </c>
      <c r="B514" s="20">
        <v>1945</v>
      </c>
      <c r="C514" s="21">
        <v>45080</v>
      </c>
      <c r="D514" s="20">
        <v>3291.84</v>
      </c>
      <c r="E514" s="22" t="s">
        <v>10</v>
      </c>
      <c r="F514" s="22" t="s">
        <v>16</v>
      </c>
      <c r="G514" s="22" t="s">
        <v>15</v>
      </c>
    </row>
    <row r="515" ht="15.15" spans="1:7">
      <c r="A515" s="20">
        <v>513</v>
      </c>
      <c r="B515" s="20">
        <v>2118</v>
      </c>
      <c r="C515" s="21">
        <v>45057</v>
      </c>
      <c r="D515" s="20">
        <v>3291.84</v>
      </c>
      <c r="E515" s="22" t="s">
        <v>10</v>
      </c>
      <c r="F515" s="22" t="s">
        <v>11</v>
      </c>
      <c r="G515" s="22" t="s">
        <v>12</v>
      </c>
    </row>
    <row r="516" ht="15.15" spans="1:7">
      <c r="A516" s="20">
        <v>514</v>
      </c>
      <c r="B516" s="20">
        <v>5692</v>
      </c>
      <c r="C516" s="21">
        <v>45108</v>
      </c>
      <c r="D516" s="20">
        <v>3291.84</v>
      </c>
      <c r="E516" s="22" t="s">
        <v>10</v>
      </c>
      <c r="F516" s="22" t="s">
        <v>13</v>
      </c>
      <c r="G516" s="22" t="s">
        <v>20</v>
      </c>
    </row>
    <row r="517" ht="15.15" spans="1:7">
      <c r="A517" s="20">
        <v>515</v>
      </c>
      <c r="B517" s="20">
        <v>9655</v>
      </c>
      <c r="C517" s="21">
        <v>45040</v>
      </c>
      <c r="D517" s="20">
        <v>3291.84</v>
      </c>
      <c r="E517" s="22" t="s">
        <v>22</v>
      </c>
      <c r="F517" s="22" t="s">
        <v>11</v>
      </c>
      <c r="G517" s="22" t="s">
        <v>15</v>
      </c>
    </row>
    <row r="518" ht="15.15" spans="1:7">
      <c r="A518" s="20">
        <v>516</v>
      </c>
      <c r="B518" s="20">
        <v>6044</v>
      </c>
      <c r="C518" s="21">
        <v>45079</v>
      </c>
      <c r="D518" s="20">
        <v>3291.84</v>
      </c>
      <c r="E518" s="22" t="s">
        <v>10</v>
      </c>
      <c r="F518" s="22" t="s">
        <v>18</v>
      </c>
      <c r="G518" s="22" t="s">
        <v>20</v>
      </c>
    </row>
    <row r="519" ht="15.15" spans="1:7">
      <c r="A519" s="20">
        <v>517</v>
      </c>
      <c r="B519" s="20">
        <v>3480</v>
      </c>
      <c r="C519" s="21">
        <v>45100</v>
      </c>
      <c r="D519" s="20">
        <v>3291.84</v>
      </c>
      <c r="E519" s="22" t="s">
        <v>10</v>
      </c>
      <c r="F519" s="22" t="s">
        <v>11</v>
      </c>
      <c r="G519" s="22" t="s">
        <v>20</v>
      </c>
    </row>
    <row r="520" ht="15.15" spans="1:7">
      <c r="A520" s="20">
        <v>518</v>
      </c>
      <c r="B520" s="20">
        <v>3991</v>
      </c>
      <c r="C520" s="21">
        <v>45285</v>
      </c>
      <c r="D520" s="20">
        <v>3291.84</v>
      </c>
      <c r="E520" s="22" t="s">
        <v>10</v>
      </c>
      <c r="F520" s="22" t="s">
        <v>18</v>
      </c>
      <c r="G520" s="22" t="s">
        <v>15</v>
      </c>
    </row>
    <row r="521" ht="15.15" spans="1:7">
      <c r="A521" s="20">
        <v>519</v>
      </c>
      <c r="B521" s="20">
        <v>6992</v>
      </c>
      <c r="C521" s="21">
        <v>45133</v>
      </c>
      <c r="D521" s="20">
        <v>3291.84</v>
      </c>
      <c r="E521" s="22" t="s">
        <v>10</v>
      </c>
      <c r="F521" s="22" t="s">
        <v>16</v>
      </c>
      <c r="G521" s="22" t="s">
        <v>17</v>
      </c>
    </row>
    <row r="522" ht="15.15" spans="1:7">
      <c r="A522" s="20">
        <v>520</v>
      </c>
      <c r="B522" s="20">
        <v>3159</v>
      </c>
      <c r="C522" s="21">
        <v>45162</v>
      </c>
      <c r="D522" s="20">
        <v>3291.84</v>
      </c>
      <c r="E522" s="22" t="s">
        <v>22</v>
      </c>
      <c r="F522" s="22" t="s">
        <v>13</v>
      </c>
      <c r="G522" s="22" t="s">
        <v>12</v>
      </c>
    </row>
    <row r="523" ht="15.15" spans="1:7">
      <c r="A523" s="20">
        <v>521</v>
      </c>
      <c r="B523" s="20">
        <v>1006</v>
      </c>
      <c r="C523" s="21">
        <v>45036</v>
      </c>
      <c r="D523" s="20">
        <v>3291.84</v>
      </c>
      <c r="E523" s="22" t="s">
        <v>10</v>
      </c>
      <c r="F523" s="22" t="s">
        <v>11</v>
      </c>
      <c r="G523" s="22" t="s">
        <v>17</v>
      </c>
    </row>
    <row r="524" ht="15.15" spans="1:7">
      <c r="A524" s="20">
        <v>522</v>
      </c>
      <c r="B524" s="20">
        <v>4486</v>
      </c>
      <c r="C524" s="21">
        <v>45013</v>
      </c>
      <c r="D524" s="20">
        <v>3291.84</v>
      </c>
      <c r="E524" s="22" t="s">
        <v>10</v>
      </c>
      <c r="F524" s="22" t="s">
        <v>13</v>
      </c>
      <c r="G524" s="22" t="s">
        <v>12</v>
      </c>
    </row>
    <row r="525" ht="15.15" spans="1:7">
      <c r="A525" s="20">
        <v>523</v>
      </c>
      <c r="B525" s="20">
        <v>1917</v>
      </c>
      <c r="C525" s="21">
        <v>45028</v>
      </c>
      <c r="D525" s="20">
        <v>3291.84</v>
      </c>
      <c r="E525" s="22" t="s">
        <v>10</v>
      </c>
      <c r="F525" s="22" t="s">
        <v>11</v>
      </c>
      <c r="G525" s="22" t="s">
        <v>17</v>
      </c>
    </row>
    <row r="526" ht="15.15" spans="1:7">
      <c r="A526" s="20">
        <v>524</v>
      </c>
      <c r="B526" s="20">
        <v>9856</v>
      </c>
      <c r="C526" s="21">
        <v>44940</v>
      </c>
      <c r="D526" s="20">
        <v>3291.84</v>
      </c>
      <c r="E526" s="22" t="s">
        <v>10</v>
      </c>
      <c r="F526" s="22" t="s">
        <v>13</v>
      </c>
      <c r="G526" s="22" t="s">
        <v>20</v>
      </c>
    </row>
    <row r="527" ht="15.15" spans="1:7">
      <c r="A527" s="20">
        <v>525</v>
      </c>
      <c r="B527" s="20">
        <v>1196</v>
      </c>
      <c r="C527" s="21">
        <v>45220</v>
      </c>
      <c r="D527" s="20">
        <v>3291.84</v>
      </c>
      <c r="E527" s="22" t="s">
        <v>10</v>
      </c>
      <c r="F527" s="22" t="s">
        <v>14</v>
      </c>
      <c r="G527" s="22" t="s">
        <v>17</v>
      </c>
    </row>
    <row r="528" ht="15.15" spans="1:7">
      <c r="A528" s="20">
        <v>526</v>
      </c>
      <c r="B528" s="20">
        <v>1982</v>
      </c>
      <c r="C528" s="21">
        <v>45279</v>
      </c>
      <c r="D528" s="20">
        <v>3291.84</v>
      </c>
      <c r="E528" s="22" t="s">
        <v>10</v>
      </c>
      <c r="F528" s="22" t="s">
        <v>11</v>
      </c>
      <c r="G528" s="22" t="s">
        <v>15</v>
      </c>
    </row>
    <row r="529" ht="15.15" spans="1:7">
      <c r="A529" s="20">
        <v>527</v>
      </c>
      <c r="B529" s="20">
        <v>1807</v>
      </c>
      <c r="C529" s="21">
        <v>45059</v>
      </c>
      <c r="D529" s="20">
        <v>3291.84</v>
      </c>
      <c r="E529" s="22" t="s">
        <v>10</v>
      </c>
      <c r="F529" s="22" t="s">
        <v>18</v>
      </c>
      <c r="G529" s="22" t="s">
        <v>15</v>
      </c>
    </row>
    <row r="530" ht="15.15" spans="1:7">
      <c r="A530" s="20">
        <v>528</v>
      </c>
      <c r="B530" s="20">
        <v>1210</v>
      </c>
      <c r="C530" s="21">
        <v>44934</v>
      </c>
      <c r="D530" s="20">
        <v>3291.84</v>
      </c>
      <c r="E530" s="22" t="s">
        <v>10</v>
      </c>
      <c r="F530" s="22" t="s">
        <v>11</v>
      </c>
      <c r="G530" s="22" t="s">
        <v>12</v>
      </c>
    </row>
    <row r="531" ht="15.15" spans="1:7">
      <c r="A531" s="20">
        <v>529</v>
      </c>
      <c r="B531" s="20">
        <v>4218</v>
      </c>
      <c r="C531" s="21">
        <v>44994</v>
      </c>
      <c r="D531" s="20">
        <v>3291.84</v>
      </c>
      <c r="E531" s="22" t="s">
        <v>10</v>
      </c>
      <c r="F531" s="22" t="s">
        <v>14</v>
      </c>
      <c r="G531" s="22" t="s">
        <v>17</v>
      </c>
    </row>
    <row r="532" ht="15.15" spans="1:7">
      <c r="A532" s="20">
        <v>530</v>
      </c>
      <c r="B532" s="20">
        <v>7712</v>
      </c>
      <c r="C532" s="21">
        <v>45253</v>
      </c>
      <c r="D532" s="20">
        <v>3291.84</v>
      </c>
      <c r="E532" s="22" t="s">
        <v>10</v>
      </c>
      <c r="F532" s="22" t="s">
        <v>16</v>
      </c>
      <c r="G532" s="22" t="s">
        <v>20</v>
      </c>
    </row>
    <row r="533" ht="15.15" spans="1:7">
      <c r="A533" s="20">
        <v>531</v>
      </c>
      <c r="B533" s="20">
        <v>277</v>
      </c>
      <c r="C533" s="21">
        <v>44973</v>
      </c>
      <c r="D533" s="20">
        <v>3291.84</v>
      </c>
      <c r="E533" s="22" t="s">
        <v>10</v>
      </c>
      <c r="F533" s="22" t="s">
        <v>13</v>
      </c>
      <c r="G533" s="22" t="s">
        <v>20</v>
      </c>
    </row>
    <row r="534" ht="15.15" spans="1:7">
      <c r="A534" s="20">
        <v>532</v>
      </c>
      <c r="B534" s="20">
        <v>6516</v>
      </c>
      <c r="C534" s="21">
        <v>44956</v>
      </c>
      <c r="D534" s="20">
        <v>3291.84</v>
      </c>
      <c r="E534" s="22" t="s">
        <v>10</v>
      </c>
      <c r="F534" s="22" t="s">
        <v>13</v>
      </c>
      <c r="G534" s="22" t="s">
        <v>20</v>
      </c>
    </row>
    <row r="535" ht="15.15" spans="1:7">
      <c r="A535" s="20">
        <v>533</v>
      </c>
      <c r="B535" s="20">
        <v>6328</v>
      </c>
      <c r="C535" s="21">
        <v>45179</v>
      </c>
      <c r="D535" s="20">
        <v>3291.84</v>
      </c>
      <c r="E535" s="22" t="s">
        <v>10</v>
      </c>
      <c r="F535" s="22" t="s">
        <v>18</v>
      </c>
      <c r="G535" s="22" t="s">
        <v>15</v>
      </c>
    </row>
    <row r="536" ht="15.15" spans="1:7">
      <c r="A536" s="20">
        <v>534</v>
      </c>
      <c r="B536" s="20">
        <v>2107</v>
      </c>
      <c r="C536" s="21">
        <v>44967</v>
      </c>
      <c r="D536" s="20">
        <v>3291.84</v>
      </c>
      <c r="E536" s="22" t="s">
        <v>10</v>
      </c>
      <c r="F536" s="22" t="s">
        <v>11</v>
      </c>
      <c r="G536" s="22" t="s">
        <v>17</v>
      </c>
    </row>
    <row r="537" ht="15.15" spans="1:7">
      <c r="A537" s="20">
        <v>535</v>
      </c>
      <c r="B537" s="20">
        <v>9444</v>
      </c>
      <c r="C537" s="21">
        <v>45201</v>
      </c>
      <c r="D537" s="20">
        <v>3291.84</v>
      </c>
      <c r="E537" s="22" t="s">
        <v>10</v>
      </c>
      <c r="F537" s="22" t="s">
        <v>11</v>
      </c>
      <c r="G537" s="22" t="s">
        <v>15</v>
      </c>
    </row>
    <row r="538" ht="15.15" spans="1:7">
      <c r="A538" s="20">
        <v>536</v>
      </c>
      <c r="B538" s="20">
        <v>6143</v>
      </c>
      <c r="C538" s="21">
        <v>44937</v>
      </c>
      <c r="D538" s="20">
        <v>3291.84</v>
      </c>
      <c r="E538" s="22" t="s">
        <v>10</v>
      </c>
      <c r="F538" s="22" t="s">
        <v>16</v>
      </c>
      <c r="G538" s="22" t="s">
        <v>20</v>
      </c>
    </row>
    <row r="539" ht="15.15" spans="1:7">
      <c r="A539" s="20">
        <v>537</v>
      </c>
      <c r="B539" s="20">
        <v>1674</v>
      </c>
      <c r="C539" s="21">
        <v>45255</v>
      </c>
      <c r="D539" s="20">
        <v>3291.84</v>
      </c>
      <c r="E539" s="22" t="s">
        <v>10</v>
      </c>
      <c r="F539" s="22" t="s">
        <v>18</v>
      </c>
      <c r="G539" s="22" t="s">
        <v>15</v>
      </c>
    </row>
    <row r="540" ht="15.15" spans="1:7">
      <c r="A540" s="20">
        <v>538</v>
      </c>
      <c r="B540" s="20">
        <v>5662</v>
      </c>
      <c r="C540" s="21">
        <v>45272</v>
      </c>
      <c r="D540" s="20">
        <v>3291.84</v>
      </c>
      <c r="E540" s="22" t="s">
        <v>10</v>
      </c>
      <c r="F540" s="22" t="s">
        <v>16</v>
      </c>
      <c r="G540" s="22" t="s">
        <v>20</v>
      </c>
    </row>
    <row r="541" ht="15.15" spans="1:7">
      <c r="A541" s="20">
        <v>539</v>
      </c>
      <c r="B541" s="20">
        <v>557</v>
      </c>
      <c r="C541" s="21">
        <v>45258</v>
      </c>
      <c r="D541" s="20">
        <v>3291.84</v>
      </c>
      <c r="E541" s="22" t="s">
        <v>10</v>
      </c>
      <c r="F541" s="22" t="s">
        <v>18</v>
      </c>
      <c r="G541" s="22" t="s">
        <v>20</v>
      </c>
    </row>
    <row r="542" ht="15.15" spans="1:7">
      <c r="A542" s="20">
        <v>540</v>
      </c>
      <c r="B542" s="20">
        <v>4328</v>
      </c>
      <c r="C542" s="21">
        <v>45130</v>
      </c>
      <c r="D542" s="20">
        <v>3291.84</v>
      </c>
      <c r="E542" s="22" t="s">
        <v>10</v>
      </c>
      <c r="F542" s="22" t="s">
        <v>19</v>
      </c>
      <c r="G542" s="22" t="s">
        <v>15</v>
      </c>
    </row>
    <row r="543" ht="15.15" spans="1:7">
      <c r="A543" s="20">
        <v>541</v>
      </c>
      <c r="B543" s="20">
        <v>6463</v>
      </c>
      <c r="C543" s="21">
        <v>45135</v>
      </c>
      <c r="D543" s="20">
        <v>3291.84</v>
      </c>
      <c r="E543" s="22" t="s">
        <v>10</v>
      </c>
      <c r="F543" s="22" t="s">
        <v>18</v>
      </c>
      <c r="G543" s="22" t="s">
        <v>15</v>
      </c>
    </row>
    <row r="544" ht="15.15" spans="1:7">
      <c r="A544" s="20">
        <v>542</v>
      </c>
      <c r="B544" s="20">
        <v>5332</v>
      </c>
      <c r="C544" s="21">
        <v>45195</v>
      </c>
      <c r="D544" s="20">
        <v>3291.84</v>
      </c>
      <c r="E544" s="22" t="s">
        <v>10</v>
      </c>
      <c r="F544" s="22" t="s">
        <v>16</v>
      </c>
      <c r="G544" s="22" t="s">
        <v>15</v>
      </c>
    </row>
    <row r="545" ht="15.15" spans="1:7">
      <c r="A545" s="20">
        <v>543</v>
      </c>
      <c r="B545" s="20">
        <v>7926</v>
      </c>
      <c r="C545" s="21">
        <v>45249</v>
      </c>
      <c r="D545" s="20">
        <v>3291.84</v>
      </c>
      <c r="E545" s="22" t="s">
        <v>10</v>
      </c>
      <c r="F545" s="22" t="s">
        <v>16</v>
      </c>
      <c r="G545" s="22" t="s">
        <v>20</v>
      </c>
    </row>
    <row r="546" ht="15.15" spans="1:7">
      <c r="A546" s="20">
        <v>544</v>
      </c>
      <c r="B546" s="20">
        <v>5772</v>
      </c>
      <c r="C546" s="21">
        <v>45031</v>
      </c>
      <c r="D546" s="20">
        <v>3291.84</v>
      </c>
      <c r="E546" s="22" t="s">
        <v>10</v>
      </c>
      <c r="F546" s="22" t="s">
        <v>11</v>
      </c>
      <c r="G546" s="22" t="s">
        <v>20</v>
      </c>
    </row>
    <row r="547" ht="15.15" spans="1:7">
      <c r="A547" s="20">
        <v>545</v>
      </c>
      <c r="B547" s="20">
        <v>2094</v>
      </c>
      <c r="C547" s="21">
        <v>45287</v>
      </c>
      <c r="D547" s="20">
        <v>3291.84</v>
      </c>
      <c r="E547" s="22" t="s">
        <v>10</v>
      </c>
      <c r="F547" s="22" t="s">
        <v>18</v>
      </c>
      <c r="G547" s="22" t="s">
        <v>20</v>
      </c>
    </row>
    <row r="548" ht="15.15" spans="1:7">
      <c r="A548" s="20">
        <v>546</v>
      </c>
      <c r="B548" s="20">
        <v>4918</v>
      </c>
      <c r="C548" s="21">
        <v>45176</v>
      </c>
      <c r="D548" s="20">
        <v>3291.84</v>
      </c>
      <c r="E548" s="22" t="s">
        <v>10</v>
      </c>
      <c r="F548" s="22" t="s">
        <v>13</v>
      </c>
      <c r="G548" s="22" t="s">
        <v>17</v>
      </c>
    </row>
    <row r="549" ht="15.15" spans="1:7">
      <c r="A549" s="20">
        <v>547</v>
      </c>
      <c r="B549" s="20">
        <v>7021</v>
      </c>
      <c r="C549" s="21">
        <v>44962</v>
      </c>
      <c r="D549" s="20">
        <v>3291.84</v>
      </c>
      <c r="E549" s="22" t="s">
        <v>10</v>
      </c>
      <c r="F549" s="22" t="s">
        <v>16</v>
      </c>
      <c r="G549" s="22" t="s">
        <v>17</v>
      </c>
    </row>
    <row r="550" ht="15.15" spans="1:7">
      <c r="A550" s="20">
        <v>548</v>
      </c>
      <c r="B550" s="20">
        <v>3327</v>
      </c>
      <c r="C550" s="21">
        <v>45230</v>
      </c>
      <c r="D550" s="20">
        <v>3291.84</v>
      </c>
      <c r="E550" s="22" t="s">
        <v>10</v>
      </c>
      <c r="F550" s="22" t="s">
        <v>16</v>
      </c>
      <c r="G550" s="22" t="s">
        <v>17</v>
      </c>
    </row>
    <row r="551" ht="15.15" spans="1:7">
      <c r="A551" s="20">
        <v>549</v>
      </c>
      <c r="B551" s="20">
        <v>4398</v>
      </c>
      <c r="C551" s="21">
        <v>45025</v>
      </c>
      <c r="D551" s="20">
        <v>3291.84</v>
      </c>
      <c r="E551" s="22" t="s">
        <v>10</v>
      </c>
      <c r="F551" s="22" t="s">
        <v>16</v>
      </c>
      <c r="G551" s="22" t="s">
        <v>20</v>
      </c>
    </row>
    <row r="552" ht="15.15" spans="1:7">
      <c r="A552" s="20">
        <v>550</v>
      </c>
      <c r="B552" s="20">
        <v>5662</v>
      </c>
      <c r="C552" s="21">
        <v>45073</v>
      </c>
      <c r="D552" s="20">
        <v>3291.84</v>
      </c>
      <c r="E552" s="22" t="s">
        <v>10</v>
      </c>
      <c r="F552" s="22" t="s">
        <v>16</v>
      </c>
      <c r="G552" s="22" t="s">
        <v>20</v>
      </c>
    </row>
    <row r="553" ht="15.15" spans="1:7">
      <c r="A553" s="20">
        <v>551</v>
      </c>
      <c r="B553" s="20">
        <v>3720</v>
      </c>
      <c r="C553" s="21">
        <v>45108</v>
      </c>
      <c r="D553" s="20">
        <v>3291.84</v>
      </c>
      <c r="E553" s="22" t="s">
        <v>10</v>
      </c>
      <c r="F553" s="22" t="s">
        <v>11</v>
      </c>
      <c r="G553" s="22" t="s">
        <v>12</v>
      </c>
    </row>
    <row r="554" ht="15.15" spans="1:7">
      <c r="A554" s="20">
        <v>552</v>
      </c>
      <c r="B554" s="20">
        <v>4432</v>
      </c>
      <c r="C554" s="21">
        <v>45156</v>
      </c>
      <c r="D554" s="20">
        <v>3291.84</v>
      </c>
      <c r="E554" s="22" t="s">
        <v>10</v>
      </c>
      <c r="F554" s="22" t="s">
        <v>14</v>
      </c>
      <c r="G554" s="22" t="s">
        <v>15</v>
      </c>
    </row>
    <row r="555" ht="15.15" spans="1:7">
      <c r="A555" s="20">
        <v>553</v>
      </c>
      <c r="B555" s="20">
        <v>6895</v>
      </c>
      <c r="C555" s="21">
        <v>45260</v>
      </c>
      <c r="D555" s="20">
        <v>3291.84</v>
      </c>
      <c r="E555" s="22" t="s">
        <v>10</v>
      </c>
      <c r="F555" s="22" t="s">
        <v>14</v>
      </c>
      <c r="G555" s="22" t="s">
        <v>12</v>
      </c>
    </row>
    <row r="556" ht="15.15" spans="1:7">
      <c r="A556" s="20">
        <v>554</v>
      </c>
      <c r="B556" s="20">
        <v>5218</v>
      </c>
      <c r="C556" s="21">
        <v>45167</v>
      </c>
      <c r="D556" s="20">
        <v>3291.84</v>
      </c>
      <c r="E556" s="22" t="s">
        <v>10</v>
      </c>
      <c r="F556" s="22" t="s">
        <v>13</v>
      </c>
      <c r="G556" s="22" t="s">
        <v>17</v>
      </c>
    </row>
    <row r="557" ht="15.15" spans="1:7">
      <c r="A557" s="20">
        <v>555</v>
      </c>
      <c r="B557" s="20">
        <v>7467</v>
      </c>
      <c r="C557" s="21">
        <v>45290</v>
      </c>
      <c r="D557" s="20">
        <v>3291.84</v>
      </c>
      <c r="E557" s="22" t="s">
        <v>10</v>
      </c>
      <c r="F557" s="22" t="s">
        <v>14</v>
      </c>
      <c r="G557" s="22" t="s">
        <v>17</v>
      </c>
    </row>
    <row r="558" ht="15.15" spans="1:7">
      <c r="A558" s="20">
        <v>556</v>
      </c>
      <c r="B558" s="20">
        <v>8300</v>
      </c>
      <c r="C558" s="21">
        <v>45257</v>
      </c>
      <c r="D558" s="20">
        <v>3291.84</v>
      </c>
      <c r="E558" s="22" t="s">
        <v>10</v>
      </c>
      <c r="F558" s="22" t="s">
        <v>16</v>
      </c>
      <c r="G558" s="22" t="s">
        <v>20</v>
      </c>
    </row>
    <row r="559" ht="15.15" spans="1:7">
      <c r="A559" s="20">
        <v>557</v>
      </c>
      <c r="B559" s="20">
        <v>5216</v>
      </c>
      <c r="C559" s="21">
        <v>45113</v>
      </c>
      <c r="D559" s="20">
        <v>3291.84</v>
      </c>
      <c r="E559" s="22" t="s">
        <v>10</v>
      </c>
      <c r="F559" s="22" t="s">
        <v>16</v>
      </c>
      <c r="G559" s="22" t="s">
        <v>17</v>
      </c>
    </row>
    <row r="560" ht="15.15" spans="1:7">
      <c r="A560" s="20">
        <v>558</v>
      </c>
      <c r="B560" s="20">
        <v>5182</v>
      </c>
      <c r="C560" s="21">
        <v>45288</v>
      </c>
      <c r="D560" s="20">
        <v>3291.84</v>
      </c>
      <c r="E560" s="22" t="s">
        <v>10</v>
      </c>
      <c r="F560" s="22" t="s">
        <v>11</v>
      </c>
      <c r="G560" s="22" t="s">
        <v>20</v>
      </c>
    </row>
    <row r="561" ht="15.15" spans="1:7">
      <c r="A561" s="20">
        <v>559</v>
      </c>
      <c r="B561" s="20">
        <v>2724</v>
      </c>
      <c r="C561" s="21">
        <v>45256</v>
      </c>
      <c r="D561" s="20">
        <v>3291.84</v>
      </c>
      <c r="E561" s="22" t="s">
        <v>10</v>
      </c>
      <c r="F561" s="22" t="s">
        <v>11</v>
      </c>
      <c r="G561" s="22" t="s">
        <v>17</v>
      </c>
    </row>
    <row r="562" ht="15.15" spans="1:7">
      <c r="A562" s="20">
        <v>560</v>
      </c>
      <c r="B562" s="20">
        <v>3177</v>
      </c>
      <c r="C562" s="21">
        <v>44985</v>
      </c>
      <c r="D562" s="20">
        <v>3291.84</v>
      </c>
      <c r="E562" s="22" t="s">
        <v>10</v>
      </c>
      <c r="F562" s="22" t="s">
        <v>13</v>
      </c>
      <c r="G562" s="22" t="s">
        <v>12</v>
      </c>
    </row>
    <row r="563" ht="15.15" spans="1:7">
      <c r="A563" s="20">
        <v>561</v>
      </c>
      <c r="B563" s="20">
        <v>600</v>
      </c>
      <c r="C563" s="21">
        <v>45167</v>
      </c>
      <c r="D563" s="20">
        <v>3291.84</v>
      </c>
      <c r="E563" s="22" t="s">
        <v>10</v>
      </c>
      <c r="F563" s="22" t="s">
        <v>11</v>
      </c>
      <c r="G563" s="22" t="s">
        <v>12</v>
      </c>
    </row>
    <row r="564" ht="15.15" spans="1:7">
      <c r="A564" s="20">
        <v>562</v>
      </c>
      <c r="B564" s="20">
        <v>1494</v>
      </c>
      <c r="C564" s="21">
        <v>45048</v>
      </c>
      <c r="D564" s="20">
        <v>3291.84</v>
      </c>
      <c r="E564" s="22" t="s">
        <v>10</v>
      </c>
      <c r="F564" s="22" t="s">
        <v>19</v>
      </c>
      <c r="G564" s="22" t="s">
        <v>12</v>
      </c>
    </row>
    <row r="565" ht="15.15" spans="1:7">
      <c r="A565" s="20">
        <v>563</v>
      </c>
      <c r="B565" s="20">
        <v>3451</v>
      </c>
      <c r="C565" s="21">
        <v>45240</v>
      </c>
      <c r="D565" s="20">
        <v>3291.84</v>
      </c>
      <c r="E565" s="22" t="s">
        <v>10</v>
      </c>
      <c r="F565" s="22" t="s">
        <v>18</v>
      </c>
      <c r="G565" s="22" t="s">
        <v>12</v>
      </c>
    </row>
    <row r="566" ht="15.15" spans="1:7">
      <c r="A566" s="20">
        <v>564</v>
      </c>
      <c r="B566" s="20">
        <v>5240</v>
      </c>
      <c r="C566" s="21">
        <v>45042</v>
      </c>
      <c r="D566" s="20">
        <v>3291.84</v>
      </c>
      <c r="E566" s="22" t="s">
        <v>10</v>
      </c>
      <c r="F566" s="22" t="s">
        <v>11</v>
      </c>
      <c r="G566" s="22" t="s">
        <v>20</v>
      </c>
    </row>
    <row r="567" ht="15.15" spans="1:7">
      <c r="A567" s="20">
        <v>565</v>
      </c>
      <c r="B567" s="20">
        <v>6057</v>
      </c>
      <c r="C567" s="21">
        <v>45039</v>
      </c>
      <c r="D567" s="20">
        <v>3291.84</v>
      </c>
      <c r="E567" s="22" t="s">
        <v>10</v>
      </c>
      <c r="F567" s="22" t="s">
        <v>16</v>
      </c>
      <c r="G567" s="22" t="s">
        <v>20</v>
      </c>
    </row>
    <row r="568" ht="15.15" spans="1:7">
      <c r="A568" s="20">
        <v>566</v>
      </c>
      <c r="B568" s="20">
        <v>6489</v>
      </c>
      <c r="C568" s="21">
        <v>45270</v>
      </c>
      <c r="D568" s="20">
        <v>3291.84</v>
      </c>
      <c r="E568" s="22" t="s">
        <v>21</v>
      </c>
      <c r="F568" s="22" t="s">
        <v>18</v>
      </c>
      <c r="G568" s="22" t="s">
        <v>15</v>
      </c>
    </row>
    <row r="569" ht="15.15" spans="1:7">
      <c r="A569" s="20">
        <v>567</v>
      </c>
      <c r="B569" s="20">
        <v>1408</v>
      </c>
      <c r="C569" s="21">
        <v>45232</v>
      </c>
      <c r="D569" s="20">
        <v>3291.84</v>
      </c>
      <c r="E569" s="22" t="s">
        <v>10</v>
      </c>
      <c r="F569" s="22" t="s">
        <v>18</v>
      </c>
      <c r="G569" s="22" t="s">
        <v>20</v>
      </c>
    </row>
    <row r="570" ht="15.15" spans="1:7">
      <c r="A570" s="20">
        <v>568</v>
      </c>
      <c r="B570" s="20">
        <v>8762</v>
      </c>
      <c r="C570" s="21">
        <v>45258</v>
      </c>
      <c r="D570" s="20">
        <v>3291.84</v>
      </c>
      <c r="E570" s="22" t="s">
        <v>10</v>
      </c>
      <c r="F570" s="22" t="s">
        <v>18</v>
      </c>
      <c r="G570" s="22" t="s">
        <v>15</v>
      </c>
    </row>
    <row r="571" ht="15.15" spans="1:7">
      <c r="A571" s="20">
        <v>569</v>
      </c>
      <c r="B571" s="20">
        <v>7948</v>
      </c>
      <c r="C571" s="21">
        <v>45286</v>
      </c>
      <c r="D571" s="20">
        <v>3291.84</v>
      </c>
      <c r="E571" s="22" t="s">
        <v>10</v>
      </c>
      <c r="F571" s="22" t="s">
        <v>16</v>
      </c>
      <c r="G571" s="22" t="s">
        <v>15</v>
      </c>
    </row>
    <row r="572" ht="15.15" spans="1:7">
      <c r="A572" s="20">
        <v>570</v>
      </c>
      <c r="B572" s="20">
        <v>6825</v>
      </c>
      <c r="C572" s="21">
        <v>45103</v>
      </c>
      <c r="D572" s="20">
        <v>3291.84</v>
      </c>
      <c r="E572" s="22" t="s">
        <v>10</v>
      </c>
      <c r="F572" s="22" t="s">
        <v>13</v>
      </c>
      <c r="G572" s="22" t="s">
        <v>15</v>
      </c>
    </row>
    <row r="573" ht="15.15" spans="1:7">
      <c r="A573" s="20">
        <v>571</v>
      </c>
      <c r="B573" s="20">
        <v>7758</v>
      </c>
      <c r="C573" s="21">
        <v>45028</v>
      </c>
      <c r="D573" s="20">
        <v>3291.84</v>
      </c>
      <c r="E573" s="22" t="s">
        <v>10</v>
      </c>
      <c r="F573" s="22" t="s">
        <v>11</v>
      </c>
      <c r="G573" s="22" t="s">
        <v>12</v>
      </c>
    </row>
    <row r="574" ht="15.15" spans="1:7">
      <c r="A574" s="20">
        <v>572</v>
      </c>
      <c r="B574" s="20">
        <v>2292</v>
      </c>
      <c r="C574" s="21">
        <v>45235</v>
      </c>
      <c r="D574" s="20">
        <v>3291.84</v>
      </c>
      <c r="E574" s="22" t="s">
        <v>10</v>
      </c>
      <c r="F574" s="22" t="s">
        <v>16</v>
      </c>
      <c r="G574" s="22" t="s">
        <v>20</v>
      </c>
    </row>
    <row r="575" ht="15.15" spans="1:7">
      <c r="A575" s="20">
        <v>573</v>
      </c>
      <c r="B575" s="20">
        <v>576</v>
      </c>
      <c r="C575" s="21">
        <v>45100</v>
      </c>
      <c r="D575" s="20">
        <v>3291.84</v>
      </c>
      <c r="E575" s="22" t="s">
        <v>10</v>
      </c>
      <c r="F575" s="22" t="s">
        <v>16</v>
      </c>
      <c r="G575" s="22" t="s">
        <v>12</v>
      </c>
    </row>
    <row r="576" ht="15.15" spans="1:7">
      <c r="A576" s="20">
        <v>574</v>
      </c>
      <c r="B576" s="20">
        <v>600</v>
      </c>
      <c r="C576" s="21">
        <v>45259</v>
      </c>
      <c r="D576" s="20">
        <v>3291.84</v>
      </c>
      <c r="E576" s="22" t="s">
        <v>10</v>
      </c>
      <c r="F576" s="22" t="s">
        <v>11</v>
      </c>
      <c r="G576" s="22" t="s">
        <v>12</v>
      </c>
    </row>
    <row r="577" ht="15.15" spans="1:7">
      <c r="A577" s="20">
        <v>575</v>
      </c>
      <c r="B577" s="20">
        <v>4382</v>
      </c>
      <c r="C577" s="21">
        <v>45249</v>
      </c>
      <c r="D577" s="20">
        <v>3291.84</v>
      </c>
      <c r="E577" s="22" t="s">
        <v>10</v>
      </c>
      <c r="F577" s="22" t="s">
        <v>14</v>
      </c>
      <c r="G577" s="22" t="s">
        <v>17</v>
      </c>
    </row>
    <row r="578" ht="15.15" spans="1:7">
      <c r="A578" s="20">
        <v>576</v>
      </c>
      <c r="B578" s="20">
        <v>6448</v>
      </c>
      <c r="C578" s="21">
        <v>45249</v>
      </c>
      <c r="D578" s="20">
        <v>3291.84</v>
      </c>
      <c r="E578" s="22" t="s">
        <v>10</v>
      </c>
      <c r="F578" s="22" t="s">
        <v>16</v>
      </c>
      <c r="G578" s="22" t="s">
        <v>12</v>
      </c>
    </row>
    <row r="579" ht="15.15" spans="1:7">
      <c r="A579" s="20">
        <v>577</v>
      </c>
      <c r="B579" s="20">
        <v>8327</v>
      </c>
      <c r="C579" s="21">
        <v>45244</v>
      </c>
      <c r="D579" s="20">
        <v>3291.84</v>
      </c>
      <c r="E579" s="22" t="s">
        <v>10</v>
      </c>
      <c r="F579" s="22" t="s">
        <v>14</v>
      </c>
      <c r="G579" s="22" t="s">
        <v>20</v>
      </c>
    </row>
    <row r="580" ht="15.15" spans="1:7">
      <c r="A580" s="20">
        <v>578</v>
      </c>
      <c r="B580" s="20">
        <v>2187</v>
      </c>
      <c r="C580" s="21">
        <v>45020</v>
      </c>
      <c r="D580" s="20">
        <v>3291.84</v>
      </c>
      <c r="E580" s="22" t="s">
        <v>10</v>
      </c>
      <c r="F580" s="22" t="s">
        <v>11</v>
      </c>
      <c r="G580" s="22" t="s">
        <v>17</v>
      </c>
    </row>
    <row r="581" ht="15.15" spans="1:7">
      <c r="A581" s="20">
        <v>579</v>
      </c>
      <c r="B581" s="20">
        <v>9052</v>
      </c>
      <c r="C581" s="21">
        <v>45062</v>
      </c>
      <c r="D581" s="20">
        <v>3291.84</v>
      </c>
      <c r="E581" s="22" t="s">
        <v>22</v>
      </c>
      <c r="F581" s="22" t="s">
        <v>18</v>
      </c>
      <c r="G581" s="22" t="s">
        <v>17</v>
      </c>
    </row>
    <row r="582" ht="15.15" spans="1:7">
      <c r="A582" s="20">
        <v>580</v>
      </c>
      <c r="B582" s="20">
        <v>7262</v>
      </c>
      <c r="C582" s="21">
        <v>44984</v>
      </c>
      <c r="D582" s="20">
        <v>3291.84</v>
      </c>
      <c r="E582" s="22" t="s">
        <v>10</v>
      </c>
      <c r="F582" s="22" t="s">
        <v>14</v>
      </c>
      <c r="G582" s="22" t="s">
        <v>12</v>
      </c>
    </row>
    <row r="583" ht="15.15" spans="1:7">
      <c r="A583" s="20">
        <v>581</v>
      </c>
      <c r="B583" s="20">
        <v>1898</v>
      </c>
      <c r="C583" s="21">
        <v>45186</v>
      </c>
      <c r="D583" s="20">
        <v>3291.84</v>
      </c>
      <c r="E583" s="22" t="s">
        <v>10</v>
      </c>
      <c r="F583" s="22" t="s">
        <v>11</v>
      </c>
      <c r="G583" s="22" t="s">
        <v>20</v>
      </c>
    </row>
    <row r="584" ht="15.15" spans="1:7">
      <c r="A584" s="20">
        <v>582</v>
      </c>
      <c r="B584" s="20">
        <v>3336</v>
      </c>
      <c r="C584" s="21">
        <v>44938</v>
      </c>
      <c r="D584" s="20">
        <v>3291.84</v>
      </c>
      <c r="E584" s="22" t="s">
        <v>10</v>
      </c>
      <c r="F584" s="22" t="s">
        <v>18</v>
      </c>
      <c r="G584" s="22" t="s">
        <v>20</v>
      </c>
    </row>
    <row r="585" ht="15.15" spans="1:7">
      <c r="A585" s="20">
        <v>583</v>
      </c>
      <c r="B585" s="20">
        <v>7757</v>
      </c>
      <c r="C585" s="21">
        <v>45185</v>
      </c>
      <c r="D585" s="20">
        <v>3291.84</v>
      </c>
      <c r="E585" s="22" t="s">
        <v>10</v>
      </c>
      <c r="F585" s="22" t="s">
        <v>14</v>
      </c>
      <c r="G585" s="22" t="s">
        <v>12</v>
      </c>
    </row>
    <row r="586" ht="15.15" spans="1:7">
      <c r="A586" s="20">
        <v>584</v>
      </c>
      <c r="B586" s="20">
        <v>7084</v>
      </c>
      <c r="C586" s="21">
        <v>45178</v>
      </c>
      <c r="D586" s="20">
        <v>3291.84</v>
      </c>
      <c r="E586" s="22" t="s">
        <v>10</v>
      </c>
      <c r="F586" s="22" t="s">
        <v>18</v>
      </c>
      <c r="G586" s="22" t="s">
        <v>20</v>
      </c>
    </row>
    <row r="587" ht="15.15" spans="1:7">
      <c r="A587" s="20">
        <v>585</v>
      </c>
      <c r="B587" s="20">
        <v>7159</v>
      </c>
      <c r="C587" s="21">
        <v>45266</v>
      </c>
      <c r="D587" s="20">
        <v>3291.84</v>
      </c>
      <c r="E587" s="22" t="s">
        <v>10</v>
      </c>
      <c r="F587" s="22" t="s">
        <v>13</v>
      </c>
      <c r="G587" s="22" t="s">
        <v>20</v>
      </c>
    </row>
    <row r="588" ht="15.15" spans="1:7">
      <c r="A588" s="20">
        <v>586</v>
      </c>
      <c r="B588" s="20">
        <v>5933</v>
      </c>
      <c r="C588" s="21">
        <v>45138</v>
      </c>
      <c r="D588" s="20">
        <v>3291.84</v>
      </c>
      <c r="E588" s="22" t="s">
        <v>10</v>
      </c>
      <c r="F588" s="22" t="s">
        <v>11</v>
      </c>
      <c r="G588" s="22" t="s">
        <v>20</v>
      </c>
    </row>
    <row r="589" ht="15.15" spans="1:7">
      <c r="A589" s="20">
        <v>587</v>
      </c>
      <c r="B589" s="20">
        <v>6174</v>
      </c>
      <c r="C589" s="21">
        <v>45267</v>
      </c>
      <c r="D589" s="20">
        <v>3291.84</v>
      </c>
      <c r="E589" s="22" t="s">
        <v>10</v>
      </c>
      <c r="F589" s="22" t="s">
        <v>18</v>
      </c>
      <c r="G589" s="22" t="s">
        <v>12</v>
      </c>
    </row>
    <row r="590" ht="15.15" spans="1:7">
      <c r="A590" s="20">
        <v>588</v>
      </c>
      <c r="B590" s="20">
        <v>9623</v>
      </c>
      <c r="C590" s="21">
        <v>45291</v>
      </c>
      <c r="D590" s="20">
        <v>3291.84</v>
      </c>
      <c r="E590" s="22" t="s">
        <v>10</v>
      </c>
      <c r="F590" s="22" t="s">
        <v>11</v>
      </c>
      <c r="G590" s="22" t="s">
        <v>15</v>
      </c>
    </row>
    <row r="591" ht="15.15" spans="1:7">
      <c r="A591" s="20">
        <v>589</v>
      </c>
      <c r="B591" s="20">
        <v>8653</v>
      </c>
      <c r="C591" s="21">
        <v>45104</v>
      </c>
      <c r="D591" s="20">
        <v>3291.84</v>
      </c>
      <c r="E591" s="22" t="s">
        <v>10</v>
      </c>
      <c r="F591" s="22" t="s">
        <v>18</v>
      </c>
      <c r="G591" s="22" t="s">
        <v>17</v>
      </c>
    </row>
    <row r="592" ht="15.15" spans="1:7">
      <c r="A592" s="20">
        <v>590</v>
      </c>
      <c r="B592" s="20">
        <v>8999</v>
      </c>
      <c r="C592" s="21">
        <v>45271</v>
      </c>
      <c r="D592" s="20">
        <v>3291.84</v>
      </c>
      <c r="E592" s="22" t="s">
        <v>10</v>
      </c>
      <c r="F592" s="22" t="s">
        <v>18</v>
      </c>
      <c r="G592" s="22" t="s">
        <v>17</v>
      </c>
    </row>
    <row r="593" ht="15.15" spans="1:7">
      <c r="A593" s="20">
        <v>591</v>
      </c>
      <c r="B593" s="20">
        <v>5216</v>
      </c>
      <c r="C593" s="21">
        <v>45221</v>
      </c>
      <c r="D593" s="20">
        <v>3291.84</v>
      </c>
      <c r="E593" s="22" t="s">
        <v>10</v>
      </c>
      <c r="F593" s="22" t="s">
        <v>16</v>
      </c>
      <c r="G593" s="22" t="s">
        <v>17</v>
      </c>
    </row>
    <row r="594" ht="15.15" spans="1:7">
      <c r="A594" s="20">
        <v>592</v>
      </c>
      <c r="B594" s="20">
        <v>2060</v>
      </c>
      <c r="C594" s="21">
        <v>45110</v>
      </c>
      <c r="D594" s="20">
        <v>3291.84</v>
      </c>
      <c r="E594" s="22" t="s">
        <v>10</v>
      </c>
      <c r="F594" s="22" t="s">
        <v>16</v>
      </c>
      <c r="G594" s="22" t="s">
        <v>17</v>
      </c>
    </row>
    <row r="595" ht="15.15" spans="1:7">
      <c r="A595" s="20">
        <v>593</v>
      </c>
      <c r="B595" s="20">
        <v>5668</v>
      </c>
      <c r="C595" s="21">
        <v>45149</v>
      </c>
      <c r="D595" s="20">
        <v>3291.84</v>
      </c>
      <c r="E595" s="22" t="s">
        <v>10</v>
      </c>
      <c r="F595" s="22" t="s">
        <v>13</v>
      </c>
      <c r="G595" s="22" t="s">
        <v>12</v>
      </c>
    </row>
    <row r="596" ht="15.15" spans="1:7">
      <c r="A596" s="20">
        <v>594</v>
      </c>
      <c r="B596" s="20">
        <v>4004</v>
      </c>
      <c r="C596" s="21">
        <v>45213</v>
      </c>
      <c r="D596" s="20">
        <v>3291.84</v>
      </c>
      <c r="E596" s="22" t="s">
        <v>10</v>
      </c>
      <c r="F596" s="22" t="s">
        <v>14</v>
      </c>
      <c r="G596" s="22" t="s">
        <v>15</v>
      </c>
    </row>
    <row r="597" ht="15.15" spans="1:7">
      <c r="A597" s="20">
        <v>595</v>
      </c>
      <c r="B597" s="20">
        <v>3273</v>
      </c>
      <c r="C597" s="21">
        <v>45040</v>
      </c>
      <c r="D597" s="20">
        <v>3291.84</v>
      </c>
      <c r="E597" s="22" t="s">
        <v>21</v>
      </c>
      <c r="F597" s="22" t="s">
        <v>16</v>
      </c>
      <c r="G597" s="22" t="s">
        <v>20</v>
      </c>
    </row>
    <row r="598" ht="15.15" spans="1:7">
      <c r="A598" s="20">
        <v>596</v>
      </c>
      <c r="B598" s="20">
        <v>5133</v>
      </c>
      <c r="C598" s="21">
        <v>45198</v>
      </c>
      <c r="D598" s="20">
        <v>3291.84</v>
      </c>
      <c r="E598" s="22" t="s">
        <v>10</v>
      </c>
      <c r="F598" s="22" t="s">
        <v>13</v>
      </c>
      <c r="G598" s="22" t="s">
        <v>20</v>
      </c>
    </row>
    <row r="599" ht="15.15" spans="1:7">
      <c r="A599" s="20">
        <v>597</v>
      </c>
      <c r="B599" s="20">
        <v>4266</v>
      </c>
      <c r="C599" s="21">
        <v>45270</v>
      </c>
      <c r="D599" s="20">
        <v>3291.84</v>
      </c>
      <c r="E599" s="22" t="s">
        <v>10</v>
      </c>
      <c r="F599" s="22" t="s">
        <v>18</v>
      </c>
      <c r="G599" s="22" t="s">
        <v>12</v>
      </c>
    </row>
    <row r="600" ht="15.15" spans="1:7">
      <c r="A600" s="20">
        <v>598</v>
      </c>
      <c r="B600" s="20">
        <v>7615</v>
      </c>
      <c r="C600" s="21">
        <v>45168</v>
      </c>
      <c r="D600" s="20">
        <v>3291.84</v>
      </c>
      <c r="E600" s="22" t="s">
        <v>10</v>
      </c>
      <c r="F600" s="22" t="s">
        <v>13</v>
      </c>
      <c r="G600" s="22" t="s">
        <v>15</v>
      </c>
    </row>
    <row r="601" ht="15.15" spans="1:7">
      <c r="A601" s="20">
        <v>599</v>
      </c>
      <c r="B601" s="20">
        <v>4098</v>
      </c>
      <c r="C601" s="21">
        <v>45276</v>
      </c>
      <c r="D601" s="20">
        <v>3291.84</v>
      </c>
      <c r="E601" s="22" t="s">
        <v>10</v>
      </c>
      <c r="F601" s="22" t="s">
        <v>11</v>
      </c>
      <c r="G601" s="22" t="s">
        <v>20</v>
      </c>
    </row>
    <row r="602" ht="15.15" spans="1:7">
      <c r="A602" s="20">
        <v>600</v>
      </c>
      <c r="B602" s="20">
        <v>2122</v>
      </c>
      <c r="C602" s="21">
        <v>45183</v>
      </c>
      <c r="D602" s="20">
        <v>3291.84</v>
      </c>
      <c r="E602" s="22" t="s">
        <v>10</v>
      </c>
      <c r="F602" s="22" t="s">
        <v>16</v>
      </c>
      <c r="G602" s="22" t="s">
        <v>20</v>
      </c>
    </row>
    <row r="603" ht="15.15" spans="1:7">
      <c r="A603" s="20">
        <v>601</v>
      </c>
      <c r="B603" s="20">
        <v>5812</v>
      </c>
      <c r="C603" s="21">
        <v>45205</v>
      </c>
      <c r="D603" s="20">
        <v>3291.84</v>
      </c>
      <c r="E603" s="22" t="s">
        <v>10</v>
      </c>
      <c r="F603" s="22" t="s">
        <v>11</v>
      </c>
      <c r="G603" s="22" t="s">
        <v>15</v>
      </c>
    </row>
    <row r="604" ht="15.15" spans="1:7">
      <c r="A604" s="20">
        <v>602</v>
      </c>
      <c r="B604" s="20">
        <v>5092</v>
      </c>
      <c r="C604" s="21">
        <v>45251</v>
      </c>
      <c r="D604" s="20">
        <v>3291.84</v>
      </c>
      <c r="E604" s="22" t="s">
        <v>10</v>
      </c>
      <c r="F604" s="22" t="s">
        <v>18</v>
      </c>
      <c r="G604" s="22" t="s">
        <v>17</v>
      </c>
    </row>
    <row r="605" ht="15.15" spans="1:7">
      <c r="A605" s="20">
        <v>603</v>
      </c>
      <c r="B605" s="20">
        <v>8387</v>
      </c>
      <c r="C605" s="21">
        <v>45024</v>
      </c>
      <c r="D605" s="20">
        <v>3291.84</v>
      </c>
      <c r="E605" s="22" t="s">
        <v>10</v>
      </c>
      <c r="F605" s="22" t="s">
        <v>14</v>
      </c>
      <c r="G605" s="22" t="s">
        <v>20</v>
      </c>
    </row>
    <row r="606" ht="15.15" spans="1:7">
      <c r="A606" s="20">
        <v>604</v>
      </c>
      <c r="B606" s="20">
        <v>6924</v>
      </c>
      <c r="C606" s="21">
        <v>45176</v>
      </c>
      <c r="D606" s="20">
        <v>3291.84</v>
      </c>
      <c r="E606" s="22" t="s">
        <v>10</v>
      </c>
      <c r="F606" s="22" t="s">
        <v>13</v>
      </c>
      <c r="G606" s="22" t="s">
        <v>15</v>
      </c>
    </row>
    <row r="607" ht="15.15" spans="1:7">
      <c r="A607" s="20">
        <v>605</v>
      </c>
      <c r="B607" s="20">
        <v>3303</v>
      </c>
      <c r="C607" s="21">
        <v>45231</v>
      </c>
      <c r="D607" s="20">
        <v>3291.84</v>
      </c>
      <c r="E607" s="22" t="s">
        <v>10</v>
      </c>
      <c r="F607" s="22" t="s">
        <v>14</v>
      </c>
      <c r="G607" s="22" t="s">
        <v>15</v>
      </c>
    </row>
    <row r="608" ht="15.15" spans="1:7">
      <c r="A608" s="20">
        <v>606</v>
      </c>
      <c r="B608" s="20">
        <v>4341</v>
      </c>
      <c r="C608" s="21">
        <v>45243</v>
      </c>
      <c r="D608" s="20">
        <v>3291.84</v>
      </c>
      <c r="E608" s="22" t="s">
        <v>10</v>
      </c>
      <c r="F608" s="22" t="s">
        <v>11</v>
      </c>
      <c r="G608" s="22" t="s">
        <v>15</v>
      </c>
    </row>
    <row r="609" ht="15.15" spans="1:7">
      <c r="A609" s="20">
        <v>607</v>
      </c>
      <c r="B609" s="20">
        <v>9935</v>
      </c>
      <c r="C609" s="21">
        <v>45256</v>
      </c>
      <c r="D609" s="20">
        <v>3291.84</v>
      </c>
      <c r="E609" s="22" t="s">
        <v>10</v>
      </c>
      <c r="F609" s="22" t="s">
        <v>18</v>
      </c>
      <c r="G609" s="22" t="s">
        <v>17</v>
      </c>
    </row>
    <row r="610" ht="15.15" spans="1:7">
      <c r="A610" s="20">
        <v>608</v>
      </c>
      <c r="B610" s="20">
        <v>8271</v>
      </c>
      <c r="C610" s="21">
        <v>45147</v>
      </c>
      <c r="D610" s="20">
        <v>3291.84</v>
      </c>
      <c r="E610" s="22" t="s">
        <v>10</v>
      </c>
      <c r="F610" s="22" t="s">
        <v>14</v>
      </c>
      <c r="G610" s="22" t="s">
        <v>12</v>
      </c>
    </row>
    <row r="611" ht="15.15" spans="1:7">
      <c r="A611" s="20">
        <v>609</v>
      </c>
      <c r="B611" s="20">
        <v>2191</v>
      </c>
      <c r="C611" s="21">
        <v>45177</v>
      </c>
      <c r="D611" s="20">
        <v>3291.84</v>
      </c>
      <c r="E611" s="22" t="s">
        <v>10</v>
      </c>
      <c r="F611" s="22" t="s">
        <v>11</v>
      </c>
      <c r="G611" s="22" t="s">
        <v>15</v>
      </c>
    </row>
    <row r="612" ht="15.15" spans="1:7">
      <c r="A612" s="20">
        <v>610</v>
      </c>
      <c r="B612" s="20">
        <v>5417</v>
      </c>
      <c r="C612" s="21">
        <v>45245</v>
      </c>
      <c r="D612" s="20">
        <v>3291.84</v>
      </c>
      <c r="E612" s="22" t="s">
        <v>10</v>
      </c>
      <c r="F612" s="22" t="s">
        <v>14</v>
      </c>
      <c r="G612" s="22" t="s">
        <v>15</v>
      </c>
    </row>
    <row r="613" ht="15.15" spans="1:7">
      <c r="A613" s="20">
        <v>611</v>
      </c>
      <c r="B613" s="20">
        <v>5684</v>
      </c>
      <c r="C613" s="21">
        <v>45225</v>
      </c>
      <c r="D613" s="20">
        <v>3291.84</v>
      </c>
      <c r="E613" s="22" t="s">
        <v>10</v>
      </c>
      <c r="F613" s="22" t="s">
        <v>14</v>
      </c>
      <c r="G613" s="22" t="s">
        <v>15</v>
      </c>
    </row>
    <row r="614" ht="15.15" spans="1:7">
      <c r="A614" s="20">
        <v>612</v>
      </c>
      <c r="B614" s="20">
        <v>339</v>
      </c>
      <c r="C614" s="21">
        <v>45000</v>
      </c>
      <c r="D614" s="20">
        <v>3291.84</v>
      </c>
      <c r="E614" s="22" t="s">
        <v>10</v>
      </c>
      <c r="F614" s="22" t="s">
        <v>14</v>
      </c>
      <c r="G614" s="22" t="s">
        <v>20</v>
      </c>
    </row>
    <row r="615" ht="15.15" spans="1:7">
      <c r="A615" s="20">
        <v>613</v>
      </c>
      <c r="B615" s="20">
        <v>1899</v>
      </c>
      <c r="C615" s="21">
        <v>45146</v>
      </c>
      <c r="D615" s="20">
        <v>3291.84</v>
      </c>
      <c r="E615" s="22" t="s">
        <v>10</v>
      </c>
      <c r="F615" s="22" t="s">
        <v>13</v>
      </c>
      <c r="G615" s="22" t="s">
        <v>12</v>
      </c>
    </row>
    <row r="616" ht="15.15" spans="1:7">
      <c r="A616" s="20">
        <v>614</v>
      </c>
      <c r="B616" s="20">
        <v>4288</v>
      </c>
      <c r="C616" s="21">
        <v>45044</v>
      </c>
      <c r="D616" s="20">
        <v>3291.84</v>
      </c>
      <c r="E616" s="22" t="s">
        <v>10</v>
      </c>
      <c r="F616" s="22" t="s">
        <v>13</v>
      </c>
      <c r="G616" s="22" t="s">
        <v>12</v>
      </c>
    </row>
    <row r="617" ht="15.15" spans="1:7">
      <c r="A617" s="20">
        <v>615</v>
      </c>
      <c r="B617" s="20">
        <v>7474</v>
      </c>
      <c r="C617" s="21">
        <v>45271</v>
      </c>
      <c r="D617" s="20">
        <v>3291.84</v>
      </c>
      <c r="E617" s="22" t="s">
        <v>10</v>
      </c>
      <c r="F617" s="22" t="s">
        <v>13</v>
      </c>
      <c r="G617" s="22" t="s">
        <v>20</v>
      </c>
    </row>
    <row r="618" ht="15.15" spans="1:7">
      <c r="A618" s="20">
        <v>616</v>
      </c>
      <c r="B618" s="20">
        <v>8431</v>
      </c>
      <c r="C618" s="21">
        <v>45103</v>
      </c>
      <c r="D618" s="20">
        <v>3291.84</v>
      </c>
      <c r="E618" s="22" t="s">
        <v>10</v>
      </c>
      <c r="F618" s="22" t="s">
        <v>18</v>
      </c>
      <c r="G618" s="22" t="s">
        <v>17</v>
      </c>
    </row>
    <row r="619" ht="15.15" spans="1:7">
      <c r="A619" s="20">
        <v>617</v>
      </c>
      <c r="B619" s="20">
        <v>7166</v>
      </c>
      <c r="C619" s="21">
        <v>45152</v>
      </c>
      <c r="D619" s="20">
        <v>3291.84</v>
      </c>
      <c r="E619" s="22" t="s">
        <v>10</v>
      </c>
      <c r="F619" s="22" t="s">
        <v>13</v>
      </c>
      <c r="G619" s="22" t="s">
        <v>15</v>
      </c>
    </row>
    <row r="620" ht="15.15" spans="1:7">
      <c r="A620" s="20">
        <v>618</v>
      </c>
      <c r="B620" s="20">
        <v>7758</v>
      </c>
      <c r="C620" s="21">
        <v>45203</v>
      </c>
      <c r="D620" s="20">
        <v>3291.84</v>
      </c>
      <c r="E620" s="22" t="s">
        <v>10</v>
      </c>
      <c r="F620" s="22" t="s">
        <v>11</v>
      </c>
      <c r="G620" s="22" t="s">
        <v>15</v>
      </c>
    </row>
    <row r="621" ht="15.15" spans="1:7">
      <c r="A621" s="20">
        <v>619</v>
      </c>
      <c r="B621" s="20">
        <v>436</v>
      </c>
      <c r="C621" s="21">
        <v>45252</v>
      </c>
      <c r="D621" s="20">
        <v>3291.84</v>
      </c>
      <c r="E621" s="22" t="s">
        <v>10</v>
      </c>
      <c r="F621" s="22" t="s">
        <v>18</v>
      </c>
      <c r="G621" s="22" t="s">
        <v>15</v>
      </c>
    </row>
    <row r="622" ht="15.15" spans="1:7">
      <c r="A622" s="20">
        <v>620</v>
      </c>
      <c r="B622" s="20">
        <v>9780</v>
      </c>
      <c r="C622" s="21">
        <v>44977</v>
      </c>
      <c r="D622" s="20">
        <v>3291.84</v>
      </c>
      <c r="E622" s="22" t="s">
        <v>22</v>
      </c>
      <c r="F622" s="22" t="s">
        <v>11</v>
      </c>
      <c r="G622" s="22" t="s">
        <v>12</v>
      </c>
    </row>
    <row r="623" ht="15.15" spans="1:7">
      <c r="A623" s="20">
        <v>621</v>
      </c>
      <c r="B623" s="20">
        <v>1526</v>
      </c>
      <c r="C623" s="21">
        <v>45210</v>
      </c>
      <c r="D623" s="20">
        <v>3291.84</v>
      </c>
      <c r="E623" s="22" t="s">
        <v>10</v>
      </c>
      <c r="F623" s="22" t="s">
        <v>13</v>
      </c>
      <c r="G623" s="22" t="s">
        <v>17</v>
      </c>
    </row>
    <row r="624" ht="15.15" spans="1:7">
      <c r="A624" s="20">
        <v>622</v>
      </c>
      <c r="B624" s="20">
        <v>3883</v>
      </c>
      <c r="C624" s="21">
        <v>45223</v>
      </c>
      <c r="D624" s="20">
        <v>3291.84</v>
      </c>
      <c r="E624" s="22" t="s">
        <v>10</v>
      </c>
      <c r="F624" s="22" t="s">
        <v>13</v>
      </c>
      <c r="G624" s="22" t="s">
        <v>20</v>
      </c>
    </row>
    <row r="625" ht="15.15" spans="1:7">
      <c r="A625" s="20">
        <v>623</v>
      </c>
      <c r="B625" s="20">
        <v>6989</v>
      </c>
      <c r="C625" s="21">
        <v>45114</v>
      </c>
      <c r="D625" s="20">
        <v>3291.84</v>
      </c>
      <c r="E625" s="22" t="s">
        <v>22</v>
      </c>
      <c r="F625" s="22" t="s">
        <v>16</v>
      </c>
      <c r="G625" s="22" t="s">
        <v>12</v>
      </c>
    </row>
    <row r="626" ht="15.15" spans="1:7">
      <c r="A626" s="20">
        <v>624</v>
      </c>
      <c r="B626" s="20">
        <v>6014</v>
      </c>
      <c r="C626" s="21">
        <v>45284</v>
      </c>
      <c r="D626" s="20">
        <v>3291.84</v>
      </c>
      <c r="E626" s="22" t="s">
        <v>10</v>
      </c>
      <c r="F626" s="22" t="s">
        <v>13</v>
      </c>
      <c r="G626" s="22" t="s">
        <v>20</v>
      </c>
    </row>
    <row r="627" ht="15.15" spans="1:7">
      <c r="A627" s="20">
        <v>625</v>
      </c>
      <c r="B627" s="20">
        <v>4362</v>
      </c>
      <c r="C627" s="21">
        <v>45166</v>
      </c>
      <c r="D627" s="20">
        <v>3291.84</v>
      </c>
      <c r="E627" s="22" t="s">
        <v>10</v>
      </c>
      <c r="F627" s="22" t="s">
        <v>13</v>
      </c>
      <c r="G627" s="22" t="s">
        <v>20</v>
      </c>
    </row>
    <row r="628" ht="15.15" spans="1:7">
      <c r="A628" s="20">
        <v>626</v>
      </c>
      <c r="B628" s="20">
        <v>5797</v>
      </c>
      <c r="C628" s="21">
        <v>44976</v>
      </c>
      <c r="D628" s="20">
        <v>3291.84</v>
      </c>
      <c r="E628" s="22" t="s">
        <v>10</v>
      </c>
      <c r="F628" s="22" t="s">
        <v>13</v>
      </c>
      <c r="G628" s="22" t="s">
        <v>15</v>
      </c>
    </row>
    <row r="629" ht="15.15" spans="1:7">
      <c r="A629" s="20">
        <v>627</v>
      </c>
      <c r="B629" s="20">
        <v>3917</v>
      </c>
      <c r="C629" s="21">
        <v>45244</v>
      </c>
      <c r="D629" s="20">
        <v>3291.84</v>
      </c>
      <c r="E629" s="22" t="s">
        <v>10</v>
      </c>
      <c r="F629" s="22" t="s">
        <v>16</v>
      </c>
      <c r="G629" s="22" t="s">
        <v>20</v>
      </c>
    </row>
    <row r="630" ht="15.15" spans="1:7">
      <c r="A630" s="20">
        <v>628</v>
      </c>
      <c r="B630" s="20">
        <v>1909</v>
      </c>
      <c r="C630" s="21">
        <v>45132</v>
      </c>
      <c r="D630" s="20">
        <v>3291.84</v>
      </c>
      <c r="E630" s="22" t="s">
        <v>22</v>
      </c>
      <c r="F630" s="22" t="s">
        <v>13</v>
      </c>
      <c r="G630" s="22" t="s">
        <v>20</v>
      </c>
    </row>
    <row r="631" ht="15.15" spans="1:7">
      <c r="A631" s="20">
        <v>629</v>
      </c>
      <c r="B631" s="20">
        <v>8152</v>
      </c>
      <c r="C631" s="21">
        <v>45279</v>
      </c>
      <c r="D631" s="20">
        <v>3291.84</v>
      </c>
      <c r="E631" s="22" t="s">
        <v>10</v>
      </c>
      <c r="F631" s="22" t="s">
        <v>14</v>
      </c>
      <c r="G631" s="22" t="s">
        <v>15</v>
      </c>
    </row>
    <row r="632" ht="15.15" spans="1:7">
      <c r="A632" s="20">
        <v>630</v>
      </c>
      <c r="B632" s="20">
        <v>1857</v>
      </c>
      <c r="C632" s="21">
        <v>45045</v>
      </c>
      <c r="D632" s="20">
        <v>3291.84</v>
      </c>
      <c r="E632" s="22" t="s">
        <v>10</v>
      </c>
      <c r="F632" s="22" t="s">
        <v>13</v>
      </c>
      <c r="G632" s="22" t="s">
        <v>20</v>
      </c>
    </row>
    <row r="633" ht="15.15" spans="1:7">
      <c r="A633" s="20">
        <v>631</v>
      </c>
      <c r="B633" s="20">
        <v>9868</v>
      </c>
      <c r="C633" s="21">
        <v>45225</v>
      </c>
      <c r="D633" s="20">
        <v>3291.84</v>
      </c>
      <c r="E633" s="22" t="s">
        <v>21</v>
      </c>
      <c r="F633" s="22" t="s">
        <v>14</v>
      </c>
      <c r="G633" s="22" t="s">
        <v>12</v>
      </c>
    </row>
    <row r="634" ht="15.15" spans="1:7">
      <c r="A634" s="20">
        <v>632</v>
      </c>
      <c r="B634" s="20">
        <v>7053</v>
      </c>
      <c r="C634" s="21">
        <v>45169</v>
      </c>
      <c r="D634" s="20">
        <v>3291.84</v>
      </c>
      <c r="E634" s="22" t="s">
        <v>10</v>
      </c>
      <c r="F634" s="22" t="s">
        <v>11</v>
      </c>
      <c r="G634" s="22" t="s">
        <v>12</v>
      </c>
    </row>
    <row r="635" ht="15.15" spans="1:7">
      <c r="A635" s="20">
        <v>633</v>
      </c>
      <c r="B635" s="20">
        <v>5923</v>
      </c>
      <c r="C635" s="21">
        <v>45232</v>
      </c>
      <c r="D635" s="20">
        <v>3291.84</v>
      </c>
      <c r="E635" s="22" t="s">
        <v>10</v>
      </c>
      <c r="F635" s="22" t="s">
        <v>11</v>
      </c>
      <c r="G635" s="22" t="s">
        <v>17</v>
      </c>
    </row>
    <row r="636" ht="15.15" spans="1:7">
      <c r="A636" s="20">
        <v>634</v>
      </c>
      <c r="B636" s="20">
        <v>5118</v>
      </c>
      <c r="C636" s="21">
        <v>45285</v>
      </c>
      <c r="D636" s="20">
        <v>3291.84</v>
      </c>
      <c r="E636" s="22" t="s">
        <v>10</v>
      </c>
      <c r="F636" s="22" t="s">
        <v>18</v>
      </c>
      <c r="G636" s="22" t="s">
        <v>17</v>
      </c>
    </row>
    <row r="637" ht="15.15" spans="1:7">
      <c r="A637" s="20">
        <v>635</v>
      </c>
      <c r="B637" s="20">
        <v>1829</v>
      </c>
      <c r="C637" s="21">
        <v>45262</v>
      </c>
      <c r="D637" s="20">
        <v>3291.84</v>
      </c>
      <c r="E637" s="22" t="s">
        <v>10</v>
      </c>
      <c r="F637" s="22" t="s">
        <v>11</v>
      </c>
      <c r="G637" s="22" t="s">
        <v>17</v>
      </c>
    </row>
    <row r="638" ht="15.15" spans="1:7">
      <c r="A638" s="20">
        <v>636</v>
      </c>
      <c r="B638" s="20">
        <v>8417</v>
      </c>
      <c r="C638" s="21">
        <v>45106</v>
      </c>
      <c r="D638" s="20">
        <v>3291.84</v>
      </c>
      <c r="E638" s="22" t="s">
        <v>10</v>
      </c>
      <c r="F638" s="22" t="s">
        <v>16</v>
      </c>
      <c r="G638" s="22" t="s">
        <v>17</v>
      </c>
    </row>
    <row r="639" ht="15.15" spans="1:7">
      <c r="A639" s="20">
        <v>637</v>
      </c>
      <c r="B639" s="20">
        <v>2278</v>
      </c>
      <c r="C639" s="21">
        <v>45086</v>
      </c>
      <c r="D639" s="20">
        <v>3291.84</v>
      </c>
      <c r="E639" s="22" t="s">
        <v>10</v>
      </c>
      <c r="F639" s="22" t="s">
        <v>16</v>
      </c>
      <c r="G639" s="22" t="s">
        <v>12</v>
      </c>
    </row>
    <row r="640" ht="15.15" spans="1:7">
      <c r="A640" s="20">
        <v>638</v>
      </c>
      <c r="B640" s="20">
        <v>2107</v>
      </c>
      <c r="C640" s="21">
        <v>45171</v>
      </c>
      <c r="D640" s="20">
        <v>3291.84</v>
      </c>
      <c r="E640" s="22" t="s">
        <v>10</v>
      </c>
      <c r="F640" s="22" t="s">
        <v>11</v>
      </c>
      <c r="G640" s="22" t="s">
        <v>17</v>
      </c>
    </row>
    <row r="641" ht="15.15" spans="1:7">
      <c r="A641" s="20">
        <v>639</v>
      </c>
      <c r="B641" s="20">
        <v>2577</v>
      </c>
      <c r="C641" s="21">
        <v>45001</v>
      </c>
      <c r="D641" s="20">
        <v>3291.84</v>
      </c>
      <c r="E641" s="22" t="s">
        <v>10</v>
      </c>
      <c r="F641" s="22" t="s">
        <v>14</v>
      </c>
      <c r="G641" s="22" t="s">
        <v>15</v>
      </c>
    </row>
    <row r="642" ht="15.15" spans="1:7">
      <c r="A642" s="20">
        <v>640</v>
      </c>
      <c r="B642" s="20">
        <v>4637</v>
      </c>
      <c r="C642" s="21">
        <v>45119</v>
      </c>
      <c r="D642" s="20">
        <v>3291.84</v>
      </c>
      <c r="E642" s="22" t="s">
        <v>10</v>
      </c>
      <c r="F642" s="22" t="s">
        <v>14</v>
      </c>
      <c r="G642" s="22" t="s">
        <v>17</v>
      </c>
    </row>
    <row r="643" ht="15.15" spans="1:7">
      <c r="A643" s="20">
        <v>641</v>
      </c>
      <c r="B643" s="20">
        <v>1316</v>
      </c>
      <c r="C643" s="21">
        <v>45228</v>
      </c>
      <c r="D643" s="20">
        <v>3291.84</v>
      </c>
      <c r="E643" s="22" t="s">
        <v>10</v>
      </c>
      <c r="F643" s="22" t="s">
        <v>14</v>
      </c>
      <c r="G643" s="22" t="s">
        <v>20</v>
      </c>
    </row>
    <row r="644" ht="15.15" spans="1:7">
      <c r="A644" s="20">
        <v>642</v>
      </c>
      <c r="B644" s="20">
        <v>3367</v>
      </c>
      <c r="C644" s="21">
        <v>45244</v>
      </c>
      <c r="D644" s="20">
        <v>3291.84</v>
      </c>
      <c r="E644" s="22" t="s">
        <v>10</v>
      </c>
      <c r="F644" s="22" t="s">
        <v>11</v>
      </c>
      <c r="G644" s="22" t="s">
        <v>20</v>
      </c>
    </row>
    <row r="645" ht="15.15" spans="1:7">
      <c r="A645" s="20">
        <v>643</v>
      </c>
      <c r="B645" s="20">
        <v>4136</v>
      </c>
      <c r="C645" s="21">
        <v>44986</v>
      </c>
      <c r="D645" s="20">
        <v>3291.84</v>
      </c>
      <c r="E645" s="22" t="s">
        <v>10</v>
      </c>
      <c r="F645" s="22" t="s">
        <v>13</v>
      </c>
      <c r="G645" s="22" t="s">
        <v>17</v>
      </c>
    </row>
    <row r="646" ht="15.15" spans="1:7">
      <c r="A646" s="20">
        <v>644</v>
      </c>
      <c r="B646" s="20">
        <v>9804</v>
      </c>
      <c r="C646" s="21">
        <v>45141</v>
      </c>
      <c r="D646" s="20">
        <v>3291.84</v>
      </c>
      <c r="E646" s="22" t="s">
        <v>10</v>
      </c>
      <c r="F646" s="22" t="s">
        <v>13</v>
      </c>
      <c r="G646" s="22" t="s">
        <v>15</v>
      </c>
    </row>
    <row r="647" ht="15.15" spans="1:7">
      <c r="A647" s="20">
        <v>645</v>
      </c>
      <c r="B647" s="20">
        <v>3926</v>
      </c>
      <c r="C647" s="21">
        <v>45237</v>
      </c>
      <c r="D647" s="20">
        <v>3291.84</v>
      </c>
      <c r="E647" s="22" t="s">
        <v>10</v>
      </c>
      <c r="F647" s="22" t="s">
        <v>11</v>
      </c>
      <c r="G647" s="22" t="s">
        <v>20</v>
      </c>
    </row>
    <row r="648" ht="15.15" spans="1:7">
      <c r="A648" s="20">
        <v>646</v>
      </c>
      <c r="B648" s="20">
        <v>2311</v>
      </c>
      <c r="C648" s="21">
        <v>45065</v>
      </c>
      <c r="D648" s="20">
        <v>3291.84</v>
      </c>
      <c r="E648" s="22" t="s">
        <v>22</v>
      </c>
      <c r="F648" s="22" t="s">
        <v>18</v>
      </c>
      <c r="G648" s="22" t="s">
        <v>20</v>
      </c>
    </row>
    <row r="649" ht="15.15" spans="1:7">
      <c r="A649" s="20">
        <v>647</v>
      </c>
      <c r="B649" s="20">
        <v>3681</v>
      </c>
      <c r="C649" s="21">
        <v>45277</v>
      </c>
      <c r="D649" s="20">
        <v>3291.84</v>
      </c>
      <c r="E649" s="22" t="s">
        <v>10</v>
      </c>
      <c r="F649" s="22" t="s">
        <v>18</v>
      </c>
      <c r="G649" s="22" t="s">
        <v>20</v>
      </c>
    </row>
    <row r="650" ht="15.15" spans="1:7">
      <c r="A650" s="20">
        <v>648</v>
      </c>
      <c r="B650" s="20">
        <v>7211</v>
      </c>
      <c r="C650" s="21">
        <v>45216</v>
      </c>
      <c r="D650" s="20">
        <v>3291.84</v>
      </c>
      <c r="E650" s="22" t="s">
        <v>10</v>
      </c>
      <c r="F650" s="22" t="s">
        <v>13</v>
      </c>
      <c r="G650" s="22" t="s">
        <v>15</v>
      </c>
    </row>
    <row r="651" ht="15.15" spans="1:7">
      <c r="A651" s="20">
        <v>649</v>
      </c>
      <c r="B651" s="20">
        <v>8554</v>
      </c>
      <c r="C651" s="21">
        <v>45272</v>
      </c>
      <c r="D651" s="20">
        <v>3291.84</v>
      </c>
      <c r="E651" s="22" t="s">
        <v>10</v>
      </c>
      <c r="F651" s="22" t="s">
        <v>16</v>
      </c>
      <c r="G651" s="22" t="s">
        <v>20</v>
      </c>
    </row>
    <row r="652" ht="15.15" spans="1:7">
      <c r="A652" s="20">
        <v>650</v>
      </c>
      <c r="B652" s="20">
        <v>5325</v>
      </c>
      <c r="C652" s="21">
        <v>45091</v>
      </c>
      <c r="D652" s="20">
        <v>3291.84</v>
      </c>
      <c r="E652" s="22" t="s">
        <v>10</v>
      </c>
      <c r="F652" s="22" t="s">
        <v>14</v>
      </c>
      <c r="G652" s="22" t="s">
        <v>20</v>
      </c>
    </row>
    <row r="653" ht="15.15" spans="1:7">
      <c r="A653" s="20">
        <v>651</v>
      </c>
      <c r="B653" s="20">
        <v>5914</v>
      </c>
      <c r="C653" s="21">
        <v>45242</v>
      </c>
      <c r="D653" s="20">
        <v>3291.84</v>
      </c>
      <c r="E653" s="22" t="s">
        <v>10</v>
      </c>
      <c r="F653" s="22" t="s">
        <v>16</v>
      </c>
      <c r="G653" s="22" t="s">
        <v>12</v>
      </c>
    </row>
    <row r="654" ht="15.15" spans="1:7">
      <c r="A654" s="20">
        <v>652</v>
      </c>
      <c r="B654" s="20">
        <v>1664</v>
      </c>
      <c r="C654" s="21">
        <v>44961</v>
      </c>
      <c r="D654" s="20">
        <v>3291.84</v>
      </c>
      <c r="E654" s="22" t="s">
        <v>10</v>
      </c>
      <c r="F654" s="22" t="s">
        <v>11</v>
      </c>
      <c r="G654" s="22" t="s">
        <v>15</v>
      </c>
    </row>
    <row r="655" ht="15.15" spans="1:7">
      <c r="A655" s="20">
        <v>653</v>
      </c>
      <c r="B655" s="20">
        <v>2094</v>
      </c>
      <c r="C655" s="21">
        <v>45248</v>
      </c>
      <c r="D655" s="20">
        <v>3291.84</v>
      </c>
      <c r="E655" s="22" t="s">
        <v>10</v>
      </c>
      <c r="F655" s="22" t="s">
        <v>18</v>
      </c>
      <c r="G655" s="22" t="s">
        <v>15</v>
      </c>
    </row>
    <row r="656" ht="15.15" spans="1:7">
      <c r="A656" s="20">
        <v>654</v>
      </c>
      <c r="B656" s="20">
        <v>2600</v>
      </c>
      <c r="C656" s="21">
        <v>45183</v>
      </c>
      <c r="D656" s="20">
        <v>3291.84</v>
      </c>
      <c r="E656" s="22" t="s">
        <v>10</v>
      </c>
      <c r="F656" s="22" t="s">
        <v>13</v>
      </c>
      <c r="G656" s="22" t="s">
        <v>15</v>
      </c>
    </row>
    <row r="657" ht="15.15" spans="1:7">
      <c r="A657" s="20">
        <v>655</v>
      </c>
      <c r="B657" s="20">
        <v>7513</v>
      </c>
      <c r="C657" s="21">
        <v>45257</v>
      </c>
      <c r="D657" s="20">
        <v>3291.84</v>
      </c>
      <c r="E657" s="22" t="s">
        <v>10</v>
      </c>
      <c r="F657" s="22" t="s">
        <v>11</v>
      </c>
      <c r="G657" s="22" t="s">
        <v>15</v>
      </c>
    </row>
    <row r="658" ht="15.15" spans="1:7">
      <c r="A658" s="20">
        <v>656</v>
      </c>
      <c r="B658" s="20">
        <v>7462</v>
      </c>
      <c r="C658" s="21">
        <v>45228</v>
      </c>
      <c r="D658" s="20">
        <v>3291.84</v>
      </c>
      <c r="E658" s="22" t="s">
        <v>10</v>
      </c>
      <c r="F658" s="22" t="s">
        <v>18</v>
      </c>
      <c r="G658" s="22" t="s">
        <v>17</v>
      </c>
    </row>
    <row r="659" ht="15.15" spans="1:7">
      <c r="A659" s="20">
        <v>657</v>
      </c>
      <c r="B659" s="20">
        <v>2612</v>
      </c>
      <c r="C659" s="21">
        <v>45270</v>
      </c>
      <c r="D659" s="20">
        <v>3291.84</v>
      </c>
      <c r="E659" s="22" t="s">
        <v>10</v>
      </c>
      <c r="F659" s="22" t="s">
        <v>16</v>
      </c>
      <c r="G659" s="22" t="s">
        <v>17</v>
      </c>
    </row>
    <row r="660" ht="15.15" spans="1:7">
      <c r="A660" s="20">
        <v>658</v>
      </c>
      <c r="B660" s="20">
        <v>471</v>
      </c>
      <c r="C660" s="21">
        <v>45264</v>
      </c>
      <c r="D660" s="20">
        <v>3291.84</v>
      </c>
      <c r="E660" s="22" t="s">
        <v>10</v>
      </c>
      <c r="F660" s="22" t="s">
        <v>14</v>
      </c>
      <c r="G660" s="22" t="s">
        <v>15</v>
      </c>
    </row>
    <row r="661" ht="15.15" spans="1:7">
      <c r="A661" s="20">
        <v>659</v>
      </c>
      <c r="B661" s="20">
        <v>7099</v>
      </c>
      <c r="C661" s="21">
        <v>45268</v>
      </c>
      <c r="D661" s="20">
        <v>3291.84</v>
      </c>
      <c r="E661" s="22" t="s">
        <v>10</v>
      </c>
      <c r="F661" s="22" t="s">
        <v>16</v>
      </c>
      <c r="G661" s="22" t="s">
        <v>12</v>
      </c>
    </row>
    <row r="662" ht="15.15" spans="1:7">
      <c r="A662" s="20">
        <v>660</v>
      </c>
      <c r="B662" s="20">
        <v>8045</v>
      </c>
      <c r="C662" s="21">
        <v>45176</v>
      </c>
      <c r="D662" s="20">
        <v>3291.84</v>
      </c>
      <c r="E662" s="22" t="s">
        <v>10</v>
      </c>
      <c r="F662" s="22" t="s">
        <v>11</v>
      </c>
      <c r="G662" s="22" t="s">
        <v>12</v>
      </c>
    </row>
    <row r="663" ht="15.15" spans="1:7">
      <c r="A663" s="20">
        <v>661</v>
      </c>
      <c r="B663" s="20">
        <v>3176</v>
      </c>
      <c r="C663" s="21">
        <v>45066</v>
      </c>
      <c r="D663" s="20">
        <v>3291.84</v>
      </c>
      <c r="E663" s="22" t="s">
        <v>10</v>
      </c>
      <c r="F663" s="22" t="s">
        <v>14</v>
      </c>
      <c r="G663" s="22" t="s">
        <v>12</v>
      </c>
    </row>
    <row r="664" ht="15.15" spans="1:7">
      <c r="A664" s="20">
        <v>662</v>
      </c>
      <c r="B664" s="20">
        <v>6268</v>
      </c>
      <c r="C664" s="21">
        <v>45192</v>
      </c>
      <c r="D664" s="20">
        <v>3291.84</v>
      </c>
      <c r="E664" s="22" t="s">
        <v>10</v>
      </c>
      <c r="F664" s="22" t="s">
        <v>16</v>
      </c>
      <c r="G664" s="22" t="s">
        <v>15</v>
      </c>
    </row>
    <row r="665" ht="15.15" spans="1:7">
      <c r="A665" s="20">
        <v>663</v>
      </c>
      <c r="B665" s="20">
        <v>7200</v>
      </c>
      <c r="C665" s="21">
        <v>45215</v>
      </c>
      <c r="D665" s="20">
        <v>3291.84</v>
      </c>
      <c r="E665" s="22" t="s">
        <v>10</v>
      </c>
      <c r="F665" s="22" t="s">
        <v>18</v>
      </c>
      <c r="G665" s="22" t="s">
        <v>15</v>
      </c>
    </row>
    <row r="666" ht="15.15" spans="1:7">
      <c r="A666" s="20">
        <v>664</v>
      </c>
      <c r="B666" s="20">
        <v>9004</v>
      </c>
      <c r="C666" s="21">
        <v>44954</v>
      </c>
      <c r="D666" s="20">
        <v>3291.84</v>
      </c>
      <c r="E666" s="22" t="s">
        <v>10</v>
      </c>
      <c r="F666" s="22" t="s">
        <v>19</v>
      </c>
      <c r="G666" s="22" t="s">
        <v>15</v>
      </c>
    </row>
    <row r="667" ht="15.15" spans="1:7">
      <c r="A667" s="20">
        <v>665</v>
      </c>
      <c r="B667" s="20">
        <v>2697</v>
      </c>
      <c r="C667" s="21">
        <v>45245</v>
      </c>
      <c r="D667" s="20">
        <v>3291.84</v>
      </c>
      <c r="E667" s="22" t="s">
        <v>10</v>
      </c>
      <c r="F667" s="22" t="s">
        <v>13</v>
      </c>
      <c r="G667" s="22" t="s">
        <v>20</v>
      </c>
    </row>
    <row r="668" ht="15.15" spans="1:7">
      <c r="A668" s="20">
        <v>666</v>
      </c>
      <c r="B668" s="20">
        <v>8956</v>
      </c>
      <c r="C668" s="21">
        <v>45240</v>
      </c>
      <c r="D668" s="20">
        <v>3291.84</v>
      </c>
      <c r="E668" s="22" t="s">
        <v>10</v>
      </c>
      <c r="F668" s="22" t="s">
        <v>18</v>
      </c>
      <c r="G668" s="22" t="s">
        <v>12</v>
      </c>
    </row>
    <row r="669" ht="15.15" spans="1:7">
      <c r="A669" s="20">
        <v>667</v>
      </c>
      <c r="B669" s="20">
        <v>7286</v>
      </c>
      <c r="C669" s="21">
        <v>45253</v>
      </c>
      <c r="D669" s="20">
        <v>3291.84</v>
      </c>
      <c r="E669" s="22" t="s">
        <v>10</v>
      </c>
      <c r="F669" s="22" t="s">
        <v>18</v>
      </c>
      <c r="G669" s="22" t="s">
        <v>15</v>
      </c>
    </row>
    <row r="670" ht="15.15" spans="1:7">
      <c r="A670" s="20">
        <v>668</v>
      </c>
      <c r="B670" s="20">
        <v>6466</v>
      </c>
      <c r="C670" s="21">
        <v>45273</v>
      </c>
      <c r="D670" s="20">
        <v>3291.84</v>
      </c>
      <c r="E670" s="22" t="s">
        <v>10</v>
      </c>
      <c r="F670" s="22" t="s">
        <v>18</v>
      </c>
      <c r="G670" s="22" t="s">
        <v>15</v>
      </c>
    </row>
    <row r="671" ht="15.15" spans="1:7">
      <c r="A671" s="20">
        <v>669</v>
      </c>
      <c r="B671" s="20">
        <v>3277</v>
      </c>
      <c r="C671" s="21">
        <v>45283</v>
      </c>
      <c r="D671" s="20">
        <v>3291.84</v>
      </c>
      <c r="E671" s="22" t="s">
        <v>10</v>
      </c>
      <c r="F671" s="22" t="s">
        <v>13</v>
      </c>
      <c r="G671" s="22" t="s">
        <v>17</v>
      </c>
    </row>
    <row r="672" ht="15.15" spans="1:7">
      <c r="A672" s="20">
        <v>670</v>
      </c>
      <c r="B672" s="20">
        <v>3797</v>
      </c>
      <c r="C672" s="21">
        <v>45282</v>
      </c>
      <c r="D672" s="20">
        <v>3291.84</v>
      </c>
      <c r="E672" s="22" t="s">
        <v>10</v>
      </c>
      <c r="F672" s="22" t="s">
        <v>18</v>
      </c>
      <c r="G672" s="22" t="s">
        <v>12</v>
      </c>
    </row>
    <row r="673" ht="15.15" spans="1:7">
      <c r="A673" s="20">
        <v>671</v>
      </c>
      <c r="B673" s="20">
        <v>7206</v>
      </c>
      <c r="C673" s="21">
        <v>45259</v>
      </c>
      <c r="D673" s="20">
        <v>3291.84</v>
      </c>
      <c r="E673" s="22" t="s">
        <v>10</v>
      </c>
      <c r="F673" s="22" t="s">
        <v>18</v>
      </c>
      <c r="G673" s="22" t="s">
        <v>12</v>
      </c>
    </row>
    <row r="674" ht="15.15" spans="1:7">
      <c r="A674" s="20">
        <v>672</v>
      </c>
      <c r="B674" s="20">
        <v>6412</v>
      </c>
      <c r="C674" s="21">
        <v>45139</v>
      </c>
      <c r="D674" s="20">
        <v>3291.84</v>
      </c>
      <c r="E674" s="22" t="s">
        <v>10</v>
      </c>
      <c r="F674" s="22" t="s">
        <v>14</v>
      </c>
      <c r="G674" s="22" t="s">
        <v>20</v>
      </c>
    </row>
    <row r="675" ht="15.15" spans="1:7">
      <c r="A675" s="20">
        <v>673</v>
      </c>
      <c r="B675" s="20">
        <v>7548</v>
      </c>
      <c r="C675" s="21">
        <v>45109</v>
      </c>
      <c r="D675" s="20">
        <v>3291.84</v>
      </c>
      <c r="E675" s="22" t="s">
        <v>10</v>
      </c>
      <c r="F675" s="22" t="s">
        <v>11</v>
      </c>
      <c r="G675" s="22" t="s">
        <v>15</v>
      </c>
    </row>
    <row r="676" ht="15.15" spans="1:7">
      <c r="A676" s="20">
        <v>674</v>
      </c>
      <c r="B676" s="20">
        <v>7903</v>
      </c>
      <c r="C676" s="21">
        <v>45260</v>
      </c>
      <c r="D676" s="20">
        <v>3291.84</v>
      </c>
      <c r="E676" s="22" t="s">
        <v>10</v>
      </c>
      <c r="F676" s="22" t="s">
        <v>16</v>
      </c>
      <c r="G676" s="22" t="s">
        <v>20</v>
      </c>
    </row>
    <row r="677" ht="15.15" spans="1:7">
      <c r="A677" s="20">
        <v>675</v>
      </c>
      <c r="B677" s="20">
        <v>7811</v>
      </c>
      <c r="C677" s="21">
        <v>45156</v>
      </c>
      <c r="D677" s="20">
        <v>3291.84</v>
      </c>
      <c r="E677" s="22" t="s">
        <v>10</v>
      </c>
      <c r="F677" s="22" t="s">
        <v>14</v>
      </c>
      <c r="G677" s="22" t="s">
        <v>15</v>
      </c>
    </row>
    <row r="678" ht="15.15" spans="1:7">
      <c r="A678" s="20">
        <v>676</v>
      </c>
      <c r="B678" s="20">
        <v>5338</v>
      </c>
      <c r="C678" s="21">
        <v>45070</v>
      </c>
      <c r="D678" s="20">
        <v>3291.84</v>
      </c>
      <c r="E678" s="22" t="s">
        <v>10</v>
      </c>
      <c r="F678" s="22" t="s">
        <v>11</v>
      </c>
      <c r="G678" s="22" t="s">
        <v>17</v>
      </c>
    </row>
    <row r="679" ht="15.15" spans="1:7">
      <c r="A679" s="20">
        <v>677</v>
      </c>
      <c r="B679" s="20">
        <v>6744</v>
      </c>
      <c r="C679" s="21">
        <v>44941</v>
      </c>
      <c r="D679" s="20">
        <v>3291.84</v>
      </c>
      <c r="E679" s="22" t="s">
        <v>10</v>
      </c>
      <c r="F679" s="22" t="s">
        <v>13</v>
      </c>
      <c r="G679" s="22" t="s">
        <v>17</v>
      </c>
    </row>
    <row r="680" ht="15.15" spans="1:7">
      <c r="A680" s="20">
        <v>678</v>
      </c>
      <c r="B680" s="20">
        <v>3815</v>
      </c>
      <c r="C680" s="21">
        <v>45142</v>
      </c>
      <c r="D680" s="20">
        <v>3291.84</v>
      </c>
      <c r="E680" s="22" t="s">
        <v>10</v>
      </c>
      <c r="F680" s="22" t="s">
        <v>18</v>
      </c>
      <c r="G680" s="22" t="s">
        <v>17</v>
      </c>
    </row>
    <row r="681" ht="15.15" spans="1:7">
      <c r="A681" s="20">
        <v>679</v>
      </c>
      <c r="B681" s="20">
        <v>6597</v>
      </c>
      <c r="C681" s="21">
        <v>45234</v>
      </c>
      <c r="D681" s="20">
        <v>3291.84</v>
      </c>
      <c r="E681" s="22" t="s">
        <v>10</v>
      </c>
      <c r="F681" s="22" t="s">
        <v>16</v>
      </c>
      <c r="G681" s="22" t="s">
        <v>17</v>
      </c>
    </row>
    <row r="682" ht="15.15" spans="1:7">
      <c r="A682" s="20">
        <v>680</v>
      </c>
      <c r="B682" s="20">
        <v>620</v>
      </c>
      <c r="C682" s="21">
        <v>45078</v>
      </c>
      <c r="D682" s="20">
        <v>3291.84</v>
      </c>
      <c r="E682" s="22" t="s">
        <v>10</v>
      </c>
      <c r="F682" s="22" t="s">
        <v>13</v>
      </c>
      <c r="G682" s="22" t="s">
        <v>15</v>
      </c>
    </row>
    <row r="683" ht="15.15" spans="1:7">
      <c r="A683" s="20">
        <v>681</v>
      </c>
      <c r="B683" s="20">
        <v>523</v>
      </c>
      <c r="C683" s="21">
        <v>45253</v>
      </c>
      <c r="D683" s="20">
        <v>3291.84</v>
      </c>
      <c r="E683" s="22" t="s">
        <v>10</v>
      </c>
      <c r="F683" s="22" t="s">
        <v>16</v>
      </c>
      <c r="G683" s="22" t="s">
        <v>15</v>
      </c>
    </row>
    <row r="684" ht="15.15" spans="1:7">
      <c r="A684" s="20">
        <v>682</v>
      </c>
      <c r="B684" s="20">
        <v>5540</v>
      </c>
      <c r="C684" s="21">
        <v>44961</v>
      </c>
      <c r="D684" s="20">
        <v>3291.84</v>
      </c>
      <c r="E684" s="22" t="s">
        <v>10</v>
      </c>
      <c r="F684" s="22" t="s">
        <v>18</v>
      </c>
      <c r="G684" s="22" t="s">
        <v>17</v>
      </c>
    </row>
    <row r="685" ht="15.15" spans="1:7">
      <c r="A685" s="20">
        <v>683</v>
      </c>
      <c r="B685" s="20">
        <v>7741</v>
      </c>
      <c r="C685" s="21">
        <v>45016</v>
      </c>
      <c r="D685" s="20">
        <v>3291.84</v>
      </c>
      <c r="E685" s="22" t="s">
        <v>10</v>
      </c>
      <c r="F685" s="22" t="s">
        <v>18</v>
      </c>
      <c r="G685" s="22" t="s">
        <v>12</v>
      </c>
    </row>
    <row r="686" ht="15.15" spans="1:7">
      <c r="A686" s="20">
        <v>684</v>
      </c>
      <c r="B686" s="20">
        <v>3569</v>
      </c>
      <c r="C686" s="21">
        <v>44949</v>
      </c>
      <c r="D686" s="20">
        <v>3291.84</v>
      </c>
      <c r="E686" s="22" t="s">
        <v>10</v>
      </c>
      <c r="F686" s="22" t="s">
        <v>13</v>
      </c>
      <c r="G686" s="22" t="s">
        <v>15</v>
      </c>
    </row>
    <row r="687" ht="15.15" spans="1:7">
      <c r="A687" s="20">
        <v>685</v>
      </c>
      <c r="B687" s="20">
        <v>4682</v>
      </c>
      <c r="C687" s="21">
        <v>45175</v>
      </c>
      <c r="D687" s="20">
        <v>3291.84</v>
      </c>
      <c r="E687" s="22" t="s">
        <v>10</v>
      </c>
      <c r="F687" s="22" t="s">
        <v>18</v>
      </c>
      <c r="G687" s="22" t="s">
        <v>15</v>
      </c>
    </row>
    <row r="688" ht="15.15" spans="1:7">
      <c r="A688" s="20">
        <v>686</v>
      </c>
      <c r="B688" s="20">
        <v>5697</v>
      </c>
      <c r="C688" s="21">
        <v>44952</v>
      </c>
      <c r="D688" s="20">
        <v>3291.84</v>
      </c>
      <c r="E688" s="22" t="s">
        <v>10</v>
      </c>
      <c r="F688" s="22" t="s">
        <v>11</v>
      </c>
      <c r="G688" s="22" t="s">
        <v>15</v>
      </c>
    </row>
    <row r="689" ht="15.15" spans="1:7">
      <c r="A689" s="20">
        <v>687</v>
      </c>
      <c r="B689" s="20">
        <v>4470</v>
      </c>
      <c r="C689" s="21">
        <v>45251</v>
      </c>
      <c r="D689" s="20">
        <v>3291.84</v>
      </c>
      <c r="E689" s="22" t="s">
        <v>10</v>
      </c>
      <c r="F689" s="22" t="s">
        <v>16</v>
      </c>
      <c r="G689" s="22" t="s">
        <v>15</v>
      </c>
    </row>
    <row r="690" ht="15.15" spans="1:7">
      <c r="A690" s="20">
        <v>688</v>
      </c>
      <c r="B690" s="20">
        <v>8719</v>
      </c>
      <c r="C690" s="21">
        <v>45289</v>
      </c>
      <c r="D690" s="20">
        <v>3291.84</v>
      </c>
      <c r="E690" s="22" t="s">
        <v>10</v>
      </c>
      <c r="F690" s="22" t="s">
        <v>19</v>
      </c>
      <c r="G690" s="22" t="s">
        <v>15</v>
      </c>
    </row>
    <row r="691" ht="15.15" spans="1:7">
      <c r="A691" s="20">
        <v>689</v>
      </c>
      <c r="B691" s="20">
        <v>9402</v>
      </c>
      <c r="C691" s="21">
        <v>45177</v>
      </c>
      <c r="D691" s="20">
        <v>3291.84</v>
      </c>
      <c r="E691" s="22" t="s">
        <v>10</v>
      </c>
      <c r="F691" s="22" t="s">
        <v>13</v>
      </c>
      <c r="G691" s="22" t="s">
        <v>20</v>
      </c>
    </row>
    <row r="692" ht="15.15" spans="1:7">
      <c r="A692" s="20">
        <v>690</v>
      </c>
      <c r="B692" s="20">
        <v>2145</v>
      </c>
      <c r="C692" s="21">
        <v>44945</v>
      </c>
      <c r="D692" s="20">
        <v>3291.84</v>
      </c>
      <c r="E692" s="22" t="s">
        <v>10</v>
      </c>
      <c r="F692" s="22" t="s">
        <v>16</v>
      </c>
      <c r="G692" s="22" t="s">
        <v>12</v>
      </c>
    </row>
    <row r="693" ht="15.15" spans="1:7">
      <c r="A693" s="20">
        <v>691</v>
      </c>
      <c r="B693" s="20">
        <v>2530</v>
      </c>
      <c r="C693" s="21">
        <v>45085</v>
      </c>
      <c r="D693" s="20">
        <v>3291.84</v>
      </c>
      <c r="E693" s="22" t="s">
        <v>22</v>
      </c>
      <c r="F693" s="22" t="s">
        <v>18</v>
      </c>
      <c r="G693" s="22" t="s">
        <v>20</v>
      </c>
    </row>
    <row r="694" ht="15.15" spans="1:7">
      <c r="A694" s="20">
        <v>692</v>
      </c>
      <c r="B694" s="20">
        <v>3681</v>
      </c>
      <c r="C694" s="21">
        <v>45103</v>
      </c>
      <c r="D694" s="20">
        <v>3291.84</v>
      </c>
      <c r="E694" s="22" t="s">
        <v>10</v>
      </c>
      <c r="F694" s="22" t="s">
        <v>18</v>
      </c>
      <c r="G694" s="22" t="s">
        <v>15</v>
      </c>
    </row>
    <row r="695" ht="15.15" spans="1:7">
      <c r="A695" s="20">
        <v>693</v>
      </c>
      <c r="B695" s="20">
        <v>7377</v>
      </c>
      <c r="C695" s="21">
        <v>45149</v>
      </c>
      <c r="D695" s="20">
        <v>3291.84</v>
      </c>
      <c r="E695" s="22" t="s">
        <v>10</v>
      </c>
      <c r="F695" s="22" t="s">
        <v>13</v>
      </c>
      <c r="G695" s="22" t="s">
        <v>17</v>
      </c>
    </row>
    <row r="696" ht="15.15" spans="1:7">
      <c r="A696" s="20">
        <v>694</v>
      </c>
      <c r="B696" s="20">
        <v>6452</v>
      </c>
      <c r="C696" s="21">
        <v>45091</v>
      </c>
      <c r="D696" s="20">
        <v>3291.84</v>
      </c>
      <c r="E696" s="22" t="s">
        <v>21</v>
      </c>
      <c r="F696" s="22" t="s">
        <v>13</v>
      </c>
      <c r="G696" s="22" t="s">
        <v>17</v>
      </c>
    </row>
    <row r="697" ht="15.15" spans="1:7">
      <c r="A697" s="20">
        <v>695</v>
      </c>
      <c r="B697" s="20">
        <v>682</v>
      </c>
      <c r="C697" s="21">
        <v>45270</v>
      </c>
      <c r="D697" s="20">
        <v>3291.84</v>
      </c>
      <c r="E697" s="22" t="s">
        <v>10</v>
      </c>
      <c r="F697" s="22" t="s">
        <v>11</v>
      </c>
      <c r="G697" s="22" t="s">
        <v>17</v>
      </c>
    </row>
    <row r="698" ht="15.15" spans="1:7">
      <c r="A698" s="20">
        <v>696</v>
      </c>
      <c r="B698" s="20">
        <v>1219</v>
      </c>
      <c r="C698" s="21">
        <v>44950</v>
      </c>
      <c r="D698" s="20">
        <v>3291.84</v>
      </c>
      <c r="E698" s="22" t="s">
        <v>10</v>
      </c>
      <c r="F698" s="22" t="s">
        <v>13</v>
      </c>
      <c r="G698" s="22" t="s">
        <v>17</v>
      </c>
    </row>
    <row r="699" ht="15.15" spans="1:7">
      <c r="A699" s="20">
        <v>697</v>
      </c>
      <c r="B699" s="20">
        <v>8111</v>
      </c>
      <c r="C699" s="21">
        <v>45070</v>
      </c>
      <c r="D699" s="20">
        <v>3291.84</v>
      </c>
      <c r="E699" s="22" t="s">
        <v>10</v>
      </c>
      <c r="F699" s="22" t="s">
        <v>18</v>
      </c>
      <c r="G699" s="22" t="s">
        <v>17</v>
      </c>
    </row>
    <row r="700" ht="15.15" spans="1:7">
      <c r="A700" s="20">
        <v>698</v>
      </c>
      <c r="B700" s="20">
        <v>289</v>
      </c>
      <c r="C700" s="21">
        <v>45010</v>
      </c>
      <c r="D700" s="20">
        <v>3291.84</v>
      </c>
      <c r="E700" s="22" t="s">
        <v>10</v>
      </c>
      <c r="F700" s="22" t="s">
        <v>11</v>
      </c>
      <c r="G700" s="22" t="s">
        <v>20</v>
      </c>
    </row>
    <row r="701" ht="15.15" spans="1:7">
      <c r="A701" s="20">
        <v>699</v>
      </c>
      <c r="B701" s="20">
        <v>7260</v>
      </c>
      <c r="C701" s="21">
        <v>45271</v>
      </c>
      <c r="D701" s="20">
        <v>3291.84</v>
      </c>
      <c r="E701" s="22" t="s">
        <v>10</v>
      </c>
      <c r="F701" s="22" t="s">
        <v>16</v>
      </c>
      <c r="G701" s="22" t="s">
        <v>17</v>
      </c>
    </row>
    <row r="702" ht="15.15" spans="1:7">
      <c r="A702" s="20">
        <v>700</v>
      </c>
      <c r="B702" s="20">
        <v>8518</v>
      </c>
      <c r="C702" s="21">
        <v>45273</v>
      </c>
      <c r="D702" s="20">
        <v>3291.84</v>
      </c>
      <c r="E702" s="22" t="s">
        <v>10</v>
      </c>
      <c r="F702" s="22" t="s">
        <v>16</v>
      </c>
      <c r="G702" s="22" t="s">
        <v>17</v>
      </c>
    </row>
    <row r="703" ht="15.15" spans="1:7">
      <c r="A703" s="20">
        <v>701</v>
      </c>
      <c r="B703" s="20">
        <v>86</v>
      </c>
      <c r="C703" s="21">
        <v>45133</v>
      </c>
      <c r="D703" s="20">
        <v>3291.84</v>
      </c>
      <c r="E703" s="22" t="s">
        <v>10</v>
      </c>
      <c r="F703" s="22" t="s">
        <v>18</v>
      </c>
      <c r="G703" s="22" t="s">
        <v>12</v>
      </c>
    </row>
    <row r="704" ht="15.15" spans="1:7">
      <c r="A704" s="20">
        <v>702</v>
      </c>
      <c r="B704" s="20">
        <v>7846</v>
      </c>
      <c r="C704" s="21">
        <v>44928</v>
      </c>
      <c r="D704" s="20">
        <v>3291.84</v>
      </c>
      <c r="E704" s="22" t="s">
        <v>10</v>
      </c>
      <c r="F704" s="22" t="s">
        <v>16</v>
      </c>
      <c r="G704" s="22" t="s">
        <v>12</v>
      </c>
    </row>
    <row r="705" ht="15.15" spans="1:7">
      <c r="A705" s="20">
        <v>703</v>
      </c>
      <c r="B705" s="20">
        <v>3729</v>
      </c>
      <c r="C705" s="21">
        <v>44951</v>
      </c>
      <c r="D705" s="20">
        <v>3291.84</v>
      </c>
      <c r="E705" s="22" t="s">
        <v>10</v>
      </c>
      <c r="F705" s="22" t="s">
        <v>11</v>
      </c>
      <c r="G705" s="22" t="s">
        <v>12</v>
      </c>
    </row>
    <row r="706" ht="15.15" spans="1:7">
      <c r="A706" s="20">
        <v>704</v>
      </c>
      <c r="B706" s="20">
        <v>6901</v>
      </c>
      <c r="C706" s="21">
        <v>45254</v>
      </c>
      <c r="D706" s="20">
        <v>3291.84</v>
      </c>
      <c r="E706" s="22" t="s">
        <v>10</v>
      </c>
      <c r="F706" s="22" t="s">
        <v>18</v>
      </c>
      <c r="G706" s="22" t="s">
        <v>15</v>
      </c>
    </row>
    <row r="707" ht="15.15" spans="1:7">
      <c r="A707" s="20">
        <v>705</v>
      </c>
      <c r="B707" s="20">
        <v>6922</v>
      </c>
      <c r="C707" s="21">
        <v>45208</v>
      </c>
      <c r="D707" s="20">
        <v>3291.84</v>
      </c>
      <c r="E707" s="22" t="s">
        <v>10</v>
      </c>
      <c r="F707" s="22" t="s">
        <v>16</v>
      </c>
      <c r="G707" s="22" t="s">
        <v>15</v>
      </c>
    </row>
    <row r="708" ht="15.15" spans="1:7">
      <c r="A708" s="20">
        <v>706</v>
      </c>
      <c r="B708" s="20">
        <v>1795</v>
      </c>
      <c r="C708" s="21">
        <v>45112</v>
      </c>
      <c r="D708" s="20">
        <v>3291.84</v>
      </c>
      <c r="E708" s="22" t="s">
        <v>10</v>
      </c>
      <c r="F708" s="22" t="s">
        <v>16</v>
      </c>
      <c r="G708" s="22" t="s">
        <v>12</v>
      </c>
    </row>
    <row r="709" ht="15.15" spans="1:7">
      <c r="A709" s="20">
        <v>707</v>
      </c>
      <c r="B709" s="20">
        <v>9372</v>
      </c>
      <c r="C709" s="21">
        <v>45234</v>
      </c>
      <c r="D709" s="20">
        <v>3291.84</v>
      </c>
      <c r="E709" s="22" t="s">
        <v>10</v>
      </c>
      <c r="F709" s="22" t="s">
        <v>14</v>
      </c>
      <c r="G709" s="22" t="s">
        <v>20</v>
      </c>
    </row>
    <row r="710" ht="15.15" spans="1:7">
      <c r="A710" s="20">
        <v>708</v>
      </c>
      <c r="B710" s="20">
        <v>4364</v>
      </c>
      <c r="C710" s="21">
        <v>45102</v>
      </c>
      <c r="D710" s="20">
        <v>3291.84</v>
      </c>
      <c r="E710" s="22" t="s">
        <v>10</v>
      </c>
      <c r="F710" s="22" t="s">
        <v>11</v>
      </c>
      <c r="G710" s="22" t="s">
        <v>20</v>
      </c>
    </row>
    <row r="711" ht="15.15" spans="1:7">
      <c r="A711" s="20">
        <v>709</v>
      </c>
      <c r="B711" s="20">
        <v>3275</v>
      </c>
      <c r="C711" s="21">
        <v>45234</v>
      </c>
      <c r="D711" s="20">
        <v>3291.84</v>
      </c>
      <c r="E711" s="22" t="s">
        <v>10</v>
      </c>
      <c r="F711" s="22" t="s">
        <v>16</v>
      </c>
      <c r="G711" s="22" t="s">
        <v>12</v>
      </c>
    </row>
    <row r="712" ht="15.15" spans="1:7">
      <c r="A712" s="20">
        <v>710</v>
      </c>
      <c r="B712" s="20">
        <v>6408</v>
      </c>
      <c r="C712" s="21">
        <v>44959</v>
      </c>
      <c r="D712" s="20">
        <v>3291.84</v>
      </c>
      <c r="E712" s="22" t="s">
        <v>10</v>
      </c>
      <c r="F712" s="22" t="s">
        <v>18</v>
      </c>
      <c r="G712" s="22" t="s">
        <v>17</v>
      </c>
    </row>
    <row r="713" ht="15.15" spans="1:7">
      <c r="A713" s="20">
        <v>711</v>
      </c>
      <c r="B713" s="20">
        <v>3200</v>
      </c>
      <c r="C713" s="21">
        <v>44986</v>
      </c>
      <c r="D713" s="20">
        <v>3291.84</v>
      </c>
      <c r="E713" s="22" t="s">
        <v>10</v>
      </c>
      <c r="F713" s="22" t="s">
        <v>13</v>
      </c>
      <c r="G713" s="22" t="s">
        <v>20</v>
      </c>
    </row>
    <row r="714" ht="15.15" spans="1:7">
      <c r="A714" s="20">
        <v>712</v>
      </c>
      <c r="B714" s="20">
        <v>7825</v>
      </c>
      <c r="C714" s="21">
        <v>45252</v>
      </c>
      <c r="D714" s="20">
        <v>3291.84</v>
      </c>
      <c r="E714" s="22" t="s">
        <v>10</v>
      </c>
      <c r="F714" s="22" t="s">
        <v>18</v>
      </c>
      <c r="G714" s="22" t="s">
        <v>15</v>
      </c>
    </row>
    <row r="715" ht="15.15" spans="1:7">
      <c r="A715" s="20">
        <v>713</v>
      </c>
      <c r="B715" s="20">
        <v>3304</v>
      </c>
      <c r="C715" s="21">
        <v>45213</v>
      </c>
      <c r="D715" s="20">
        <v>3291.84</v>
      </c>
      <c r="E715" s="22" t="s">
        <v>10</v>
      </c>
      <c r="F715" s="22" t="s">
        <v>14</v>
      </c>
      <c r="G715" s="22" t="s">
        <v>12</v>
      </c>
    </row>
    <row r="716" ht="15.15" spans="1:7">
      <c r="A716" s="20">
        <v>714</v>
      </c>
      <c r="B716" s="20">
        <v>389</v>
      </c>
      <c r="C716" s="21">
        <v>45231</v>
      </c>
      <c r="D716" s="20">
        <v>3291.84</v>
      </c>
      <c r="E716" s="22" t="s">
        <v>10</v>
      </c>
      <c r="F716" s="22" t="s">
        <v>14</v>
      </c>
      <c r="G716" s="22" t="s">
        <v>17</v>
      </c>
    </row>
    <row r="717" ht="15.15" spans="1:7">
      <c r="A717" s="20">
        <v>715</v>
      </c>
      <c r="B717" s="20">
        <v>5053</v>
      </c>
      <c r="C717" s="21">
        <v>45157</v>
      </c>
      <c r="D717" s="20">
        <v>3291.84</v>
      </c>
      <c r="E717" s="22" t="s">
        <v>10</v>
      </c>
      <c r="F717" s="22" t="s">
        <v>18</v>
      </c>
      <c r="G717" s="22" t="s">
        <v>20</v>
      </c>
    </row>
    <row r="718" ht="15.15" spans="1:7">
      <c r="A718" s="20">
        <v>716</v>
      </c>
      <c r="B718" s="20">
        <v>5590</v>
      </c>
      <c r="C718" s="21">
        <v>45237</v>
      </c>
      <c r="D718" s="20">
        <v>3291.84</v>
      </c>
      <c r="E718" s="22" t="s">
        <v>10</v>
      </c>
      <c r="F718" s="22" t="s">
        <v>18</v>
      </c>
      <c r="G718" s="22" t="s">
        <v>17</v>
      </c>
    </row>
    <row r="719" ht="15.15" spans="1:7">
      <c r="A719" s="20">
        <v>717</v>
      </c>
      <c r="B719" s="20">
        <v>1279</v>
      </c>
      <c r="C719" s="21">
        <v>44968</v>
      </c>
      <c r="D719" s="20">
        <v>3291.84</v>
      </c>
      <c r="E719" s="22" t="s">
        <v>10</v>
      </c>
      <c r="F719" s="22" t="s">
        <v>19</v>
      </c>
      <c r="G719" s="22" t="s">
        <v>15</v>
      </c>
    </row>
    <row r="720" ht="15.15" spans="1:7">
      <c r="A720" s="20">
        <v>718</v>
      </c>
      <c r="B720" s="20">
        <v>6520</v>
      </c>
      <c r="C720" s="21">
        <v>45124</v>
      </c>
      <c r="D720" s="20">
        <v>3291.84</v>
      </c>
      <c r="E720" s="22" t="s">
        <v>10</v>
      </c>
      <c r="F720" s="22" t="s">
        <v>11</v>
      </c>
      <c r="G720" s="22" t="s">
        <v>20</v>
      </c>
    </row>
    <row r="721" ht="15.15" spans="1:7">
      <c r="A721" s="20">
        <v>719</v>
      </c>
      <c r="B721" s="20">
        <v>4109</v>
      </c>
      <c r="C721" s="21">
        <v>45111</v>
      </c>
      <c r="D721" s="20">
        <v>3291.84</v>
      </c>
      <c r="E721" s="22" t="s">
        <v>10</v>
      </c>
      <c r="F721" s="22" t="s">
        <v>11</v>
      </c>
      <c r="G721" s="22" t="s">
        <v>12</v>
      </c>
    </row>
    <row r="722" ht="15.15" spans="1:7">
      <c r="A722" s="20">
        <v>720</v>
      </c>
      <c r="B722" s="20">
        <v>3125</v>
      </c>
      <c r="C722" s="21">
        <v>45246</v>
      </c>
      <c r="D722" s="20">
        <v>3291.84</v>
      </c>
      <c r="E722" s="22" t="s">
        <v>10</v>
      </c>
      <c r="F722" s="22" t="s">
        <v>18</v>
      </c>
      <c r="G722" s="22" t="s">
        <v>20</v>
      </c>
    </row>
    <row r="723" ht="15.15" spans="1:7">
      <c r="A723" s="20">
        <v>721</v>
      </c>
      <c r="B723" s="20">
        <v>9119</v>
      </c>
      <c r="C723" s="21">
        <v>45015</v>
      </c>
      <c r="D723" s="20">
        <v>3291.84</v>
      </c>
      <c r="E723" s="22" t="s">
        <v>10</v>
      </c>
      <c r="F723" s="22" t="s">
        <v>16</v>
      </c>
      <c r="G723" s="22" t="s">
        <v>12</v>
      </c>
    </row>
    <row r="724" ht="15.15" spans="1:7">
      <c r="A724" s="20">
        <v>722</v>
      </c>
      <c r="B724" s="20">
        <v>5172</v>
      </c>
      <c r="C724" s="21">
        <v>44958</v>
      </c>
      <c r="D724" s="20">
        <v>3291.84</v>
      </c>
      <c r="E724" s="22" t="s">
        <v>10</v>
      </c>
      <c r="F724" s="22" t="s">
        <v>11</v>
      </c>
      <c r="G724" s="22" t="s">
        <v>20</v>
      </c>
    </row>
    <row r="725" ht="15.15" spans="1:7">
      <c r="A725" s="20">
        <v>723</v>
      </c>
      <c r="B725" s="20">
        <v>8740</v>
      </c>
      <c r="C725" s="21">
        <v>45067</v>
      </c>
      <c r="D725" s="20">
        <v>3291.84</v>
      </c>
      <c r="E725" s="22" t="s">
        <v>10</v>
      </c>
      <c r="F725" s="22" t="s">
        <v>16</v>
      </c>
      <c r="G725" s="22" t="s">
        <v>17</v>
      </c>
    </row>
    <row r="726" ht="15.15" spans="1:7">
      <c r="A726" s="20">
        <v>724</v>
      </c>
      <c r="B726" s="20">
        <v>5077</v>
      </c>
      <c r="C726" s="21">
        <v>45209</v>
      </c>
      <c r="D726" s="20">
        <v>3291.84</v>
      </c>
      <c r="E726" s="22" t="s">
        <v>10</v>
      </c>
      <c r="F726" s="22" t="s">
        <v>11</v>
      </c>
      <c r="G726" s="22" t="s">
        <v>15</v>
      </c>
    </row>
    <row r="727" ht="15.15" spans="1:7">
      <c r="A727" s="20">
        <v>725</v>
      </c>
      <c r="B727" s="20">
        <v>1853</v>
      </c>
      <c r="C727" s="21">
        <v>45182</v>
      </c>
      <c r="D727" s="20">
        <v>3291.84</v>
      </c>
      <c r="E727" s="22" t="s">
        <v>10</v>
      </c>
      <c r="F727" s="22" t="s">
        <v>18</v>
      </c>
      <c r="G727" s="22" t="s">
        <v>12</v>
      </c>
    </row>
    <row r="728" ht="15.15" spans="1:7">
      <c r="A728" s="20">
        <v>726</v>
      </c>
      <c r="B728" s="20">
        <v>1211</v>
      </c>
      <c r="C728" s="21">
        <v>45131</v>
      </c>
      <c r="D728" s="20">
        <v>3291.84</v>
      </c>
      <c r="E728" s="22" t="s">
        <v>10</v>
      </c>
      <c r="F728" s="22" t="s">
        <v>16</v>
      </c>
      <c r="G728" s="22" t="s">
        <v>12</v>
      </c>
    </row>
    <row r="729" ht="15.15" spans="1:7">
      <c r="A729" s="20">
        <v>727</v>
      </c>
      <c r="B729" s="20">
        <v>6597</v>
      </c>
      <c r="C729" s="21">
        <v>45132</v>
      </c>
      <c r="D729" s="20">
        <v>3291.84</v>
      </c>
      <c r="E729" s="22" t="s">
        <v>10</v>
      </c>
      <c r="F729" s="22" t="s">
        <v>16</v>
      </c>
      <c r="G729" s="22" t="s">
        <v>20</v>
      </c>
    </row>
    <row r="730" ht="15.15" spans="1:7">
      <c r="A730" s="20">
        <v>728</v>
      </c>
      <c r="B730" s="20">
        <v>5816</v>
      </c>
      <c r="C730" s="21">
        <v>45016</v>
      </c>
      <c r="D730" s="20">
        <v>3291.84</v>
      </c>
      <c r="E730" s="22" t="s">
        <v>10</v>
      </c>
      <c r="F730" s="22" t="s">
        <v>18</v>
      </c>
      <c r="G730" s="22" t="s">
        <v>17</v>
      </c>
    </row>
    <row r="731" ht="15.15" spans="1:7">
      <c r="A731" s="20">
        <v>729</v>
      </c>
      <c r="B731" s="20">
        <v>3477</v>
      </c>
      <c r="C731" s="21">
        <v>45022</v>
      </c>
      <c r="D731" s="20">
        <v>3291.84</v>
      </c>
      <c r="E731" s="22" t="s">
        <v>21</v>
      </c>
      <c r="F731" s="22" t="s">
        <v>13</v>
      </c>
      <c r="G731" s="22" t="s">
        <v>17</v>
      </c>
    </row>
    <row r="732" ht="15.15" spans="1:7">
      <c r="A732" s="20">
        <v>730</v>
      </c>
      <c r="B732" s="20">
        <v>5094</v>
      </c>
      <c r="C732" s="21">
        <v>44960</v>
      </c>
      <c r="D732" s="20">
        <v>3291.84</v>
      </c>
      <c r="E732" s="22" t="s">
        <v>10</v>
      </c>
      <c r="F732" s="22" t="s">
        <v>11</v>
      </c>
      <c r="G732" s="22" t="s">
        <v>12</v>
      </c>
    </row>
    <row r="733" ht="15.15" spans="1:7">
      <c r="A733" s="20">
        <v>731</v>
      </c>
      <c r="B733" s="20">
        <v>6821</v>
      </c>
      <c r="C733" s="21">
        <v>45167</v>
      </c>
      <c r="D733" s="20">
        <v>3291.84</v>
      </c>
      <c r="E733" s="22" t="s">
        <v>10</v>
      </c>
      <c r="F733" s="22" t="s">
        <v>11</v>
      </c>
      <c r="G733" s="22" t="s">
        <v>20</v>
      </c>
    </row>
    <row r="734" ht="15.15" spans="1:7">
      <c r="A734" s="20">
        <v>732</v>
      </c>
      <c r="B734" s="20">
        <v>96</v>
      </c>
      <c r="C734" s="21">
        <v>45266</v>
      </c>
      <c r="D734" s="20">
        <v>3291.84</v>
      </c>
      <c r="E734" s="22" t="s">
        <v>10</v>
      </c>
      <c r="F734" s="22" t="s">
        <v>18</v>
      </c>
      <c r="G734" s="22" t="s">
        <v>12</v>
      </c>
    </row>
    <row r="735" ht="15.15" spans="1:7">
      <c r="A735" s="20">
        <v>733</v>
      </c>
      <c r="B735" s="20">
        <v>641</v>
      </c>
      <c r="C735" s="21">
        <v>45189</v>
      </c>
      <c r="D735" s="20">
        <v>3291.84</v>
      </c>
      <c r="E735" s="22" t="s">
        <v>10</v>
      </c>
      <c r="F735" s="22" t="s">
        <v>14</v>
      </c>
      <c r="G735" s="22" t="s">
        <v>20</v>
      </c>
    </row>
    <row r="736" ht="15.15" spans="1:7">
      <c r="A736" s="20">
        <v>734</v>
      </c>
      <c r="B736" s="20">
        <v>1811</v>
      </c>
      <c r="C736" s="21">
        <v>45094</v>
      </c>
      <c r="D736" s="20">
        <v>3291.84</v>
      </c>
      <c r="E736" s="22" t="s">
        <v>10</v>
      </c>
      <c r="F736" s="22" t="s">
        <v>16</v>
      </c>
      <c r="G736" s="22" t="s">
        <v>20</v>
      </c>
    </row>
    <row r="737" ht="15.15" spans="1:7">
      <c r="A737" s="20">
        <v>735</v>
      </c>
      <c r="B737" s="20">
        <v>1643</v>
      </c>
      <c r="C737" s="21">
        <v>44943</v>
      </c>
      <c r="D737" s="20">
        <v>3291.84</v>
      </c>
      <c r="E737" s="22" t="s">
        <v>10</v>
      </c>
      <c r="F737" s="22" t="s">
        <v>18</v>
      </c>
      <c r="G737" s="22" t="s">
        <v>17</v>
      </c>
    </row>
    <row r="738" ht="15.15" spans="1:7">
      <c r="A738" s="20">
        <v>736</v>
      </c>
      <c r="B738" s="20">
        <v>5783</v>
      </c>
      <c r="C738" s="21">
        <v>44969</v>
      </c>
      <c r="D738" s="20">
        <v>3291.84</v>
      </c>
      <c r="E738" s="22" t="s">
        <v>10</v>
      </c>
      <c r="F738" s="22" t="s">
        <v>14</v>
      </c>
      <c r="G738" s="22" t="s">
        <v>20</v>
      </c>
    </row>
    <row r="739" ht="15.15" spans="1:7">
      <c r="A739" s="20">
        <v>737</v>
      </c>
      <c r="B739" s="20">
        <v>2220</v>
      </c>
      <c r="C739" s="21">
        <v>45280</v>
      </c>
      <c r="D739" s="20">
        <v>3291.84</v>
      </c>
      <c r="E739" s="22" t="s">
        <v>10</v>
      </c>
      <c r="F739" s="22" t="s">
        <v>14</v>
      </c>
      <c r="G739" s="22" t="s">
        <v>15</v>
      </c>
    </row>
    <row r="740" ht="15.15" spans="1:7">
      <c r="A740" s="20">
        <v>738</v>
      </c>
      <c r="B740" s="20">
        <v>7447</v>
      </c>
      <c r="C740" s="21">
        <v>45078</v>
      </c>
      <c r="D740" s="20">
        <v>3291.84</v>
      </c>
      <c r="E740" s="22" t="s">
        <v>10</v>
      </c>
      <c r="F740" s="22" t="s">
        <v>18</v>
      </c>
      <c r="G740" s="22" t="s">
        <v>15</v>
      </c>
    </row>
    <row r="741" ht="15.15" spans="1:7">
      <c r="A741" s="20">
        <v>739</v>
      </c>
      <c r="B741" s="20">
        <v>2533</v>
      </c>
      <c r="C741" s="21">
        <v>45254</v>
      </c>
      <c r="D741" s="20">
        <v>3291.84</v>
      </c>
      <c r="E741" s="22" t="s">
        <v>10</v>
      </c>
      <c r="F741" s="22" t="s">
        <v>11</v>
      </c>
      <c r="G741" s="22" t="s">
        <v>12</v>
      </c>
    </row>
    <row r="742" ht="15.15" spans="1:7">
      <c r="A742" s="20">
        <v>740</v>
      </c>
      <c r="B742" s="20">
        <v>4516</v>
      </c>
      <c r="C742" s="21">
        <v>45287</v>
      </c>
      <c r="D742" s="20">
        <v>3291.84</v>
      </c>
      <c r="E742" s="22" t="s">
        <v>10</v>
      </c>
      <c r="F742" s="22" t="s">
        <v>18</v>
      </c>
      <c r="G742" s="22" t="s">
        <v>12</v>
      </c>
    </row>
    <row r="743" ht="15.15" spans="1:7">
      <c r="A743" s="20">
        <v>741</v>
      </c>
      <c r="B743" s="20">
        <v>1647</v>
      </c>
      <c r="C743" s="21">
        <v>45281</v>
      </c>
      <c r="D743" s="20">
        <v>3291.84</v>
      </c>
      <c r="E743" s="22" t="s">
        <v>10</v>
      </c>
      <c r="F743" s="22" t="s">
        <v>18</v>
      </c>
      <c r="G743" s="22" t="s">
        <v>12</v>
      </c>
    </row>
    <row r="744" ht="15.15" spans="1:7">
      <c r="A744" s="20">
        <v>742</v>
      </c>
      <c r="B744" s="20">
        <v>9658</v>
      </c>
      <c r="C744" s="21">
        <v>45082</v>
      </c>
      <c r="D744" s="20">
        <v>3291.84</v>
      </c>
      <c r="E744" s="22" t="s">
        <v>10</v>
      </c>
      <c r="F744" s="22" t="s">
        <v>18</v>
      </c>
      <c r="G744" s="22" t="s">
        <v>17</v>
      </c>
    </row>
    <row r="745" ht="15.15" spans="1:7">
      <c r="A745" s="20">
        <v>743</v>
      </c>
      <c r="B745" s="20">
        <v>3163</v>
      </c>
      <c r="C745" s="21">
        <v>45265</v>
      </c>
      <c r="D745" s="20">
        <v>3291.84</v>
      </c>
      <c r="E745" s="22" t="s">
        <v>10</v>
      </c>
      <c r="F745" s="22" t="s">
        <v>16</v>
      </c>
      <c r="G745" s="22" t="s">
        <v>12</v>
      </c>
    </row>
    <row r="746" ht="15.15" spans="1:7">
      <c r="A746" s="20">
        <v>744</v>
      </c>
      <c r="B746" s="20">
        <v>101</v>
      </c>
      <c r="C746" s="21">
        <v>45007</v>
      </c>
      <c r="D746" s="20">
        <v>3291.84</v>
      </c>
      <c r="E746" s="22" t="s">
        <v>10</v>
      </c>
      <c r="F746" s="22" t="s">
        <v>13</v>
      </c>
      <c r="G746" s="22" t="s">
        <v>15</v>
      </c>
    </row>
    <row r="747" ht="15.15" spans="1:7">
      <c r="A747" s="20">
        <v>745</v>
      </c>
      <c r="B747" s="20">
        <v>8898</v>
      </c>
      <c r="C747" s="21">
        <v>45036</v>
      </c>
      <c r="D747" s="20">
        <v>3291.84</v>
      </c>
      <c r="E747" s="22" t="s">
        <v>10</v>
      </c>
      <c r="F747" s="22" t="s">
        <v>13</v>
      </c>
      <c r="G747" s="22" t="s">
        <v>12</v>
      </c>
    </row>
    <row r="748" ht="15.15" spans="1:7">
      <c r="A748" s="20">
        <v>746</v>
      </c>
      <c r="B748" s="20">
        <v>2016</v>
      </c>
      <c r="C748" s="21">
        <v>45258</v>
      </c>
      <c r="D748" s="20">
        <v>3291.84</v>
      </c>
      <c r="E748" s="22" t="s">
        <v>10</v>
      </c>
      <c r="F748" s="22" t="s">
        <v>14</v>
      </c>
      <c r="G748" s="22" t="s">
        <v>20</v>
      </c>
    </row>
    <row r="749" ht="15.15" spans="1:7">
      <c r="A749" s="20">
        <v>747</v>
      </c>
      <c r="B749" s="20">
        <v>1504</v>
      </c>
      <c r="C749" s="21">
        <v>45008</v>
      </c>
      <c r="D749" s="20">
        <v>3291.84</v>
      </c>
      <c r="E749" s="22" t="s">
        <v>10</v>
      </c>
      <c r="F749" s="22" t="s">
        <v>14</v>
      </c>
      <c r="G749" s="22" t="s">
        <v>15</v>
      </c>
    </row>
    <row r="750" ht="15.15" spans="1:7">
      <c r="A750" s="20">
        <v>748</v>
      </c>
      <c r="B750" s="20">
        <v>7426</v>
      </c>
      <c r="C750" s="21">
        <v>45250</v>
      </c>
      <c r="D750" s="20">
        <v>3291.84</v>
      </c>
      <c r="E750" s="22" t="s">
        <v>10</v>
      </c>
      <c r="F750" s="22" t="s">
        <v>11</v>
      </c>
      <c r="G750" s="22" t="s">
        <v>20</v>
      </c>
    </row>
    <row r="751" ht="15.15" spans="1:7">
      <c r="A751" s="20">
        <v>749</v>
      </c>
      <c r="B751" s="20">
        <v>390</v>
      </c>
      <c r="C751" s="21">
        <v>45056</v>
      </c>
      <c r="D751" s="20">
        <v>3291.84</v>
      </c>
      <c r="E751" s="22" t="s">
        <v>10</v>
      </c>
      <c r="F751" s="22" t="s">
        <v>13</v>
      </c>
      <c r="G751" s="22" t="s">
        <v>20</v>
      </c>
    </row>
    <row r="752" ht="15.15" spans="1:7">
      <c r="A752" s="20">
        <v>750</v>
      </c>
      <c r="B752" s="20">
        <v>7699</v>
      </c>
      <c r="C752" s="21">
        <v>45275</v>
      </c>
      <c r="D752" s="20">
        <v>3291.84</v>
      </c>
      <c r="E752" s="22" t="s">
        <v>10</v>
      </c>
      <c r="F752" s="22" t="s">
        <v>11</v>
      </c>
      <c r="G752" s="22" t="s">
        <v>17</v>
      </c>
    </row>
    <row r="753" ht="15.15" spans="1:7">
      <c r="A753" s="20">
        <v>751</v>
      </c>
      <c r="B753" s="20">
        <v>5405</v>
      </c>
      <c r="C753" s="21">
        <v>45021</v>
      </c>
      <c r="D753" s="20">
        <v>3291.84</v>
      </c>
      <c r="E753" s="22" t="s">
        <v>10</v>
      </c>
      <c r="F753" s="22" t="s">
        <v>11</v>
      </c>
      <c r="G753" s="22" t="s">
        <v>20</v>
      </c>
    </row>
    <row r="754" ht="15.15" spans="1:7">
      <c r="A754" s="20">
        <v>752</v>
      </c>
      <c r="B754" s="20">
        <v>2114</v>
      </c>
      <c r="C754" s="21">
        <v>44942</v>
      </c>
      <c r="D754" s="20">
        <v>3291.84</v>
      </c>
      <c r="E754" s="22" t="s">
        <v>10</v>
      </c>
      <c r="F754" s="22" t="s">
        <v>13</v>
      </c>
      <c r="G754" s="22" t="s">
        <v>12</v>
      </c>
    </row>
    <row r="755" ht="15.15" spans="1:7">
      <c r="A755" s="20">
        <v>753</v>
      </c>
      <c r="B755" s="20">
        <v>7699</v>
      </c>
      <c r="C755" s="21">
        <v>45081</v>
      </c>
      <c r="D755" s="20">
        <v>3291.84</v>
      </c>
      <c r="E755" s="22" t="s">
        <v>10</v>
      </c>
      <c r="F755" s="22" t="s">
        <v>11</v>
      </c>
      <c r="G755" s="22" t="s">
        <v>12</v>
      </c>
    </row>
    <row r="756" ht="15.15" spans="1:7">
      <c r="A756" s="20">
        <v>754</v>
      </c>
      <c r="B756" s="20">
        <v>8541</v>
      </c>
      <c r="C756" s="21">
        <v>45281</v>
      </c>
      <c r="D756" s="20">
        <v>3291.84</v>
      </c>
      <c r="E756" s="22" t="s">
        <v>10</v>
      </c>
      <c r="F756" s="22" t="s">
        <v>14</v>
      </c>
      <c r="G756" s="22" t="s">
        <v>12</v>
      </c>
    </row>
    <row r="757" ht="15.15" spans="1:7">
      <c r="A757" s="20">
        <v>755</v>
      </c>
      <c r="B757" s="20">
        <v>8554</v>
      </c>
      <c r="C757" s="21">
        <v>45194</v>
      </c>
      <c r="D757" s="20">
        <v>3291.84</v>
      </c>
      <c r="E757" s="22" t="s">
        <v>22</v>
      </c>
      <c r="F757" s="22" t="s">
        <v>16</v>
      </c>
      <c r="G757" s="22" t="s">
        <v>17</v>
      </c>
    </row>
    <row r="758" ht="15.15" spans="1:7">
      <c r="A758" s="20">
        <v>756</v>
      </c>
      <c r="B758" s="20">
        <v>1131</v>
      </c>
      <c r="C758" s="21">
        <v>45284</v>
      </c>
      <c r="D758" s="20">
        <v>3291.84</v>
      </c>
      <c r="E758" s="22" t="s">
        <v>10</v>
      </c>
      <c r="F758" s="22" t="s">
        <v>16</v>
      </c>
      <c r="G758" s="22" t="s">
        <v>20</v>
      </c>
    </row>
    <row r="759" ht="15.15" spans="1:7">
      <c r="A759" s="20">
        <v>757</v>
      </c>
      <c r="B759" s="20">
        <v>2570</v>
      </c>
      <c r="C759" s="21">
        <v>45145</v>
      </c>
      <c r="D759" s="20">
        <v>3291.84</v>
      </c>
      <c r="E759" s="22" t="s">
        <v>10</v>
      </c>
      <c r="F759" s="22" t="s">
        <v>14</v>
      </c>
      <c r="G759" s="22" t="s">
        <v>15</v>
      </c>
    </row>
    <row r="760" ht="15.15" spans="1:7">
      <c r="A760" s="20">
        <v>758</v>
      </c>
      <c r="B760" s="20">
        <v>207</v>
      </c>
      <c r="C760" s="21">
        <v>45224</v>
      </c>
      <c r="D760" s="20">
        <v>3291.84</v>
      </c>
      <c r="E760" s="22" t="s">
        <v>10</v>
      </c>
      <c r="F760" s="22" t="s">
        <v>18</v>
      </c>
      <c r="G760" s="22" t="s">
        <v>15</v>
      </c>
    </row>
    <row r="761" ht="15.15" spans="1:7">
      <c r="A761" s="20">
        <v>759</v>
      </c>
      <c r="B761" s="20">
        <v>632</v>
      </c>
      <c r="C761" s="21">
        <v>45106</v>
      </c>
      <c r="D761" s="20">
        <v>3291.84</v>
      </c>
      <c r="E761" s="22" t="s">
        <v>10</v>
      </c>
      <c r="F761" s="22" t="s">
        <v>11</v>
      </c>
      <c r="G761" s="22" t="s">
        <v>20</v>
      </c>
    </row>
    <row r="762" ht="15.15" spans="1:7">
      <c r="A762" s="20">
        <v>760</v>
      </c>
      <c r="B762" s="20">
        <v>9038</v>
      </c>
      <c r="C762" s="21">
        <v>45250</v>
      </c>
      <c r="D762" s="20">
        <v>3291.84</v>
      </c>
      <c r="E762" s="22" t="s">
        <v>10</v>
      </c>
      <c r="F762" s="22" t="s">
        <v>14</v>
      </c>
      <c r="G762" s="22" t="s">
        <v>17</v>
      </c>
    </row>
    <row r="763" ht="15.15" spans="1:7">
      <c r="A763" s="20">
        <v>761</v>
      </c>
      <c r="B763" s="20">
        <v>1153</v>
      </c>
      <c r="C763" s="21">
        <v>44927</v>
      </c>
      <c r="D763" s="20">
        <v>3291.84</v>
      </c>
      <c r="E763" s="22" t="s">
        <v>10</v>
      </c>
      <c r="F763" s="22" t="s">
        <v>18</v>
      </c>
      <c r="G763" s="22" t="s">
        <v>12</v>
      </c>
    </row>
    <row r="764" ht="15.15" spans="1:7">
      <c r="A764" s="20">
        <v>762</v>
      </c>
      <c r="B764" s="20">
        <v>9973</v>
      </c>
      <c r="C764" s="21">
        <v>44994</v>
      </c>
      <c r="D764" s="20">
        <v>3291.84</v>
      </c>
      <c r="E764" s="22" t="s">
        <v>10</v>
      </c>
      <c r="F764" s="22" t="s">
        <v>11</v>
      </c>
      <c r="G764" s="22" t="s">
        <v>15</v>
      </c>
    </row>
    <row r="765" ht="15.15" spans="1:7">
      <c r="A765" s="20">
        <v>763</v>
      </c>
      <c r="B765" s="20">
        <v>5225</v>
      </c>
      <c r="C765" s="21">
        <v>45284</v>
      </c>
      <c r="D765" s="20">
        <v>3291.84</v>
      </c>
      <c r="E765" s="22" t="s">
        <v>10</v>
      </c>
      <c r="F765" s="22" t="s">
        <v>16</v>
      </c>
      <c r="G765" s="22" t="s">
        <v>15</v>
      </c>
    </row>
    <row r="766" ht="15.15" spans="1:7">
      <c r="A766" s="20">
        <v>764</v>
      </c>
      <c r="B766" s="20">
        <v>6372</v>
      </c>
      <c r="C766" s="21">
        <v>45012</v>
      </c>
      <c r="D766" s="20">
        <v>3291.84</v>
      </c>
      <c r="E766" s="22" t="s">
        <v>10</v>
      </c>
      <c r="F766" s="22" t="s">
        <v>16</v>
      </c>
      <c r="G766" s="22" t="s">
        <v>15</v>
      </c>
    </row>
    <row r="767" ht="15.15" spans="1:7">
      <c r="A767" s="20">
        <v>765</v>
      </c>
      <c r="B767" s="20">
        <v>4044</v>
      </c>
      <c r="C767" s="21">
        <v>45285</v>
      </c>
      <c r="D767" s="20">
        <v>3291.84</v>
      </c>
      <c r="E767" s="22" t="s">
        <v>10</v>
      </c>
      <c r="F767" s="22" t="s">
        <v>13</v>
      </c>
      <c r="G767" s="22" t="s">
        <v>17</v>
      </c>
    </row>
    <row r="768" ht="15.15" spans="1:7">
      <c r="A768" s="20">
        <v>766</v>
      </c>
      <c r="B768" s="20">
        <v>3237</v>
      </c>
      <c r="C768" s="21">
        <v>45207</v>
      </c>
      <c r="D768" s="20">
        <v>3291.84</v>
      </c>
      <c r="E768" s="22" t="s">
        <v>10</v>
      </c>
      <c r="F768" s="22" t="s">
        <v>16</v>
      </c>
      <c r="G768" s="22" t="s">
        <v>20</v>
      </c>
    </row>
    <row r="769" ht="15.15" spans="1:7">
      <c r="A769" s="20">
        <v>767</v>
      </c>
      <c r="B769" s="20">
        <v>6646</v>
      </c>
      <c r="C769" s="21">
        <v>44992</v>
      </c>
      <c r="D769" s="20">
        <v>3291.84</v>
      </c>
      <c r="E769" s="22" t="s">
        <v>10</v>
      </c>
      <c r="F769" s="22" t="s">
        <v>14</v>
      </c>
      <c r="G769" s="22" t="s">
        <v>12</v>
      </c>
    </row>
    <row r="770" ht="15.15" spans="1:7">
      <c r="A770" s="20">
        <v>768</v>
      </c>
      <c r="B770" s="20">
        <v>2607</v>
      </c>
      <c r="C770" s="21">
        <v>45021</v>
      </c>
      <c r="D770" s="20">
        <v>3291.84</v>
      </c>
      <c r="E770" s="22" t="s">
        <v>22</v>
      </c>
      <c r="F770" s="22" t="s">
        <v>13</v>
      </c>
      <c r="G770" s="22" t="s">
        <v>17</v>
      </c>
    </row>
    <row r="771" ht="15.15" spans="1:7">
      <c r="A771" s="20">
        <v>769</v>
      </c>
      <c r="B771" s="20">
        <v>4047</v>
      </c>
      <c r="C771" s="21">
        <v>45259</v>
      </c>
      <c r="D771" s="20">
        <v>3291.84</v>
      </c>
      <c r="E771" s="22" t="s">
        <v>10</v>
      </c>
      <c r="F771" s="22" t="s">
        <v>16</v>
      </c>
      <c r="G771" s="22" t="s">
        <v>12</v>
      </c>
    </row>
    <row r="772" ht="15.15" spans="1:7">
      <c r="A772" s="20">
        <v>770</v>
      </c>
      <c r="B772" s="20">
        <v>9328</v>
      </c>
      <c r="C772" s="21">
        <v>45012</v>
      </c>
      <c r="D772" s="20">
        <v>3291.84</v>
      </c>
      <c r="E772" s="22" t="s">
        <v>10</v>
      </c>
      <c r="F772" s="22" t="s">
        <v>16</v>
      </c>
      <c r="G772" s="22" t="s">
        <v>17</v>
      </c>
    </row>
    <row r="773" ht="15.15" spans="1:7">
      <c r="A773" s="20">
        <v>771</v>
      </c>
      <c r="B773" s="20">
        <v>946</v>
      </c>
      <c r="C773" s="21">
        <v>44964</v>
      </c>
      <c r="D773" s="20">
        <v>3291.84</v>
      </c>
      <c r="E773" s="22" t="s">
        <v>10</v>
      </c>
      <c r="F773" s="22" t="s">
        <v>14</v>
      </c>
      <c r="G773" s="22" t="s">
        <v>20</v>
      </c>
    </row>
    <row r="774" ht="15.15" spans="1:7">
      <c r="A774" s="20">
        <v>772</v>
      </c>
      <c r="B774" s="20">
        <v>5102</v>
      </c>
      <c r="C774" s="21">
        <v>45114</v>
      </c>
      <c r="D774" s="20">
        <v>3291.84</v>
      </c>
      <c r="E774" s="22" t="s">
        <v>10</v>
      </c>
      <c r="F774" s="22" t="s">
        <v>19</v>
      </c>
      <c r="G774" s="22" t="s">
        <v>20</v>
      </c>
    </row>
    <row r="775" ht="15.15" spans="1:7">
      <c r="A775" s="20">
        <v>773</v>
      </c>
      <c r="B775" s="20">
        <v>3365</v>
      </c>
      <c r="C775" s="21">
        <v>44986</v>
      </c>
      <c r="D775" s="20">
        <v>3291.84</v>
      </c>
      <c r="E775" s="22" t="s">
        <v>10</v>
      </c>
      <c r="F775" s="22" t="s">
        <v>13</v>
      </c>
      <c r="G775" s="22" t="s">
        <v>20</v>
      </c>
    </row>
    <row r="776" ht="15.15" spans="1:7">
      <c r="A776" s="20">
        <v>774</v>
      </c>
      <c r="B776" s="20">
        <v>356</v>
      </c>
      <c r="C776" s="21">
        <v>45278</v>
      </c>
      <c r="D776" s="20">
        <v>3291.84</v>
      </c>
      <c r="E776" s="22" t="s">
        <v>10</v>
      </c>
      <c r="F776" s="22" t="s">
        <v>19</v>
      </c>
      <c r="G776" s="22" t="s">
        <v>17</v>
      </c>
    </row>
    <row r="777" ht="15.15" spans="1:7">
      <c r="A777" s="20">
        <v>775</v>
      </c>
      <c r="B777" s="20">
        <v>8801</v>
      </c>
      <c r="C777" s="21">
        <v>45064</v>
      </c>
      <c r="D777" s="20">
        <v>3291.84</v>
      </c>
      <c r="E777" s="22" t="s">
        <v>10</v>
      </c>
      <c r="F777" s="22" t="s">
        <v>16</v>
      </c>
      <c r="G777" s="22" t="s">
        <v>17</v>
      </c>
    </row>
    <row r="778" ht="15.15" spans="1:7">
      <c r="A778" s="20">
        <v>776</v>
      </c>
      <c r="B778" s="20">
        <v>2060</v>
      </c>
      <c r="C778" s="21">
        <v>45001</v>
      </c>
      <c r="D778" s="20">
        <v>3291.84</v>
      </c>
      <c r="E778" s="22" t="s">
        <v>22</v>
      </c>
      <c r="F778" s="22" t="s">
        <v>16</v>
      </c>
      <c r="G778" s="22" t="s">
        <v>15</v>
      </c>
    </row>
    <row r="779" ht="15.15" spans="1:7">
      <c r="A779" s="20">
        <v>777</v>
      </c>
      <c r="B779" s="20">
        <v>2917</v>
      </c>
      <c r="C779" s="21">
        <v>45144</v>
      </c>
      <c r="D779" s="20">
        <v>3291.84</v>
      </c>
      <c r="E779" s="22" t="s">
        <v>10</v>
      </c>
      <c r="F779" s="22" t="s">
        <v>11</v>
      </c>
      <c r="G779" s="22" t="s">
        <v>20</v>
      </c>
    </row>
    <row r="780" ht="15.15" spans="1:7">
      <c r="A780" s="20">
        <v>778</v>
      </c>
      <c r="B780" s="20">
        <v>8487</v>
      </c>
      <c r="C780" s="21">
        <v>45252</v>
      </c>
      <c r="D780" s="20">
        <v>3291.84</v>
      </c>
      <c r="E780" s="22" t="s">
        <v>10</v>
      </c>
      <c r="F780" s="22" t="s">
        <v>11</v>
      </c>
      <c r="G780" s="22" t="s">
        <v>12</v>
      </c>
    </row>
    <row r="781" ht="15.15" spans="1:7">
      <c r="A781" s="20">
        <v>779</v>
      </c>
      <c r="B781" s="20">
        <v>8463</v>
      </c>
      <c r="C781" s="21">
        <v>44973</v>
      </c>
      <c r="D781" s="20">
        <v>3291.84</v>
      </c>
      <c r="E781" s="22" t="s">
        <v>10</v>
      </c>
      <c r="F781" s="22" t="s">
        <v>14</v>
      </c>
      <c r="G781" s="22" t="s">
        <v>20</v>
      </c>
    </row>
    <row r="782" ht="15.15" spans="1:7">
      <c r="A782" s="20">
        <v>780</v>
      </c>
      <c r="B782" s="20">
        <v>9275</v>
      </c>
      <c r="C782" s="21">
        <v>44942</v>
      </c>
      <c r="D782" s="20">
        <v>3291.84</v>
      </c>
      <c r="E782" s="22" t="s">
        <v>10</v>
      </c>
      <c r="F782" s="22" t="s">
        <v>13</v>
      </c>
      <c r="G782" s="22" t="s">
        <v>17</v>
      </c>
    </row>
    <row r="783" ht="15.15" spans="1:7">
      <c r="A783" s="20">
        <v>781</v>
      </c>
      <c r="B783" s="20">
        <v>2004</v>
      </c>
      <c r="C783" s="21">
        <v>45220</v>
      </c>
      <c r="D783" s="20">
        <v>3291.84</v>
      </c>
      <c r="E783" s="22" t="s">
        <v>10</v>
      </c>
      <c r="F783" s="22" t="s">
        <v>16</v>
      </c>
      <c r="G783" s="22" t="s">
        <v>12</v>
      </c>
    </row>
    <row r="784" ht="15.15" spans="1:7">
      <c r="A784" s="20">
        <v>782</v>
      </c>
      <c r="B784" s="20">
        <v>7230</v>
      </c>
      <c r="C784" s="21">
        <v>45181</v>
      </c>
      <c r="D784" s="20">
        <v>3291.84</v>
      </c>
      <c r="E784" s="22" t="s">
        <v>10</v>
      </c>
      <c r="F784" s="22" t="s">
        <v>14</v>
      </c>
      <c r="G784" s="22" t="s">
        <v>17</v>
      </c>
    </row>
    <row r="785" ht="15.15" spans="1:7">
      <c r="A785" s="20">
        <v>783</v>
      </c>
      <c r="B785" s="20">
        <v>8909</v>
      </c>
      <c r="C785" s="21">
        <v>44938</v>
      </c>
      <c r="D785" s="20">
        <v>3291.84</v>
      </c>
      <c r="E785" s="22" t="s">
        <v>10</v>
      </c>
      <c r="F785" s="22" t="s">
        <v>14</v>
      </c>
      <c r="G785" s="22" t="s">
        <v>20</v>
      </c>
    </row>
    <row r="786" ht="15.15" spans="1:7">
      <c r="A786" s="20">
        <v>784</v>
      </c>
      <c r="B786" s="20">
        <v>3292</v>
      </c>
      <c r="C786" s="21">
        <v>45085</v>
      </c>
      <c r="D786" s="20">
        <v>3291.84</v>
      </c>
      <c r="E786" s="22" t="s">
        <v>10</v>
      </c>
      <c r="F786" s="22" t="s">
        <v>16</v>
      </c>
      <c r="G786" s="22" t="s">
        <v>12</v>
      </c>
    </row>
    <row r="787" ht="15.15" spans="1:7">
      <c r="A787" s="20">
        <v>785</v>
      </c>
      <c r="B787" s="20">
        <v>9001</v>
      </c>
      <c r="C787" s="21">
        <v>45182</v>
      </c>
      <c r="D787" s="20">
        <v>3291.84</v>
      </c>
      <c r="E787" s="22" t="s">
        <v>10</v>
      </c>
      <c r="F787" s="22" t="s">
        <v>11</v>
      </c>
      <c r="G787" s="22" t="s">
        <v>12</v>
      </c>
    </row>
    <row r="788" ht="15.15" spans="1:7">
      <c r="A788" s="20">
        <v>786</v>
      </c>
      <c r="B788" s="20">
        <v>1801</v>
      </c>
      <c r="C788" s="21">
        <v>45138</v>
      </c>
      <c r="D788" s="20">
        <v>3291.84</v>
      </c>
      <c r="E788" s="22" t="s">
        <v>10</v>
      </c>
      <c r="F788" s="22" t="s">
        <v>14</v>
      </c>
      <c r="G788" s="22" t="s">
        <v>17</v>
      </c>
    </row>
    <row r="789" ht="15.15" spans="1:7">
      <c r="A789" s="20">
        <v>787</v>
      </c>
      <c r="B789" s="20">
        <v>6777</v>
      </c>
      <c r="C789" s="21">
        <v>45136</v>
      </c>
      <c r="D789" s="20">
        <v>3291.84</v>
      </c>
      <c r="E789" s="22" t="s">
        <v>10</v>
      </c>
      <c r="F789" s="22" t="s">
        <v>16</v>
      </c>
      <c r="G789" s="22" t="s">
        <v>20</v>
      </c>
    </row>
    <row r="790" ht="15.15" spans="1:7">
      <c r="A790" s="20">
        <v>788</v>
      </c>
      <c r="B790" s="20">
        <v>8552</v>
      </c>
      <c r="C790" s="21">
        <v>45177</v>
      </c>
      <c r="D790" s="20">
        <v>3291.84</v>
      </c>
      <c r="E790" s="22" t="s">
        <v>10</v>
      </c>
      <c r="F790" s="22" t="s">
        <v>13</v>
      </c>
      <c r="G790" s="22" t="s">
        <v>17</v>
      </c>
    </row>
    <row r="791" ht="15.15" spans="1:7">
      <c r="A791" s="20">
        <v>789</v>
      </c>
      <c r="B791" s="20">
        <v>3321</v>
      </c>
      <c r="C791" s="21">
        <v>45079</v>
      </c>
      <c r="D791" s="20">
        <v>3291.84</v>
      </c>
      <c r="E791" s="22" t="s">
        <v>10</v>
      </c>
      <c r="F791" s="22" t="s">
        <v>13</v>
      </c>
      <c r="G791" s="22" t="s">
        <v>15</v>
      </c>
    </row>
    <row r="792" ht="15.15" spans="1:7">
      <c r="A792" s="20">
        <v>790</v>
      </c>
      <c r="B792" s="20">
        <v>5716</v>
      </c>
      <c r="C792" s="21">
        <v>45220</v>
      </c>
      <c r="D792" s="20">
        <v>3291.84</v>
      </c>
      <c r="E792" s="22" t="s">
        <v>22</v>
      </c>
      <c r="F792" s="22" t="s">
        <v>11</v>
      </c>
      <c r="G792" s="22" t="s">
        <v>15</v>
      </c>
    </row>
    <row r="793" ht="15.15" spans="1:7">
      <c r="A793" s="20">
        <v>791</v>
      </c>
      <c r="B793" s="20">
        <v>4179</v>
      </c>
      <c r="C793" s="21">
        <v>45212</v>
      </c>
      <c r="D793" s="20">
        <v>3291.84</v>
      </c>
      <c r="E793" s="22" t="s">
        <v>10</v>
      </c>
      <c r="F793" s="22" t="s">
        <v>18</v>
      </c>
      <c r="G793" s="22" t="s">
        <v>12</v>
      </c>
    </row>
    <row r="794" ht="15.15" spans="1:7">
      <c r="A794" s="20">
        <v>792</v>
      </c>
      <c r="B794" s="20">
        <v>5341</v>
      </c>
      <c r="C794" s="21">
        <v>45072</v>
      </c>
      <c r="D794" s="20">
        <v>3291.84</v>
      </c>
      <c r="E794" s="22" t="s">
        <v>10</v>
      </c>
      <c r="F794" s="22" t="s">
        <v>16</v>
      </c>
      <c r="G794" s="22" t="s">
        <v>20</v>
      </c>
    </row>
    <row r="795" ht="15.15" spans="1:7">
      <c r="A795" s="20">
        <v>793</v>
      </c>
      <c r="B795" s="20">
        <v>4470</v>
      </c>
      <c r="C795" s="21">
        <v>44967</v>
      </c>
      <c r="D795" s="20">
        <v>3291.84</v>
      </c>
      <c r="E795" s="22" t="s">
        <v>10</v>
      </c>
      <c r="F795" s="22" t="s">
        <v>16</v>
      </c>
      <c r="G795" s="22" t="s">
        <v>15</v>
      </c>
    </row>
    <row r="796" ht="15.15" spans="1:7">
      <c r="A796" s="20">
        <v>794</v>
      </c>
      <c r="B796" s="20">
        <v>1201</v>
      </c>
      <c r="C796" s="21">
        <v>45280</v>
      </c>
      <c r="D796" s="20">
        <v>3291.84</v>
      </c>
      <c r="E796" s="22" t="s">
        <v>10</v>
      </c>
      <c r="F796" s="22" t="s">
        <v>11</v>
      </c>
      <c r="G796" s="22" t="s">
        <v>15</v>
      </c>
    </row>
    <row r="797" ht="15.15" spans="1:7">
      <c r="A797" s="20">
        <v>795</v>
      </c>
      <c r="B797" s="20">
        <v>2276</v>
      </c>
      <c r="C797" s="21">
        <v>45228</v>
      </c>
      <c r="D797" s="20">
        <v>3291.84</v>
      </c>
      <c r="E797" s="22" t="s">
        <v>10</v>
      </c>
      <c r="F797" s="22" t="s">
        <v>18</v>
      </c>
      <c r="G797" s="22" t="s">
        <v>12</v>
      </c>
    </row>
    <row r="798" ht="15.15" spans="1:7">
      <c r="A798" s="20">
        <v>796</v>
      </c>
      <c r="B798" s="20">
        <v>2063</v>
      </c>
      <c r="C798" s="21">
        <v>45109</v>
      </c>
      <c r="D798" s="20">
        <v>3291.84</v>
      </c>
      <c r="E798" s="22" t="s">
        <v>10</v>
      </c>
      <c r="F798" s="22" t="s">
        <v>18</v>
      </c>
      <c r="G798" s="22" t="s">
        <v>17</v>
      </c>
    </row>
    <row r="799" ht="15.15" spans="1:7">
      <c r="A799" s="20">
        <v>797</v>
      </c>
      <c r="B799" s="20">
        <v>7380</v>
      </c>
      <c r="C799" s="21">
        <v>45048</v>
      </c>
      <c r="D799" s="20">
        <v>3291.84</v>
      </c>
      <c r="E799" s="22" t="s">
        <v>21</v>
      </c>
      <c r="F799" s="22" t="s">
        <v>19</v>
      </c>
      <c r="G799" s="22" t="s">
        <v>17</v>
      </c>
    </row>
    <row r="800" ht="15.15" spans="1:7">
      <c r="A800" s="20">
        <v>798</v>
      </c>
      <c r="B800" s="20">
        <v>2765</v>
      </c>
      <c r="C800" s="21">
        <v>45285</v>
      </c>
      <c r="D800" s="20">
        <v>3291.84</v>
      </c>
      <c r="E800" s="22" t="s">
        <v>10</v>
      </c>
      <c r="F800" s="22" t="s">
        <v>16</v>
      </c>
      <c r="G800" s="22" t="s">
        <v>15</v>
      </c>
    </row>
    <row r="801" ht="15.15" spans="1:7">
      <c r="A801" s="20">
        <v>799</v>
      </c>
      <c r="B801" s="20">
        <v>2278</v>
      </c>
      <c r="C801" s="21">
        <v>45120</v>
      </c>
      <c r="D801" s="20">
        <v>3291.84</v>
      </c>
      <c r="E801" s="22" t="s">
        <v>10</v>
      </c>
      <c r="F801" s="22" t="s">
        <v>16</v>
      </c>
      <c r="G801" s="22" t="s">
        <v>12</v>
      </c>
    </row>
    <row r="802" ht="15.15" spans="1:7">
      <c r="A802" s="20">
        <v>800</v>
      </c>
      <c r="B802" s="20">
        <v>6165</v>
      </c>
      <c r="C802" s="21">
        <v>45200</v>
      </c>
      <c r="D802" s="20">
        <v>3291.84</v>
      </c>
      <c r="E802" s="22" t="s">
        <v>10</v>
      </c>
      <c r="F802" s="22" t="s">
        <v>14</v>
      </c>
      <c r="G802" s="22" t="s">
        <v>17</v>
      </c>
    </row>
    <row r="803" ht="15.15" spans="1:7">
      <c r="A803" s="20">
        <v>801</v>
      </c>
      <c r="B803" s="20">
        <v>7521</v>
      </c>
      <c r="C803" s="21">
        <v>45081</v>
      </c>
      <c r="D803" s="20">
        <v>3291.84</v>
      </c>
      <c r="E803" s="22" t="s">
        <v>10</v>
      </c>
      <c r="F803" s="22" t="s">
        <v>13</v>
      </c>
      <c r="G803" s="22" t="s">
        <v>20</v>
      </c>
    </row>
    <row r="804" ht="15.15" spans="1:7">
      <c r="A804" s="20">
        <v>802</v>
      </c>
      <c r="B804" s="20">
        <v>90</v>
      </c>
      <c r="C804" s="21">
        <v>45254</v>
      </c>
      <c r="D804" s="20">
        <v>3291.84</v>
      </c>
      <c r="E804" s="22" t="s">
        <v>10</v>
      </c>
      <c r="F804" s="22" t="s">
        <v>11</v>
      </c>
      <c r="G804" s="22" t="s">
        <v>12</v>
      </c>
    </row>
    <row r="805" ht="15.15" spans="1:7">
      <c r="A805" s="20">
        <v>803</v>
      </c>
      <c r="B805" s="20">
        <v>7493</v>
      </c>
      <c r="C805" s="21">
        <v>45280</v>
      </c>
      <c r="D805" s="20">
        <v>3291.84</v>
      </c>
      <c r="E805" s="22" t="s">
        <v>10</v>
      </c>
      <c r="F805" s="22" t="s">
        <v>11</v>
      </c>
      <c r="G805" s="22" t="s">
        <v>20</v>
      </c>
    </row>
    <row r="806" ht="15.15" spans="1:7">
      <c r="A806" s="20">
        <v>804</v>
      </c>
      <c r="B806" s="20">
        <v>8108</v>
      </c>
      <c r="C806" s="21">
        <v>45122</v>
      </c>
      <c r="D806" s="20">
        <v>3291.84</v>
      </c>
      <c r="E806" s="22" t="s">
        <v>10</v>
      </c>
      <c r="F806" s="22" t="s">
        <v>18</v>
      </c>
      <c r="G806" s="22" t="s">
        <v>20</v>
      </c>
    </row>
    <row r="807" ht="15.15" spans="1:7">
      <c r="A807" s="20">
        <v>805</v>
      </c>
      <c r="B807" s="20">
        <v>6854</v>
      </c>
      <c r="C807" s="21">
        <v>44977</v>
      </c>
      <c r="D807" s="20">
        <v>3291.84</v>
      </c>
      <c r="E807" s="22" t="s">
        <v>10</v>
      </c>
      <c r="F807" s="22" t="s">
        <v>16</v>
      </c>
      <c r="G807" s="22" t="s">
        <v>12</v>
      </c>
    </row>
    <row r="808" ht="15.15" spans="1:7">
      <c r="A808" s="20">
        <v>806</v>
      </c>
      <c r="B808" s="20">
        <v>5073</v>
      </c>
      <c r="C808" s="21">
        <v>45253</v>
      </c>
      <c r="D808" s="20">
        <v>3291.84</v>
      </c>
      <c r="E808" s="22" t="s">
        <v>10</v>
      </c>
      <c r="F808" s="22" t="s">
        <v>18</v>
      </c>
      <c r="G808" s="22" t="s">
        <v>20</v>
      </c>
    </row>
    <row r="809" ht="15.15" spans="1:7">
      <c r="A809" s="20">
        <v>807</v>
      </c>
      <c r="B809" s="20">
        <v>9251</v>
      </c>
      <c r="C809" s="21">
        <v>45236</v>
      </c>
      <c r="D809" s="20">
        <v>3291.84</v>
      </c>
      <c r="E809" s="22" t="s">
        <v>10</v>
      </c>
      <c r="F809" s="22" t="s">
        <v>13</v>
      </c>
      <c r="G809" s="22" t="s">
        <v>17</v>
      </c>
    </row>
    <row r="810" ht="15.15" spans="1:7">
      <c r="A810" s="20">
        <v>808</v>
      </c>
      <c r="B810" s="20">
        <v>5848</v>
      </c>
      <c r="C810" s="21">
        <v>45269</v>
      </c>
      <c r="D810" s="20">
        <v>3291.84</v>
      </c>
      <c r="E810" s="22" t="s">
        <v>10</v>
      </c>
      <c r="F810" s="22" t="s">
        <v>18</v>
      </c>
      <c r="G810" s="22" t="s">
        <v>20</v>
      </c>
    </row>
    <row r="811" ht="15.15" spans="1:7">
      <c r="A811" s="20">
        <v>809</v>
      </c>
      <c r="B811" s="20">
        <v>2839</v>
      </c>
      <c r="C811" s="21">
        <v>45108</v>
      </c>
      <c r="D811" s="20">
        <v>3291.84</v>
      </c>
      <c r="E811" s="22" t="s">
        <v>10</v>
      </c>
      <c r="F811" s="22" t="s">
        <v>11</v>
      </c>
      <c r="G811" s="22" t="s">
        <v>12</v>
      </c>
    </row>
    <row r="812" ht="15.15" spans="1:7">
      <c r="A812" s="20">
        <v>810</v>
      </c>
      <c r="B812" s="20">
        <v>7751</v>
      </c>
      <c r="C812" s="21">
        <v>45235</v>
      </c>
      <c r="D812" s="20">
        <v>3291.84</v>
      </c>
      <c r="E812" s="22" t="s">
        <v>10</v>
      </c>
      <c r="F812" s="22" t="s">
        <v>14</v>
      </c>
      <c r="G812" s="22" t="s">
        <v>17</v>
      </c>
    </row>
    <row r="813" ht="15.15" spans="1:7">
      <c r="A813" s="20">
        <v>811</v>
      </c>
      <c r="B813" s="20">
        <v>2187</v>
      </c>
      <c r="C813" s="21">
        <v>45260</v>
      </c>
      <c r="D813" s="20">
        <v>3291.84</v>
      </c>
      <c r="E813" s="22" t="s">
        <v>10</v>
      </c>
      <c r="F813" s="22" t="s">
        <v>11</v>
      </c>
      <c r="G813" s="22" t="s">
        <v>15</v>
      </c>
    </row>
    <row r="814" ht="15.15" spans="1:7">
      <c r="A814" s="20">
        <v>812</v>
      </c>
      <c r="B814" s="20">
        <v>4340</v>
      </c>
      <c r="C814" s="21">
        <v>45141</v>
      </c>
      <c r="D814" s="20">
        <v>3291.84</v>
      </c>
      <c r="E814" s="22" t="s">
        <v>10</v>
      </c>
      <c r="F814" s="22" t="s">
        <v>11</v>
      </c>
      <c r="G814" s="22" t="s">
        <v>20</v>
      </c>
    </row>
    <row r="815" ht="15.15" spans="1:7">
      <c r="A815" s="20">
        <v>813</v>
      </c>
      <c r="B815" s="20">
        <v>2934</v>
      </c>
      <c r="C815" s="21">
        <v>44931</v>
      </c>
      <c r="D815" s="20">
        <v>3291.84</v>
      </c>
      <c r="E815" s="22" t="s">
        <v>10</v>
      </c>
      <c r="F815" s="22" t="s">
        <v>16</v>
      </c>
      <c r="G815" s="22" t="s">
        <v>17</v>
      </c>
    </row>
    <row r="816" ht="15.15" spans="1:7">
      <c r="A816" s="20">
        <v>814</v>
      </c>
      <c r="B816" s="20">
        <v>7099</v>
      </c>
      <c r="C816" s="21">
        <v>45248</v>
      </c>
      <c r="D816" s="20">
        <v>3291.84</v>
      </c>
      <c r="E816" s="22" t="s">
        <v>10</v>
      </c>
      <c r="F816" s="22" t="s">
        <v>16</v>
      </c>
      <c r="G816" s="22" t="s">
        <v>20</v>
      </c>
    </row>
    <row r="817" ht="15.15" spans="1:7">
      <c r="A817" s="20">
        <v>815</v>
      </c>
      <c r="B817" s="20">
        <v>9201</v>
      </c>
      <c r="C817" s="21">
        <v>45175</v>
      </c>
      <c r="D817" s="20">
        <v>3291.84</v>
      </c>
      <c r="E817" s="22" t="s">
        <v>10</v>
      </c>
      <c r="F817" s="22" t="s">
        <v>16</v>
      </c>
      <c r="G817" s="22" t="s">
        <v>15</v>
      </c>
    </row>
    <row r="818" ht="15.15" spans="1:7">
      <c r="A818" s="20">
        <v>816</v>
      </c>
      <c r="B818" s="20">
        <v>9519</v>
      </c>
      <c r="C818" s="21">
        <v>45153</v>
      </c>
      <c r="D818" s="20">
        <v>3291.84</v>
      </c>
      <c r="E818" s="22" t="s">
        <v>10</v>
      </c>
      <c r="F818" s="22" t="s">
        <v>14</v>
      </c>
      <c r="G818" s="22" t="s">
        <v>17</v>
      </c>
    </row>
    <row r="819" ht="15.15" spans="1:7">
      <c r="A819" s="20">
        <v>817</v>
      </c>
      <c r="B819" s="20">
        <v>3998</v>
      </c>
      <c r="C819" s="21">
        <v>45068</v>
      </c>
      <c r="D819" s="20">
        <v>3291.84</v>
      </c>
      <c r="E819" s="22" t="s">
        <v>10</v>
      </c>
      <c r="F819" s="22" t="s">
        <v>18</v>
      </c>
      <c r="G819" s="22" t="s">
        <v>15</v>
      </c>
    </row>
    <row r="820" ht="15.15" spans="1:7">
      <c r="A820" s="20">
        <v>818</v>
      </c>
      <c r="B820" s="20">
        <v>9529</v>
      </c>
      <c r="C820" s="21">
        <v>45037</v>
      </c>
      <c r="D820" s="20">
        <v>3291.84</v>
      </c>
      <c r="E820" s="22" t="s">
        <v>10</v>
      </c>
      <c r="F820" s="22" t="s">
        <v>18</v>
      </c>
      <c r="G820" s="22" t="s">
        <v>12</v>
      </c>
    </row>
    <row r="821" ht="15.15" spans="1:7">
      <c r="A821" s="20">
        <v>819</v>
      </c>
      <c r="B821" s="20">
        <v>4994</v>
      </c>
      <c r="C821" s="21">
        <v>45001</v>
      </c>
      <c r="D821" s="20">
        <v>3291.84</v>
      </c>
      <c r="E821" s="22" t="s">
        <v>10</v>
      </c>
      <c r="F821" s="22" t="s">
        <v>13</v>
      </c>
      <c r="G821" s="22" t="s">
        <v>15</v>
      </c>
    </row>
    <row r="822" ht="15.15" spans="1:7">
      <c r="A822" s="20">
        <v>820</v>
      </c>
      <c r="B822" s="20">
        <v>5222</v>
      </c>
      <c r="C822" s="21">
        <v>45189</v>
      </c>
      <c r="D822" s="20">
        <v>3291.84</v>
      </c>
      <c r="E822" s="22" t="s">
        <v>10</v>
      </c>
      <c r="F822" s="22" t="s">
        <v>14</v>
      </c>
      <c r="G822" s="22" t="s">
        <v>20</v>
      </c>
    </row>
    <row r="823" ht="15.15" spans="1:7">
      <c r="A823" s="20">
        <v>821</v>
      </c>
      <c r="B823" s="20">
        <v>3358</v>
      </c>
      <c r="C823" s="21">
        <v>44941</v>
      </c>
      <c r="D823" s="20">
        <v>3291.84</v>
      </c>
      <c r="E823" s="22" t="s">
        <v>10</v>
      </c>
      <c r="F823" s="22" t="s">
        <v>13</v>
      </c>
      <c r="G823" s="22" t="s">
        <v>12</v>
      </c>
    </row>
    <row r="824" ht="15.15" spans="1:7">
      <c r="A824" s="20">
        <v>822</v>
      </c>
      <c r="B824" s="20">
        <v>2041</v>
      </c>
      <c r="C824" s="21">
        <v>45119</v>
      </c>
      <c r="D824" s="20">
        <v>3291.84</v>
      </c>
      <c r="E824" s="22" t="s">
        <v>10</v>
      </c>
      <c r="F824" s="22" t="s">
        <v>14</v>
      </c>
      <c r="G824" s="22" t="s">
        <v>17</v>
      </c>
    </row>
    <row r="825" ht="15.15" spans="1:7">
      <c r="A825" s="20">
        <v>823</v>
      </c>
      <c r="B825" s="20">
        <v>2892</v>
      </c>
      <c r="C825" s="21">
        <v>44992</v>
      </c>
      <c r="D825" s="20">
        <v>3291.84</v>
      </c>
      <c r="E825" s="22" t="s">
        <v>10</v>
      </c>
      <c r="F825" s="22" t="s">
        <v>14</v>
      </c>
      <c r="G825" s="22" t="s">
        <v>20</v>
      </c>
    </row>
    <row r="826" ht="15.15" spans="1:7">
      <c r="A826" s="20">
        <v>824</v>
      </c>
      <c r="B826" s="20">
        <v>1507</v>
      </c>
      <c r="C826" s="21">
        <v>45287</v>
      </c>
      <c r="D826" s="20">
        <v>3291.84</v>
      </c>
      <c r="E826" s="22" t="s">
        <v>10</v>
      </c>
      <c r="F826" s="22" t="s">
        <v>18</v>
      </c>
      <c r="G826" s="22" t="s">
        <v>17</v>
      </c>
    </row>
    <row r="827" ht="15.15" spans="1:7">
      <c r="A827" s="20">
        <v>825</v>
      </c>
      <c r="B827" s="20">
        <v>3604</v>
      </c>
      <c r="C827" s="21">
        <v>45278</v>
      </c>
      <c r="D827" s="20">
        <v>3291.84</v>
      </c>
      <c r="E827" s="22" t="s">
        <v>10</v>
      </c>
      <c r="F827" s="22" t="s">
        <v>11</v>
      </c>
      <c r="G827" s="22" t="s">
        <v>20</v>
      </c>
    </row>
    <row r="828" ht="15.15" spans="1:7">
      <c r="A828" s="20">
        <v>826</v>
      </c>
      <c r="B828" s="20">
        <v>9075</v>
      </c>
      <c r="C828" s="21">
        <v>45136</v>
      </c>
      <c r="D828" s="20">
        <v>3291.84</v>
      </c>
      <c r="E828" s="22" t="s">
        <v>10</v>
      </c>
      <c r="F828" s="22" t="s">
        <v>18</v>
      </c>
      <c r="G828" s="22" t="s">
        <v>17</v>
      </c>
    </row>
    <row r="829" ht="15.15" spans="1:7">
      <c r="A829" s="20">
        <v>827</v>
      </c>
      <c r="B829" s="20">
        <v>4163</v>
      </c>
      <c r="C829" s="21">
        <v>45236</v>
      </c>
      <c r="D829" s="20">
        <v>3291.84</v>
      </c>
      <c r="E829" s="22" t="s">
        <v>10</v>
      </c>
      <c r="F829" s="22" t="s">
        <v>13</v>
      </c>
      <c r="G829" s="22" t="s">
        <v>20</v>
      </c>
    </row>
    <row r="830" ht="15.15" spans="1:7">
      <c r="A830" s="20">
        <v>828</v>
      </c>
      <c r="B830" s="20">
        <v>6381</v>
      </c>
      <c r="C830" s="21">
        <v>45191</v>
      </c>
      <c r="D830" s="20">
        <v>3291.84</v>
      </c>
      <c r="E830" s="22" t="s">
        <v>10</v>
      </c>
      <c r="F830" s="22" t="s">
        <v>18</v>
      </c>
      <c r="G830" s="22" t="s">
        <v>17</v>
      </c>
    </row>
    <row r="831" ht="15.15" spans="1:7">
      <c r="A831" s="20">
        <v>829</v>
      </c>
      <c r="B831" s="20">
        <v>3230</v>
      </c>
      <c r="C831" s="21">
        <v>45166</v>
      </c>
      <c r="D831" s="20">
        <v>3291.84</v>
      </c>
      <c r="E831" s="22" t="s">
        <v>10</v>
      </c>
      <c r="F831" s="22" t="s">
        <v>13</v>
      </c>
      <c r="G831" s="22" t="s">
        <v>12</v>
      </c>
    </row>
    <row r="832" ht="15.15" spans="1:7">
      <c r="A832" s="20">
        <v>830</v>
      </c>
      <c r="B832" s="20">
        <v>4211</v>
      </c>
      <c r="C832" s="21">
        <v>45073</v>
      </c>
      <c r="D832" s="20">
        <v>3291.84</v>
      </c>
      <c r="E832" s="22" t="s">
        <v>10</v>
      </c>
      <c r="F832" s="22" t="s">
        <v>14</v>
      </c>
      <c r="G832" s="22" t="s">
        <v>20</v>
      </c>
    </row>
    <row r="833" ht="15.15" spans="1:7">
      <c r="A833" s="20">
        <v>831</v>
      </c>
      <c r="B833" s="20">
        <v>4639</v>
      </c>
      <c r="C833" s="21">
        <v>45173</v>
      </c>
      <c r="D833" s="20">
        <v>3291.84</v>
      </c>
      <c r="E833" s="22" t="s">
        <v>22</v>
      </c>
      <c r="F833" s="22" t="s">
        <v>14</v>
      </c>
      <c r="G833" s="22" t="s">
        <v>20</v>
      </c>
    </row>
    <row r="834" ht="15.15" spans="1:7">
      <c r="A834" s="20">
        <v>832</v>
      </c>
      <c r="B834" s="20">
        <v>3646</v>
      </c>
      <c r="C834" s="21">
        <v>44984</v>
      </c>
      <c r="D834" s="20">
        <v>3291.84</v>
      </c>
      <c r="E834" s="22" t="s">
        <v>10</v>
      </c>
      <c r="F834" s="22" t="s">
        <v>14</v>
      </c>
      <c r="G834" s="22" t="s">
        <v>17</v>
      </c>
    </row>
    <row r="835" ht="15.15" spans="1:7">
      <c r="A835" s="20">
        <v>833</v>
      </c>
      <c r="B835" s="20">
        <v>4037</v>
      </c>
      <c r="C835" s="21">
        <v>45205</v>
      </c>
      <c r="D835" s="20">
        <v>3291.84</v>
      </c>
      <c r="E835" s="22" t="s">
        <v>10</v>
      </c>
      <c r="F835" s="22" t="s">
        <v>13</v>
      </c>
      <c r="G835" s="22" t="s">
        <v>17</v>
      </c>
    </row>
    <row r="836" ht="15.15" spans="1:7">
      <c r="A836" s="20">
        <v>834</v>
      </c>
      <c r="B836" s="20">
        <v>5297</v>
      </c>
      <c r="C836" s="21">
        <v>45243</v>
      </c>
      <c r="D836" s="20">
        <v>3291.84</v>
      </c>
      <c r="E836" s="22" t="s">
        <v>10</v>
      </c>
      <c r="F836" s="22" t="s">
        <v>18</v>
      </c>
      <c r="G836" s="22" t="s">
        <v>17</v>
      </c>
    </row>
    <row r="837" ht="15.15" spans="1:7">
      <c r="A837" s="20">
        <v>835</v>
      </c>
      <c r="B837" s="20">
        <v>8600</v>
      </c>
      <c r="C837" s="21">
        <v>44976</v>
      </c>
      <c r="D837" s="20">
        <v>3291.84</v>
      </c>
      <c r="E837" s="22" t="s">
        <v>10</v>
      </c>
      <c r="F837" s="22" t="s">
        <v>16</v>
      </c>
      <c r="G837" s="22" t="s">
        <v>17</v>
      </c>
    </row>
    <row r="838" ht="15.15" spans="1:7">
      <c r="A838" s="20">
        <v>836</v>
      </c>
      <c r="B838" s="20">
        <v>4125</v>
      </c>
      <c r="C838" s="21">
        <v>44997</v>
      </c>
      <c r="D838" s="20">
        <v>3291.84</v>
      </c>
      <c r="E838" s="22" t="s">
        <v>10</v>
      </c>
      <c r="F838" s="22" t="s">
        <v>18</v>
      </c>
      <c r="G838" s="22" t="s">
        <v>17</v>
      </c>
    </row>
    <row r="839" ht="15.15" spans="1:7">
      <c r="A839" s="20">
        <v>837</v>
      </c>
      <c r="B839" s="20">
        <v>7155</v>
      </c>
      <c r="C839" s="21">
        <v>45072</v>
      </c>
      <c r="D839" s="20">
        <v>3291.84</v>
      </c>
      <c r="E839" s="22" t="s">
        <v>22</v>
      </c>
      <c r="F839" s="22" t="s">
        <v>16</v>
      </c>
      <c r="G839" s="22" t="s">
        <v>17</v>
      </c>
    </row>
    <row r="840" ht="15.15" spans="1:7">
      <c r="A840" s="20">
        <v>838</v>
      </c>
      <c r="B840" s="20">
        <v>9644</v>
      </c>
      <c r="C840" s="21">
        <v>45033</v>
      </c>
      <c r="D840" s="20">
        <v>3291.84</v>
      </c>
      <c r="E840" s="22" t="s">
        <v>10</v>
      </c>
      <c r="F840" s="22" t="s">
        <v>13</v>
      </c>
      <c r="G840" s="22" t="s">
        <v>15</v>
      </c>
    </row>
    <row r="841" ht="15.15" spans="1:7">
      <c r="A841" s="20">
        <v>839</v>
      </c>
      <c r="B841" s="20">
        <v>8036</v>
      </c>
      <c r="C841" s="21">
        <v>45158</v>
      </c>
      <c r="D841" s="20">
        <v>3291.84</v>
      </c>
      <c r="E841" s="22" t="s">
        <v>10</v>
      </c>
      <c r="F841" s="22" t="s">
        <v>18</v>
      </c>
      <c r="G841" s="22" t="s">
        <v>15</v>
      </c>
    </row>
    <row r="842" ht="15.15" spans="1:7">
      <c r="A842" s="20">
        <v>840</v>
      </c>
      <c r="B842" s="20">
        <v>3837</v>
      </c>
      <c r="C842" s="21">
        <v>45107</v>
      </c>
      <c r="D842" s="20">
        <v>3291.84</v>
      </c>
      <c r="E842" s="22" t="s">
        <v>10</v>
      </c>
      <c r="F842" s="22" t="s">
        <v>14</v>
      </c>
      <c r="G842" s="22" t="s">
        <v>12</v>
      </c>
    </row>
    <row r="843" ht="15.15" spans="1:7">
      <c r="A843" s="20">
        <v>841</v>
      </c>
      <c r="B843" s="20">
        <v>8044</v>
      </c>
      <c r="C843" s="21">
        <v>45072</v>
      </c>
      <c r="D843" s="20">
        <v>3291.84</v>
      </c>
      <c r="E843" s="22" t="s">
        <v>10</v>
      </c>
      <c r="F843" s="22" t="s">
        <v>14</v>
      </c>
      <c r="G843" s="22" t="s">
        <v>17</v>
      </c>
    </row>
    <row r="844" ht="15.15" spans="1:7">
      <c r="A844" s="20">
        <v>842</v>
      </c>
      <c r="B844" s="20">
        <v>3134</v>
      </c>
      <c r="C844" s="21">
        <v>45256</v>
      </c>
      <c r="D844" s="20">
        <v>3291.84</v>
      </c>
      <c r="E844" s="22" t="s">
        <v>10</v>
      </c>
      <c r="F844" s="22" t="s">
        <v>18</v>
      </c>
      <c r="G844" s="22" t="s">
        <v>17</v>
      </c>
    </row>
    <row r="845" ht="15.15" spans="1:7">
      <c r="A845" s="20">
        <v>843</v>
      </c>
      <c r="B845" s="20">
        <v>1562</v>
      </c>
      <c r="C845" s="21">
        <v>45279</v>
      </c>
      <c r="D845" s="20">
        <v>3291.84</v>
      </c>
      <c r="E845" s="22" t="s">
        <v>10</v>
      </c>
      <c r="F845" s="22" t="s">
        <v>13</v>
      </c>
      <c r="G845" s="22" t="s">
        <v>17</v>
      </c>
    </row>
    <row r="846" ht="15.15" spans="1:7">
      <c r="A846" s="20">
        <v>844</v>
      </c>
      <c r="B846" s="20">
        <v>9119</v>
      </c>
      <c r="C846" s="21">
        <v>45171</v>
      </c>
      <c r="D846" s="20">
        <v>3291.84</v>
      </c>
      <c r="E846" s="22" t="s">
        <v>10</v>
      </c>
      <c r="F846" s="22" t="s">
        <v>16</v>
      </c>
      <c r="G846" s="22" t="s">
        <v>15</v>
      </c>
    </row>
    <row r="847" ht="15.15" spans="1:7">
      <c r="A847" s="20">
        <v>845</v>
      </c>
      <c r="B847" s="20">
        <v>6045</v>
      </c>
      <c r="C847" s="21">
        <v>44969</v>
      </c>
      <c r="D847" s="20">
        <v>3291.84</v>
      </c>
      <c r="E847" s="22" t="s">
        <v>10</v>
      </c>
      <c r="F847" s="22" t="s">
        <v>11</v>
      </c>
      <c r="G847" s="22" t="s">
        <v>12</v>
      </c>
    </row>
    <row r="848" ht="15.15" spans="1:7">
      <c r="A848" s="20">
        <v>846</v>
      </c>
      <c r="B848" s="20">
        <v>8307</v>
      </c>
      <c r="C848" s="21">
        <v>45001</v>
      </c>
      <c r="D848" s="20">
        <v>3291.84</v>
      </c>
      <c r="E848" s="22" t="s">
        <v>10</v>
      </c>
      <c r="F848" s="22" t="s">
        <v>11</v>
      </c>
      <c r="G848" s="22" t="s">
        <v>15</v>
      </c>
    </row>
    <row r="849" ht="15.15" spans="1:7">
      <c r="A849" s="20">
        <v>847</v>
      </c>
      <c r="B849" s="20">
        <v>7349</v>
      </c>
      <c r="C849" s="21">
        <v>45247</v>
      </c>
      <c r="D849" s="20">
        <v>3291.84</v>
      </c>
      <c r="E849" s="22" t="s">
        <v>10</v>
      </c>
      <c r="F849" s="22" t="s">
        <v>16</v>
      </c>
      <c r="G849" s="22" t="s">
        <v>12</v>
      </c>
    </row>
    <row r="850" ht="15.15" spans="1:7">
      <c r="A850" s="20">
        <v>848</v>
      </c>
      <c r="B850" s="20">
        <v>5153</v>
      </c>
      <c r="C850" s="21">
        <v>45142</v>
      </c>
      <c r="D850" s="20">
        <v>3291.84</v>
      </c>
      <c r="E850" s="22" t="s">
        <v>22</v>
      </c>
      <c r="F850" s="22" t="s">
        <v>11</v>
      </c>
      <c r="G850" s="22" t="s">
        <v>15</v>
      </c>
    </row>
    <row r="851" ht="15.15" spans="1:7">
      <c r="A851" s="20">
        <v>849</v>
      </c>
      <c r="B851" s="20">
        <v>5835</v>
      </c>
      <c r="C851" s="21">
        <v>45282</v>
      </c>
      <c r="D851" s="20">
        <v>3291.84</v>
      </c>
      <c r="E851" s="22" t="s">
        <v>10</v>
      </c>
      <c r="F851" s="22" t="s">
        <v>14</v>
      </c>
      <c r="G851" s="22" t="s">
        <v>12</v>
      </c>
    </row>
    <row r="852" ht="15.15" spans="1:7">
      <c r="A852" s="20">
        <v>850</v>
      </c>
      <c r="B852" s="20">
        <v>2550</v>
      </c>
      <c r="C852" s="21">
        <v>44927</v>
      </c>
      <c r="D852" s="20">
        <v>3291.84</v>
      </c>
      <c r="E852" s="22" t="s">
        <v>10</v>
      </c>
      <c r="F852" s="22" t="s">
        <v>18</v>
      </c>
      <c r="G852" s="22" t="s">
        <v>12</v>
      </c>
    </row>
    <row r="853" ht="15.15" spans="1:7">
      <c r="A853" s="20">
        <v>851</v>
      </c>
      <c r="B853" s="20">
        <v>9053</v>
      </c>
      <c r="C853" s="21">
        <v>45274</v>
      </c>
      <c r="D853" s="20">
        <v>3291.84</v>
      </c>
      <c r="E853" s="22" t="s">
        <v>10</v>
      </c>
      <c r="F853" s="22" t="s">
        <v>18</v>
      </c>
      <c r="G853" s="22" t="s">
        <v>17</v>
      </c>
    </row>
    <row r="854" ht="15.15" spans="1:7">
      <c r="A854" s="20">
        <v>852</v>
      </c>
      <c r="B854" s="20">
        <v>1702</v>
      </c>
      <c r="C854" s="21">
        <v>45019</v>
      </c>
      <c r="D854" s="20">
        <v>3291.84</v>
      </c>
      <c r="E854" s="22" t="s">
        <v>10</v>
      </c>
      <c r="F854" s="22" t="s">
        <v>11</v>
      </c>
      <c r="G854" s="22" t="s">
        <v>15</v>
      </c>
    </row>
    <row r="855" ht="15.15" spans="1:7">
      <c r="A855" s="20">
        <v>853</v>
      </c>
      <c r="B855" s="20">
        <v>9425</v>
      </c>
      <c r="C855" s="21">
        <v>44981</v>
      </c>
      <c r="D855" s="20">
        <v>3291.84</v>
      </c>
      <c r="E855" s="22" t="s">
        <v>10</v>
      </c>
      <c r="F855" s="22" t="s">
        <v>18</v>
      </c>
      <c r="G855" s="22" t="s">
        <v>20</v>
      </c>
    </row>
    <row r="856" ht="15.15" spans="1:7">
      <c r="A856" s="20">
        <v>854</v>
      </c>
      <c r="B856" s="20">
        <v>6531</v>
      </c>
      <c r="C856" s="21">
        <v>45128</v>
      </c>
      <c r="D856" s="20">
        <v>3291.84</v>
      </c>
      <c r="E856" s="22" t="s">
        <v>10</v>
      </c>
      <c r="F856" s="22" t="s">
        <v>14</v>
      </c>
      <c r="G856" s="22" t="s">
        <v>15</v>
      </c>
    </row>
    <row r="857" ht="15.15" spans="1:7">
      <c r="A857" s="20">
        <v>855</v>
      </c>
      <c r="B857" s="20">
        <v>5687</v>
      </c>
      <c r="C857" s="21">
        <v>45197</v>
      </c>
      <c r="D857" s="20">
        <v>3291.84</v>
      </c>
      <c r="E857" s="22" t="s">
        <v>10</v>
      </c>
      <c r="F857" s="22" t="s">
        <v>14</v>
      </c>
      <c r="G857" s="22" t="s">
        <v>15</v>
      </c>
    </row>
    <row r="858" ht="15.15" spans="1:7">
      <c r="A858" s="20">
        <v>856</v>
      </c>
      <c r="B858" s="20">
        <v>3967</v>
      </c>
      <c r="C858" s="21">
        <v>45281</v>
      </c>
      <c r="D858" s="20">
        <v>3291.84</v>
      </c>
      <c r="E858" s="22" t="s">
        <v>10</v>
      </c>
      <c r="F858" s="22" t="s">
        <v>14</v>
      </c>
      <c r="G858" s="22" t="s">
        <v>15</v>
      </c>
    </row>
    <row r="859" ht="15.15" spans="1:7">
      <c r="A859" s="20">
        <v>857</v>
      </c>
      <c r="B859" s="20">
        <v>8961</v>
      </c>
      <c r="C859" s="21">
        <v>45287</v>
      </c>
      <c r="D859" s="20">
        <v>3291.84</v>
      </c>
      <c r="E859" s="22" t="s">
        <v>10</v>
      </c>
      <c r="F859" s="22" t="s">
        <v>13</v>
      </c>
      <c r="G859" s="22" t="s">
        <v>12</v>
      </c>
    </row>
    <row r="860" ht="15.15" spans="1:7">
      <c r="A860" s="20">
        <v>858</v>
      </c>
      <c r="B860" s="20">
        <v>2049</v>
      </c>
      <c r="C860" s="21">
        <v>45243</v>
      </c>
      <c r="D860" s="20">
        <v>3291.84</v>
      </c>
      <c r="E860" s="22" t="s">
        <v>10</v>
      </c>
      <c r="F860" s="22" t="s">
        <v>18</v>
      </c>
      <c r="G860" s="22" t="s">
        <v>12</v>
      </c>
    </row>
    <row r="861" ht="15.15" spans="1:7">
      <c r="A861" s="20">
        <v>859</v>
      </c>
      <c r="B861" s="20">
        <v>20</v>
      </c>
      <c r="C861" s="21">
        <v>45246</v>
      </c>
      <c r="D861" s="20">
        <v>3291.84</v>
      </c>
      <c r="E861" s="22" t="s">
        <v>10</v>
      </c>
      <c r="F861" s="22" t="s">
        <v>14</v>
      </c>
      <c r="G861" s="22" t="s">
        <v>20</v>
      </c>
    </row>
    <row r="862" ht="15.15" spans="1:7">
      <c r="A862" s="20">
        <v>860</v>
      </c>
      <c r="B862" s="20">
        <v>3568</v>
      </c>
      <c r="C862" s="21">
        <v>45090</v>
      </c>
      <c r="D862" s="20">
        <v>3291.84</v>
      </c>
      <c r="E862" s="22" t="s">
        <v>10</v>
      </c>
      <c r="F862" s="22" t="s">
        <v>18</v>
      </c>
      <c r="G862" s="22" t="s">
        <v>20</v>
      </c>
    </row>
    <row r="863" ht="15.15" spans="1:7">
      <c r="A863" s="20">
        <v>861</v>
      </c>
      <c r="B863" s="20">
        <v>4362</v>
      </c>
      <c r="C863" s="21">
        <v>45123</v>
      </c>
      <c r="D863" s="20">
        <v>3291.84</v>
      </c>
      <c r="E863" s="22" t="s">
        <v>22</v>
      </c>
      <c r="F863" s="22" t="s">
        <v>13</v>
      </c>
      <c r="G863" s="22" t="s">
        <v>12</v>
      </c>
    </row>
    <row r="864" ht="15.15" spans="1:7">
      <c r="A864" s="20">
        <v>862</v>
      </c>
      <c r="B864" s="20">
        <v>3901</v>
      </c>
      <c r="C864" s="21">
        <v>45201</v>
      </c>
      <c r="D864" s="20">
        <v>3291.84</v>
      </c>
      <c r="E864" s="22" t="s">
        <v>10</v>
      </c>
      <c r="F864" s="22" t="s">
        <v>11</v>
      </c>
      <c r="G864" s="22" t="s">
        <v>12</v>
      </c>
    </row>
    <row r="865" ht="15.15" spans="1:7">
      <c r="A865" s="20">
        <v>863</v>
      </c>
      <c r="B865" s="20">
        <v>9983</v>
      </c>
      <c r="C865" s="21">
        <v>45007</v>
      </c>
      <c r="D865" s="20">
        <v>3291.84</v>
      </c>
      <c r="E865" s="22" t="s">
        <v>22</v>
      </c>
      <c r="F865" s="22" t="s">
        <v>16</v>
      </c>
      <c r="G865" s="22" t="s">
        <v>15</v>
      </c>
    </row>
    <row r="866" ht="15.15" spans="1:7">
      <c r="A866" s="20">
        <v>864</v>
      </c>
      <c r="B866" s="20">
        <v>7922</v>
      </c>
      <c r="C866" s="21">
        <v>45252</v>
      </c>
      <c r="D866" s="20">
        <v>3291.84</v>
      </c>
      <c r="E866" s="22" t="s">
        <v>10</v>
      </c>
      <c r="F866" s="22" t="s">
        <v>11</v>
      </c>
      <c r="G866" s="22" t="s">
        <v>17</v>
      </c>
    </row>
    <row r="867" ht="15.15" spans="1:7">
      <c r="A867" s="20">
        <v>865</v>
      </c>
      <c r="B867" s="20">
        <v>6923</v>
      </c>
      <c r="C867" s="21">
        <v>45066</v>
      </c>
      <c r="D867" s="20">
        <v>3291.84</v>
      </c>
      <c r="E867" s="22" t="s">
        <v>10</v>
      </c>
      <c r="F867" s="22" t="s">
        <v>14</v>
      </c>
      <c r="G867" s="22" t="s">
        <v>20</v>
      </c>
    </row>
    <row r="868" ht="15.15" spans="1:7">
      <c r="A868" s="20">
        <v>866</v>
      </c>
      <c r="B868" s="20">
        <v>604</v>
      </c>
      <c r="C868" s="21">
        <v>45062</v>
      </c>
      <c r="D868" s="20">
        <v>3291.84</v>
      </c>
      <c r="E868" s="22" t="s">
        <v>10</v>
      </c>
      <c r="F868" s="22" t="s">
        <v>11</v>
      </c>
      <c r="G868" s="22" t="s">
        <v>17</v>
      </c>
    </row>
    <row r="869" ht="15.15" spans="1:7">
      <c r="A869" s="20">
        <v>867</v>
      </c>
      <c r="B869" s="20">
        <v>6045</v>
      </c>
      <c r="C869" s="21">
        <v>45216</v>
      </c>
      <c r="D869" s="20">
        <v>3291.84</v>
      </c>
      <c r="E869" s="22" t="s">
        <v>10</v>
      </c>
      <c r="F869" s="22" t="s">
        <v>11</v>
      </c>
      <c r="G869" s="22" t="s">
        <v>15</v>
      </c>
    </row>
    <row r="870" ht="15.15" spans="1:7">
      <c r="A870" s="20">
        <v>868</v>
      </c>
      <c r="B870" s="20">
        <v>155</v>
      </c>
      <c r="C870" s="21">
        <v>45067</v>
      </c>
      <c r="D870" s="20">
        <v>3291.84</v>
      </c>
      <c r="E870" s="22" t="s">
        <v>10</v>
      </c>
      <c r="F870" s="22" t="s">
        <v>13</v>
      </c>
      <c r="G870" s="22" t="s">
        <v>15</v>
      </c>
    </row>
    <row r="871" ht="15.15" spans="1:7">
      <c r="A871" s="20">
        <v>869</v>
      </c>
      <c r="B871" s="20">
        <v>7638</v>
      </c>
      <c r="C871" s="21">
        <v>45149</v>
      </c>
      <c r="D871" s="20">
        <v>3291.84</v>
      </c>
      <c r="E871" s="22" t="s">
        <v>10</v>
      </c>
      <c r="F871" s="22" t="s">
        <v>11</v>
      </c>
      <c r="G871" s="22" t="s">
        <v>15</v>
      </c>
    </row>
    <row r="872" ht="15.15" spans="1:7">
      <c r="A872" s="20">
        <v>870</v>
      </c>
      <c r="B872" s="20">
        <v>6054</v>
      </c>
      <c r="C872" s="21">
        <v>45200</v>
      </c>
      <c r="D872" s="20">
        <v>3291.84</v>
      </c>
      <c r="E872" s="22" t="s">
        <v>10</v>
      </c>
      <c r="F872" s="22" t="s">
        <v>16</v>
      </c>
      <c r="G872" s="22" t="s">
        <v>20</v>
      </c>
    </row>
    <row r="873" ht="15.15" spans="1:7">
      <c r="A873" s="20">
        <v>871</v>
      </c>
      <c r="B873" s="20">
        <v>7745</v>
      </c>
      <c r="C873" s="21">
        <v>45137</v>
      </c>
      <c r="D873" s="20">
        <v>3291.84</v>
      </c>
      <c r="E873" s="22" t="s">
        <v>10</v>
      </c>
      <c r="F873" s="22" t="s">
        <v>11</v>
      </c>
      <c r="G873" s="22" t="s">
        <v>15</v>
      </c>
    </row>
    <row r="874" ht="15.15" spans="1:7">
      <c r="A874" s="20">
        <v>872</v>
      </c>
      <c r="B874" s="20">
        <v>9752</v>
      </c>
      <c r="C874" s="21">
        <v>45208</v>
      </c>
      <c r="D874" s="20">
        <v>3291.84</v>
      </c>
      <c r="E874" s="22" t="s">
        <v>10</v>
      </c>
      <c r="F874" s="22" t="s">
        <v>11</v>
      </c>
      <c r="G874" s="22" t="s">
        <v>15</v>
      </c>
    </row>
    <row r="875" ht="15.15" spans="1:7">
      <c r="A875" s="20">
        <v>873</v>
      </c>
      <c r="B875" s="20">
        <v>7307</v>
      </c>
      <c r="C875" s="21">
        <v>45165</v>
      </c>
      <c r="D875" s="20">
        <v>3291.84</v>
      </c>
      <c r="E875" s="22" t="s">
        <v>10</v>
      </c>
      <c r="F875" s="22" t="s">
        <v>14</v>
      </c>
      <c r="G875" s="22" t="s">
        <v>17</v>
      </c>
    </row>
    <row r="876" ht="15.15" spans="1:7">
      <c r="A876" s="20">
        <v>874</v>
      </c>
      <c r="B876" s="20">
        <v>1249</v>
      </c>
      <c r="C876" s="21">
        <v>45144</v>
      </c>
      <c r="D876" s="20">
        <v>3291.84</v>
      </c>
      <c r="E876" s="22" t="s">
        <v>10</v>
      </c>
      <c r="F876" s="22" t="s">
        <v>14</v>
      </c>
      <c r="G876" s="22" t="s">
        <v>17</v>
      </c>
    </row>
    <row r="877" ht="15.15" spans="1:7">
      <c r="A877" s="20">
        <v>875</v>
      </c>
      <c r="B877" s="20">
        <v>4051</v>
      </c>
      <c r="C877" s="21">
        <v>45260</v>
      </c>
      <c r="D877" s="20">
        <v>3291.84</v>
      </c>
      <c r="E877" s="22" t="s">
        <v>10</v>
      </c>
      <c r="F877" s="22" t="s">
        <v>18</v>
      </c>
      <c r="G877" s="22" t="s">
        <v>20</v>
      </c>
    </row>
    <row r="878" ht="15.15" spans="1:7">
      <c r="A878" s="20">
        <v>876</v>
      </c>
      <c r="B878" s="20">
        <v>3808</v>
      </c>
      <c r="C878" s="21">
        <v>45237</v>
      </c>
      <c r="D878" s="20">
        <v>3291.84</v>
      </c>
      <c r="E878" s="22" t="s">
        <v>10</v>
      </c>
      <c r="F878" s="22" t="s">
        <v>14</v>
      </c>
      <c r="G878" s="22" t="s">
        <v>20</v>
      </c>
    </row>
    <row r="879" ht="15.15" spans="1:7">
      <c r="A879" s="20">
        <v>877</v>
      </c>
      <c r="B879" s="20">
        <v>3032</v>
      </c>
      <c r="C879" s="21">
        <v>44970</v>
      </c>
      <c r="D879" s="20">
        <v>3291.84</v>
      </c>
      <c r="E879" s="22" t="s">
        <v>10</v>
      </c>
      <c r="F879" s="22" t="s">
        <v>16</v>
      </c>
      <c r="G879" s="22" t="s">
        <v>12</v>
      </c>
    </row>
    <row r="880" ht="15.15" spans="1:7">
      <c r="A880" s="20">
        <v>878</v>
      </c>
      <c r="B880" s="20">
        <v>3793</v>
      </c>
      <c r="C880" s="21">
        <v>45199</v>
      </c>
      <c r="D880" s="20">
        <v>3291.84</v>
      </c>
      <c r="E880" s="22" t="s">
        <v>10</v>
      </c>
      <c r="F880" s="22" t="s">
        <v>16</v>
      </c>
      <c r="G880" s="22" t="s">
        <v>12</v>
      </c>
    </row>
    <row r="881" ht="15.15" spans="1:7">
      <c r="A881" s="20">
        <v>879</v>
      </c>
      <c r="B881" s="20">
        <v>1757</v>
      </c>
      <c r="C881" s="21">
        <v>45179</v>
      </c>
      <c r="D881" s="20">
        <v>3291.84</v>
      </c>
      <c r="E881" s="22" t="s">
        <v>10</v>
      </c>
      <c r="F881" s="22" t="s">
        <v>14</v>
      </c>
      <c r="G881" s="22" t="s">
        <v>20</v>
      </c>
    </row>
    <row r="882" ht="15.15" spans="1:7">
      <c r="A882" s="20">
        <v>880</v>
      </c>
      <c r="B882" s="20">
        <v>9635</v>
      </c>
      <c r="C882" s="21">
        <v>45150</v>
      </c>
      <c r="D882" s="20">
        <v>3291.84</v>
      </c>
      <c r="E882" s="22" t="s">
        <v>10</v>
      </c>
      <c r="F882" s="22" t="s">
        <v>14</v>
      </c>
      <c r="G882" s="22" t="s">
        <v>15</v>
      </c>
    </row>
    <row r="883" ht="15.15" spans="1:7">
      <c r="A883" s="20">
        <v>881</v>
      </c>
      <c r="B883" s="20">
        <v>2522</v>
      </c>
      <c r="C883" s="21">
        <v>45194</v>
      </c>
      <c r="D883" s="20">
        <v>3291.84</v>
      </c>
      <c r="E883" s="22" t="s">
        <v>21</v>
      </c>
      <c r="F883" s="22" t="s">
        <v>11</v>
      </c>
      <c r="G883" s="22" t="s">
        <v>17</v>
      </c>
    </row>
    <row r="884" ht="15.15" spans="1:7">
      <c r="A884" s="20">
        <v>882</v>
      </c>
      <c r="B884" s="20">
        <v>5435</v>
      </c>
      <c r="C884" s="21">
        <v>45210</v>
      </c>
      <c r="D884" s="20">
        <v>3291.84</v>
      </c>
      <c r="E884" s="22" t="s">
        <v>10</v>
      </c>
      <c r="F884" s="22" t="s">
        <v>11</v>
      </c>
      <c r="G884" s="22" t="s">
        <v>12</v>
      </c>
    </row>
    <row r="885" ht="15.15" spans="1:7">
      <c r="A885" s="20">
        <v>883</v>
      </c>
      <c r="B885" s="20">
        <v>4207</v>
      </c>
      <c r="C885" s="21">
        <v>44957</v>
      </c>
      <c r="D885" s="20">
        <v>3291.84</v>
      </c>
      <c r="E885" s="22" t="s">
        <v>10</v>
      </c>
      <c r="F885" s="22" t="s">
        <v>11</v>
      </c>
      <c r="G885" s="22" t="s">
        <v>17</v>
      </c>
    </row>
    <row r="886" ht="15.15" spans="1:7">
      <c r="A886" s="20">
        <v>884</v>
      </c>
      <c r="B886" s="20">
        <v>1498</v>
      </c>
      <c r="C886" s="21">
        <v>44974</v>
      </c>
      <c r="D886" s="20">
        <v>3291.84</v>
      </c>
      <c r="E886" s="22" t="s">
        <v>10</v>
      </c>
      <c r="F886" s="22" t="s">
        <v>14</v>
      </c>
      <c r="G886" s="22" t="s">
        <v>20</v>
      </c>
    </row>
    <row r="887" ht="15.15" spans="1:7">
      <c r="A887" s="20">
        <v>885</v>
      </c>
      <c r="B887" s="20">
        <v>4374</v>
      </c>
      <c r="C887" s="21">
        <v>44933</v>
      </c>
      <c r="D887" s="20">
        <v>3291.84</v>
      </c>
      <c r="E887" s="22" t="s">
        <v>10</v>
      </c>
      <c r="F887" s="22" t="s">
        <v>13</v>
      </c>
      <c r="G887" s="22" t="s">
        <v>15</v>
      </c>
    </row>
    <row r="888" ht="15.15" spans="1:7">
      <c r="A888" s="20">
        <v>886</v>
      </c>
      <c r="B888" s="20">
        <v>7164</v>
      </c>
      <c r="C888" s="21">
        <v>45268</v>
      </c>
      <c r="D888" s="20">
        <v>3291.84</v>
      </c>
      <c r="E888" s="22" t="s">
        <v>10</v>
      </c>
      <c r="F888" s="22" t="s">
        <v>16</v>
      </c>
      <c r="G888" s="22" t="s">
        <v>12</v>
      </c>
    </row>
    <row r="889" ht="15.15" spans="1:7">
      <c r="A889" s="20">
        <v>887</v>
      </c>
      <c r="B889" s="20">
        <v>7862</v>
      </c>
      <c r="C889" s="21">
        <v>45291</v>
      </c>
      <c r="D889" s="20">
        <v>3291.84</v>
      </c>
      <c r="E889" s="22" t="s">
        <v>10</v>
      </c>
      <c r="F889" s="22" t="s">
        <v>14</v>
      </c>
      <c r="G889" s="22" t="s">
        <v>12</v>
      </c>
    </row>
    <row r="890" ht="15.15" spans="1:7">
      <c r="A890" s="20">
        <v>888</v>
      </c>
      <c r="B890" s="20">
        <v>6460</v>
      </c>
      <c r="C890" s="21">
        <v>45263</v>
      </c>
      <c r="D890" s="20">
        <v>3291.84</v>
      </c>
      <c r="E890" s="22" t="s">
        <v>22</v>
      </c>
      <c r="F890" s="22" t="s">
        <v>13</v>
      </c>
      <c r="G890" s="22" t="s">
        <v>20</v>
      </c>
    </row>
    <row r="891" ht="15.15" spans="1:7">
      <c r="A891" s="20">
        <v>889</v>
      </c>
      <c r="B891" s="20">
        <v>9310</v>
      </c>
      <c r="C891" s="21">
        <v>44950</v>
      </c>
      <c r="D891" s="20">
        <v>3291.84</v>
      </c>
      <c r="E891" s="22" t="s">
        <v>10</v>
      </c>
      <c r="F891" s="22" t="s">
        <v>14</v>
      </c>
      <c r="G891" s="22" t="s">
        <v>12</v>
      </c>
    </row>
    <row r="892" ht="15.15" spans="1:7">
      <c r="A892" s="20">
        <v>890</v>
      </c>
      <c r="B892" s="20">
        <v>5891</v>
      </c>
      <c r="C892" s="21">
        <v>44945</v>
      </c>
      <c r="D892" s="20">
        <v>3291.84</v>
      </c>
      <c r="E892" s="22" t="s">
        <v>10</v>
      </c>
      <c r="F892" s="22" t="s">
        <v>13</v>
      </c>
      <c r="G892" s="22" t="s">
        <v>15</v>
      </c>
    </row>
    <row r="893" ht="15.15" spans="1:7">
      <c r="A893" s="20">
        <v>891</v>
      </c>
      <c r="B893" s="20">
        <v>8510</v>
      </c>
      <c r="C893" s="21">
        <v>45084</v>
      </c>
      <c r="D893" s="20">
        <v>3291.84</v>
      </c>
      <c r="E893" s="22" t="s">
        <v>10</v>
      </c>
      <c r="F893" s="22" t="s">
        <v>14</v>
      </c>
      <c r="G893" s="22" t="s">
        <v>15</v>
      </c>
    </row>
    <row r="894" ht="15.15" spans="1:7">
      <c r="A894" s="20">
        <v>892</v>
      </c>
      <c r="B894" s="20">
        <v>2109</v>
      </c>
      <c r="C894" s="21">
        <v>44982</v>
      </c>
      <c r="D894" s="20">
        <v>3291.84</v>
      </c>
      <c r="E894" s="22" t="s">
        <v>10</v>
      </c>
      <c r="F894" s="22" t="s">
        <v>11</v>
      </c>
      <c r="G894" s="22" t="s">
        <v>17</v>
      </c>
    </row>
    <row r="895" ht="15.15" spans="1:7">
      <c r="A895" s="20">
        <v>893</v>
      </c>
      <c r="B895" s="20">
        <v>2775</v>
      </c>
      <c r="C895" s="21">
        <v>45250</v>
      </c>
      <c r="D895" s="20">
        <v>3291.84</v>
      </c>
      <c r="E895" s="22" t="s">
        <v>10</v>
      </c>
      <c r="F895" s="22" t="s">
        <v>13</v>
      </c>
      <c r="G895" s="22" t="s">
        <v>17</v>
      </c>
    </row>
    <row r="896" ht="15.15" spans="1:7">
      <c r="A896" s="20">
        <v>894</v>
      </c>
      <c r="B896" s="20">
        <v>4639</v>
      </c>
      <c r="C896" s="21">
        <v>45056</v>
      </c>
      <c r="D896" s="20">
        <v>3291.84</v>
      </c>
      <c r="E896" s="22" t="s">
        <v>10</v>
      </c>
      <c r="F896" s="22" t="s">
        <v>14</v>
      </c>
      <c r="G896" s="22" t="s">
        <v>20</v>
      </c>
    </row>
    <row r="897" ht="15.15" spans="1:7">
      <c r="A897" s="20">
        <v>895</v>
      </c>
      <c r="B897" s="20">
        <v>6137</v>
      </c>
      <c r="C897" s="21">
        <v>45131</v>
      </c>
      <c r="D897" s="20">
        <v>3291.84</v>
      </c>
      <c r="E897" s="22" t="s">
        <v>10</v>
      </c>
      <c r="F897" s="22" t="s">
        <v>18</v>
      </c>
      <c r="G897" s="22" t="s">
        <v>15</v>
      </c>
    </row>
    <row r="898" ht="15.15" spans="1:7">
      <c r="A898" s="20">
        <v>896</v>
      </c>
      <c r="B898" s="20">
        <v>645</v>
      </c>
      <c r="C898" s="21">
        <v>44946</v>
      </c>
      <c r="D898" s="20">
        <v>3291.84</v>
      </c>
      <c r="E898" s="22" t="s">
        <v>21</v>
      </c>
      <c r="F898" s="22" t="s">
        <v>16</v>
      </c>
      <c r="G898" s="22" t="s">
        <v>20</v>
      </c>
    </row>
    <row r="899" ht="15.15" spans="1:7">
      <c r="A899" s="20">
        <v>897</v>
      </c>
      <c r="B899" s="20">
        <v>4637</v>
      </c>
      <c r="C899" s="21">
        <v>45091</v>
      </c>
      <c r="D899" s="20">
        <v>3291.84</v>
      </c>
      <c r="E899" s="22" t="s">
        <v>10</v>
      </c>
      <c r="F899" s="22" t="s">
        <v>14</v>
      </c>
      <c r="G899" s="22" t="s">
        <v>12</v>
      </c>
    </row>
    <row r="900" ht="15.15" spans="1:7">
      <c r="A900" s="20">
        <v>898</v>
      </c>
      <c r="B900" s="20">
        <v>5669</v>
      </c>
      <c r="C900" s="21">
        <v>45116</v>
      </c>
      <c r="D900" s="20">
        <v>3291.84</v>
      </c>
      <c r="E900" s="22" t="s">
        <v>10</v>
      </c>
      <c r="F900" s="22" t="s">
        <v>16</v>
      </c>
      <c r="G900" s="22" t="s">
        <v>12</v>
      </c>
    </row>
    <row r="901" ht="15.15" spans="1:7">
      <c r="A901" s="20">
        <v>899</v>
      </c>
      <c r="B901" s="20">
        <v>5502</v>
      </c>
      <c r="C901" s="21">
        <v>45228</v>
      </c>
      <c r="D901" s="20">
        <v>3291.84</v>
      </c>
      <c r="E901" s="22" t="s">
        <v>10</v>
      </c>
      <c r="F901" s="22" t="s">
        <v>11</v>
      </c>
      <c r="G901" s="22" t="s">
        <v>17</v>
      </c>
    </row>
    <row r="902" ht="15.15" spans="1:7">
      <c r="A902" s="20">
        <v>900</v>
      </c>
      <c r="B902" s="20">
        <v>4086</v>
      </c>
      <c r="C902" s="21">
        <v>45258</v>
      </c>
      <c r="D902" s="20">
        <v>3291.84</v>
      </c>
      <c r="E902" s="22" t="s">
        <v>10</v>
      </c>
      <c r="F902" s="22" t="s">
        <v>18</v>
      </c>
      <c r="G902" s="22" t="s">
        <v>12</v>
      </c>
    </row>
    <row r="903" ht="15.15" spans="1:7">
      <c r="A903" s="20">
        <v>901</v>
      </c>
      <c r="B903" s="20">
        <v>5558</v>
      </c>
      <c r="C903" s="21">
        <v>45153</v>
      </c>
      <c r="D903" s="20">
        <v>3291.84</v>
      </c>
      <c r="E903" s="22" t="s">
        <v>10</v>
      </c>
      <c r="F903" s="22" t="s">
        <v>16</v>
      </c>
      <c r="G903" s="22" t="s">
        <v>17</v>
      </c>
    </row>
    <row r="904" ht="15.15" spans="1:7">
      <c r="A904" s="20">
        <v>902</v>
      </c>
      <c r="B904" s="20">
        <v>8534</v>
      </c>
      <c r="C904" s="21">
        <v>45018</v>
      </c>
      <c r="D904" s="20">
        <v>3291.84</v>
      </c>
      <c r="E904" s="22" t="s">
        <v>10</v>
      </c>
      <c r="F904" s="22" t="s">
        <v>11</v>
      </c>
      <c r="G904" s="22" t="s">
        <v>12</v>
      </c>
    </row>
    <row r="905" ht="15.15" spans="1:7">
      <c r="A905" s="20">
        <v>903</v>
      </c>
      <c r="B905" s="20">
        <v>6466</v>
      </c>
      <c r="C905" s="21">
        <v>45213</v>
      </c>
      <c r="D905" s="20">
        <v>3291.84</v>
      </c>
      <c r="E905" s="22" t="s">
        <v>10</v>
      </c>
      <c r="F905" s="22" t="s">
        <v>18</v>
      </c>
      <c r="G905" s="22" t="s">
        <v>20</v>
      </c>
    </row>
    <row r="906" ht="15.15" spans="1:7">
      <c r="A906" s="20">
        <v>904</v>
      </c>
      <c r="B906" s="20">
        <v>212</v>
      </c>
      <c r="C906" s="21">
        <v>45014</v>
      </c>
      <c r="D906" s="20">
        <v>3291.84</v>
      </c>
      <c r="E906" s="22" t="s">
        <v>10</v>
      </c>
      <c r="F906" s="22" t="s">
        <v>16</v>
      </c>
      <c r="G906" s="22" t="s">
        <v>20</v>
      </c>
    </row>
    <row r="907" ht="15.15" spans="1:7">
      <c r="A907" s="20">
        <v>905</v>
      </c>
      <c r="B907" s="20">
        <v>8287</v>
      </c>
      <c r="C907" s="21">
        <v>45234</v>
      </c>
      <c r="D907" s="20">
        <v>3291.84</v>
      </c>
      <c r="E907" s="22" t="s">
        <v>10</v>
      </c>
      <c r="F907" s="22" t="s">
        <v>14</v>
      </c>
      <c r="G907" s="22" t="s">
        <v>15</v>
      </c>
    </row>
    <row r="908" ht="15.15" spans="1:7">
      <c r="A908" s="20">
        <v>906</v>
      </c>
      <c r="B908" s="20">
        <v>869</v>
      </c>
      <c r="C908" s="21">
        <v>45199</v>
      </c>
      <c r="D908" s="20">
        <v>3291.84</v>
      </c>
      <c r="E908" s="22" t="s">
        <v>10</v>
      </c>
      <c r="F908" s="22" t="s">
        <v>11</v>
      </c>
      <c r="G908" s="22" t="s">
        <v>20</v>
      </c>
    </row>
    <row r="909" ht="15.15" spans="1:7">
      <c r="A909" s="20">
        <v>907</v>
      </c>
      <c r="B909" s="20">
        <v>2484</v>
      </c>
      <c r="C909" s="21">
        <v>45224</v>
      </c>
      <c r="D909" s="20">
        <v>3291.84</v>
      </c>
      <c r="E909" s="22" t="s">
        <v>10</v>
      </c>
      <c r="F909" s="22" t="s">
        <v>16</v>
      </c>
      <c r="G909" s="22" t="s">
        <v>12</v>
      </c>
    </row>
    <row r="910" ht="15.15" spans="1:7">
      <c r="A910" s="20">
        <v>908</v>
      </c>
      <c r="B910" s="20">
        <v>4797</v>
      </c>
      <c r="C910" s="21">
        <v>45260</v>
      </c>
      <c r="D910" s="20">
        <v>3291.84</v>
      </c>
      <c r="E910" s="22" t="s">
        <v>10</v>
      </c>
      <c r="F910" s="22" t="s">
        <v>16</v>
      </c>
      <c r="G910" s="22" t="s">
        <v>17</v>
      </c>
    </row>
    <row r="911" ht="15.15" spans="1:7">
      <c r="A911" s="20">
        <v>909</v>
      </c>
      <c r="B911" s="20">
        <v>1018</v>
      </c>
      <c r="C911" s="21">
        <v>45016</v>
      </c>
      <c r="D911" s="20">
        <v>3291.84</v>
      </c>
      <c r="E911" s="22" t="s">
        <v>10</v>
      </c>
      <c r="F911" s="22" t="s">
        <v>14</v>
      </c>
      <c r="G911" s="22" t="s">
        <v>12</v>
      </c>
    </row>
    <row r="912" ht="15.15" spans="1:7">
      <c r="A912" s="20">
        <v>910</v>
      </c>
      <c r="B912" s="20">
        <v>1642</v>
      </c>
      <c r="C912" s="21">
        <v>44996</v>
      </c>
      <c r="D912" s="20">
        <v>3291.84</v>
      </c>
      <c r="E912" s="22" t="s">
        <v>10</v>
      </c>
      <c r="F912" s="22" t="s">
        <v>14</v>
      </c>
      <c r="G912" s="22" t="s">
        <v>17</v>
      </c>
    </row>
    <row r="913" ht="15.15" spans="1:7">
      <c r="A913" s="20">
        <v>911</v>
      </c>
      <c r="B913" s="20">
        <v>5585</v>
      </c>
      <c r="C913" s="21">
        <v>45272</v>
      </c>
      <c r="D913" s="20">
        <v>3291.84</v>
      </c>
      <c r="E913" s="22" t="s">
        <v>10</v>
      </c>
      <c r="F913" s="22" t="s">
        <v>16</v>
      </c>
      <c r="G913" s="22" t="s">
        <v>15</v>
      </c>
    </row>
    <row r="914" ht="15.15" spans="1:7">
      <c r="A914" s="20">
        <v>912</v>
      </c>
      <c r="B914" s="20">
        <v>3316</v>
      </c>
      <c r="C914" s="21">
        <v>45250</v>
      </c>
      <c r="D914" s="20">
        <v>3291.84</v>
      </c>
      <c r="E914" s="22" t="s">
        <v>10</v>
      </c>
      <c r="F914" s="22" t="s">
        <v>11</v>
      </c>
      <c r="G914" s="22" t="s">
        <v>17</v>
      </c>
    </row>
    <row r="915" ht="15.15" spans="1:7">
      <c r="A915" s="20">
        <v>913</v>
      </c>
      <c r="B915" s="20">
        <v>6567</v>
      </c>
      <c r="C915" s="21">
        <v>45038</v>
      </c>
      <c r="D915" s="20">
        <v>3291.84</v>
      </c>
      <c r="E915" s="22" t="s">
        <v>10</v>
      </c>
      <c r="F915" s="22" t="s">
        <v>13</v>
      </c>
      <c r="G915" s="22" t="s">
        <v>12</v>
      </c>
    </row>
    <row r="916" ht="15.15" spans="1:7">
      <c r="A916" s="20">
        <v>914</v>
      </c>
      <c r="B916" s="20">
        <v>2663</v>
      </c>
      <c r="C916" s="21">
        <v>45110</v>
      </c>
      <c r="D916" s="20">
        <v>3291.84</v>
      </c>
      <c r="E916" s="22" t="s">
        <v>10</v>
      </c>
      <c r="F916" s="22" t="s">
        <v>11</v>
      </c>
      <c r="G916" s="22" t="s">
        <v>12</v>
      </c>
    </row>
    <row r="917" ht="15.15" spans="1:7">
      <c r="A917" s="20">
        <v>915</v>
      </c>
      <c r="B917" s="20">
        <v>9075</v>
      </c>
      <c r="C917" s="21">
        <v>45015</v>
      </c>
      <c r="D917" s="20">
        <v>3291.84</v>
      </c>
      <c r="E917" s="22" t="s">
        <v>10</v>
      </c>
      <c r="F917" s="22" t="s">
        <v>18</v>
      </c>
      <c r="G917" s="22" t="s">
        <v>15</v>
      </c>
    </row>
    <row r="918" ht="15.15" spans="1:7">
      <c r="A918" s="20">
        <v>916</v>
      </c>
      <c r="B918" s="20">
        <v>6895</v>
      </c>
      <c r="C918" s="21">
        <v>44931</v>
      </c>
      <c r="D918" s="20">
        <v>3291.84</v>
      </c>
      <c r="E918" s="22" t="s">
        <v>10</v>
      </c>
      <c r="F918" s="22" t="s">
        <v>14</v>
      </c>
      <c r="G918" s="22" t="s">
        <v>12</v>
      </c>
    </row>
    <row r="919" ht="15.15" spans="1:7">
      <c r="A919" s="20">
        <v>917</v>
      </c>
      <c r="B919" s="20">
        <v>4677</v>
      </c>
      <c r="C919" s="21">
        <v>44990</v>
      </c>
      <c r="D919" s="20">
        <v>3291.84</v>
      </c>
      <c r="E919" s="22" t="s">
        <v>10</v>
      </c>
      <c r="F919" s="22" t="s">
        <v>11</v>
      </c>
      <c r="G919" s="22" t="s">
        <v>20</v>
      </c>
    </row>
    <row r="920" ht="15.15" spans="1:7">
      <c r="A920" s="20">
        <v>918</v>
      </c>
      <c r="B920" s="20">
        <v>2815</v>
      </c>
      <c r="C920" s="21">
        <v>45168</v>
      </c>
      <c r="D920" s="20">
        <v>3291.84</v>
      </c>
      <c r="E920" s="22" t="s">
        <v>10</v>
      </c>
      <c r="F920" s="22" t="s">
        <v>14</v>
      </c>
      <c r="G920" s="22" t="s">
        <v>17</v>
      </c>
    </row>
    <row r="921" ht="15.15" spans="1:7">
      <c r="A921" s="20">
        <v>919</v>
      </c>
      <c r="B921" s="20">
        <v>8801</v>
      </c>
      <c r="C921" s="21">
        <v>45248</v>
      </c>
      <c r="D921" s="20">
        <v>3291.84</v>
      </c>
      <c r="E921" s="22" t="s">
        <v>10</v>
      </c>
      <c r="F921" s="22" t="s">
        <v>16</v>
      </c>
      <c r="G921" s="22" t="s">
        <v>20</v>
      </c>
    </row>
    <row r="922" ht="15.15" spans="1:7">
      <c r="A922" s="20">
        <v>920</v>
      </c>
      <c r="B922" s="20">
        <v>9683</v>
      </c>
      <c r="C922" s="21">
        <v>45257</v>
      </c>
      <c r="D922" s="20">
        <v>3291.84</v>
      </c>
      <c r="E922" s="22" t="s">
        <v>10</v>
      </c>
      <c r="F922" s="22" t="s">
        <v>11</v>
      </c>
      <c r="G922" s="22" t="s">
        <v>17</v>
      </c>
    </row>
    <row r="923" ht="15.15" spans="1:7">
      <c r="A923" s="20">
        <v>921</v>
      </c>
      <c r="B923" s="20">
        <v>5559</v>
      </c>
      <c r="C923" s="21">
        <v>45268</v>
      </c>
      <c r="D923" s="20">
        <v>3291.84</v>
      </c>
      <c r="E923" s="22" t="s">
        <v>10</v>
      </c>
      <c r="F923" s="22" t="s">
        <v>16</v>
      </c>
      <c r="G923" s="22" t="s">
        <v>17</v>
      </c>
    </row>
    <row r="924" ht="15.15" spans="1:7">
      <c r="A924" s="20">
        <v>922</v>
      </c>
      <c r="B924" s="20">
        <v>8895</v>
      </c>
      <c r="C924" s="21">
        <v>45270</v>
      </c>
      <c r="D924" s="20">
        <v>3291.84</v>
      </c>
      <c r="E924" s="22" t="s">
        <v>10</v>
      </c>
      <c r="F924" s="22" t="s">
        <v>11</v>
      </c>
      <c r="G924" s="22" t="s">
        <v>15</v>
      </c>
    </row>
    <row r="925" ht="15.15" spans="1:7">
      <c r="A925" s="20">
        <v>923</v>
      </c>
      <c r="B925" s="20">
        <v>2716</v>
      </c>
      <c r="C925" s="21">
        <v>45000</v>
      </c>
      <c r="D925" s="20">
        <v>3291.84</v>
      </c>
      <c r="E925" s="22" t="s">
        <v>10</v>
      </c>
      <c r="F925" s="22" t="s">
        <v>13</v>
      </c>
      <c r="G925" s="22" t="s">
        <v>20</v>
      </c>
    </row>
    <row r="926" ht="15.15" spans="1:7">
      <c r="A926" s="20">
        <v>924</v>
      </c>
      <c r="B926" s="20">
        <v>1690</v>
      </c>
      <c r="C926" s="21">
        <v>45257</v>
      </c>
      <c r="D926" s="20">
        <v>3291.84</v>
      </c>
      <c r="E926" s="22" t="s">
        <v>10</v>
      </c>
      <c r="F926" s="22" t="s">
        <v>13</v>
      </c>
      <c r="G926" s="22" t="s">
        <v>17</v>
      </c>
    </row>
    <row r="927" ht="15.15" spans="1:7">
      <c r="A927" s="20">
        <v>925</v>
      </c>
      <c r="B927" s="20">
        <v>6182</v>
      </c>
      <c r="C927" s="21">
        <v>45276</v>
      </c>
      <c r="D927" s="20">
        <v>3291.84</v>
      </c>
      <c r="E927" s="22" t="s">
        <v>10</v>
      </c>
      <c r="F927" s="22" t="s">
        <v>13</v>
      </c>
      <c r="G927" s="22" t="s">
        <v>12</v>
      </c>
    </row>
    <row r="928" ht="15.15" spans="1:7">
      <c r="A928" s="20">
        <v>926</v>
      </c>
      <c r="B928" s="20">
        <v>9755</v>
      </c>
      <c r="C928" s="21">
        <v>45264</v>
      </c>
      <c r="D928" s="20">
        <v>3291.84</v>
      </c>
      <c r="E928" s="22" t="s">
        <v>10</v>
      </c>
      <c r="F928" s="22" t="s">
        <v>11</v>
      </c>
      <c r="G928" s="22" t="s">
        <v>20</v>
      </c>
    </row>
    <row r="929" ht="15.15" spans="1:7">
      <c r="A929" s="20">
        <v>927</v>
      </c>
      <c r="B929" s="20">
        <v>2971</v>
      </c>
      <c r="C929" s="21">
        <v>45244</v>
      </c>
      <c r="D929" s="20">
        <v>3291.84</v>
      </c>
      <c r="E929" s="22" t="s">
        <v>10</v>
      </c>
      <c r="F929" s="22" t="s">
        <v>14</v>
      </c>
      <c r="G929" s="22" t="s">
        <v>12</v>
      </c>
    </row>
    <row r="930" ht="15.15" spans="1:7">
      <c r="A930" s="20">
        <v>928</v>
      </c>
      <c r="B930" s="20">
        <v>8287</v>
      </c>
      <c r="C930" s="21">
        <v>45101</v>
      </c>
      <c r="D930" s="20">
        <v>3291.84</v>
      </c>
      <c r="E930" s="22" t="s">
        <v>10</v>
      </c>
      <c r="F930" s="22" t="s">
        <v>14</v>
      </c>
      <c r="G930" s="22" t="s">
        <v>15</v>
      </c>
    </row>
    <row r="931" ht="15.15" spans="1:7">
      <c r="A931" s="20">
        <v>929</v>
      </c>
      <c r="B931" s="20">
        <v>685</v>
      </c>
      <c r="C931" s="21">
        <v>45247</v>
      </c>
      <c r="D931" s="20">
        <v>3291.84</v>
      </c>
      <c r="E931" s="22" t="s">
        <v>10</v>
      </c>
      <c r="F931" s="22" t="s">
        <v>18</v>
      </c>
      <c r="G931" s="22" t="s">
        <v>15</v>
      </c>
    </row>
    <row r="932" ht="15.15" spans="1:7">
      <c r="A932" s="20">
        <v>930</v>
      </c>
      <c r="B932" s="20">
        <v>1372</v>
      </c>
      <c r="C932" s="21">
        <v>45269</v>
      </c>
      <c r="D932" s="20">
        <v>3291.84</v>
      </c>
      <c r="E932" s="22" t="s">
        <v>10</v>
      </c>
      <c r="F932" s="22" t="s">
        <v>13</v>
      </c>
      <c r="G932" s="22" t="s">
        <v>17</v>
      </c>
    </row>
    <row r="933" ht="15.15" spans="1:7">
      <c r="A933" s="20">
        <v>931</v>
      </c>
      <c r="B933" s="20">
        <v>3915</v>
      </c>
      <c r="C933" s="21">
        <v>45080</v>
      </c>
      <c r="D933" s="20">
        <v>3291.84</v>
      </c>
      <c r="E933" s="22" t="s">
        <v>10</v>
      </c>
      <c r="F933" s="22" t="s">
        <v>18</v>
      </c>
      <c r="G933" s="22" t="s">
        <v>12</v>
      </c>
    </row>
    <row r="934" ht="15.15" spans="1:7">
      <c r="A934" s="20">
        <v>932</v>
      </c>
      <c r="B934" s="20">
        <v>4085</v>
      </c>
      <c r="C934" s="21">
        <v>45263</v>
      </c>
      <c r="D934" s="20">
        <v>3291.84</v>
      </c>
      <c r="E934" s="22" t="s">
        <v>10</v>
      </c>
      <c r="F934" s="22" t="s">
        <v>18</v>
      </c>
      <c r="G934" s="22" t="s">
        <v>20</v>
      </c>
    </row>
    <row r="935" ht="15.15" spans="1:7">
      <c r="A935" s="20">
        <v>933</v>
      </c>
      <c r="B935" s="20">
        <v>4626</v>
      </c>
      <c r="C935" s="21">
        <v>45238</v>
      </c>
      <c r="D935" s="20">
        <v>3291.84</v>
      </c>
      <c r="E935" s="22" t="s">
        <v>10</v>
      </c>
      <c r="F935" s="22" t="s">
        <v>13</v>
      </c>
      <c r="G935" s="22" t="s">
        <v>12</v>
      </c>
    </row>
    <row r="936" ht="15.15" spans="1:7">
      <c r="A936" s="20">
        <v>934</v>
      </c>
      <c r="B936" s="20">
        <v>1718</v>
      </c>
      <c r="C936" s="21">
        <v>45012</v>
      </c>
      <c r="D936" s="20">
        <v>3291.84</v>
      </c>
      <c r="E936" s="22" t="s">
        <v>10</v>
      </c>
      <c r="F936" s="22" t="s">
        <v>18</v>
      </c>
      <c r="G936" s="22" t="s">
        <v>20</v>
      </c>
    </row>
    <row r="937" ht="15.15" spans="1:7">
      <c r="A937" s="20">
        <v>935</v>
      </c>
      <c r="B937" s="20">
        <v>8907</v>
      </c>
      <c r="C937" s="21">
        <v>45001</v>
      </c>
      <c r="D937" s="20">
        <v>3291.84</v>
      </c>
      <c r="E937" s="22" t="s">
        <v>10</v>
      </c>
      <c r="F937" s="22" t="s">
        <v>11</v>
      </c>
      <c r="G937" s="22" t="s">
        <v>15</v>
      </c>
    </row>
    <row r="938" ht="15.15" spans="1:7">
      <c r="A938" s="20">
        <v>936</v>
      </c>
      <c r="B938" s="20">
        <v>3514</v>
      </c>
      <c r="C938" s="21">
        <v>45174</v>
      </c>
      <c r="D938" s="20">
        <v>3291.84</v>
      </c>
      <c r="E938" s="22" t="s">
        <v>10</v>
      </c>
      <c r="F938" s="22" t="s">
        <v>18</v>
      </c>
      <c r="G938" s="22" t="s">
        <v>12</v>
      </c>
    </row>
    <row r="939" ht="15.15" spans="1:7">
      <c r="A939" s="20">
        <v>937</v>
      </c>
      <c r="B939" s="20">
        <v>690</v>
      </c>
      <c r="C939" s="21">
        <v>44947</v>
      </c>
      <c r="D939" s="20">
        <v>3291.84</v>
      </c>
      <c r="E939" s="22" t="s">
        <v>10</v>
      </c>
      <c r="F939" s="22" t="s">
        <v>16</v>
      </c>
      <c r="G939" s="22" t="s">
        <v>20</v>
      </c>
    </row>
    <row r="940" ht="15.15" spans="1:7">
      <c r="A940" s="20">
        <v>938</v>
      </c>
      <c r="B940" s="20">
        <v>6692</v>
      </c>
      <c r="C940" s="21">
        <v>45187</v>
      </c>
      <c r="D940" s="20">
        <v>3291.84</v>
      </c>
      <c r="E940" s="22" t="s">
        <v>10</v>
      </c>
      <c r="F940" s="22" t="s">
        <v>16</v>
      </c>
      <c r="G940" s="22" t="s">
        <v>12</v>
      </c>
    </row>
    <row r="941" ht="15.15" spans="1:7">
      <c r="A941" s="20">
        <v>939</v>
      </c>
      <c r="B941" s="20">
        <v>4511</v>
      </c>
      <c r="C941" s="21">
        <v>45158</v>
      </c>
      <c r="D941" s="20">
        <v>3291.84</v>
      </c>
      <c r="E941" s="22" t="s">
        <v>10</v>
      </c>
      <c r="F941" s="22" t="s">
        <v>13</v>
      </c>
      <c r="G941" s="22" t="s">
        <v>15</v>
      </c>
    </row>
    <row r="942" ht="15.15" spans="1:7">
      <c r="A942" s="20">
        <v>940</v>
      </c>
      <c r="B942" s="20">
        <v>5332</v>
      </c>
      <c r="C942" s="21">
        <v>44941</v>
      </c>
      <c r="D942" s="20">
        <v>3291.84</v>
      </c>
      <c r="E942" s="22" t="s">
        <v>10</v>
      </c>
      <c r="F942" s="22" t="s">
        <v>16</v>
      </c>
      <c r="G942" s="22" t="s">
        <v>12</v>
      </c>
    </row>
    <row r="943" ht="15.15" spans="1:7">
      <c r="A943" s="20">
        <v>941</v>
      </c>
      <c r="B943" s="20">
        <v>6400</v>
      </c>
      <c r="C943" s="21">
        <v>45046</v>
      </c>
      <c r="D943" s="20">
        <v>3291.84</v>
      </c>
      <c r="E943" s="22" t="s">
        <v>10</v>
      </c>
      <c r="F943" s="22" t="s">
        <v>18</v>
      </c>
      <c r="G943" s="22" t="s">
        <v>17</v>
      </c>
    </row>
    <row r="944" ht="15.15" spans="1:7">
      <c r="A944" s="20">
        <v>942</v>
      </c>
      <c r="B944" s="20">
        <v>373</v>
      </c>
      <c r="C944" s="21">
        <v>44970</v>
      </c>
      <c r="D944" s="20">
        <v>3291.84</v>
      </c>
      <c r="E944" s="22" t="s">
        <v>10</v>
      </c>
      <c r="F944" s="22" t="s">
        <v>14</v>
      </c>
      <c r="G944" s="22" t="s">
        <v>17</v>
      </c>
    </row>
    <row r="945" ht="15.15" spans="1:7">
      <c r="A945" s="20">
        <v>943</v>
      </c>
      <c r="B945" s="20">
        <v>169</v>
      </c>
      <c r="C945" s="21">
        <v>45112</v>
      </c>
      <c r="D945" s="20">
        <v>3291.84</v>
      </c>
      <c r="E945" s="22" t="s">
        <v>10</v>
      </c>
      <c r="F945" s="22" t="s">
        <v>16</v>
      </c>
      <c r="G945" s="22" t="s">
        <v>15</v>
      </c>
    </row>
    <row r="946" ht="15.15" spans="1:7">
      <c r="A946" s="20">
        <v>944</v>
      </c>
      <c r="B946" s="20">
        <v>5257</v>
      </c>
      <c r="C946" s="21">
        <v>45259</v>
      </c>
      <c r="D946" s="20">
        <v>3291.84</v>
      </c>
      <c r="E946" s="22" t="s">
        <v>10</v>
      </c>
      <c r="F946" s="22" t="s">
        <v>11</v>
      </c>
      <c r="G946" s="22" t="s">
        <v>15</v>
      </c>
    </row>
    <row r="947" ht="15.15" spans="1:7">
      <c r="A947" s="20">
        <v>945</v>
      </c>
      <c r="B947" s="20">
        <v>1374</v>
      </c>
      <c r="C947" s="21">
        <v>45253</v>
      </c>
      <c r="D947" s="20">
        <v>3291.84</v>
      </c>
      <c r="E947" s="22" t="s">
        <v>10</v>
      </c>
      <c r="F947" s="22" t="s">
        <v>16</v>
      </c>
      <c r="G947" s="22" t="s">
        <v>17</v>
      </c>
    </row>
    <row r="948" ht="15.15" spans="1:7">
      <c r="A948" s="20">
        <v>946</v>
      </c>
      <c r="B948" s="20">
        <v>1176</v>
      </c>
      <c r="C948" s="21">
        <v>45176</v>
      </c>
      <c r="D948" s="20">
        <v>3291.84</v>
      </c>
      <c r="E948" s="22" t="s">
        <v>10</v>
      </c>
      <c r="F948" s="22" t="s">
        <v>13</v>
      </c>
      <c r="G948" s="22" t="s">
        <v>20</v>
      </c>
    </row>
    <row r="949" ht="15.15" spans="1:7">
      <c r="A949" s="20">
        <v>947</v>
      </c>
      <c r="B949" s="20">
        <v>9370</v>
      </c>
      <c r="C949" s="21">
        <v>45265</v>
      </c>
      <c r="D949" s="20">
        <v>3291.84</v>
      </c>
      <c r="E949" s="22" t="s">
        <v>10</v>
      </c>
      <c r="F949" s="22" t="s">
        <v>13</v>
      </c>
      <c r="G949" s="22" t="s">
        <v>20</v>
      </c>
    </row>
    <row r="950" ht="15.15" spans="1:7">
      <c r="A950" s="20">
        <v>948</v>
      </c>
      <c r="B950" s="20">
        <v>8053</v>
      </c>
      <c r="C950" s="21">
        <v>45290</v>
      </c>
      <c r="D950" s="20">
        <v>3291.84</v>
      </c>
      <c r="E950" s="22" t="s">
        <v>10</v>
      </c>
      <c r="F950" s="22" t="s">
        <v>19</v>
      </c>
      <c r="G950" s="22" t="s">
        <v>17</v>
      </c>
    </row>
    <row r="951" ht="15.15" spans="1:7">
      <c r="A951" s="20">
        <v>949</v>
      </c>
      <c r="B951" s="20">
        <v>6634</v>
      </c>
      <c r="C951" s="21">
        <v>45041</v>
      </c>
      <c r="D951" s="20">
        <v>3291.84</v>
      </c>
      <c r="E951" s="22" t="s">
        <v>10</v>
      </c>
      <c r="F951" s="22" t="s">
        <v>16</v>
      </c>
      <c r="G951" s="22" t="s">
        <v>12</v>
      </c>
    </row>
    <row r="952" ht="15.15" spans="1:7">
      <c r="A952" s="20">
        <v>950</v>
      </c>
      <c r="B952" s="20">
        <v>6110</v>
      </c>
      <c r="C952" s="21">
        <v>45212</v>
      </c>
      <c r="D952" s="20">
        <v>3291.84</v>
      </c>
      <c r="E952" s="22" t="s">
        <v>10</v>
      </c>
      <c r="F952" s="22" t="s">
        <v>16</v>
      </c>
      <c r="G952" s="22" t="s">
        <v>17</v>
      </c>
    </row>
    <row r="953" ht="15.15" spans="1:7">
      <c r="A953" s="20">
        <v>951</v>
      </c>
      <c r="B953" s="20">
        <v>2276</v>
      </c>
      <c r="C953" s="21">
        <v>45145</v>
      </c>
      <c r="D953" s="20">
        <v>3291.84</v>
      </c>
      <c r="E953" s="22" t="s">
        <v>10</v>
      </c>
      <c r="F953" s="22" t="s">
        <v>18</v>
      </c>
      <c r="G953" s="22" t="s">
        <v>20</v>
      </c>
    </row>
    <row r="954" ht="15.15" spans="1:7">
      <c r="A954" s="20">
        <v>952</v>
      </c>
      <c r="B954" s="20">
        <v>71</v>
      </c>
      <c r="C954" s="21">
        <v>45047</v>
      </c>
      <c r="D954" s="20">
        <v>3291.84</v>
      </c>
      <c r="E954" s="22" t="s">
        <v>10</v>
      </c>
      <c r="F954" s="22" t="s">
        <v>14</v>
      </c>
      <c r="G954" s="22" t="s">
        <v>17</v>
      </c>
    </row>
    <row r="955" ht="15.15" spans="1:7">
      <c r="A955" s="20">
        <v>953</v>
      </c>
      <c r="B955" s="20">
        <v>3072</v>
      </c>
      <c r="C955" s="21">
        <v>45021</v>
      </c>
      <c r="D955" s="20">
        <v>3291.84</v>
      </c>
      <c r="E955" s="22" t="s">
        <v>10</v>
      </c>
      <c r="F955" s="22" t="s">
        <v>19</v>
      </c>
      <c r="G955" s="22" t="s">
        <v>12</v>
      </c>
    </row>
    <row r="956" ht="15.15" spans="1:7">
      <c r="A956" s="20">
        <v>954</v>
      </c>
      <c r="B956" s="20">
        <v>6265</v>
      </c>
      <c r="C956" s="21">
        <v>45023</v>
      </c>
      <c r="D956" s="20">
        <v>3291.84</v>
      </c>
      <c r="E956" s="22" t="s">
        <v>10</v>
      </c>
      <c r="F956" s="22" t="s">
        <v>18</v>
      </c>
      <c r="G956" s="22" t="s">
        <v>20</v>
      </c>
    </row>
    <row r="957" ht="15.15" spans="1:7">
      <c r="A957" s="20">
        <v>955</v>
      </c>
      <c r="B957" s="20">
        <v>6512</v>
      </c>
      <c r="C957" s="21">
        <v>44982</v>
      </c>
      <c r="D957" s="20">
        <v>3291.84</v>
      </c>
      <c r="E957" s="22" t="s">
        <v>10</v>
      </c>
      <c r="F957" s="22" t="s">
        <v>14</v>
      </c>
      <c r="G957" s="22" t="s">
        <v>12</v>
      </c>
    </row>
    <row r="958" ht="15.15" spans="1:7">
      <c r="A958" s="20">
        <v>956</v>
      </c>
      <c r="B958" s="20">
        <v>2504</v>
      </c>
      <c r="C958" s="21">
        <v>45062</v>
      </c>
      <c r="D958" s="20">
        <v>3291.84</v>
      </c>
      <c r="E958" s="22" t="s">
        <v>10</v>
      </c>
      <c r="F958" s="22" t="s">
        <v>18</v>
      </c>
      <c r="G958" s="22" t="s">
        <v>17</v>
      </c>
    </row>
    <row r="959" ht="15.15" spans="1:7">
      <c r="A959" s="20">
        <v>957</v>
      </c>
      <c r="B959" s="20">
        <v>4452</v>
      </c>
      <c r="C959" s="21">
        <v>45176</v>
      </c>
      <c r="D959" s="20">
        <v>3291.84</v>
      </c>
      <c r="E959" s="22" t="s">
        <v>10</v>
      </c>
      <c r="F959" s="22" t="s">
        <v>16</v>
      </c>
      <c r="G959" s="22" t="s">
        <v>20</v>
      </c>
    </row>
    <row r="960" ht="15.15" spans="1:7">
      <c r="A960" s="20">
        <v>958</v>
      </c>
      <c r="B960" s="20">
        <v>6099</v>
      </c>
      <c r="C960" s="21">
        <v>45133</v>
      </c>
      <c r="D960" s="20">
        <v>3291.84</v>
      </c>
      <c r="E960" s="22" t="s">
        <v>10</v>
      </c>
      <c r="F960" s="22" t="s">
        <v>16</v>
      </c>
      <c r="G960" s="22" t="s">
        <v>17</v>
      </c>
    </row>
    <row r="961" ht="15.15" spans="1:7">
      <c r="A961" s="20">
        <v>959</v>
      </c>
      <c r="B961" s="20">
        <v>5703</v>
      </c>
      <c r="C961" s="21">
        <v>45095</v>
      </c>
      <c r="D961" s="20">
        <v>3291.84</v>
      </c>
      <c r="E961" s="22" t="s">
        <v>10</v>
      </c>
      <c r="F961" s="22" t="s">
        <v>14</v>
      </c>
      <c r="G961" s="22" t="s">
        <v>12</v>
      </c>
    </row>
    <row r="962" ht="15.15" spans="1:7">
      <c r="A962" s="20">
        <v>960</v>
      </c>
      <c r="B962" s="20">
        <v>7445</v>
      </c>
      <c r="C962" s="21">
        <v>44957</v>
      </c>
      <c r="D962" s="20">
        <v>3291.84</v>
      </c>
      <c r="E962" s="22" t="s">
        <v>10</v>
      </c>
      <c r="F962" s="22" t="s">
        <v>11</v>
      </c>
      <c r="G962" s="22" t="s">
        <v>12</v>
      </c>
    </row>
    <row r="963" ht="15.15" spans="1:7">
      <c r="A963" s="20">
        <v>961</v>
      </c>
      <c r="B963" s="20">
        <v>3444</v>
      </c>
      <c r="C963" s="21">
        <v>45256</v>
      </c>
      <c r="D963" s="20">
        <v>3291.84</v>
      </c>
      <c r="E963" s="22" t="s">
        <v>10</v>
      </c>
      <c r="F963" s="22" t="s">
        <v>14</v>
      </c>
      <c r="G963" s="22" t="s">
        <v>12</v>
      </c>
    </row>
    <row r="964" ht="15.15" spans="1:7">
      <c r="A964" s="20">
        <v>962</v>
      </c>
      <c r="B964" s="20">
        <v>2724</v>
      </c>
      <c r="C964" s="21">
        <v>44973</v>
      </c>
      <c r="D964" s="20">
        <v>3291.84</v>
      </c>
      <c r="E964" s="22" t="s">
        <v>10</v>
      </c>
      <c r="F964" s="22" t="s">
        <v>11</v>
      </c>
      <c r="G964" s="22" t="s">
        <v>20</v>
      </c>
    </row>
    <row r="965" ht="15.15" spans="1:7">
      <c r="A965" s="20">
        <v>963</v>
      </c>
      <c r="B965" s="20">
        <v>9636</v>
      </c>
      <c r="C965" s="21">
        <v>45230</v>
      </c>
      <c r="D965" s="20">
        <v>3291.84</v>
      </c>
      <c r="E965" s="22" t="s">
        <v>10</v>
      </c>
      <c r="F965" s="22" t="s">
        <v>13</v>
      </c>
      <c r="G965" s="22" t="s">
        <v>12</v>
      </c>
    </row>
    <row r="966" ht="15.15" spans="1:7">
      <c r="A966" s="20">
        <v>964</v>
      </c>
      <c r="B966" s="20">
        <v>3132</v>
      </c>
      <c r="C966" s="21">
        <v>45274</v>
      </c>
      <c r="D966" s="20">
        <v>3291.84</v>
      </c>
      <c r="E966" s="22" t="s">
        <v>10</v>
      </c>
      <c r="F966" s="22" t="s">
        <v>13</v>
      </c>
      <c r="G966" s="22" t="s">
        <v>17</v>
      </c>
    </row>
    <row r="967" ht="15.15" spans="1:7">
      <c r="A967" s="20">
        <v>965</v>
      </c>
      <c r="B967" s="20">
        <v>2862</v>
      </c>
      <c r="C967" s="21">
        <v>45115</v>
      </c>
      <c r="D967" s="20">
        <v>3291.84</v>
      </c>
      <c r="E967" s="22" t="s">
        <v>10</v>
      </c>
      <c r="F967" s="22" t="s">
        <v>14</v>
      </c>
      <c r="G967" s="22" t="s">
        <v>15</v>
      </c>
    </row>
    <row r="968" ht="15.15" spans="1:7">
      <c r="A968" s="20">
        <v>966</v>
      </c>
      <c r="B968" s="20">
        <v>1056</v>
      </c>
      <c r="C968" s="21">
        <v>45274</v>
      </c>
      <c r="D968" s="20">
        <v>3291.84</v>
      </c>
      <c r="E968" s="22" t="s">
        <v>10</v>
      </c>
      <c r="F968" s="22" t="s">
        <v>16</v>
      </c>
      <c r="G968" s="22" t="s">
        <v>17</v>
      </c>
    </row>
    <row r="969" ht="15.15" spans="1:7">
      <c r="A969" s="20">
        <v>967</v>
      </c>
      <c r="B969" s="20">
        <v>8808</v>
      </c>
      <c r="C969" s="21">
        <v>45136</v>
      </c>
      <c r="D969" s="20">
        <v>3291.84</v>
      </c>
      <c r="E969" s="22" t="s">
        <v>10</v>
      </c>
      <c r="F969" s="22" t="s">
        <v>16</v>
      </c>
      <c r="G969" s="22" t="s">
        <v>17</v>
      </c>
    </row>
    <row r="970" ht="15.15" spans="1:7">
      <c r="A970" s="20">
        <v>968</v>
      </c>
      <c r="B970" s="20">
        <v>9385</v>
      </c>
      <c r="C970" s="21">
        <v>44933</v>
      </c>
      <c r="D970" s="20">
        <v>3291.84</v>
      </c>
      <c r="E970" s="22" t="s">
        <v>10</v>
      </c>
      <c r="F970" s="22" t="s">
        <v>13</v>
      </c>
      <c r="G970" s="22" t="s">
        <v>17</v>
      </c>
    </row>
    <row r="971" ht="15.15" spans="1:7">
      <c r="A971" s="20">
        <v>969</v>
      </c>
      <c r="B971" s="20">
        <v>9644</v>
      </c>
      <c r="C971" s="21">
        <v>44975</v>
      </c>
      <c r="D971" s="20">
        <v>3291.84</v>
      </c>
      <c r="E971" s="22" t="s">
        <v>10</v>
      </c>
      <c r="F971" s="22" t="s">
        <v>13</v>
      </c>
      <c r="G971" s="22" t="s">
        <v>17</v>
      </c>
    </row>
    <row r="972" ht="15.15" spans="1:7">
      <c r="A972" s="20">
        <v>970</v>
      </c>
      <c r="B972" s="20">
        <v>4991</v>
      </c>
      <c r="C972" s="21">
        <v>44981</v>
      </c>
      <c r="D972" s="20">
        <v>3291.84</v>
      </c>
      <c r="E972" s="22" t="s">
        <v>10</v>
      </c>
      <c r="F972" s="22" t="s">
        <v>14</v>
      </c>
      <c r="G972" s="22" t="s">
        <v>20</v>
      </c>
    </row>
    <row r="973" ht="15.15" spans="1:7">
      <c r="A973" s="20">
        <v>971</v>
      </c>
      <c r="B973" s="20">
        <v>187</v>
      </c>
      <c r="C973" s="21">
        <v>44938</v>
      </c>
      <c r="D973" s="20">
        <v>3291.84</v>
      </c>
      <c r="E973" s="22" t="s">
        <v>22</v>
      </c>
      <c r="F973" s="22" t="s">
        <v>18</v>
      </c>
      <c r="G973" s="22" t="s">
        <v>12</v>
      </c>
    </row>
    <row r="974" ht="15.15" spans="1:7">
      <c r="A974" s="20">
        <v>972</v>
      </c>
      <c r="B974" s="20">
        <v>9666</v>
      </c>
      <c r="C974" s="21">
        <v>45038</v>
      </c>
      <c r="D974" s="20">
        <v>3291.84</v>
      </c>
      <c r="E974" s="22" t="s">
        <v>10</v>
      </c>
      <c r="F974" s="22" t="s">
        <v>18</v>
      </c>
      <c r="G974" s="22" t="s">
        <v>12</v>
      </c>
    </row>
    <row r="975" ht="15.15" spans="1:7">
      <c r="A975" s="20">
        <v>973</v>
      </c>
      <c r="B975" s="20">
        <v>6576</v>
      </c>
      <c r="C975" s="21">
        <v>45180</v>
      </c>
      <c r="D975" s="20">
        <v>3291.84</v>
      </c>
      <c r="E975" s="22" t="s">
        <v>10</v>
      </c>
      <c r="F975" s="22" t="s">
        <v>11</v>
      </c>
      <c r="G975" s="22" t="s">
        <v>15</v>
      </c>
    </row>
    <row r="976" ht="15.15" spans="1:7">
      <c r="A976" s="20">
        <v>974</v>
      </c>
      <c r="B976" s="20">
        <v>6027</v>
      </c>
      <c r="C976" s="21">
        <v>45093</v>
      </c>
      <c r="D976" s="20">
        <v>3291.84</v>
      </c>
      <c r="E976" s="22" t="s">
        <v>10</v>
      </c>
      <c r="F976" s="22" t="s">
        <v>14</v>
      </c>
      <c r="G976" s="22" t="s">
        <v>20</v>
      </c>
    </row>
    <row r="977" ht="15.15" spans="1:7">
      <c r="A977" s="20">
        <v>975</v>
      </c>
      <c r="B977" s="20">
        <v>6588</v>
      </c>
      <c r="C977" s="21">
        <v>45117</v>
      </c>
      <c r="D977" s="20">
        <v>3291.84</v>
      </c>
      <c r="E977" s="22" t="s">
        <v>10</v>
      </c>
      <c r="F977" s="22" t="s">
        <v>18</v>
      </c>
      <c r="G977" s="22" t="s">
        <v>15</v>
      </c>
    </row>
    <row r="978" ht="15.15" spans="1:7">
      <c r="A978" s="20">
        <v>976</v>
      </c>
      <c r="B978" s="20">
        <v>1985</v>
      </c>
      <c r="C978" s="21">
        <v>45198</v>
      </c>
      <c r="D978" s="20">
        <v>3291.84</v>
      </c>
      <c r="E978" s="22" t="s">
        <v>10</v>
      </c>
      <c r="F978" s="22" t="s">
        <v>16</v>
      </c>
      <c r="G978" s="22" t="s">
        <v>20</v>
      </c>
    </row>
    <row r="979" ht="15.15" spans="1:7">
      <c r="A979" s="20">
        <v>977</v>
      </c>
      <c r="B979" s="20">
        <v>9968</v>
      </c>
      <c r="C979" s="21">
        <v>45234</v>
      </c>
      <c r="D979" s="20">
        <v>3291.84</v>
      </c>
      <c r="E979" s="22" t="s">
        <v>10</v>
      </c>
      <c r="F979" s="22" t="s">
        <v>16</v>
      </c>
      <c r="G979" s="22" t="s">
        <v>17</v>
      </c>
    </row>
    <row r="980" ht="15.15" spans="1:7">
      <c r="A980" s="20">
        <v>978</v>
      </c>
      <c r="B980" s="20">
        <v>4555</v>
      </c>
      <c r="C980" s="21">
        <v>44937</v>
      </c>
      <c r="D980" s="20">
        <v>3291.84</v>
      </c>
      <c r="E980" s="22" t="s">
        <v>10</v>
      </c>
      <c r="F980" s="22" t="s">
        <v>16</v>
      </c>
      <c r="G980" s="22" t="s">
        <v>12</v>
      </c>
    </row>
    <row r="981" ht="15.15" spans="1:7">
      <c r="A981" s="20">
        <v>979</v>
      </c>
      <c r="B981" s="20">
        <v>1777</v>
      </c>
      <c r="C981" s="21">
        <v>45272</v>
      </c>
      <c r="D981" s="20">
        <v>3291.84</v>
      </c>
      <c r="E981" s="22" t="s">
        <v>10</v>
      </c>
      <c r="F981" s="22" t="s">
        <v>13</v>
      </c>
      <c r="G981" s="22" t="s">
        <v>17</v>
      </c>
    </row>
    <row r="982" ht="15.15" spans="1:7">
      <c r="A982" s="20">
        <v>980</v>
      </c>
      <c r="B982" s="20">
        <v>9235</v>
      </c>
      <c r="C982" s="21">
        <v>45152</v>
      </c>
      <c r="D982" s="20">
        <v>3291.84</v>
      </c>
      <c r="E982" s="22" t="s">
        <v>10</v>
      </c>
      <c r="F982" s="22" t="s">
        <v>11</v>
      </c>
      <c r="G982" s="22" t="s">
        <v>12</v>
      </c>
    </row>
    <row r="983" ht="15.15" spans="1:7">
      <c r="A983" s="20">
        <v>981</v>
      </c>
      <c r="B983" s="20">
        <v>4427</v>
      </c>
      <c r="C983" s="21">
        <v>45186</v>
      </c>
      <c r="D983" s="20">
        <v>3291.84</v>
      </c>
      <c r="E983" s="22" t="s">
        <v>22</v>
      </c>
      <c r="F983" s="22" t="s">
        <v>11</v>
      </c>
      <c r="G983" s="22" t="s">
        <v>20</v>
      </c>
    </row>
    <row r="984" ht="15.15" spans="1:7">
      <c r="A984" s="20">
        <v>982</v>
      </c>
      <c r="B984" s="20">
        <v>1242</v>
      </c>
      <c r="C984" s="21">
        <v>45073</v>
      </c>
      <c r="D984" s="20">
        <v>3291.84</v>
      </c>
      <c r="E984" s="22" t="s">
        <v>10</v>
      </c>
      <c r="F984" s="22" t="s">
        <v>16</v>
      </c>
      <c r="G984" s="22" t="s">
        <v>15</v>
      </c>
    </row>
    <row r="985" ht="15.15" spans="1:7">
      <c r="A985" s="20">
        <v>983</v>
      </c>
      <c r="B985" s="20">
        <v>5506</v>
      </c>
      <c r="C985" s="21">
        <v>45218</v>
      </c>
      <c r="D985" s="20">
        <v>3291.84</v>
      </c>
      <c r="E985" s="22" t="s">
        <v>10</v>
      </c>
      <c r="F985" s="22" t="s">
        <v>11</v>
      </c>
      <c r="G985" s="22" t="s">
        <v>17</v>
      </c>
    </row>
    <row r="986" ht="15.15" spans="1:7">
      <c r="A986" s="20">
        <v>984</v>
      </c>
      <c r="B986" s="20">
        <v>5635</v>
      </c>
      <c r="C986" s="21">
        <v>45257</v>
      </c>
      <c r="D986" s="20">
        <v>3291.84</v>
      </c>
      <c r="E986" s="22" t="s">
        <v>10</v>
      </c>
      <c r="F986" s="22" t="s">
        <v>16</v>
      </c>
      <c r="G986" s="22" t="s">
        <v>15</v>
      </c>
    </row>
    <row r="987" ht="15.15" spans="1:7">
      <c r="A987" s="20">
        <v>985</v>
      </c>
      <c r="B987" s="20">
        <v>7468</v>
      </c>
      <c r="C987" s="21">
        <v>45118</v>
      </c>
      <c r="D987" s="20">
        <v>3291.84</v>
      </c>
      <c r="E987" s="22" t="s">
        <v>10</v>
      </c>
      <c r="F987" s="22" t="s">
        <v>16</v>
      </c>
      <c r="G987" s="22" t="s">
        <v>17</v>
      </c>
    </row>
    <row r="988" ht="15.15" spans="1:7">
      <c r="A988" s="20">
        <v>986</v>
      </c>
      <c r="B988" s="20">
        <v>1352</v>
      </c>
      <c r="C988" s="21">
        <v>45291</v>
      </c>
      <c r="D988" s="20">
        <v>3291.84</v>
      </c>
      <c r="E988" s="22" t="s">
        <v>10</v>
      </c>
      <c r="F988" s="22" t="s">
        <v>18</v>
      </c>
      <c r="G988" s="22" t="s">
        <v>15</v>
      </c>
    </row>
    <row r="989" ht="15.15" spans="1:7">
      <c r="A989" s="20">
        <v>987</v>
      </c>
      <c r="B989" s="20">
        <v>8932</v>
      </c>
      <c r="C989" s="21">
        <v>45006</v>
      </c>
      <c r="D989" s="20">
        <v>3291.84</v>
      </c>
      <c r="E989" s="22" t="s">
        <v>21</v>
      </c>
      <c r="F989" s="22" t="s">
        <v>18</v>
      </c>
      <c r="G989" s="22" t="s">
        <v>15</v>
      </c>
    </row>
    <row r="990" ht="15.15" spans="1:7">
      <c r="A990" s="20">
        <v>988</v>
      </c>
      <c r="B990" s="20">
        <v>9519</v>
      </c>
      <c r="C990" s="21">
        <v>45288</v>
      </c>
      <c r="D990" s="20">
        <v>3291.84</v>
      </c>
      <c r="E990" s="22" t="s">
        <v>10</v>
      </c>
      <c r="F990" s="22" t="s">
        <v>14</v>
      </c>
      <c r="G990" s="22" t="s">
        <v>20</v>
      </c>
    </row>
    <row r="991" ht="15.15" spans="1:7">
      <c r="A991" s="20">
        <v>989</v>
      </c>
      <c r="B991" s="20">
        <v>5174</v>
      </c>
      <c r="C991" s="21">
        <v>45008</v>
      </c>
      <c r="D991" s="20">
        <v>3291.84</v>
      </c>
      <c r="E991" s="22" t="s">
        <v>22</v>
      </c>
      <c r="F991" s="22" t="s">
        <v>11</v>
      </c>
      <c r="G991" s="22" t="s">
        <v>17</v>
      </c>
    </row>
    <row r="992" ht="15.15" spans="1:7">
      <c r="A992" s="20">
        <v>990</v>
      </c>
      <c r="B992" s="20">
        <v>9620</v>
      </c>
      <c r="C992" s="21">
        <v>45238</v>
      </c>
      <c r="D992" s="20">
        <v>3291.84</v>
      </c>
      <c r="E992" s="22" t="s">
        <v>10</v>
      </c>
      <c r="F992" s="22" t="s">
        <v>11</v>
      </c>
      <c r="G992" s="22" t="s">
        <v>12</v>
      </c>
    </row>
    <row r="993" ht="15.15" spans="1:7">
      <c r="A993" s="20">
        <v>991</v>
      </c>
      <c r="B993" s="20">
        <v>6404</v>
      </c>
      <c r="C993" s="21">
        <v>44995</v>
      </c>
      <c r="D993" s="20">
        <v>3291.84</v>
      </c>
      <c r="E993" s="22" t="s">
        <v>10</v>
      </c>
      <c r="F993" s="22" t="s">
        <v>11</v>
      </c>
      <c r="G993" s="22" t="s">
        <v>20</v>
      </c>
    </row>
    <row r="994" ht="15.15" spans="1:7">
      <c r="A994" s="20">
        <v>992</v>
      </c>
      <c r="B994" s="20">
        <v>800</v>
      </c>
      <c r="C994" s="21">
        <v>45148</v>
      </c>
      <c r="D994" s="20">
        <v>3291.84</v>
      </c>
      <c r="E994" s="22" t="s">
        <v>10</v>
      </c>
      <c r="F994" s="22" t="s">
        <v>13</v>
      </c>
      <c r="G994" s="22" t="s">
        <v>20</v>
      </c>
    </row>
    <row r="995" ht="15.15" spans="1:7">
      <c r="A995" s="20">
        <v>993</v>
      </c>
      <c r="B995" s="20">
        <v>8075</v>
      </c>
      <c r="C995" s="21">
        <v>45049</v>
      </c>
      <c r="D995" s="20">
        <v>3291.84</v>
      </c>
      <c r="E995" s="22" t="s">
        <v>10</v>
      </c>
      <c r="F995" s="22" t="s">
        <v>11</v>
      </c>
      <c r="G995" s="22" t="s">
        <v>15</v>
      </c>
    </row>
    <row r="996" ht="15.15" spans="1:7">
      <c r="A996" s="20">
        <v>994</v>
      </c>
      <c r="B996" s="20">
        <v>4021</v>
      </c>
      <c r="C996" s="21">
        <v>45193</v>
      </c>
      <c r="D996" s="20">
        <v>3291.84</v>
      </c>
      <c r="E996" s="22" t="s">
        <v>10</v>
      </c>
      <c r="F996" s="22" t="s">
        <v>16</v>
      </c>
      <c r="G996" s="22" t="s">
        <v>20</v>
      </c>
    </row>
    <row r="997" ht="15.15" spans="1:7">
      <c r="A997" s="20">
        <v>995</v>
      </c>
      <c r="B997" s="20">
        <v>3406</v>
      </c>
      <c r="C997" s="21">
        <v>44980</v>
      </c>
      <c r="D997" s="20">
        <v>3291.84</v>
      </c>
      <c r="E997" s="22" t="s">
        <v>10</v>
      </c>
      <c r="F997" s="22" t="s">
        <v>13</v>
      </c>
      <c r="G997" s="22" t="s">
        <v>12</v>
      </c>
    </row>
    <row r="998" ht="15.15" spans="1:7">
      <c r="A998" s="20">
        <v>996</v>
      </c>
      <c r="B998" s="20">
        <v>1435</v>
      </c>
      <c r="C998" s="21">
        <v>45186</v>
      </c>
      <c r="D998" s="20">
        <v>3291.84</v>
      </c>
      <c r="E998" s="22" t="s">
        <v>10</v>
      </c>
      <c r="F998" s="22" t="s">
        <v>11</v>
      </c>
      <c r="G998" s="22" t="s">
        <v>20</v>
      </c>
    </row>
    <row r="999" ht="15.15" spans="1:7">
      <c r="A999" s="20">
        <v>997</v>
      </c>
      <c r="B999" s="20">
        <v>4940</v>
      </c>
      <c r="C999" s="21">
        <v>45119</v>
      </c>
      <c r="D999" s="20">
        <v>3291.84</v>
      </c>
      <c r="E999" s="22" t="s">
        <v>10</v>
      </c>
      <c r="F999" s="22" t="s">
        <v>13</v>
      </c>
      <c r="G999" s="22" t="s">
        <v>15</v>
      </c>
    </row>
    <row r="1000" ht="15.15" spans="1:7">
      <c r="A1000" s="20">
        <v>998</v>
      </c>
      <c r="B1000" s="20">
        <v>9147</v>
      </c>
      <c r="C1000" s="21">
        <v>45142</v>
      </c>
      <c r="D1000" s="20">
        <v>3291.84</v>
      </c>
      <c r="E1000" s="22" t="s">
        <v>10</v>
      </c>
      <c r="F1000" s="22" t="s">
        <v>14</v>
      </c>
      <c r="G1000" s="22" t="s">
        <v>17</v>
      </c>
    </row>
    <row r="1001" ht="15.15" spans="1:7">
      <c r="A1001" s="20">
        <v>999</v>
      </c>
      <c r="B1001" s="20">
        <v>8251</v>
      </c>
      <c r="C1001" s="21">
        <v>45214</v>
      </c>
      <c r="D1001" s="20">
        <v>3291.84</v>
      </c>
      <c r="E1001" s="22" t="s">
        <v>10</v>
      </c>
      <c r="F1001" s="22" t="s">
        <v>11</v>
      </c>
      <c r="G1001" s="22" t="s">
        <v>20</v>
      </c>
    </row>
    <row r="1002" ht="15.15" spans="1:7">
      <c r="A1002" s="20">
        <v>1000</v>
      </c>
      <c r="B1002" s="20">
        <v>2565</v>
      </c>
      <c r="C1002" s="21">
        <v>45183</v>
      </c>
      <c r="D1002" s="20">
        <v>3291.84</v>
      </c>
      <c r="E1002" s="22" t="s">
        <v>10</v>
      </c>
      <c r="F1002" s="22" t="s">
        <v>16</v>
      </c>
      <c r="G1002" s="22" t="s">
        <v>20</v>
      </c>
    </row>
    <row r="1003" ht="15.15" spans="1:7">
      <c r="A1003" s="20">
        <v>1001</v>
      </c>
      <c r="B1003" s="20">
        <v>1195</v>
      </c>
      <c r="C1003" s="21">
        <v>45289</v>
      </c>
      <c r="D1003" s="20">
        <v>3291.84</v>
      </c>
      <c r="E1003" s="22" t="s">
        <v>10</v>
      </c>
      <c r="F1003" s="22" t="s">
        <v>14</v>
      </c>
      <c r="G1003" s="22" t="s">
        <v>12</v>
      </c>
    </row>
    <row r="1004" ht="15.15" spans="1:7">
      <c r="A1004" s="20">
        <v>1002</v>
      </c>
      <c r="B1004" s="20">
        <v>6910</v>
      </c>
      <c r="C1004" s="21">
        <v>45286</v>
      </c>
      <c r="D1004" s="20">
        <v>3291.84</v>
      </c>
      <c r="E1004" s="22" t="s">
        <v>10</v>
      </c>
      <c r="F1004" s="22" t="s">
        <v>18</v>
      </c>
      <c r="G1004" s="22" t="s">
        <v>12</v>
      </c>
    </row>
    <row r="1005" ht="15.15" spans="1:7">
      <c r="A1005" s="20">
        <v>1003</v>
      </c>
      <c r="B1005" s="20">
        <v>8116</v>
      </c>
      <c r="C1005" s="21">
        <v>45276</v>
      </c>
      <c r="D1005" s="20">
        <v>3291.84</v>
      </c>
      <c r="E1005" s="22" t="s">
        <v>10</v>
      </c>
      <c r="F1005" s="22" t="s">
        <v>16</v>
      </c>
      <c r="G1005" s="22" t="s">
        <v>12</v>
      </c>
    </row>
    <row r="1006" ht="15.15" spans="1:7">
      <c r="A1006" s="20">
        <v>1004</v>
      </c>
      <c r="B1006" s="20">
        <v>8395</v>
      </c>
      <c r="C1006" s="21">
        <v>44962</v>
      </c>
      <c r="D1006" s="20">
        <v>3291.84</v>
      </c>
      <c r="E1006" s="22" t="s">
        <v>10</v>
      </c>
      <c r="F1006" s="22" t="s">
        <v>13</v>
      </c>
      <c r="G1006" s="22" t="s">
        <v>17</v>
      </c>
    </row>
    <row r="1007" ht="15.15" spans="1:7">
      <c r="A1007" s="20">
        <v>1005</v>
      </c>
      <c r="B1007" s="20">
        <v>7086</v>
      </c>
      <c r="C1007" s="21">
        <v>45221</v>
      </c>
      <c r="D1007" s="20">
        <v>3291.84</v>
      </c>
      <c r="E1007" s="22" t="s">
        <v>10</v>
      </c>
      <c r="F1007" s="22" t="s">
        <v>14</v>
      </c>
      <c r="G1007" s="22" t="s">
        <v>20</v>
      </c>
    </row>
    <row r="1008" ht="15.15" spans="1:7">
      <c r="A1008" s="20">
        <v>1006</v>
      </c>
      <c r="B1008" s="20">
        <v>7493</v>
      </c>
      <c r="C1008" s="21">
        <v>45286</v>
      </c>
      <c r="D1008" s="20">
        <v>3291.84</v>
      </c>
      <c r="E1008" s="22" t="s">
        <v>10</v>
      </c>
      <c r="F1008" s="22" t="s">
        <v>11</v>
      </c>
      <c r="G1008" s="22" t="s">
        <v>12</v>
      </c>
    </row>
    <row r="1009" ht="15.15" spans="1:7">
      <c r="A1009" s="20">
        <v>1007</v>
      </c>
      <c r="B1009" s="20">
        <v>6313</v>
      </c>
      <c r="C1009" s="21">
        <v>45204</v>
      </c>
      <c r="D1009" s="20">
        <v>3291.84</v>
      </c>
      <c r="E1009" s="22" t="s">
        <v>10</v>
      </c>
      <c r="F1009" s="22" t="s">
        <v>13</v>
      </c>
      <c r="G1009" s="22" t="s">
        <v>15</v>
      </c>
    </row>
    <row r="1010" ht="15.15" spans="1:7">
      <c r="A1010" s="20">
        <v>1008</v>
      </c>
      <c r="B1010" s="20">
        <v>213</v>
      </c>
      <c r="C1010" s="21">
        <v>45207</v>
      </c>
      <c r="D1010" s="20">
        <v>3291.84</v>
      </c>
      <c r="E1010" s="22" t="s">
        <v>10</v>
      </c>
      <c r="F1010" s="22" t="s">
        <v>18</v>
      </c>
      <c r="G1010" s="22" t="s">
        <v>15</v>
      </c>
    </row>
    <row r="1011" ht="15.15" spans="1:7">
      <c r="A1011" s="20">
        <v>1009</v>
      </c>
      <c r="B1011" s="20">
        <v>8884</v>
      </c>
      <c r="C1011" s="21">
        <v>45136</v>
      </c>
      <c r="D1011" s="20">
        <v>3291.84</v>
      </c>
      <c r="E1011" s="22" t="s">
        <v>10</v>
      </c>
      <c r="F1011" s="22" t="s">
        <v>16</v>
      </c>
      <c r="G1011" s="22" t="s">
        <v>17</v>
      </c>
    </row>
    <row r="1012" ht="15.15" spans="1:7">
      <c r="A1012" s="20">
        <v>1010</v>
      </c>
      <c r="B1012" s="20">
        <v>4028</v>
      </c>
      <c r="C1012" s="21">
        <v>45215</v>
      </c>
      <c r="D1012" s="20">
        <v>3291.84</v>
      </c>
      <c r="E1012" s="22" t="s">
        <v>10</v>
      </c>
      <c r="F1012" s="22" t="s">
        <v>14</v>
      </c>
      <c r="G1012" s="22" t="s">
        <v>15</v>
      </c>
    </row>
    <row r="1013" ht="15.15" spans="1:7">
      <c r="A1013" s="20">
        <v>1011</v>
      </c>
      <c r="B1013" s="20">
        <v>6682</v>
      </c>
      <c r="C1013" s="21">
        <v>45097</v>
      </c>
      <c r="D1013" s="20">
        <v>3291.84</v>
      </c>
      <c r="E1013" s="22" t="s">
        <v>10</v>
      </c>
      <c r="F1013" s="22" t="s">
        <v>13</v>
      </c>
      <c r="G1013" s="22" t="s">
        <v>17</v>
      </c>
    </row>
    <row r="1014" ht="15.15" spans="1:7">
      <c r="A1014" s="20">
        <v>1012</v>
      </c>
      <c r="B1014" s="20">
        <v>9077</v>
      </c>
      <c r="C1014" s="21">
        <v>45195</v>
      </c>
      <c r="D1014" s="20">
        <v>3291.84</v>
      </c>
      <c r="E1014" s="22" t="s">
        <v>10</v>
      </c>
      <c r="F1014" s="22" t="s">
        <v>16</v>
      </c>
      <c r="G1014" s="22" t="s">
        <v>15</v>
      </c>
    </row>
    <row r="1015" ht="15.15" spans="1:7">
      <c r="A1015" s="20">
        <v>1013</v>
      </c>
      <c r="B1015" s="20">
        <v>90</v>
      </c>
      <c r="C1015" s="21">
        <v>45278</v>
      </c>
      <c r="D1015" s="20">
        <v>3291.84</v>
      </c>
      <c r="E1015" s="22" t="s">
        <v>10</v>
      </c>
      <c r="F1015" s="22" t="s">
        <v>11</v>
      </c>
      <c r="G1015" s="22" t="s">
        <v>15</v>
      </c>
    </row>
    <row r="1016" ht="15.15" spans="1:7">
      <c r="A1016" s="20">
        <v>1014</v>
      </c>
      <c r="B1016" s="20">
        <v>690</v>
      </c>
      <c r="C1016" s="21">
        <v>44984</v>
      </c>
      <c r="D1016" s="20">
        <v>3291.84</v>
      </c>
      <c r="E1016" s="22" t="s">
        <v>10</v>
      </c>
      <c r="F1016" s="22" t="s">
        <v>16</v>
      </c>
      <c r="G1016" s="22" t="s">
        <v>20</v>
      </c>
    </row>
    <row r="1017" ht="15.15" spans="1:7">
      <c r="A1017" s="20">
        <v>1015</v>
      </c>
      <c r="B1017" s="20">
        <v>1945</v>
      </c>
      <c r="C1017" s="21">
        <v>45032</v>
      </c>
      <c r="D1017" s="20">
        <v>3291.84</v>
      </c>
      <c r="E1017" s="22" t="s">
        <v>10</v>
      </c>
      <c r="F1017" s="22" t="s">
        <v>16</v>
      </c>
      <c r="G1017" s="22" t="s">
        <v>15</v>
      </c>
    </row>
    <row r="1018" ht="15.15" spans="1:7">
      <c r="A1018" s="20">
        <v>1016</v>
      </c>
      <c r="B1018" s="20">
        <v>9300</v>
      </c>
      <c r="C1018" s="21">
        <v>45015</v>
      </c>
      <c r="D1018" s="20">
        <v>3291.84</v>
      </c>
      <c r="E1018" s="22" t="s">
        <v>10</v>
      </c>
      <c r="F1018" s="22" t="s">
        <v>11</v>
      </c>
      <c r="G1018" s="22" t="s">
        <v>15</v>
      </c>
    </row>
    <row r="1019" ht="15.15" spans="1:7">
      <c r="A1019" s="20">
        <v>1017</v>
      </c>
      <c r="B1019" s="20">
        <v>3917</v>
      </c>
      <c r="C1019" s="21">
        <v>45119</v>
      </c>
      <c r="D1019" s="20">
        <v>3291.84</v>
      </c>
      <c r="E1019" s="22" t="s">
        <v>10</v>
      </c>
      <c r="F1019" s="22" t="s">
        <v>16</v>
      </c>
      <c r="G1019" s="22" t="s">
        <v>12</v>
      </c>
    </row>
    <row r="1020" ht="15.15" spans="1:7">
      <c r="A1020" s="20">
        <v>1018</v>
      </c>
      <c r="B1020" s="20">
        <v>8766</v>
      </c>
      <c r="C1020" s="21">
        <v>45040</v>
      </c>
      <c r="D1020" s="20">
        <v>3291.84</v>
      </c>
      <c r="E1020" s="22" t="s">
        <v>10</v>
      </c>
      <c r="F1020" s="22" t="s">
        <v>13</v>
      </c>
      <c r="G1020" s="22" t="s">
        <v>12</v>
      </c>
    </row>
    <row r="1021" ht="15.15" spans="1:7">
      <c r="A1021" s="20">
        <v>1019</v>
      </c>
      <c r="B1021" s="20">
        <v>6228</v>
      </c>
      <c r="C1021" s="21">
        <v>45034</v>
      </c>
      <c r="D1021" s="20">
        <v>3291.84</v>
      </c>
      <c r="E1021" s="22" t="s">
        <v>10</v>
      </c>
      <c r="F1021" s="22" t="s">
        <v>13</v>
      </c>
      <c r="G1021" s="22" t="s">
        <v>17</v>
      </c>
    </row>
    <row r="1022" ht="15.15" spans="1:7">
      <c r="A1022" s="20">
        <v>1020</v>
      </c>
      <c r="B1022" s="20">
        <v>2518</v>
      </c>
      <c r="C1022" s="21">
        <v>44965</v>
      </c>
      <c r="D1022" s="20">
        <v>3291.84</v>
      </c>
      <c r="E1022" s="22" t="s">
        <v>10</v>
      </c>
      <c r="F1022" s="22" t="s">
        <v>18</v>
      </c>
      <c r="G1022" s="22" t="s">
        <v>17</v>
      </c>
    </row>
    <row r="1023" ht="15.15" spans="1:7">
      <c r="A1023" s="20">
        <v>1021</v>
      </c>
      <c r="B1023" s="20">
        <v>9372</v>
      </c>
      <c r="C1023" s="21">
        <v>45069</v>
      </c>
      <c r="D1023" s="20">
        <v>3291.84</v>
      </c>
      <c r="E1023" s="22" t="s">
        <v>10</v>
      </c>
      <c r="F1023" s="22" t="s">
        <v>14</v>
      </c>
      <c r="G1023" s="22" t="s">
        <v>20</v>
      </c>
    </row>
    <row r="1024" ht="15.15" spans="1:7">
      <c r="A1024" s="20">
        <v>1022</v>
      </c>
      <c r="B1024" s="20">
        <v>4764</v>
      </c>
      <c r="C1024" s="21">
        <v>45225</v>
      </c>
      <c r="D1024" s="20">
        <v>3291.84</v>
      </c>
      <c r="E1024" s="22" t="s">
        <v>10</v>
      </c>
      <c r="F1024" s="22" t="s">
        <v>13</v>
      </c>
      <c r="G1024" s="22" t="s">
        <v>17</v>
      </c>
    </row>
    <row r="1025" ht="15.15" spans="1:7">
      <c r="A1025" s="20">
        <v>1023</v>
      </c>
      <c r="B1025" s="20">
        <v>1328</v>
      </c>
      <c r="C1025" s="21">
        <v>45161</v>
      </c>
      <c r="D1025" s="20">
        <v>3291.84</v>
      </c>
      <c r="E1025" s="22" t="s">
        <v>10</v>
      </c>
      <c r="F1025" s="22" t="s">
        <v>11</v>
      </c>
      <c r="G1025" s="22" t="s">
        <v>17</v>
      </c>
    </row>
    <row r="1026" ht="15.15" spans="1:7">
      <c r="A1026" s="20">
        <v>1024</v>
      </c>
      <c r="B1026" s="20">
        <v>7472</v>
      </c>
      <c r="C1026" s="21">
        <v>45039</v>
      </c>
      <c r="D1026" s="20">
        <v>3291.84</v>
      </c>
      <c r="E1026" s="22" t="s">
        <v>10</v>
      </c>
      <c r="F1026" s="22" t="s">
        <v>16</v>
      </c>
      <c r="G1026" s="22" t="s">
        <v>17</v>
      </c>
    </row>
    <row r="1027" ht="15.15" spans="1:7">
      <c r="A1027" s="20">
        <v>1025</v>
      </c>
      <c r="B1027" s="20">
        <v>690</v>
      </c>
      <c r="C1027" s="21">
        <v>45246</v>
      </c>
      <c r="D1027" s="20">
        <v>3291.84</v>
      </c>
      <c r="E1027" s="22" t="s">
        <v>10</v>
      </c>
      <c r="F1027" s="22" t="s">
        <v>16</v>
      </c>
      <c r="G1027" s="22" t="s">
        <v>12</v>
      </c>
    </row>
    <row r="1028" ht="15.15" spans="1:7">
      <c r="A1028" s="20">
        <v>1026</v>
      </c>
      <c r="B1028" s="20">
        <v>3183</v>
      </c>
      <c r="C1028" s="21">
        <v>45254</v>
      </c>
      <c r="D1028" s="20">
        <v>3291.84</v>
      </c>
      <c r="E1028" s="22" t="s">
        <v>10</v>
      </c>
      <c r="F1028" s="22" t="s">
        <v>18</v>
      </c>
      <c r="G1028" s="22" t="s">
        <v>12</v>
      </c>
    </row>
    <row r="1029" ht="15.15" spans="1:7">
      <c r="A1029" s="20">
        <v>1027</v>
      </c>
      <c r="B1029" s="20">
        <v>5521</v>
      </c>
      <c r="C1029" s="21">
        <v>45203</v>
      </c>
      <c r="D1029" s="20">
        <v>3291.84</v>
      </c>
      <c r="E1029" s="22" t="s">
        <v>10</v>
      </c>
      <c r="F1029" s="22" t="s">
        <v>18</v>
      </c>
      <c r="G1029" s="22" t="s">
        <v>12</v>
      </c>
    </row>
    <row r="1030" ht="15.15" spans="1:7">
      <c r="A1030" s="20">
        <v>1028</v>
      </c>
      <c r="B1030" s="20">
        <v>2150</v>
      </c>
      <c r="C1030" s="21">
        <v>45157</v>
      </c>
      <c r="D1030" s="20">
        <v>3291.84</v>
      </c>
      <c r="E1030" s="22" t="s">
        <v>10</v>
      </c>
      <c r="F1030" s="22" t="s">
        <v>18</v>
      </c>
      <c r="G1030" s="22" t="s">
        <v>15</v>
      </c>
    </row>
    <row r="1031" ht="15.15" spans="1:7">
      <c r="A1031" s="20">
        <v>1029</v>
      </c>
      <c r="B1031" s="20">
        <v>8239</v>
      </c>
      <c r="C1031" s="21">
        <v>45268</v>
      </c>
      <c r="D1031" s="20">
        <v>3291.84</v>
      </c>
      <c r="E1031" s="22" t="s">
        <v>10</v>
      </c>
      <c r="F1031" s="22" t="s">
        <v>18</v>
      </c>
      <c r="G1031" s="22" t="s">
        <v>17</v>
      </c>
    </row>
    <row r="1032" ht="15.15" spans="1:7">
      <c r="A1032" s="20">
        <v>1030</v>
      </c>
      <c r="B1032" s="20">
        <v>443</v>
      </c>
      <c r="C1032" s="21">
        <v>45268</v>
      </c>
      <c r="D1032" s="20">
        <v>3291.84</v>
      </c>
      <c r="E1032" s="22" t="s">
        <v>10</v>
      </c>
      <c r="F1032" s="22" t="s">
        <v>14</v>
      </c>
      <c r="G1032" s="22" t="s">
        <v>17</v>
      </c>
    </row>
    <row r="1033" ht="15.15" spans="1:7">
      <c r="A1033" s="20">
        <v>1031</v>
      </c>
      <c r="B1033" s="20">
        <v>9281</v>
      </c>
      <c r="C1033" s="21">
        <v>44968</v>
      </c>
      <c r="D1033" s="20">
        <v>3291.84</v>
      </c>
      <c r="E1033" s="22" t="s">
        <v>10</v>
      </c>
      <c r="F1033" s="22" t="s">
        <v>19</v>
      </c>
      <c r="G1033" s="22" t="s">
        <v>15</v>
      </c>
    </row>
    <row r="1034" ht="15.15" spans="1:7">
      <c r="A1034" s="20">
        <v>1032</v>
      </c>
      <c r="B1034" s="20">
        <v>8745</v>
      </c>
      <c r="C1034" s="21">
        <v>45233</v>
      </c>
      <c r="D1034" s="20">
        <v>3291.84</v>
      </c>
      <c r="E1034" s="22" t="s">
        <v>10</v>
      </c>
      <c r="F1034" s="22" t="s">
        <v>13</v>
      </c>
      <c r="G1034" s="22" t="s">
        <v>15</v>
      </c>
    </row>
    <row r="1035" ht="15.15" spans="1:7">
      <c r="A1035" s="20">
        <v>1033</v>
      </c>
      <c r="B1035" s="20">
        <v>7970</v>
      </c>
      <c r="C1035" s="21">
        <v>45090</v>
      </c>
      <c r="D1035" s="20">
        <v>3291.84</v>
      </c>
      <c r="E1035" s="22" t="s">
        <v>10</v>
      </c>
      <c r="F1035" s="22" t="s">
        <v>18</v>
      </c>
      <c r="G1035" s="22" t="s">
        <v>20</v>
      </c>
    </row>
    <row r="1036" ht="15.15" spans="1:7">
      <c r="A1036" s="20">
        <v>1034</v>
      </c>
      <c r="B1036" s="20">
        <v>5273</v>
      </c>
      <c r="C1036" s="21">
        <v>45084</v>
      </c>
      <c r="D1036" s="20">
        <v>3291.84</v>
      </c>
      <c r="E1036" s="22" t="s">
        <v>10</v>
      </c>
      <c r="F1036" s="22" t="s">
        <v>14</v>
      </c>
      <c r="G1036" s="22" t="s">
        <v>15</v>
      </c>
    </row>
    <row r="1037" ht="15.15" spans="1:7">
      <c r="A1037" s="20">
        <v>1035</v>
      </c>
      <c r="B1037" s="20">
        <v>2928</v>
      </c>
      <c r="C1037" s="21">
        <v>45263</v>
      </c>
      <c r="D1037" s="20">
        <v>3291.84</v>
      </c>
      <c r="E1037" s="22" t="s">
        <v>10</v>
      </c>
      <c r="F1037" s="22" t="s">
        <v>18</v>
      </c>
      <c r="G1037" s="22" t="s">
        <v>17</v>
      </c>
    </row>
    <row r="1038" ht="15.15" spans="1:7">
      <c r="A1038" s="20">
        <v>1036</v>
      </c>
      <c r="B1038" s="20">
        <v>347</v>
      </c>
      <c r="C1038" s="21">
        <v>45107</v>
      </c>
      <c r="D1038" s="20">
        <v>3291.84</v>
      </c>
      <c r="E1038" s="22" t="s">
        <v>10</v>
      </c>
      <c r="F1038" s="22" t="s">
        <v>16</v>
      </c>
      <c r="G1038" s="22" t="s">
        <v>15</v>
      </c>
    </row>
    <row r="1039" ht="15.15" spans="1:7">
      <c r="A1039" s="20">
        <v>1037</v>
      </c>
      <c r="B1039" s="20">
        <v>5958</v>
      </c>
      <c r="C1039" s="21">
        <v>45286</v>
      </c>
      <c r="D1039" s="20">
        <v>3291.84</v>
      </c>
      <c r="E1039" s="22" t="s">
        <v>10</v>
      </c>
      <c r="F1039" s="22" t="s">
        <v>18</v>
      </c>
      <c r="G1039" s="22" t="s">
        <v>12</v>
      </c>
    </row>
    <row r="1040" ht="15.15" spans="1:7">
      <c r="A1040" s="20">
        <v>1038</v>
      </c>
      <c r="B1040" s="20">
        <v>5825</v>
      </c>
      <c r="C1040" s="21">
        <v>45109</v>
      </c>
      <c r="D1040" s="20">
        <v>3291.84</v>
      </c>
      <c r="E1040" s="22" t="s">
        <v>10</v>
      </c>
      <c r="F1040" s="22" t="s">
        <v>14</v>
      </c>
      <c r="G1040" s="22" t="s">
        <v>17</v>
      </c>
    </row>
    <row r="1041" ht="15.15" spans="1:7">
      <c r="A1041" s="20">
        <v>1039</v>
      </c>
      <c r="B1041" s="20">
        <v>3078</v>
      </c>
      <c r="C1041" s="21">
        <v>44950</v>
      </c>
      <c r="D1041" s="20">
        <v>3291.84</v>
      </c>
      <c r="E1041" s="22" t="s">
        <v>10</v>
      </c>
      <c r="F1041" s="22" t="s">
        <v>18</v>
      </c>
      <c r="G1041" s="22" t="s">
        <v>17</v>
      </c>
    </row>
    <row r="1042" ht="15.15" spans="1:7">
      <c r="A1042" s="20">
        <v>1040</v>
      </c>
      <c r="B1042" s="20">
        <v>5961</v>
      </c>
      <c r="C1042" s="21">
        <v>45215</v>
      </c>
      <c r="D1042" s="20">
        <v>3291.84</v>
      </c>
      <c r="E1042" s="22" t="s">
        <v>10</v>
      </c>
      <c r="F1042" s="22" t="s">
        <v>11</v>
      </c>
      <c r="G1042" s="22" t="s">
        <v>20</v>
      </c>
    </row>
    <row r="1043" ht="15.15" spans="1:7">
      <c r="A1043" s="20">
        <v>1041</v>
      </c>
      <c r="B1043" s="20">
        <v>8521</v>
      </c>
      <c r="C1043" s="21">
        <v>45146</v>
      </c>
      <c r="D1043" s="20">
        <v>3291.84</v>
      </c>
      <c r="E1043" s="22" t="s">
        <v>10</v>
      </c>
      <c r="F1043" s="22" t="s">
        <v>16</v>
      </c>
      <c r="G1043" s="22" t="s">
        <v>12</v>
      </c>
    </row>
    <row r="1044" ht="15.15" spans="1:7">
      <c r="A1044" s="20">
        <v>1042</v>
      </c>
      <c r="B1044" s="20">
        <v>2679</v>
      </c>
      <c r="C1044" s="21">
        <v>45158</v>
      </c>
      <c r="D1044" s="20">
        <v>3291.84</v>
      </c>
      <c r="E1044" s="22" t="s">
        <v>10</v>
      </c>
      <c r="F1044" s="22" t="s">
        <v>13</v>
      </c>
      <c r="G1044" s="22" t="s">
        <v>17</v>
      </c>
    </row>
    <row r="1045" ht="15.15" spans="1:7">
      <c r="A1045" s="20">
        <v>1043</v>
      </c>
      <c r="B1045" s="20">
        <v>157</v>
      </c>
      <c r="C1045" s="21">
        <v>45127</v>
      </c>
      <c r="D1045" s="20">
        <v>3291.84</v>
      </c>
      <c r="E1045" s="22" t="s">
        <v>10</v>
      </c>
      <c r="F1045" s="22" t="s">
        <v>18</v>
      </c>
      <c r="G1045" s="22" t="s">
        <v>20</v>
      </c>
    </row>
    <row r="1046" ht="15.15" spans="1:7">
      <c r="A1046" s="20">
        <v>1044</v>
      </c>
      <c r="B1046" s="20">
        <v>7102</v>
      </c>
      <c r="C1046" s="21">
        <v>44970</v>
      </c>
      <c r="D1046" s="20">
        <v>3291.84</v>
      </c>
      <c r="E1046" s="22" t="s">
        <v>10</v>
      </c>
      <c r="F1046" s="22" t="s">
        <v>16</v>
      </c>
      <c r="G1046" s="22" t="s">
        <v>15</v>
      </c>
    </row>
    <row r="1047" ht="15.15" spans="1:7">
      <c r="A1047" s="20">
        <v>1045</v>
      </c>
      <c r="B1047" s="20">
        <v>9819</v>
      </c>
      <c r="C1047" s="21">
        <v>44956</v>
      </c>
      <c r="D1047" s="20">
        <v>3291.84</v>
      </c>
      <c r="E1047" s="22" t="s">
        <v>10</v>
      </c>
      <c r="F1047" s="22" t="s">
        <v>13</v>
      </c>
      <c r="G1047" s="22" t="s">
        <v>15</v>
      </c>
    </row>
    <row r="1048" ht="15.15" spans="1:7">
      <c r="A1048" s="20">
        <v>1046</v>
      </c>
      <c r="B1048" s="20">
        <v>8709</v>
      </c>
      <c r="C1048" s="21">
        <v>45014</v>
      </c>
      <c r="D1048" s="20">
        <v>3291.84</v>
      </c>
      <c r="E1048" s="22" t="s">
        <v>10</v>
      </c>
      <c r="F1048" s="22" t="s">
        <v>14</v>
      </c>
      <c r="G1048" s="22" t="s">
        <v>12</v>
      </c>
    </row>
    <row r="1049" ht="15.15" spans="1:7">
      <c r="A1049" s="20">
        <v>1047</v>
      </c>
      <c r="B1049" s="20">
        <v>5825</v>
      </c>
      <c r="C1049" s="21">
        <v>44998</v>
      </c>
      <c r="D1049" s="20">
        <v>3291.84</v>
      </c>
      <c r="E1049" s="22" t="s">
        <v>22</v>
      </c>
      <c r="F1049" s="22" t="s">
        <v>14</v>
      </c>
      <c r="G1049" s="22" t="s">
        <v>15</v>
      </c>
    </row>
    <row r="1050" ht="15.15" spans="1:7">
      <c r="A1050" s="20">
        <v>1048</v>
      </c>
      <c r="B1050" s="20">
        <v>5846</v>
      </c>
      <c r="C1050" s="21">
        <v>45219</v>
      </c>
      <c r="D1050" s="20">
        <v>3291.84</v>
      </c>
      <c r="E1050" s="22" t="s">
        <v>10</v>
      </c>
      <c r="F1050" s="22" t="s">
        <v>11</v>
      </c>
      <c r="G1050" s="22" t="s">
        <v>20</v>
      </c>
    </row>
    <row r="1051" ht="15.15" spans="1:7">
      <c r="A1051" s="20">
        <v>1049</v>
      </c>
      <c r="B1051" s="20">
        <v>1313</v>
      </c>
      <c r="C1051" s="21">
        <v>45225</v>
      </c>
      <c r="D1051" s="20">
        <v>3291.84</v>
      </c>
      <c r="E1051" s="22" t="s">
        <v>10</v>
      </c>
      <c r="F1051" s="22" t="s">
        <v>11</v>
      </c>
      <c r="G1051" s="22" t="s">
        <v>12</v>
      </c>
    </row>
    <row r="1052" ht="15.15" spans="1:7">
      <c r="A1052" s="20">
        <v>1050</v>
      </c>
      <c r="B1052" s="20">
        <v>9132</v>
      </c>
      <c r="C1052" s="21">
        <v>45221</v>
      </c>
      <c r="D1052" s="20">
        <v>3291.84</v>
      </c>
      <c r="E1052" s="22" t="s">
        <v>10</v>
      </c>
      <c r="F1052" s="22" t="s">
        <v>18</v>
      </c>
      <c r="G1052" s="22" t="s">
        <v>12</v>
      </c>
    </row>
    <row r="1053" ht="15.15" spans="1:7">
      <c r="A1053" s="20">
        <v>1051</v>
      </c>
      <c r="B1053" s="20">
        <v>1489</v>
      </c>
      <c r="C1053" s="21">
        <v>44989</v>
      </c>
      <c r="D1053" s="20">
        <v>3291.84</v>
      </c>
      <c r="E1053" s="22" t="s">
        <v>10</v>
      </c>
      <c r="F1053" s="22" t="s">
        <v>13</v>
      </c>
      <c r="G1053" s="22" t="s">
        <v>17</v>
      </c>
    </row>
    <row r="1054" ht="15.15" spans="1:7">
      <c r="A1054" s="20">
        <v>1052</v>
      </c>
      <c r="B1054" s="20">
        <v>1078</v>
      </c>
      <c r="C1054" s="21">
        <v>45025</v>
      </c>
      <c r="D1054" s="20">
        <v>3291.84</v>
      </c>
      <c r="E1054" s="22" t="s">
        <v>10</v>
      </c>
      <c r="F1054" s="22" t="s">
        <v>11</v>
      </c>
      <c r="G1054" s="22" t="s">
        <v>12</v>
      </c>
    </row>
    <row r="1055" ht="15.15" spans="1:7">
      <c r="A1055" s="20">
        <v>1053</v>
      </c>
      <c r="B1055" s="20">
        <v>3</v>
      </c>
      <c r="C1055" s="21">
        <v>45243</v>
      </c>
      <c r="D1055" s="20">
        <v>3291.84</v>
      </c>
      <c r="E1055" s="22" t="s">
        <v>10</v>
      </c>
      <c r="F1055" s="22" t="s">
        <v>11</v>
      </c>
      <c r="G1055" s="22" t="s">
        <v>17</v>
      </c>
    </row>
    <row r="1056" ht="15.15" spans="1:7">
      <c r="A1056" s="20">
        <v>1054</v>
      </c>
      <c r="B1056" s="20">
        <v>5684</v>
      </c>
      <c r="C1056" s="21">
        <v>44970</v>
      </c>
      <c r="D1056" s="20">
        <v>3291.84</v>
      </c>
      <c r="E1056" s="22" t="s">
        <v>10</v>
      </c>
      <c r="F1056" s="22" t="s">
        <v>14</v>
      </c>
      <c r="G1056" s="22" t="s">
        <v>17</v>
      </c>
    </row>
    <row r="1057" ht="15.15" spans="1:7">
      <c r="A1057" s="20">
        <v>1055</v>
      </c>
      <c r="B1057" s="20">
        <v>8331</v>
      </c>
      <c r="C1057" s="21">
        <v>45226</v>
      </c>
      <c r="D1057" s="20">
        <v>3291.84</v>
      </c>
      <c r="E1057" s="22" t="s">
        <v>10</v>
      </c>
      <c r="F1057" s="22" t="s">
        <v>18</v>
      </c>
      <c r="G1057" s="22" t="s">
        <v>12</v>
      </c>
    </row>
    <row r="1058" ht="15.15" spans="1:7">
      <c r="A1058" s="20">
        <v>1056</v>
      </c>
      <c r="B1058" s="20">
        <v>398</v>
      </c>
      <c r="C1058" s="21">
        <v>45176</v>
      </c>
      <c r="D1058" s="20">
        <v>3291.84</v>
      </c>
      <c r="E1058" s="22" t="s">
        <v>10</v>
      </c>
      <c r="F1058" s="22" t="s">
        <v>13</v>
      </c>
      <c r="G1058" s="22" t="s">
        <v>20</v>
      </c>
    </row>
    <row r="1059" ht="15.15" spans="1:7">
      <c r="A1059" s="20">
        <v>1057</v>
      </c>
      <c r="B1059" s="20">
        <v>8483</v>
      </c>
      <c r="C1059" s="21">
        <v>45033</v>
      </c>
      <c r="D1059" s="20">
        <v>3291.84</v>
      </c>
      <c r="E1059" s="22" t="s">
        <v>10</v>
      </c>
      <c r="F1059" s="22" t="s">
        <v>18</v>
      </c>
      <c r="G1059" s="22" t="s">
        <v>15</v>
      </c>
    </row>
    <row r="1060" ht="15.15" spans="1:7">
      <c r="A1060" s="20">
        <v>1058</v>
      </c>
      <c r="B1060" s="20">
        <v>5633</v>
      </c>
      <c r="C1060" s="21">
        <v>45264</v>
      </c>
      <c r="D1060" s="20">
        <v>3291.84</v>
      </c>
      <c r="E1060" s="22" t="s">
        <v>10</v>
      </c>
      <c r="F1060" s="22" t="s">
        <v>16</v>
      </c>
      <c r="G1060" s="22" t="s">
        <v>15</v>
      </c>
    </row>
    <row r="1061" ht="15.15" spans="1:7">
      <c r="A1061" s="20">
        <v>1059</v>
      </c>
      <c r="B1061" s="20">
        <v>127</v>
      </c>
      <c r="C1061" s="21">
        <v>45002</v>
      </c>
      <c r="D1061" s="20">
        <v>3291.84</v>
      </c>
      <c r="E1061" s="22" t="s">
        <v>10</v>
      </c>
      <c r="F1061" s="22" t="s">
        <v>14</v>
      </c>
      <c r="G1061" s="22" t="s">
        <v>15</v>
      </c>
    </row>
    <row r="1062" ht="15.15" spans="1:7">
      <c r="A1062" s="20">
        <v>1060</v>
      </c>
      <c r="B1062" s="20">
        <v>9729</v>
      </c>
      <c r="C1062" s="21">
        <v>45107</v>
      </c>
      <c r="D1062" s="20">
        <v>3291.84</v>
      </c>
      <c r="E1062" s="22" t="s">
        <v>10</v>
      </c>
      <c r="F1062" s="22" t="s">
        <v>18</v>
      </c>
      <c r="G1062" s="22" t="s">
        <v>12</v>
      </c>
    </row>
    <row r="1063" ht="15.15" spans="1:7">
      <c r="A1063" s="20">
        <v>1061</v>
      </c>
      <c r="B1063" s="20">
        <v>1974</v>
      </c>
      <c r="C1063" s="21">
        <v>45215</v>
      </c>
      <c r="D1063" s="20">
        <v>3291.84</v>
      </c>
      <c r="E1063" s="22" t="s">
        <v>10</v>
      </c>
      <c r="F1063" s="22" t="s">
        <v>13</v>
      </c>
      <c r="G1063" s="22" t="s">
        <v>17</v>
      </c>
    </row>
    <row r="1064" ht="15.15" spans="1:7">
      <c r="A1064" s="20">
        <v>1062</v>
      </c>
      <c r="B1064" s="20">
        <v>5724</v>
      </c>
      <c r="C1064" s="21">
        <v>45136</v>
      </c>
      <c r="D1064" s="20">
        <v>3291.84</v>
      </c>
      <c r="E1064" s="22" t="s">
        <v>10</v>
      </c>
      <c r="F1064" s="22" t="s">
        <v>13</v>
      </c>
      <c r="G1064" s="22" t="s">
        <v>12</v>
      </c>
    </row>
    <row r="1065" ht="15.15" spans="1:7">
      <c r="A1065" s="20">
        <v>1063</v>
      </c>
      <c r="B1065" s="20">
        <v>8036</v>
      </c>
      <c r="C1065" s="21">
        <v>45107</v>
      </c>
      <c r="D1065" s="20">
        <v>3291.84</v>
      </c>
      <c r="E1065" s="22" t="s">
        <v>10</v>
      </c>
      <c r="F1065" s="22" t="s">
        <v>18</v>
      </c>
      <c r="G1065" s="22" t="s">
        <v>12</v>
      </c>
    </row>
    <row r="1066" ht="15.15" spans="1:7">
      <c r="A1066" s="20">
        <v>1064</v>
      </c>
      <c r="B1066" s="20">
        <v>6002</v>
      </c>
      <c r="C1066" s="21">
        <v>44978</v>
      </c>
      <c r="D1066" s="20">
        <v>3291.84</v>
      </c>
      <c r="E1066" s="22" t="s">
        <v>10</v>
      </c>
      <c r="F1066" s="22" t="s">
        <v>14</v>
      </c>
      <c r="G1066" s="22" t="s">
        <v>12</v>
      </c>
    </row>
    <row r="1067" ht="15.15" spans="1:7">
      <c r="A1067" s="20">
        <v>1065</v>
      </c>
      <c r="B1067" s="20">
        <v>8897</v>
      </c>
      <c r="C1067" s="21">
        <v>45138</v>
      </c>
      <c r="D1067" s="20">
        <v>3291.84</v>
      </c>
      <c r="E1067" s="22" t="s">
        <v>10</v>
      </c>
      <c r="F1067" s="22" t="s">
        <v>13</v>
      </c>
      <c r="G1067" s="22" t="s">
        <v>12</v>
      </c>
    </row>
    <row r="1068" ht="15.15" spans="1:7">
      <c r="A1068" s="20">
        <v>1066</v>
      </c>
      <c r="B1068" s="20">
        <v>4979</v>
      </c>
      <c r="C1068" s="21">
        <v>44984</v>
      </c>
      <c r="D1068" s="20">
        <v>3291.84</v>
      </c>
      <c r="E1068" s="22" t="s">
        <v>10</v>
      </c>
      <c r="F1068" s="22" t="s">
        <v>13</v>
      </c>
      <c r="G1068" s="22" t="s">
        <v>15</v>
      </c>
    </row>
    <row r="1069" ht="15.15" spans="1:7">
      <c r="A1069" s="20">
        <v>1067</v>
      </c>
      <c r="B1069" s="20">
        <v>2934</v>
      </c>
      <c r="C1069" s="21">
        <v>44976</v>
      </c>
      <c r="D1069" s="20">
        <v>3291.84</v>
      </c>
      <c r="E1069" s="22" t="s">
        <v>10</v>
      </c>
      <c r="F1069" s="22" t="s">
        <v>16</v>
      </c>
      <c r="G1069" s="22" t="s">
        <v>15</v>
      </c>
    </row>
    <row r="1070" ht="15.15" spans="1:7">
      <c r="A1070" s="20">
        <v>1068</v>
      </c>
      <c r="B1070" s="20">
        <v>5163</v>
      </c>
      <c r="C1070" s="21">
        <v>45272</v>
      </c>
      <c r="D1070" s="20">
        <v>3291.84</v>
      </c>
      <c r="E1070" s="22" t="s">
        <v>10</v>
      </c>
      <c r="F1070" s="22" t="s">
        <v>11</v>
      </c>
      <c r="G1070" s="22" t="s">
        <v>17</v>
      </c>
    </row>
    <row r="1071" ht="15.15" spans="1:7">
      <c r="A1071" s="20">
        <v>1069</v>
      </c>
      <c r="B1071" s="20">
        <v>7933</v>
      </c>
      <c r="C1071" s="21">
        <v>45032</v>
      </c>
      <c r="D1071" s="20">
        <v>3291.84</v>
      </c>
      <c r="E1071" s="22" t="s">
        <v>10</v>
      </c>
      <c r="F1071" s="22" t="s">
        <v>14</v>
      </c>
      <c r="G1071" s="22" t="s">
        <v>17</v>
      </c>
    </row>
    <row r="1072" ht="15.15" spans="1:7">
      <c r="A1072" s="20">
        <v>1070</v>
      </c>
      <c r="B1072" s="20">
        <v>5133</v>
      </c>
      <c r="C1072" s="21">
        <v>45118</v>
      </c>
      <c r="D1072" s="20">
        <v>3291.84</v>
      </c>
      <c r="E1072" s="22" t="s">
        <v>10</v>
      </c>
      <c r="F1072" s="22" t="s">
        <v>13</v>
      </c>
      <c r="G1072" s="22" t="s">
        <v>17</v>
      </c>
    </row>
    <row r="1073" ht="15.15" spans="1:7">
      <c r="A1073" s="20">
        <v>1071</v>
      </c>
      <c r="B1073" s="20">
        <v>98</v>
      </c>
      <c r="C1073" s="21">
        <v>45236</v>
      </c>
      <c r="D1073" s="20">
        <v>3291.84</v>
      </c>
      <c r="E1073" s="22" t="s">
        <v>10</v>
      </c>
      <c r="F1073" s="22" t="s">
        <v>11</v>
      </c>
      <c r="G1073" s="22" t="s">
        <v>12</v>
      </c>
    </row>
    <row r="1074" ht="15.15" spans="1:7">
      <c r="A1074" s="20">
        <v>1072</v>
      </c>
      <c r="B1074" s="20">
        <v>6910</v>
      </c>
      <c r="C1074" s="21">
        <v>44975</v>
      </c>
      <c r="D1074" s="20">
        <v>3291.84</v>
      </c>
      <c r="E1074" s="22" t="s">
        <v>10</v>
      </c>
      <c r="F1074" s="22" t="s">
        <v>18</v>
      </c>
      <c r="G1074" s="22" t="s">
        <v>12</v>
      </c>
    </row>
    <row r="1075" ht="15.15" spans="1:7">
      <c r="A1075" s="20">
        <v>1073</v>
      </c>
      <c r="B1075" s="20">
        <v>4345</v>
      </c>
      <c r="C1075" s="21">
        <v>44986</v>
      </c>
      <c r="D1075" s="20">
        <v>3291.84</v>
      </c>
      <c r="E1075" s="22" t="s">
        <v>10</v>
      </c>
      <c r="F1075" s="22" t="s">
        <v>11</v>
      </c>
      <c r="G1075" s="22" t="s">
        <v>17</v>
      </c>
    </row>
    <row r="1076" ht="15.15" spans="1:7">
      <c r="A1076" s="20">
        <v>1074</v>
      </c>
      <c r="B1076" s="20">
        <v>3034</v>
      </c>
      <c r="C1076" s="21">
        <v>44996</v>
      </c>
      <c r="D1076" s="20">
        <v>3291.84</v>
      </c>
      <c r="E1076" s="22" t="s">
        <v>10</v>
      </c>
      <c r="F1076" s="22" t="s">
        <v>16</v>
      </c>
      <c r="G1076" s="22" t="s">
        <v>20</v>
      </c>
    </row>
    <row r="1077" ht="15.15" spans="1:7">
      <c r="A1077" s="20">
        <v>1075</v>
      </c>
      <c r="B1077" s="20">
        <v>283</v>
      </c>
      <c r="C1077" s="21">
        <v>45233</v>
      </c>
      <c r="D1077" s="20">
        <v>3291.84</v>
      </c>
      <c r="E1077" s="22" t="s">
        <v>10</v>
      </c>
      <c r="F1077" s="22" t="s">
        <v>13</v>
      </c>
      <c r="G1077" s="22" t="s">
        <v>15</v>
      </c>
    </row>
    <row r="1078" ht="15.15" spans="1:7">
      <c r="A1078" s="20">
        <v>1076</v>
      </c>
      <c r="B1078" s="20">
        <v>108</v>
      </c>
      <c r="C1078" s="21">
        <v>45212</v>
      </c>
      <c r="D1078" s="20">
        <v>3291.84</v>
      </c>
      <c r="E1078" s="22" t="s">
        <v>10</v>
      </c>
      <c r="F1078" s="22" t="s">
        <v>16</v>
      </c>
      <c r="G1078" s="22" t="s">
        <v>12</v>
      </c>
    </row>
    <row r="1079" ht="15.15" spans="1:7">
      <c r="A1079" s="20">
        <v>1077</v>
      </c>
      <c r="B1079" s="20">
        <v>4716</v>
      </c>
      <c r="C1079" s="21">
        <v>45270</v>
      </c>
      <c r="D1079" s="20">
        <v>3291.84</v>
      </c>
      <c r="E1079" s="22" t="s">
        <v>10</v>
      </c>
      <c r="F1079" s="22" t="s">
        <v>16</v>
      </c>
      <c r="G1079" s="22" t="s">
        <v>20</v>
      </c>
    </row>
    <row r="1080" ht="15.15" spans="1:7">
      <c r="A1080" s="20">
        <v>1078</v>
      </c>
      <c r="B1080" s="20">
        <v>7781</v>
      </c>
      <c r="C1080" s="21">
        <v>45252</v>
      </c>
      <c r="D1080" s="20">
        <v>3291.84</v>
      </c>
      <c r="E1080" s="22" t="s">
        <v>22</v>
      </c>
      <c r="F1080" s="22" t="s">
        <v>16</v>
      </c>
      <c r="G1080" s="22" t="s">
        <v>15</v>
      </c>
    </row>
    <row r="1081" ht="15.15" spans="1:7">
      <c r="A1081" s="20">
        <v>1079</v>
      </c>
      <c r="B1081" s="20">
        <v>1714</v>
      </c>
      <c r="C1081" s="21">
        <v>45273</v>
      </c>
      <c r="D1081" s="20">
        <v>3291.84</v>
      </c>
      <c r="E1081" s="22" t="s">
        <v>21</v>
      </c>
      <c r="F1081" s="22" t="s">
        <v>18</v>
      </c>
      <c r="G1081" s="22" t="s">
        <v>12</v>
      </c>
    </row>
    <row r="1082" ht="15.15" spans="1:7">
      <c r="A1082" s="20">
        <v>1080</v>
      </c>
      <c r="B1082" s="20">
        <v>5873</v>
      </c>
      <c r="C1082" s="21">
        <v>45268</v>
      </c>
      <c r="D1082" s="20">
        <v>3291.84</v>
      </c>
      <c r="E1082" s="22" t="s">
        <v>10</v>
      </c>
      <c r="F1082" s="22" t="s">
        <v>13</v>
      </c>
      <c r="G1082" s="22" t="s">
        <v>15</v>
      </c>
    </row>
    <row r="1083" ht="15.15" spans="1:7">
      <c r="A1083" s="20">
        <v>1081</v>
      </c>
      <c r="B1083" s="20">
        <v>3960</v>
      </c>
      <c r="C1083" s="21">
        <v>45277</v>
      </c>
      <c r="D1083" s="20">
        <v>3291.84</v>
      </c>
      <c r="E1083" s="22" t="s">
        <v>10</v>
      </c>
      <c r="F1083" s="22" t="s">
        <v>11</v>
      </c>
      <c r="G1083" s="22" t="s">
        <v>17</v>
      </c>
    </row>
    <row r="1084" ht="15.15" spans="1:7">
      <c r="A1084" s="20">
        <v>1082</v>
      </c>
      <c r="B1084" s="20">
        <v>7767</v>
      </c>
      <c r="C1084" s="21">
        <v>44955</v>
      </c>
      <c r="D1084" s="20">
        <v>3291.84</v>
      </c>
      <c r="E1084" s="22" t="s">
        <v>10</v>
      </c>
      <c r="F1084" s="22" t="s">
        <v>16</v>
      </c>
      <c r="G1084" s="22" t="s">
        <v>17</v>
      </c>
    </row>
    <row r="1085" ht="15.15" spans="1:7">
      <c r="A1085" s="20">
        <v>1083</v>
      </c>
      <c r="B1085" s="20">
        <v>2576</v>
      </c>
      <c r="C1085" s="21">
        <v>45195</v>
      </c>
      <c r="D1085" s="20">
        <v>3291.84</v>
      </c>
      <c r="E1085" s="22" t="s">
        <v>10</v>
      </c>
      <c r="F1085" s="22" t="s">
        <v>11</v>
      </c>
      <c r="G1085" s="22" t="s">
        <v>12</v>
      </c>
    </row>
    <row r="1086" ht="15.15" spans="1:7">
      <c r="A1086" s="20">
        <v>1084</v>
      </c>
      <c r="B1086" s="20">
        <v>8243</v>
      </c>
      <c r="C1086" s="21">
        <v>45066</v>
      </c>
      <c r="D1086" s="20">
        <v>3291.84</v>
      </c>
      <c r="E1086" s="22" t="s">
        <v>10</v>
      </c>
      <c r="F1086" s="22" t="s">
        <v>13</v>
      </c>
      <c r="G1086" s="22" t="s">
        <v>12</v>
      </c>
    </row>
    <row r="1087" ht="15.15" spans="1:7">
      <c r="A1087" s="20">
        <v>1085</v>
      </c>
      <c r="B1087" s="20">
        <v>1304</v>
      </c>
      <c r="C1087" s="21">
        <v>45042</v>
      </c>
      <c r="D1087" s="20">
        <v>3291.84</v>
      </c>
      <c r="E1087" s="22" t="s">
        <v>10</v>
      </c>
      <c r="F1087" s="22" t="s">
        <v>11</v>
      </c>
      <c r="G1087" s="22" t="s">
        <v>12</v>
      </c>
    </row>
    <row r="1088" ht="15.15" spans="1:7">
      <c r="A1088" s="20">
        <v>1086</v>
      </c>
      <c r="B1088" s="20">
        <v>7748</v>
      </c>
      <c r="C1088" s="21">
        <v>45072</v>
      </c>
      <c r="D1088" s="20">
        <v>3291.84</v>
      </c>
      <c r="E1088" s="22" t="s">
        <v>10</v>
      </c>
      <c r="F1088" s="22" t="s">
        <v>16</v>
      </c>
      <c r="G1088" s="22" t="s">
        <v>20</v>
      </c>
    </row>
    <row r="1089" ht="15.15" spans="1:7">
      <c r="A1089" s="20">
        <v>1087</v>
      </c>
      <c r="B1089" s="20">
        <v>87</v>
      </c>
      <c r="C1089" s="21">
        <v>45001</v>
      </c>
      <c r="D1089" s="20">
        <v>3291.84</v>
      </c>
      <c r="E1089" s="22" t="s">
        <v>10</v>
      </c>
      <c r="F1089" s="22" t="s">
        <v>13</v>
      </c>
      <c r="G1089" s="22" t="s">
        <v>20</v>
      </c>
    </row>
    <row r="1090" ht="15.15" spans="1:7">
      <c r="A1090" s="20">
        <v>1088</v>
      </c>
      <c r="B1090" s="20">
        <v>9328</v>
      </c>
      <c r="C1090" s="21">
        <v>45175</v>
      </c>
      <c r="D1090" s="20">
        <v>3291.84</v>
      </c>
      <c r="E1090" s="22" t="s">
        <v>10</v>
      </c>
      <c r="F1090" s="22" t="s">
        <v>16</v>
      </c>
      <c r="G1090" s="22" t="s">
        <v>17</v>
      </c>
    </row>
    <row r="1091" ht="15.15" spans="1:7">
      <c r="A1091" s="20">
        <v>1089</v>
      </c>
      <c r="B1091" s="20">
        <v>8654</v>
      </c>
      <c r="C1091" s="21">
        <v>44977</v>
      </c>
      <c r="D1091" s="20">
        <v>3291.84</v>
      </c>
      <c r="E1091" s="22" t="s">
        <v>10</v>
      </c>
      <c r="F1091" s="22" t="s">
        <v>13</v>
      </c>
      <c r="G1091" s="22" t="s">
        <v>12</v>
      </c>
    </row>
    <row r="1092" ht="15.15" spans="1:7">
      <c r="A1092" s="20">
        <v>1090</v>
      </c>
      <c r="B1092" s="20">
        <v>9110</v>
      </c>
      <c r="C1092" s="21">
        <v>45263</v>
      </c>
      <c r="D1092" s="20">
        <v>3291.84</v>
      </c>
      <c r="E1092" s="22" t="s">
        <v>10</v>
      </c>
      <c r="F1092" s="22" t="s">
        <v>14</v>
      </c>
      <c r="G1092" s="22" t="s">
        <v>17</v>
      </c>
    </row>
    <row r="1093" ht="15.15" spans="1:7">
      <c r="A1093" s="20">
        <v>1091</v>
      </c>
      <c r="B1093" s="20">
        <v>6549</v>
      </c>
      <c r="C1093" s="21">
        <v>45199</v>
      </c>
      <c r="D1093" s="20">
        <v>3291.84</v>
      </c>
      <c r="E1093" s="22" t="s">
        <v>10</v>
      </c>
      <c r="F1093" s="22" t="s">
        <v>18</v>
      </c>
      <c r="G1093" s="22" t="s">
        <v>20</v>
      </c>
    </row>
    <row r="1094" ht="15.15" spans="1:7">
      <c r="A1094" s="20">
        <v>1092</v>
      </c>
      <c r="B1094" s="20">
        <v>1225</v>
      </c>
      <c r="C1094" s="21">
        <v>45235</v>
      </c>
      <c r="D1094" s="20">
        <v>3291.84</v>
      </c>
      <c r="E1094" s="22" t="s">
        <v>10</v>
      </c>
      <c r="F1094" s="22" t="s">
        <v>16</v>
      </c>
      <c r="G1094" s="22" t="s">
        <v>17</v>
      </c>
    </row>
    <row r="1095" ht="15.15" spans="1:7">
      <c r="A1095" s="20">
        <v>1093</v>
      </c>
      <c r="B1095" s="20">
        <v>3236</v>
      </c>
      <c r="C1095" s="21">
        <v>45185</v>
      </c>
      <c r="D1095" s="20">
        <v>3291.84</v>
      </c>
      <c r="E1095" s="22" t="s">
        <v>10</v>
      </c>
      <c r="F1095" s="22" t="s">
        <v>18</v>
      </c>
      <c r="G1095" s="22" t="s">
        <v>12</v>
      </c>
    </row>
    <row r="1096" ht="15.15" spans="1:7">
      <c r="A1096" s="20">
        <v>1094</v>
      </c>
      <c r="B1096" s="20">
        <v>982</v>
      </c>
      <c r="C1096" s="21">
        <v>45202</v>
      </c>
      <c r="D1096" s="20">
        <v>3291.84</v>
      </c>
      <c r="E1096" s="22" t="s">
        <v>10</v>
      </c>
      <c r="F1096" s="22" t="s">
        <v>14</v>
      </c>
      <c r="G1096" s="22" t="s">
        <v>15</v>
      </c>
    </row>
    <row r="1097" ht="15.15" spans="1:7">
      <c r="A1097" s="20">
        <v>1095</v>
      </c>
      <c r="B1097" s="20">
        <v>1630</v>
      </c>
      <c r="C1097" s="21">
        <v>45055</v>
      </c>
      <c r="D1097" s="20">
        <v>3291.84</v>
      </c>
      <c r="E1097" s="22" t="s">
        <v>10</v>
      </c>
      <c r="F1097" s="22" t="s">
        <v>16</v>
      </c>
      <c r="G1097" s="22" t="s">
        <v>17</v>
      </c>
    </row>
    <row r="1098" ht="15.15" spans="1:7">
      <c r="A1098" s="20">
        <v>1096</v>
      </c>
      <c r="B1098" s="20">
        <v>2115</v>
      </c>
      <c r="C1098" s="21">
        <v>45231</v>
      </c>
      <c r="D1098" s="20">
        <v>3291.84</v>
      </c>
      <c r="E1098" s="22" t="s">
        <v>10</v>
      </c>
      <c r="F1098" s="22" t="s">
        <v>14</v>
      </c>
      <c r="G1098" s="22" t="s">
        <v>17</v>
      </c>
    </row>
    <row r="1099" ht="15.15" spans="1:7">
      <c r="A1099" s="20">
        <v>1097</v>
      </c>
      <c r="B1099" s="20">
        <v>1308</v>
      </c>
      <c r="C1099" s="21">
        <v>45258</v>
      </c>
      <c r="D1099" s="20">
        <v>3291.84</v>
      </c>
      <c r="E1099" s="22" t="s">
        <v>10</v>
      </c>
      <c r="F1099" s="22" t="s">
        <v>16</v>
      </c>
      <c r="G1099" s="22" t="s">
        <v>17</v>
      </c>
    </row>
    <row r="1100" ht="15.15" spans="1:7">
      <c r="A1100" s="20">
        <v>1098</v>
      </c>
      <c r="B1100" s="20">
        <v>9623</v>
      </c>
      <c r="C1100" s="21">
        <v>44981</v>
      </c>
      <c r="D1100" s="20">
        <v>3291.84</v>
      </c>
      <c r="E1100" s="22" t="s">
        <v>10</v>
      </c>
      <c r="F1100" s="22" t="s">
        <v>11</v>
      </c>
      <c r="G1100" s="22" t="s">
        <v>15</v>
      </c>
    </row>
    <row r="1101" ht="15.15" spans="1:7">
      <c r="A1101" s="20">
        <v>1099</v>
      </c>
      <c r="B1101" s="20">
        <v>8953</v>
      </c>
      <c r="C1101" s="21">
        <v>45235</v>
      </c>
      <c r="D1101" s="20">
        <v>3291.84</v>
      </c>
      <c r="E1101" s="22" t="s">
        <v>10</v>
      </c>
      <c r="F1101" s="22" t="s">
        <v>16</v>
      </c>
      <c r="G1101" s="22" t="s">
        <v>17</v>
      </c>
    </row>
    <row r="1102" ht="15.15" spans="1:7">
      <c r="A1102" s="20">
        <v>1100</v>
      </c>
      <c r="B1102" s="20">
        <v>1601</v>
      </c>
      <c r="C1102" s="21">
        <v>45075</v>
      </c>
      <c r="D1102" s="20">
        <v>3291.84</v>
      </c>
      <c r="E1102" s="22" t="s">
        <v>10</v>
      </c>
      <c r="F1102" s="22" t="s">
        <v>18</v>
      </c>
      <c r="G1102" s="22" t="s">
        <v>12</v>
      </c>
    </row>
    <row r="1103" ht="15.15" spans="1:7">
      <c r="A1103" s="20">
        <v>1101</v>
      </c>
      <c r="B1103" s="20">
        <v>5703</v>
      </c>
      <c r="C1103" s="21">
        <v>45103</v>
      </c>
      <c r="D1103" s="20">
        <v>3291.84</v>
      </c>
      <c r="E1103" s="22" t="s">
        <v>10</v>
      </c>
      <c r="F1103" s="22" t="s">
        <v>19</v>
      </c>
      <c r="G1103" s="22" t="s">
        <v>20</v>
      </c>
    </row>
    <row r="1104" ht="15.15" spans="1:7">
      <c r="A1104" s="20">
        <v>1102</v>
      </c>
      <c r="B1104" s="20">
        <v>9090</v>
      </c>
      <c r="C1104" s="21">
        <v>44967</v>
      </c>
      <c r="D1104" s="20">
        <v>3291.84</v>
      </c>
      <c r="E1104" s="22" t="s">
        <v>10</v>
      </c>
      <c r="F1104" s="22" t="s">
        <v>11</v>
      </c>
      <c r="G1104" s="22" t="s">
        <v>12</v>
      </c>
    </row>
    <row r="1105" ht="15.15" spans="1:7">
      <c r="A1105" s="20">
        <v>1103</v>
      </c>
      <c r="B1105" s="20">
        <v>2373</v>
      </c>
      <c r="C1105" s="21">
        <v>45148</v>
      </c>
      <c r="D1105" s="20">
        <v>3291.84</v>
      </c>
      <c r="E1105" s="22" t="s">
        <v>10</v>
      </c>
      <c r="F1105" s="22" t="s">
        <v>16</v>
      </c>
      <c r="G1105" s="22" t="s">
        <v>15</v>
      </c>
    </row>
    <row r="1106" ht="15.15" spans="1:7">
      <c r="A1106" s="20">
        <v>1104</v>
      </c>
      <c r="B1106" s="20">
        <v>1695</v>
      </c>
      <c r="C1106" s="21">
        <v>44933</v>
      </c>
      <c r="D1106" s="20">
        <v>3291.84</v>
      </c>
      <c r="E1106" s="22" t="s">
        <v>10</v>
      </c>
      <c r="F1106" s="22" t="s">
        <v>14</v>
      </c>
      <c r="G1106" s="22" t="s">
        <v>12</v>
      </c>
    </row>
    <row r="1107" ht="15.15" spans="1:7">
      <c r="A1107" s="20">
        <v>1105</v>
      </c>
      <c r="B1107" s="20">
        <v>3339</v>
      </c>
      <c r="C1107" s="21">
        <v>45166</v>
      </c>
      <c r="D1107" s="20">
        <v>3291.84</v>
      </c>
      <c r="E1107" s="22" t="s">
        <v>10</v>
      </c>
      <c r="F1107" s="22" t="s">
        <v>11</v>
      </c>
      <c r="G1107" s="22" t="s">
        <v>12</v>
      </c>
    </row>
    <row r="1108" ht="15.15" spans="1:7">
      <c r="A1108" s="20">
        <v>1106</v>
      </c>
      <c r="B1108" s="20">
        <v>1814</v>
      </c>
      <c r="C1108" s="21">
        <v>45228</v>
      </c>
      <c r="D1108" s="20">
        <v>3291.84</v>
      </c>
      <c r="E1108" s="22" t="s">
        <v>10</v>
      </c>
      <c r="F1108" s="22" t="s">
        <v>11</v>
      </c>
      <c r="G1108" s="22" t="s">
        <v>17</v>
      </c>
    </row>
    <row r="1109" ht="15.15" spans="1:7">
      <c r="A1109" s="20">
        <v>1107</v>
      </c>
      <c r="B1109" s="20">
        <v>8200</v>
      </c>
      <c r="C1109" s="21">
        <v>45214</v>
      </c>
      <c r="D1109" s="20">
        <v>3291.84</v>
      </c>
      <c r="E1109" s="22" t="s">
        <v>10</v>
      </c>
      <c r="F1109" s="22" t="s">
        <v>18</v>
      </c>
      <c r="G1109" s="22" t="s">
        <v>12</v>
      </c>
    </row>
    <row r="1110" ht="15.15" spans="1:7">
      <c r="A1110" s="20">
        <v>1108</v>
      </c>
      <c r="B1110" s="20">
        <v>7487</v>
      </c>
      <c r="C1110" s="21">
        <v>45000</v>
      </c>
      <c r="D1110" s="20">
        <v>3291.84</v>
      </c>
      <c r="E1110" s="22" t="s">
        <v>10</v>
      </c>
      <c r="F1110" s="22" t="s">
        <v>14</v>
      </c>
      <c r="G1110" s="22" t="s">
        <v>12</v>
      </c>
    </row>
    <row r="1111" ht="15.15" spans="1:7">
      <c r="A1111" s="20">
        <v>1109</v>
      </c>
      <c r="B1111" s="20">
        <v>9005</v>
      </c>
      <c r="C1111" s="21">
        <v>45148</v>
      </c>
      <c r="D1111" s="20">
        <v>3291.84</v>
      </c>
      <c r="E1111" s="22" t="s">
        <v>22</v>
      </c>
      <c r="F1111" s="22" t="s">
        <v>13</v>
      </c>
      <c r="G1111" s="22" t="s">
        <v>17</v>
      </c>
    </row>
    <row r="1112" ht="15.15" spans="1:7">
      <c r="A1112" s="20">
        <v>1110</v>
      </c>
      <c r="B1112" s="20">
        <v>4902</v>
      </c>
      <c r="C1112" s="21">
        <v>45085</v>
      </c>
      <c r="D1112" s="20">
        <v>3291.84</v>
      </c>
      <c r="E1112" s="22" t="s">
        <v>10</v>
      </c>
      <c r="F1112" s="22" t="s">
        <v>16</v>
      </c>
      <c r="G1112" s="22" t="s">
        <v>15</v>
      </c>
    </row>
    <row r="1113" ht="15.15" spans="1:7">
      <c r="A1113" s="20">
        <v>1111</v>
      </c>
      <c r="B1113" s="20">
        <v>422</v>
      </c>
      <c r="C1113" s="21">
        <v>45217</v>
      </c>
      <c r="D1113" s="20">
        <v>3291.84</v>
      </c>
      <c r="E1113" s="22" t="s">
        <v>21</v>
      </c>
      <c r="F1113" s="22" t="s">
        <v>18</v>
      </c>
      <c r="G1113" s="22" t="s">
        <v>12</v>
      </c>
    </row>
    <row r="1114" ht="15.15" spans="1:7">
      <c r="A1114" s="20">
        <v>1112</v>
      </c>
      <c r="B1114" s="20">
        <v>4540</v>
      </c>
      <c r="C1114" s="21">
        <v>45282</v>
      </c>
      <c r="D1114" s="20">
        <v>3291.84</v>
      </c>
      <c r="E1114" s="22" t="s">
        <v>10</v>
      </c>
      <c r="F1114" s="22" t="s">
        <v>18</v>
      </c>
      <c r="G1114" s="22" t="s">
        <v>15</v>
      </c>
    </row>
    <row r="1115" ht="15.15" spans="1:7">
      <c r="A1115" s="20">
        <v>1113</v>
      </c>
      <c r="B1115" s="20">
        <v>4851</v>
      </c>
      <c r="C1115" s="21">
        <v>45202</v>
      </c>
      <c r="D1115" s="20">
        <v>3291.84</v>
      </c>
      <c r="E1115" s="22" t="s">
        <v>10</v>
      </c>
      <c r="F1115" s="22" t="s">
        <v>11</v>
      </c>
      <c r="G1115" s="22" t="s">
        <v>15</v>
      </c>
    </row>
    <row r="1116" ht="15.15" spans="1:7">
      <c r="A1116" s="20">
        <v>1114</v>
      </c>
      <c r="B1116" s="20">
        <v>7931</v>
      </c>
      <c r="C1116" s="21">
        <v>45241</v>
      </c>
      <c r="D1116" s="20">
        <v>3291.84</v>
      </c>
      <c r="E1116" s="22" t="s">
        <v>10</v>
      </c>
      <c r="F1116" s="22" t="s">
        <v>16</v>
      </c>
      <c r="G1116" s="22" t="s">
        <v>15</v>
      </c>
    </row>
    <row r="1117" ht="15.15" spans="1:7">
      <c r="A1117" s="20">
        <v>1115</v>
      </c>
      <c r="B1117" s="20">
        <v>682</v>
      </c>
      <c r="C1117" s="21">
        <v>45118</v>
      </c>
      <c r="D1117" s="20">
        <v>3291.84</v>
      </c>
      <c r="E1117" s="22" t="s">
        <v>10</v>
      </c>
      <c r="F1117" s="22" t="s">
        <v>11</v>
      </c>
      <c r="G1117" s="22" t="s">
        <v>20</v>
      </c>
    </row>
    <row r="1118" ht="15.15" spans="1:7">
      <c r="A1118" s="20">
        <v>1116</v>
      </c>
      <c r="B1118" s="20">
        <v>5114</v>
      </c>
      <c r="C1118" s="21">
        <v>44980</v>
      </c>
      <c r="D1118" s="20">
        <v>3291.84</v>
      </c>
      <c r="E1118" s="22" t="s">
        <v>10</v>
      </c>
      <c r="F1118" s="22" t="s">
        <v>18</v>
      </c>
      <c r="G1118" s="22" t="s">
        <v>17</v>
      </c>
    </row>
    <row r="1119" ht="15.15" spans="1:7">
      <c r="A1119" s="20">
        <v>1117</v>
      </c>
      <c r="B1119" s="20">
        <v>488</v>
      </c>
      <c r="C1119" s="21">
        <v>45206</v>
      </c>
      <c r="D1119" s="20">
        <v>3291.84</v>
      </c>
      <c r="E1119" s="22" t="s">
        <v>10</v>
      </c>
      <c r="F1119" s="22" t="s">
        <v>16</v>
      </c>
      <c r="G1119" s="22" t="s">
        <v>15</v>
      </c>
    </row>
    <row r="1120" ht="15.15" spans="1:7">
      <c r="A1120" s="20">
        <v>1118</v>
      </c>
      <c r="B1120" s="20">
        <v>1737</v>
      </c>
      <c r="C1120" s="21">
        <v>44974</v>
      </c>
      <c r="D1120" s="20">
        <v>3291.84</v>
      </c>
      <c r="E1120" s="22" t="s">
        <v>10</v>
      </c>
      <c r="F1120" s="22" t="s">
        <v>16</v>
      </c>
      <c r="G1120" s="22" t="s">
        <v>12</v>
      </c>
    </row>
    <row r="1121" ht="15.15" spans="1:7">
      <c r="A1121" s="20">
        <v>1119</v>
      </c>
      <c r="B1121" s="20">
        <v>2306</v>
      </c>
      <c r="C1121" s="21">
        <v>45290</v>
      </c>
      <c r="D1121" s="20">
        <v>3291.84</v>
      </c>
      <c r="E1121" s="22" t="s">
        <v>10</v>
      </c>
      <c r="F1121" s="22" t="s">
        <v>14</v>
      </c>
      <c r="G1121" s="22" t="s">
        <v>20</v>
      </c>
    </row>
    <row r="1122" ht="15.15" spans="1:7">
      <c r="A1122" s="20">
        <v>1120</v>
      </c>
      <c r="B1122" s="20">
        <v>7223</v>
      </c>
      <c r="C1122" s="21">
        <v>44959</v>
      </c>
      <c r="D1122" s="20">
        <v>3291.84</v>
      </c>
      <c r="E1122" s="22" t="s">
        <v>10</v>
      </c>
      <c r="F1122" s="22" t="s">
        <v>18</v>
      </c>
      <c r="G1122" s="22" t="s">
        <v>17</v>
      </c>
    </row>
    <row r="1123" ht="15.15" spans="1:7">
      <c r="A1123" s="20">
        <v>1121</v>
      </c>
      <c r="B1123" s="20">
        <v>5888</v>
      </c>
      <c r="C1123" s="21">
        <v>44936</v>
      </c>
      <c r="D1123" s="20">
        <v>3291.84</v>
      </c>
      <c r="E1123" s="22" t="s">
        <v>10</v>
      </c>
      <c r="F1123" s="22" t="s">
        <v>14</v>
      </c>
      <c r="G1123" s="22" t="s">
        <v>15</v>
      </c>
    </row>
    <row r="1124" ht="15.15" spans="1:7">
      <c r="A1124" s="20">
        <v>1122</v>
      </c>
      <c r="B1124" s="20">
        <v>8814</v>
      </c>
      <c r="C1124" s="21">
        <v>45218</v>
      </c>
      <c r="D1124" s="20">
        <v>3291.84</v>
      </c>
      <c r="E1124" s="22" t="s">
        <v>10</v>
      </c>
      <c r="F1124" s="22" t="s">
        <v>11</v>
      </c>
      <c r="G1124" s="22" t="s">
        <v>15</v>
      </c>
    </row>
    <row r="1125" ht="15.15" spans="1:7">
      <c r="A1125" s="20">
        <v>1123</v>
      </c>
      <c r="B1125" s="20">
        <v>1912</v>
      </c>
      <c r="C1125" s="21">
        <v>45176</v>
      </c>
      <c r="D1125" s="20">
        <v>3291.84</v>
      </c>
      <c r="E1125" s="22" t="s">
        <v>10</v>
      </c>
      <c r="F1125" s="22" t="s">
        <v>13</v>
      </c>
      <c r="G1125" s="22" t="s">
        <v>20</v>
      </c>
    </row>
    <row r="1126" ht="15.15" spans="1:7">
      <c r="A1126" s="20">
        <v>1124</v>
      </c>
      <c r="B1126" s="20">
        <v>9307</v>
      </c>
      <c r="C1126" s="21">
        <v>45290</v>
      </c>
      <c r="D1126" s="20">
        <v>3291.84</v>
      </c>
      <c r="E1126" s="22" t="s">
        <v>10</v>
      </c>
      <c r="F1126" s="22" t="s">
        <v>11</v>
      </c>
      <c r="G1126" s="22" t="s">
        <v>17</v>
      </c>
    </row>
    <row r="1127" ht="15.15" spans="1:7">
      <c r="A1127" s="20">
        <v>1125</v>
      </c>
      <c r="B1127" s="20">
        <v>4366</v>
      </c>
      <c r="C1127" s="21">
        <v>45216</v>
      </c>
      <c r="D1127" s="20">
        <v>3291.84</v>
      </c>
      <c r="E1127" s="22" t="s">
        <v>10</v>
      </c>
      <c r="F1127" s="22" t="s">
        <v>18</v>
      </c>
      <c r="G1127" s="22" t="s">
        <v>17</v>
      </c>
    </row>
    <row r="1128" ht="15.15" spans="1:7">
      <c r="A1128" s="20">
        <v>1126</v>
      </c>
      <c r="B1128" s="20">
        <v>3872</v>
      </c>
      <c r="C1128" s="21">
        <v>44954</v>
      </c>
      <c r="D1128" s="20">
        <v>3291.84</v>
      </c>
      <c r="E1128" s="22" t="s">
        <v>10</v>
      </c>
      <c r="F1128" s="22" t="s">
        <v>13</v>
      </c>
      <c r="G1128" s="22" t="s">
        <v>20</v>
      </c>
    </row>
    <row r="1129" ht="15.15" spans="1:7">
      <c r="A1129" s="20">
        <v>1127</v>
      </c>
      <c r="B1129" s="20">
        <v>6655</v>
      </c>
      <c r="C1129" s="21">
        <v>45147</v>
      </c>
      <c r="D1129" s="20">
        <v>3291.84</v>
      </c>
      <c r="E1129" s="22" t="s">
        <v>10</v>
      </c>
      <c r="F1129" s="22" t="s">
        <v>14</v>
      </c>
      <c r="G1129" s="22" t="s">
        <v>12</v>
      </c>
    </row>
    <row r="1130" ht="15.15" spans="1:7">
      <c r="A1130" s="20">
        <v>1128</v>
      </c>
      <c r="B1130" s="20">
        <v>9236</v>
      </c>
      <c r="C1130" s="21">
        <v>45285</v>
      </c>
      <c r="D1130" s="20">
        <v>3291.84</v>
      </c>
      <c r="E1130" s="22" t="s">
        <v>10</v>
      </c>
      <c r="F1130" s="22" t="s">
        <v>18</v>
      </c>
      <c r="G1130" s="22" t="s">
        <v>15</v>
      </c>
    </row>
    <row r="1131" ht="15.15" spans="1:7">
      <c r="A1131" s="20">
        <v>1129</v>
      </c>
      <c r="B1131" s="20">
        <v>9315</v>
      </c>
      <c r="C1131" s="21">
        <v>45246</v>
      </c>
      <c r="D1131" s="20">
        <v>3291.84</v>
      </c>
      <c r="E1131" s="22" t="s">
        <v>10</v>
      </c>
      <c r="F1131" s="22" t="s">
        <v>18</v>
      </c>
      <c r="G1131" s="22" t="s">
        <v>17</v>
      </c>
    </row>
    <row r="1132" ht="15.15" spans="1:7">
      <c r="A1132" s="20">
        <v>1130</v>
      </c>
      <c r="B1132" s="20">
        <v>6061</v>
      </c>
      <c r="C1132" s="21">
        <v>45268</v>
      </c>
      <c r="D1132" s="20">
        <v>3291.84</v>
      </c>
      <c r="E1132" s="22" t="s">
        <v>10</v>
      </c>
      <c r="F1132" s="22" t="s">
        <v>16</v>
      </c>
      <c r="G1132" s="22" t="s">
        <v>17</v>
      </c>
    </row>
    <row r="1133" ht="15.15" spans="1:7">
      <c r="A1133" s="20">
        <v>1131</v>
      </c>
      <c r="B1133" s="20">
        <v>5482</v>
      </c>
      <c r="C1133" s="21">
        <v>45241</v>
      </c>
      <c r="D1133" s="20">
        <v>3291.84</v>
      </c>
      <c r="E1133" s="22" t="s">
        <v>10</v>
      </c>
      <c r="F1133" s="22" t="s">
        <v>11</v>
      </c>
      <c r="G1133" s="22" t="s">
        <v>15</v>
      </c>
    </row>
    <row r="1134" ht="15.15" spans="1:7">
      <c r="A1134" s="20">
        <v>1132</v>
      </c>
      <c r="B1134" s="20">
        <v>6070</v>
      </c>
      <c r="C1134" s="21">
        <v>45073</v>
      </c>
      <c r="D1134" s="20">
        <v>3291.84</v>
      </c>
      <c r="E1134" s="22" t="s">
        <v>10</v>
      </c>
      <c r="F1134" s="22" t="s">
        <v>18</v>
      </c>
      <c r="G1134" s="22" t="s">
        <v>17</v>
      </c>
    </row>
    <row r="1135" ht="15.15" spans="1:7">
      <c r="A1135" s="20">
        <v>1133</v>
      </c>
      <c r="B1135" s="20">
        <v>90</v>
      </c>
      <c r="C1135" s="21">
        <v>45053</v>
      </c>
      <c r="D1135" s="20">
        <v>3291.84</v>
      </c>
      <c r="E1135" s="22" t="s">
        <v>10</v>
      </c>
      <c r="F1135" s="22" t="s">
        <v>11</v>
      </c>
      <c r="G1135" s="22" t="s">
        <v>15</v>
      </c>
    </row>
    <row r="1136" ht="15.15" spans="1:7">
      <c r="A1136" s="20">
        <v>1134</v>
      </c>
      <c r="B1136" s="20">
        <v>4677</v>
      </c>
      <c r="C1136" s="21">
        <v>45155</v>
      </c>
      <c r="D1136" s="20">
        <v>3291.84</v>
      </c>
      <c r="E1136" s="22" t="s">
        <v>10</v>
      </c>
      <c r="F1136" s="22" t="s">
        <v>11</v>
      </c>
      <c r="G1136" s="22" t="s">
        <v>17</v>
      </c>
    </row>
    <row r="1137" ht="15.15" spans="1:7">
      <c r="A1137" s="20">
        <v>1135</v>
      </c>
      <c r="B1137" s="20">
        <v>8952</v>
      </c>
      <c r="C1137" s="21">
        <v>44976</v>
      </c>
      <c r="D1137" s="20">
        <v>3291.84</v>
      </c>
      <c r="E1137" s="22" t="s">
        <v>10</v>
      </c>
      <c r="F1137" s="22" t="s">
        <v>18</v>
      </c>
      <c r="G1137" s="22" t="s">
        <v>12</v>
      </c>
    </row>
    <row r="1138" ht="15.15" spans="1:7">
      <c r="A1138" s="20">
        <v>1136</v>
      </c>
      <c r="B1138" s="20">
        <v>6872</v>
      </c>
      <c r="C1138" s="21">
        <v>44972</v>
      </c>
      <c r="D1138" s="20">
        <v>3291.84</v>
      </c>
      <c r="E1138" s="22" t="s">
        <v>10</v>
      </c>
      <c r="F1138" s="22" t="s">
        <v>14</v>
      </c>
      <c r="G1138" s="22" t="s">
        <v>17</v>
      </c>
    </row>
    <row r="1139" ht="15.15" spans="1:7">
      <c r="A1139" s="20">
        <v>1137</v>
      </c>
      <c r="B1139" s="20">
        <v>7508</v>
      </c>
      <c r="C1139" s="21">
        <v>44968</v>
      </c>
      <c r="D1139" s="20">
        <v>3291.84</v>
      </c>
      <c r="E1139" s="22" t="s">
        <v>10</v>
      </c>
      <c r="F1139" s="22" t="s">
        <v>13</v>
      </c>
      <c r="G1139" s="22" t="s">
        <v>20</v>
      </c>
    </row>
    <row r="1140" ht="15.15" spans="1:7">
      <c r="A1140" s="20">
        <v>1138</v>
      </c>
      <c r="B1140" s="20">
        <v>2636</v>
      </c>
      <c r="C1140" s="21">
        <v>45083</v>
      </c>
      <c r="D1140" s="20">
        <v>3291.84</v>
      </c>
      <c r="E1140" s="22" t="s">
        <v>10</v>
      </c>
      <c r="F1140" s="22" t="s">
        <v>11</v>
      </c>
      <c r="G1140" s="22" t="s">
        <v>17</v>
      </c>
    </row>
    <row r="1141" ht="15.15" spans="1:7">
      <c r="A1141" s="20">
        <v>1139</v>
      </c>
      <c r="B1141" s="20">
        <v>9197</v>
      </c>
      <c r="C1141" s="21">
        <v>45202</v>
      </c>
      <c r="D1141" s="20">
        <v>3291.84</v>
      </c>
      <c r="E1141" s="22" t="s">
        <v>10</v>
      </c>
      <c r="F1141" s="22" t="s">
        <v>11</v>
      </c>
      <c r="G1141" s="22" t="s">
        <v>15</v>
      </c>
    </row>
    <row r="1142" ht="15.15" spans="1:7">
      <c r="A1142" s="20">
        <v>1140</v>
      </c>
      <c r="B1142" s="20">
        <v>3888</v>
      </c>
      <c r="C1142" s="21">
        <v>45088</v>
      </c>
      <c r="D1142" s="20">
        <v>3291.84</v>
      </c>
      <c r="E1142" s="22" t="s">
        <v>10</v>
      </c>
      <c r="F1142" s="22" t="s">
        <v>18</v>
      </c>
      <c r="G1142" s="22" t="s">
        <v>20</v>
      </c>
    </row>
    <row r="1143" ht="15.15" spans="1:7">
      <c r="A1143" s="20">
        <v>1141</v>
      </c>
      <c r="B1143" s="20">
        <v>4602</v>
      </c>
      <c r="C1143" s="21">
        <v>45255</v>
      </c>
      <c r="D1143" s="20">
        <v>3291.84</v>
      </c>
      <c r="E1143" s="22" t="s">
        <v>10</v>
      </c>
      <c r="F1143" s="22" t="s">
        <v>14</v>
      </c>
      <c r="G1143" s="22" t="s">
        <v>12</v>
      </c>
    </row>
    <row r="1144" ht="15.15" spans="1:7">
      <c r="A1144" s="20">
        <v>1142</v>
      </c>
      <c r="B1144" s="20">
        <v>4189</v>
      </c>
      <c r="C1144" s="21">
        <v>44927</v>
      </c>
      <c r="D1144" s="20">
        <v>3291.84</v>
      </c>
      <c r="E1144" s="22" t="s">
        <v>10</v>
      </c>
      <c r="F1144" s="22" t="s">
        <v>18</v>
      </c>
      <c r="G1144" s="22" t="s">
        <v>12</v>
      </c>
    </row>
    <row r="1145" ht="15.15" spans="1:7">
      <c r="A1145" s="20">
        <v>1143</v>
      </c>
      <c r="B1145" s="20">
        <v>6832</v>
      </c>
      <c r="C1145" s="21">
        <v>45173</v>
      </c>
      <c r="D1145" s="20">
        <v>3291.84</v>
      </c>
      <c r="E1145" s="22" t="s">
        <v>10</v>
      </c>
      <c r="F1145" s="22" t="s">
        <v>18</v>
      </c>
      <c r="G1145" s="22" t="s">
        <v>15</v>
      </c>
    </row>
    <row r="1146" ht="15.15" spans="1:7">
      <c r="A1146" s="20">
        <v>1144</v>
      </c>
      <c r="B1146" s="20">
        <v>8993</v>
      </c>
      <c r="C1146" s="21">
        <v>45237</v>
      </c>
      <c r="D1146" s="20">
        <v>3291.84</v>
      </c>
      <c r="E1146" s="22" t="s">
        <v>10</v>
      </c>
      <c r="F1146" s="22" t="s">
        <v>13</v>
      </c>
      <c r="G1146" s="22" t="s">
        <v>15</v>
      </c>
    </row>
    <row r="1147" ht="15.15" spans="1:7">
      <c r="A1147" s="20">
        <v>1145</v>
      </c>
      <c r="B1147" s="20">
        <v>7270</v>
      </c>
      <c r="C1147" s="21">
        <v>45180</v>
      </c>
      <c r="D1147" s="20">
        <v>3291.84</v>
      </c>
      <c r="E1147" s="22" t="s">
        <v>10</v>
      </c>
      <c r="F1147" s="22" t="s">
        <v>11</v>
      </c>
      <c r="G1147" s="22" t="s">
        <v>15</v>
      </c>
    </row>
    <row r="1148" ht="15.15" spans="1:7">
      <c r="A1148" s="20">
        <v>1146</v>
      </c>
      <c r="B1148" s="20">
        <v>2193</v>
      </c>
      <c r="C1148" s="21">
        <v>45279</v>
      </c>
      <c r="D1148" s="20">
        <v>3291.84</v>
      </c>
      <c r="E1148" s="22" t="s">
        <v>10</v>
      </c>
      <c r="F1148" s="22" t="s">
        <v>16</v>
      </c>
      <c r="G1148" s="22" t="s">
        <v>12</v>
      </c>
    </row>
    <row r="1149" ht="15.15" spans="1:7">
      <c r="A1149" s="20">
        <v>1147</v>
      </c>
      <c r="B1149" s="20">
        <v>7621</v>
      </c>
      <c r="C1149" s="21">
        <v>45191</v>
      </c>
      <c r="D1149" s="20">
        <v>3291.84</v>
      </c>
      <c r="E1149" s="22" t="s">
        <v>10</v>
      </c>
      <c r="F1149" s="22" t="s">
        <v>14</v>
      </c>
      <c r="G1149" s="22" t="s">
        <v>12</v>
      </c>
    </row>
    <row r="1150" ht="15.15" spans="1:7">
      <c r="A1150" s="20">
        <v>1148</v>
      </c>
      <c r="B1150" s="20">
        <v>445</v>
      </c>
      <c r="C1150" s="21">
        <v>45206</v>
      </c>
      <c r="D1150" s="20">
        <v>3291.84</v>
      </c>
      <c r="E1150" s="22" t="s">
        <v>10</v>
      </c>
      <c r="F1150" s="22" t="s">
        <v>16</v>
      </c>
      <c r="G1150" s="22" t="s">
        <v>20</v>
      </c>
    </row>
    <row r="1151" ht="15.15" spans="1:7">
      <c r="A1151" s="20">
        <v>1149</v>
      </c>
      <c r="B1151" s="20">
        <v>5914</v>
      </c>
      <c r="C1151" s="21">
        <v>45269</v>
      </c>
      <c r="D1151" s="20">
        <v>3291.84</v>
      </c>
      <c r="E1151" s="22" t="s">
        <v>10</v>
      </c>
      <c r="F1151" s="22" t="s">
        <v>16</v>
      </c>
      <c r="G1151" s="22" t="s">
        <v>15</v>
      </c>
    </row>
    <row r="1152" ht="15.15" spans="1:7">
      <c r="A1152" s="20">
        <v>1150</v>
      </c>
      <c r="B1152" s="20">
        <v>5588</v>
      </c>
      <c r="C1152" s="21">
        <v>45120</v>
      </c>
      <c r="D1152" s="20">
        <v>3291.84</v>
      </c>
      <c r="E1152" s="22" t="s">
        <v>10</v>
      </c>
      <c r="F1152" s="22" t="s">
        <v>13</v>
      </c>
      <c r="G1152" s="22" t="s">
        <v>17</v>
      </c>
    </row>
    <row r="1153" ht="15.15" spans="1:7">
      <c r="A1153" s="20">
        <v>1151</v>
      </c>
      <c r="B1153" s="20">
        <v>7279</v>
      </c>
      <c r="C1153" s="21">
        <v>45061</v>
      </c>
      <c r="D1153" s="20">
        <v>3291.84</v>
      </c>
      <c r="E1153" s="22" t="s">
        <v>10</v>
      </c>
      <c r="F1153" s="22" t="s">
        <v>18</v>
      </c>
      <c r="G1153" s="22" t="s">
        <v>17</v>
      </c>
    </row>
    <row r="1154" ht="15.15" spans="1:7">
      <c r="A1154" s="20">
        <v>1152</v>
      </c>
      <c r="B1154" s="20">
        <v>8763</v>
      </c>
      <c r="C1154" s="21">
        <v>45023</v>
      </c>
      <c r="D1154" s="20">
        <v>3291.84</v>
      </c>
      <c r="E1154" s="22" t="s">
        <v>10</v>
      </c>
      <c r="F1154" s="22" t="s">
        <v>18</v>
      </c>
      <c r="G1154" s="22" t="s">
        <v>17</v>
      </c>
    </row>
    <row r="1155" ht="15.15" spans="1:7">
      <c r="A1155" s="20">
        <v>1153</v>
      </c>
      <c r="B1155" s="20">
        <v>7037</v>
      </c>
      <c r="C1155" s="21">
        <v>45272</v>
      </c>
      <c r="D1155" s="20">
        <v>3291.84</v>
      </c>
      <c r="E1155" s="22" t="s">
        <v>10</v>
      </c>
      <c r="F1155" s="22" t="s">
        <v>13</v>
      </c>
      <c r="G1155" s="22" t="s">
        <v>17</v>
      </c>
    </row>
    <row r="1156" ht="15.15" spans="1:7">
      <c r="A1156" s="20">
        <v>1154</v>
      </c>
      <c r="B1156" s="20">
        <v>4084</v>
      </c>
      <c r="C1156" s="21">
        <v>45012</v>
      </c>
      <c r="D1156" s="20">
        <v>3291.84</v>
      </c>
      <c r="E1156" s="22" t="s">
        <v>10</v>
      </c>
      <c r="F1156" s="22" t="s">
        <v>11</v>
      </c>
      <c r="G1156" s="22" t="s">
        <v>15</v>
      </c>
    </row>
    <row r="1157" ht="15.15" spans="1:7">
      <c r="A1157" s="20">
        <v>1155</v>
      </c>
      <c r="B1157" s="20">
        <v>4084</v>
      </c>
      <c r="C1157" s="21">
        <v>45249</v>
      </c>
      <c r="D1157" s="20">
        <v>3291.84</v>
      </c>
      <c r="E1157" s="22" t="s">
        <v>10</v>
      </c>
      <c r="F1157" s="22" t="s">
        <v>11</v>
      </c>
      <c r="G1157" s="22" t="s">
        <v>20</v>
      </c>
    </row>
    <row r="1158" ht="15.15" spans="1:7">
      <c r="A1158" s="20">
        <v>1156</v>
      </c>
      <c r="B1158" s="20">
        <v>6756</v>
      </c>
      <c r="C1158" s="21">
        <v>45191</v>
      </c>
      <c r="D1158" s="20">
        <v>3291.84</v>
      </c>
      <c r="E1158" s="22" t="s">
        <v>10</v>
      </c>
      <c r="F1158" s="22" t="s">
        <v>16</v>
      </c>
      <c r="G1158" s="22" t="s">
        <v>12</v>
      </c>
    </row>
    <row r="1159" ht="15.15" spans="1:7">
      <c r="A1159" s="20">
        <v>1157</v>
      </c>
      <c r="B1159" s="20">
        <v>3984</v>
      </c>
      <c r="C1159" s="21">
        <v>45070</v>
      </c>
      <c r="D1159" s="20">
        <v>3291.84</v>
      </c>
      <c r="E1159" s="22" t="s">
        <v>10</v>
      </c>
      <c r="F1159" s="22" t="s">
        <v>16</v>
      </c>
      <c r="G1159" s="22" t="s">
        <v>12</v>
      </c>
    </row>
    <row r="1160" ht="15.15" spans="1:7">
      <c r="A1160" s="20">
        <v>1158</v>
      </c>
      <c r="B1160" s="20">
        <v>6099</v>
      </c>
      <c r="C1160" s="21">
        <v>45281</v>
      </c>
      <c r="D1160" s="20">
        <v>3291.84</v>
      </c>
      <c r="E1160" s="22" t="s">
        <v>10</v>
      </c>
      <c r="F1160" s="22" t="s">
        <v>16</v>
      </c>
      <c r="G1160" s="22" t="s">
        <v>12</v>
      </c>
    </row>
    <row r="1161" ht="15.15" spans="1:7">
      <c r="A1161" s="20">
        <v>1159</v>
      </c>
      <c r="B1161" s="20">
        <v>8703</v>
      </c>
      <c r="C1161" s="21">
        <v>45242</v>
      </c>
      <c r="D1161" s="20">
        <v>3291.84</v>
      </c>
      <c r="E1161" s="22" t="s">
        <v>10</v>
      </c>
      <c r="F1161" s="22" t="s">
        <v>16</v>
      </c>
      <c r="G1161" s="22" t="s">
        <v>17</v>
      </c>
    </row>
    <row r="1162" ht="15.15" spans="1:7">
      <c r="A1162" s="20">
        <v>1160</v>
      </c>
      <c r="B1162" s="20">
        <v>5188</v>
      </c>
      <c r="C1162" s="21">
        <v>45113</v>
      </c>
      <c r="D1162" s="20">
        <v>3291.84</v>
      </c>
      <c r="E1162" s="22" t="s">
        <v>10</v>
      </c>
      <c r="F1162" s="22" t="s">
        <v>14</v>
      </c>
      <c r="G1162" s="22" t="s">
        <v>17</v>
      </c>
    </row>
    <row r="1163" ht="15.15" spans="1:7">
      <c r="A1163" s="20">
        <v>1161</v>
      </c>
      <c r="B1163" s="20">
        <v>4145</v>
      </c>
      <c r="C1163" s="21">
        <v>45018</v>
      </c>
      <c r="D1163" s="20">
        <v>3291.84</v>
      </c>
      <c r="E1163" s="22" t="s">
        <v>10</v>
      </c>
      <c r="F1163" s="22" t="s">
        <v>14</v>
      </c>
      <c r="G1163" s="22" t="s">
        <v>17</v>
      </c>
    </row>
    <row r="1164" ht="15.15" spans="1:7">
      <c r="A1164" s="20">
        <v>1162</v>
      </c>
      <c r="B1164" s="20">
        <v>4254</v>
      </c>
      <c r="C1164" s="21">
        <v>45163</v>
      </c>
      <c r="D1164" s="20">
        <v>3291.84</v>
      </c>
      <c r="E1164" s="22" t="s">
        <v>10</v>
      </c>
      <c r="F1164" s="22" t="s">
        <v>19</v>
      </c>
      <c r="G1164" s="22" t="s">
        <v>20</v>
      </c>
    </row>
    <row r="1165" ht="15.15" spans="1:7">
      <c r="A1165" s="20">
        <v>1163</v>
      </c>
      <c r="B1165" s="20">
        <v>8362</v>
      </c>
      <c r="C1165" s="21">
        <v>45179</v>
      </c>
      <c r="D1165" s="20">
        <v>3291.84</v>
      </c>
      <c r="E1165" s="22" t="s">
        <v>10</v>
      </c>
      <c r="F1165" s="22" t="s">
        <v>16</v>
      </c>
      <c r="G1165" s="22" t="s">
        <v>20</v>
      </c>
    </row>
    <row r="1166" ht="15.15" spans="1:7">
      <c r="A1166" s="20">
        <v>1164</v>
      </c>
      <c r="B1166" s="20">
        <v>1881</v>
      </c>
      <c r="C1166" s="21">
        <v>45272</v>
      </c>
      <c r="D1166" s="20">
        <v>3291.84</v>
      </c>
      <c r="E1166" s="22" t="s">
        <v>10</v>
      </c>
      <c r="F1166" s="22" t="s">
        <v>13</v>
      </c>
      <c r="G1166" s="22" t="s">
        <v>20</v>
      </c>
    </row>
    <row r="1167" ht="15.15" spans="1:7">
      <c r="A1167" s="20">
        <v>1165</v>
      </c>
      <c r="B1167" s="20">
        <v>3527</v>
      </c>
      <c r="C1167" s="21">
        <v>45216</v>
      </c>
      <c r="D1167" s="20">
        <v>3291.84</v>
      </c>
      <c r="E1167" s="22" t="s">
        <v>10</v>
      </c>
      <c r="F1167" s="22" t="s">
        <v>14</v>
      </c>
      <c r="G1167" s="22" t="s">
        <v>15</v>
      </c>
    </row>
    <row r="1168" ht="15.15" spans="1:7">
      <c r="A1168" s="20">
        <v>1166</v>
      </c>
      <c r="B1168" s="20">
        <v>9683</v>
      </c>
      <c r="C1168" s="21">
        <v>45034</v>
      </c>
      <c r="D1168" s="20">
        <v>3291.84</v>
      </c>
      <c r="E1168" s="22" t="s">
        <v>10</v>
      </c>
      <c r="F1168" s="22" t="s">
        <v>11</v>
      </c>
      <c r="G1168" s="22" t="s">
        <v>20</v>
      </c>
    </row>
    <row r="1169" ht="15.15" spans="1:7">
      <c r="A1169" s="20">
        <v>1167</v>
      </c>
      <c r="B1169" s="20">
        <v>3943</v>
      </c>
      <c r="C1169" s="21">
        <v>45287</v>
      </c>
      <c r="D1169" s="20">
        <v>3291.84</v>
      </c>
      <c r="E1169" s="22" t="s">
        <v>10</v>
      </c>
      <c r="F1169" s="22" t="s">
        <v>14</v>
      </c>
      <c r="G1169" s="22" t="s">
        <v>20</v>
      </c>
    </row>
    <row r="1170" ht="15.15" spans="1:7">
      <c r="A1170" s="20">
        <v>1168</v>
      </c>
      <c r="B1170" s="20">
        <v>2219</v>
      </c>
      <c r="C1170" s="21">
        <v>45252</v>
      </c>
      <c r="D1170" s="20">
        <v>3291.84</v>
      </c>
      <c r="E1170" s="22" t="s">
        <v>10</v>
      </c>
      <c r="F1170" s="22" t="s">
        <v>18</v>
      </c>
      <c r="G1170" s="22" t="s">
        <v>17</v>
      </c>
    </row>
    <row r="1171" ht="15.15" spans="1:7">
      <c r="A1171" s="20">
        <v>1169</v>
      </c>
      <c r="B1171" s="20">
        <v>1951</v>
      </c>
      <c r="C1171" s="21">
        <v>45007</v>
      </c>
      <c r="D1171" s="20">
        <v>3291.84</v>
      </c>
      <c r="E1171" s="22" t="s">
        <v>10</v>
      </c>
      <c r="F1171" s="22" t="s">
        <v>13</v>
      </c>
      <c r="G1171" s="22" t="s">
        <v>15</v>
      </c>
    </row>
    <row r="1172" ht="15.15" spans="1:7">
      <c r="A1172" s="20">
        <v>1170</v>
      </c>
      <c r="B1172" s="20">
        <v>6062</v>
      </c>
      <c r="C1172" s="21">
        <v>44966</v>
      </c>
      <c r="D1172" s="20">
        <v>3291.84</v>
      </c>
      <c r="E1172" s="22" t="s">
        <v>22</v>
      </c>
      <c r="F1172" s="22" t="s">
        <v>16</v>
      </c>
      <c r="G1172" s="22" t="s">
        <v>20</v>
      </c>
    </row>
    <row r="1173" ht="15.15" spans="1:7">
      <c r="A1173" s="20">
        <v>1171</v>
      </c>
      <c r="B1173" s="20">
        <v>7552</v>
      </c>
      <c r="C1173" s="21">
        <v>45092</v>
      </c>
      <c r="D1173" s="20">
        <v>3291.84</v>
      </c>
      <c r="E1173" s="22" t="s">
        <v>10</v>
      </c>
      <c r="F1173" s="22" t="s">
        <v>18</v>
      </c>
      <c r="G1173" s="22" t="s">
        <v>15</v>
      </c>
    </row>
    <row r="1174" ht="15.15" spans="1:7">
      <c r="A1174" s="20">
        <v>1172</v>
      </c>
      <c r="B1174" s="20">
        <v>1067</v>
      </c>
      <c r="C1174" s="21">
        <v>45215</v>
      </c>
      <c r="D1174" s="20">
        <v>3291.84</v>
      </c>
      <c r="E1174" s="22" t="s">
        <v>10</v>
      </c>
      <c r="F1174" s="22" t="s">
        <v>14</v>
      </c>
      <c r="G1174" s="22" t="s">
        <v>15</v>
      </c>
    </row>
    <row r="1175" ht="15.15" spans="1:7">
      <c r="A1175" s="20">
        <v>1173</v>
      </c>
      <c r="B1175" s="20">
        <v>3211</v>
      </c>
      <c r="C1175" s="21">
        <v>45229</v>
      </c>
      <c r="D1175" s="20">
        <v>3291.84</v>
      </c>
      <c r="E1175" s="22" t="s">
        <v>10</v>
      </c>
      <c r="F1175" s="22" t="s">
        <v>16</v>
      </c>
      <c r="G1175" s="22" t="s">
        <v>12</v>
      </c>
    </row>
    <row r="1176" ht="15.15" spans="1:7">
      <c r="A1176" s="20">
        <v>1174</v>
      </c>
      <c r="B1176" s="20">
        <v>8573</v>
      </c>
      <c r="C1176" s="21">
        <v>45282</v>
      </c>
      <c r="D1176" s="20">
        <v>3291.84</v>
      </c>
      <c r="E1176" s="22" t="s">
        <v>10</v>
      </c>
      <c r="F1176" s="22" t="s">
        <v>16</v>
      </c>
      <c r="G1176" s="22" t="s">
        <v>20</v>
      </c>
    </row>
    <row r="1177" ht="15.15" spans="1:7">
      <c r="A1177" s="20">
        <v>1175</v>
      </c>
      <c r="B1177" s="20">
        <v>3947</v>
      </c>
      <c r="C1177" s="21">
        <v>45067</v>
      </c>
      <c r="D1177" s="20">
        <v>3291.84</v>
      </c>
      <c r="E1177" s="22" t="s">
        <v>10</v>
      </c>
      <c r="F1177" s="22" t="s">
        <v>11</v>
      </c>
      <c r="G1177" s="22" t="s">
        <v>12</v>
      </c>
    </row>
    <row r="1178" ht="15.15" spans="1:7">
      <c r="A1178" s="20">
        <v>1176</v>
      </c>
      <c r="B1178" s="20">
        <v>3512</v>
      </c>
      <c r="C1178" s="21">
        <v>45171</v>
      </c>
      <c r="D1178" s="20">
        <v>3291.84</v>
      </c>
      <c r="E1178" s="22" t="s">
        <v>10</v>
      </c>
      <c r="F1178" s="22" t="s">
        <v>13</v>
      </c>
      <c r="G1178" s="22" t="s">
        <v>12</v>
      </c>
    </row>
    <row r="1179" ht="15.15" spans="1:7">
      <c r="A1179" s="20">
        <v>1177</v>
      </c>
      <c r="B1179" s="20">
        <v>4220</v>
      </c>
      <c r="C1179" s="21">
        <v>45252</v>
      </c>
      <c r="D1179" s="20">
        <v>3291.84</v>
      </c>
      <c r="E1179" s="22" t="s">
        <v>10</v>
      </c>
      <c r="F1179" s="22" t="s">
        <v>13</v>
      </c>
      <c r="G1179" s="22" t="s">
        <v>17</v>
      </c>
    </row>
    <row r="1180" ht="15.15" spans="1:7">
      <c r="A1180" s="20">
        <v>1178</v>
      </c>
      <c r="B1180" s="20">
        <v>869</v>
      </c>
      <c r="C1180" s="21">
        <v>45096</v>
      </c>
      <c r="D1180" s="20">
        <v>3291.84</v>
      </c>
      <c r="E1180" s="22" t="s">
        <v>10</v>
      </c>
      <c r="F1180" s="22" t="s">
        <v>11</v>
      </c>
      <c r="G1180" s="22" t="s">
        <v>17</v>
      </c>
    </row>
    <row r="1181" ht="15.15" spans="1:7">
      <c r="A1181" s="20">
        <v>1179</v>
      </c>
      <c r="B1181" s="20">
        <v>7739</v>
      </c>
      <c r="C1181" s="21">
        <v>45267</v>
      </c>
      <c r="D1181" s="20">
        <v>3291.84</v>
      </c>
      <c r="E1181" s="22" t="s">
        <v>10</v>
      </c>
      <c r="F1181" s="22" t="s">
        <v>11</v>
      </c>
      <c r="G1181" s="22" t="s">
        <v>15</v>
      </c>
    </row>
    <row r="1182" ht="15.15" spans="1:7">
      <c r="A1182" s="20">
        <v>1180</v>
      </c>
      <c r="B1182" s="20">
        <v>1920</v>
      </c>
      <c r="C1182" s="21">
        <v>45284</v>
      </c>
      <c r="D1182" s="20">
        <v>3291.84</v>
      </c>
      <c r="E1182" s="22" t="s">
        <v>10</v>
      </c>
      <c r="F1182" s="22" t="s">
        <v>11</v>
      </c>
      <c r="G1182" s="22" t="s">
        <v>12</v>
      </c>
    </row>
    <row r="1183" ht="15.15" spans="1:7">
      <c r="A1183" s="20">
        <v>1181</v>
      </c>
      <c r="B1183" s="20">
        <v>8144</v>
      </c>
      <c r="C1183" s="21">
        <v>45012</v>
      </c>
      <c r="D1183" s="20">
        <v>3291.84</v>
      </c>
      <c r="E1183" s="22" t="s">
        <v>10</v>
      </c>
      <c r="F1183" s="22" t="s">
        <v>14</v>
      </c>
      <c r="G1183" s="22" t="s">
        <v>12</v>
      </c>
    </row>
    <row r="1184" ht="15.15" spans="1:7">
      <c r="A1184" s="20">
        <v>1182</v>
      </c>
      <c r="B1184" s="20">
        <v>8198</v>
      </c>
      <c r="C1184" s="21">
        <v>44965</v>
      </c>
      <c r="D1184" s="20">
        <v>3291.84</v>
      </c>
      <c r="E1184" s="22" t="s">
        <v>10</v>
      </c>
      <c r="F1184" s="22" t="s">
        <v>14</v>
      </c>
      <c r="G1184" s="22" t="s">
        <v>15</v>
      </c>
    </row>
    <row r="1185" ht="15.15" spans="1:7">
      <c r="A1185" s="20">
        <v>1183</v>
      </c>
      <c r="B1185" s="20">
        <v>7387</v>
      </c>
      <c r="C1185" s="21">
        <v>45202</v>
      </c>
      <c r="D1185" s="20">
        <v>3291.84</v>
      </c>
      <c r="E1185" s="22" t="s">
        <v>10</v>
      </c>
      <c r="F1185" s="22" t="s">
        <v>14</v>
      </c>
      <c r="G1185" s="22" t="s">
        <v>20</v>
      </c>
    </row>
    <row r="1186" ht="15.15" spans="1:7">
      <c r="A1186" s="20">
        <v>1184</v>
      </c>
      <c r="B1186" s="20">
        <v>9029</v>
      </c>
      <c r="C1186" s="21">
        <v>45026</v>
      </c>
      <c r="D1186" s="20">
        <v>3291.84</v>
      </c>
      <c r="E1186" s="22" t="s">
        <v>10</v>
      </c>
      <c r="F1186" s="22" t="s">
        <v>11</v>
      </c>
      <c r="G1186" s="22" t="s">
        <v>20</v>
      </c>
    </row>
    <row r="1187" ht="15.15" spans="1:7">
      <c r="A1187" s="20">
        <v>1185</v>
      </c>
      <c r="B1187" s="20">
        <v>8197</v>
      </c>
      <c r="C1187" s="21">
        <v>45217</v>
      </c>
      <c r="D1187" s="20">
        <v>3291.84</v>
      </c>
      <c r="E1187" s="22" t="s">
        <v>10</v>
      </c>
      <c r="F1187" s="22" t="s">
        <v>16</v>
      </c>
      <c r="G1187" s="22" t="s">
        <v>17</v>
      </c>
    </row>
    <row r="1188" ht="15.15" spans="1:7">
      <c r="A1188" s="20">
        <v>1186</v>
      </c>
      <c r="B1188" s="20">
        <v>8897</v>
      </c>
      <c r="C1188" s="21">
        <v>45054</v>
      </c>
      <c r="D1188" s="20">
        <v>3291.84</v>
      </c>
      <c r="E1188" s="22" t="s">
        <v>10</v>
      </c>
      <c r="F1188" s="22" t="s">
        <v>13</v>
      </c>
      <c r="G1188" s="22" t="s">
        <v>20</v>
      </c>
    </row>
    <row r="1189" ht="15.15" spans="1:7">
      <c r="A1189" s="20">
        <v>1187</v>
      </c>
      <c r="B1189" s="20">
        <v>9466</v>
      </c>
      <c r="C1189" s="21">
        <v>44995</v>
      </c>
      <c r="D1189" s="20">
        <v>3291.84</v>
      </c>
      <c r="E1189" s="22" t="s">
        <v>10</v>
      </c>
      <c r="F1189" s="22" t="s">
        <v>16</v>
      </c>
      <c r="G1189" s="22" t="s">
        <v>15</v>
      </c>
    </row>
    <row r="1190" ht="15.15" spans="1:7">
      <c r="A1190" s="20">
        <v>1188</v>
      </c>
      <c r="B1190" s="20">
        <v>4330</v>
      </c>
      <c r="C1190" s="21">
        <v>44938</v>
      </c>
      <c r="D1190" s="20">
        <v>3291.84</v>
      </c>
      <c r="E1190" s="22" t="s">
        <v>10</v>
      </c>
      <c r="F1190" s="22" t="s">
        <v>18</v>
      </c>
      <c r="G1190" s="22" t="s">
        <v>15</v>
      </c>
    </row>
    <row r="1191" ht="15.15" spans="1:7">
      <c r="A1191" s="20">
        <v>1189</v>
      </c>
      <c r="B1191" s="20">
        <v>5010</v>
      </c>
      <c r="C1191" s="21">
        <v>44987</v>
      </c>
      <c r="D1191" s="20">
        <v>3291.84</v>
      </c>
      <c r="E1191" s="22" t="s">
        <v>10</v>
      </c>
      <c r="F1191" s="22" t="s">
        <v>16</v>
      </c>
      <c r="G1191" s="22" t="s">
        <v>12</v>
      </c>
    </row>
    <row r="1192" ht="15.15" spans="1:7">
      <c r="A1192" s="20">
        <v>1190</v>
      </c>
      <c r="B1192" s="20">
        <v>1116</v>
      </c>
      <c r="C1192" s="21">
        <v>45081</v>
      </c>
      <c r="D1192" s="20">
        <v>3291.84</v>
      </c>
      <c r="E1192" s="22" t="s">
        <v>10</v>
      </c>
      <c r="F1192" s="22" t="s">
        <v>18</v>
      </c>
      <c r="G1192" s="22" t="s">
        <v>20</v>
      </c>
    </row>
    <row r="1193" ht="15.15" spans="1:7">
      <c r="A1193" s="20">
        <v>1191</v>
      </c>
      <c r="B1193" s="20">
        <v>5240</v>
      </c>
      <c r="C1193" s="21">
        <v>45034</v>
      </c>
      <c r="D1193" s="20">
        <v>3291.84</v>
      </c>
      <c r="E1193" s="22" t="s">
        <v>10</v>
      </c>
      <c r="F1193" s="22" t="s">
        <v>11</v>
      </c>
      <c r="G1193" s="22" t="s">
        <v>20</v>
      </c>
    </row>
    <row r="1194" ht="15.15" spans="1:7">
      <c r="A1194" s="20">
        <v>1192</v>
      </c>
      <c r="B1194" s="20">
        <v>4164</v>
      </c>
      <c r="C1194" s="21">
        <v>45170</v>
      </c>
      <c r="D1194" s="20">
        <v>3291.84</v>
      </c>
      <c r="E1194" s="22" t="s">
        <v>10</v>
      </c>
      <c r="F1194" s="22" t="s">
        <v>13</v>
      </c>
      <c r="G1194" s="22" t="s">
        <v>17</v>
      </c>
    </row>
    <row r="1195" ht="15.15" spans="1:7">
      <c r="A1195" s="20">
        <v>1193</v>
      </c>
      <c r="B1195" s="20">
        <v>5133</v>
      </c>
      <c r="C1195" s="21">
        <v>45187</v>
      </c>
      <c r="D1195" s="20">
        <v>3291.84</v>
      </c>
      <c r="E1195" s="22" t="s">
        <v>10</v>
      </c>
      <c r="F1195" s="22" t="s">
        <v>13</v>
      </c>
      <c r="G1195" s="22" t="s">
        <v>17</v>
      </c>
    </row>
    <row r="1196" ht="15.15" spans="1:7">
      <c r="A1196" s="20">
        <v>1194</v>
      </c>
      <c r="B1196" s="20">
        <v>3723</v>
      </c>
      <c r="C1196" s="21">
        <v>45087</v>
      </c>
      <c r="D1196" s="20">
        <v>3291.84</v>
      </c>
      <c r="E1196" s="22" t="s">
        <v>10</v>
      </c>
      <c r="F1196" s="22" t="s">
        <v>13</v>
      </c>
      <c r="G1196" s="22" t="s">
        <v>17</v>
      </c>
    </row>
    <row r="1197" ht="15.15" spans="1:7">
      <c r="A1197" s="20">
        <v>1195</v>
      </c>
      <c r="B1197" s="20">
        <v>7467</v>
      </c>
      <c r="C1197" s="21">
        <v>45062</v>
      </c>
      <c r="D1197" s="20">
        <v>3291.84</v>
      </c>
      <c r="E1197" s="22" t="s">
        <v>10</v>
      </c>
      <c r="F1197" s="22" t="s">
        <v>14</v>
      </c>
      <c r="G1197" s="22" t="s">
        <v>15</v>
      </c>
    </row>
    <row r="1198" ht="15.15" spans="1:7">
      <c r="A1198" s="20">
        <v>1196</v>
      </c>
      <c r="B1198" s="20">
        <v>447</v>
      </c>
      <c r="C1198" s="21">
        <v>44933</v>
      </c>
      <c r="D1198" s="20">
        <v>3291.84</v>
      </c>
      <c r="E1198" s="22" t="s">
        <v>10</v>
      </c>
      <c r="F1198" s="22" t="s">
        <v>14</v>
      </c>
      <c r="G1198" s="22" t="s">
        <v>17</v>
      </c>
    </row>
    <row r="1199" ht="15.15" spans="1:7">
      <c r="A1199" s="20">
        <v>1197</v>
      </c>
      <c r="B1199" s="20">
        <v>303</v>
      </c>
      <c r="C1199" s="21">
        <v>45047</v>
      </c>
      <c r="D1199" s="20">
        <v>3291.84</v>
      </c>
      <c r="E1199" s="22" t="s">
        <v>10</v>
      </c>
      <c r="F1199" s="22" t="s">
        <v>11</v>
      </c>
      <c r="G1199" s="22" t="s">
        <v>12</v>
      </c>
    </row>
    <row r="1200" ht="15.15" spans="1:7">
      <c r="A1200" s="20">
        <v>1198</v>
      </c>
      <c r="B1200" s="20">
        <v>6702</v>
      </c>
      <c r="C1200" s="21">
        <v>44938</v>
      </c>
      <c r="D1200" s="20">
        <v>3291.84</v>
      </c>
      <c r="E1200" s="22" t="s">
        <v>10</v>
      </c>
      <c r="F1200" s="22" t="s">
        <v>16</v>
      </c>
      <c r="G1200" s="22" t="s">
        <v>20</v>
      </c>
    </row>
    <row r="1201" ht="15.15" spans="1:7">
      <c r="A1201" s="20">
        <v>1199</v>
      </c>
      <c r="B1201" s="20">
        <v>7410</v>
      </c>
      <c r="C1201" s="21">
        <v>45116</v>
      </c>
      <c r="D1201" s="20">
        <v>3291.84</v>
      </c>
      <c r="E1201" s="22" t="s">
        <v>10</v>
      </c>
      <c r="F1201" s="22" t="s">
        <v>16</v>
      </c>
      <c r="G1201" s="22" t="s">
        <v>15</v>
      </c>
    </row>
    <row r="1202" ht="15.15" spans="1:7">
      <c r="A1202" s="20">
        <v>1200</v>
      </c>
      <c r="B1202" s="20">
        <v>5373</v>
      </c>
      <c r="C1202" s="21">
        <v>45246</v>
      </c>
      <c r="D1202" s="20">
        <v>3291.84</v>
      </c>
      <c r="E1202" s="22" t="s">
        <v>10</v>
      </c>
      <c r="F1202" s="22" t="s">
        <v>14</v>
      </c>
      <c r="G1202" s="22" t="s">
        <v>15</v>
      </c>
    </row>
    <row r="1203" ht="15.15" spans="1:7">
      <c r="A1203" s="20">
        <v>1201</v>
      </c>
      <c r="B1203" s="20">
        <v>8966</v>
      </c>
      <c r="C1203" s="21">
        <v>45081</v>
      </c>
      <c r="D1203" s="20">
        <v>3291.84</v>
      </c>
      <c r="E1203" s="22" t="s">
        <v>10</v>
      </c>
      <c r="F1203" s="22" t="s">
        <v>14</v>
      </c>
      <c r="G1203" s="22" t="s">
        <v>12</v>
      </c>
    </row>
    <row r="1204" ht="15.15" spans="1:7">
      <c r="A1204" s="20">
        <v>1202</v>
      </c>
      <c r="B1204" s="20">
        <v>3161</v>
      </c>
      <c r="C1204" s="21">
        <v>45164</v>
      </c>
      <c r="D1204" s="20">
        <v>3291.84</v>
      </c>
      <c r="E1204" s="22" t="s">
        <v>10</v>
      </c>
      <c r="F1204" s="22" t="s">
        <v>14</v>
      </c>
      <c r="G1204" s="22" t="s">
        <v>20</v>
      </c>
    </row>
    <row r="1205" ht="15.15" spans="1:7">
      <c r="A1205" s="20">
        <v>1203</v>
      </c>
      <c r="B1205" s="20">
        <v>7261</v>
      </c>
      <c r="C1205" s="21">
        <v>45189</v>
      </c>
      <c r="D1205" s="20">
        <v>3291.84</v>
      </c>
      <c r="E1205" s="22" t="s">
        <v>10</v>
      </c>
      <c r="F1205" s="22" t="s">
        <v>18</v>
      </c>
      <c r="G1205" s="22" t="s">
        <v>17</v>
      </c>
    </row>
    <row r="1206" ht="15.15" spans="1:7">
      <c r="A1206" s="20">
        <v>1204</v>
      </c>
      <c r="B1206" s="20">
        <v>6106</v>
      </c>
      <c r="C1206" s="21">
        <v>44940</v>
      </c>
      <c r="D1206" s="20">
        <v>3291.84</v>
      </c>
      <c r="E1206" s="22" t="s">
        <v>10</v>
      </c>
      <c r="F1206" s="22" t="s">
        <v>18</v>
      </c>
      <c r="G1206" s="22" t="s">
        <v>17</v>
      </c>
    </row>
    <row r="1207" ht="15.15" spans="1:7">
      <c r="A1207" s="20">
        <v>1205</v>
      </c>
      <c r="B1207" s="20">
        <v>9282</v>
      </c>
      <c r="C1207" s="21">
        <v>45051</v>
      </c>
      <c r="D1207" s="20">
        <v>3291.84</v>
      </c>
      <c r="E1207" s="22" t="s">
        <v>10</v>
      </c>
      <c r="F1207" s="22" t="s">
        <v>13</v>
      </c>
      <c r="G1207" s="22" t="s">
        <v>17</v>
      </c>
    </row>
    <row r="1208" ht="15.15" spans="1:7">
      <c r="A1208" s="20">
        <v>1206</v>
      </c>
      <c r="B1208" s="20">
        <v>3841</v>
      </c>
      <c r="C1208" s="21">
        <v>45257</v>
      </c>
      <c r="D1208" s="20">
        <v>3291.84</v>
      </c>
      <c r="E1208" s="22" t="s">
        <v>10</v>
      </c>
      <c r="F1208" s="22" t="s">
        <v>18</v>
      </c>
      <c r="G1208" s="22" t="s">
        <v>17</v>
      </c>
    </row>
    <row r="1209" ht="15.15" spans="1:7">
      <c r="A1209" s="20">
        <v>1207</v>
      </c>
      <c r="B1209" s="20">
        <v>4107</v>
      </c>
      <c r="C1209" s="21">
        <v>44986</v>
      </c>
      <c r="D1209" s="20">
        <v>3291.84</v>
      </c>
      <c r="E1209" s="22" t="s">
        <v>10</v>
      </c>
      <c r="F1209" s="22" t="s">
        <v>13</v>
      </c>
      <c r="G1209" s="22" t="s">
        <v>17</v>
      </c>
    </row>
    <row r="1210" ht="15.15" spans="1:7">
      <c r="A1210" s="20">
        <v>1208</v>
      </c>
      <c r="B1210" s="20">
        <v>2232</v>
      </c>
      <c r="C1210" s="21">
        <v>45124</v>
      </c>
      <c r="D1210" s="20">
        <v>3291.84</v>
      </c>
      <c r="E1210" s="22" t="s">
        <v>10</v>
      </c>
      <c r="F1210" s="22" t="s">
        <v>11</v>
      </c>
      <c r="G1210" s="22" t="s">
        <v>17</v>
      </c>
    </row>
    <row r="1211" ht="15.15" spans="1:7">
      <c r="A1211" s="20">
        <v>1209</v>
      </c>
      <c r="B1211" s="20">
        <v>8547</v>
      </c>
      <c r="C1211" s="21">
        <v>45197</v>
      </c>
      <c r="D1211" s="20">
        <v>3291.84</v>
      </c>
      <c r="E1211" s="22" t="s">
        <v>10</v>
      </c>
      <c r="F1211" s="22" t="s">
        <v>16</v>
      </c>
      <c r="G1211" s="22" t="s">
        <v>20</v>
      </c>
    </row>
    <row r="1212" ht="15.15" spans="1:7">
      <c r="A1212" s="20">
        <v>1210</v>
      </c>
      <c r="B1212" s="20">
        <v>1027</v>
      </c>
      <c r="C1212" s="21">
        <v>45038</v>
      </c>
      <c r="D1212" s="20">
        <v>3291.84</v>
      </c>
      <c r="E1212" s="22" t="s">
        <v>10</v>
      </c>
      <c r="F1212" s="22" t="s">
        <v>18</v>
      </c>
      <c r="G1212" s="22" t="s">
        <v>17</v>
      </c>
    </row>
    <row r="1213" ht="15.15" spans="1:7">
      <c r="A1213" s="20">
        <v>1211</v>
      </c>
      <c r="B1213" s="20">
        <v>5313</v>
      </c>
      <c r="C1213" s="21">
        <v>45076</v>
      </c>
      <c r="D1213" s="20">
        <v>3291.84</v>
      </c>
      <c r="E1213" s="22" t="s">
        <v>10</v>
      </c>
      <c r="F1213" s="22" t="s">
        <v>16</v>
      </c>
      <c r="G1213" s="22" t="s">
        <v>17</v>
      </c>
    </row>
    <row r="1214" ht="15.15" spans="1:7">
      <c r="A1214" s="20">
        <v>1212</v>
      </c>
      <c r="B1214" s="20">
        <v>2926</v>
      </c>
      <c r="C1214" s="21">
        <v>45224</v>
      </c>
      <c r="D1214" s="20">
        <v>3291.84</v>
      </c>
      <c r="E1214" s="22" t="s">
        <v>10</v>
      </c>
      <c r="F1214" s="22" t="s">
        <v>16</v>
      </c>
      <c r="G1214" s="22" t="s">
        <v>12</v>
      </c>
    </row>
    <row r="1215" ht="15.15" spans="1:7">
      <c r="A1215" s="20">
        <v>1213</v>
      </c>
      <c r="B1215" s="20">
        <v>2659</v>
      </c>
      <c r="C1215" s="21">
        <v>45188</v>
      </c>
      <c r="D1215" s="20">
        <v>3291.84</v>
      </c>
      <c r="E1215" s="22" t="s">
        <v>10</v>
      </c>
      <c r="F1215" s="22" t="s">
        <v>13</v>
      </c>
      <c r="G1215" s="22" t="s">
        <v>15</v>
      </c>
    </row>
    <row r="1216" ht="15.15" spans="1:7">
      <c r="A1216" s="20">
        <v>1214</v>
      </c>
      <c r="B1216" s="20">
        <v>2079</v>
      </c>
      <c r="C1216" s="21">
        <v>45207</v>
      </c>
      <c r="D1216" s="20">
        <v>3291.84</v>
      </c>
      <c r="E1216" s="22" t="s">
        <v>10</v>
      </c>
      <c r="F1216" s="22" t="s">
        <v>18</v>
      </c>
      <c r="G1216" s="22" t="s">
        <v>20</v>
      </c>
    </row>
    <row r="1217" ht="15.15" spans="1:7">
      <c r="A1217" s="20">
        <v>1215</v>
      </c>
      <c r="B1217" s="20">
        <v>7832</v>
      </c>
      <c r="C1217" s="21">
        <v>45058</v>
      </c>
      <c r="D1217" s="20">
        <v>3291.84</v>
      </c>
      <c r="E1217" s="22" t="s">
        <v>10</v>
      </c>
      <c r="F1217" s="22" t="s">
        <v>13</v>
      </c>
      <c r="G1217" s="22" t="s">
        <v>12</v>
      </c>
    </row>
    <row r="1218" ht="15.15" spans="1:7">
      <c r="A1218" s="20">
        <v>1216</v>
      </c>
      <c r="B1218" s="20">
        <v>775</v>
      </c>
      <c r="C1218" s="21">
        <v>44987</v>
      </c>
      <c r="D1218" s="20">
        <v>3291.84</v>
      </c>
      <c r="E1218" s="22" t="s">
        <v>10</v>
      </c>
      <c r="F1218" s="22" t="s">
        <v>16</v>
      </c>
      <c r="G1218" s="22" t="s">
        <v>20</v>
      </c>
    </row>
    <row r="1219" ht="15.15" spans="1:7">
      <c r="A1219" s="20">
        <v>1217</v>
      </c>
      <c r="B1219" s="20">
        <v>5209</v>
      </c>
      <c r="C1219" s="21">
        <v>44963</v>
      </c>
      <c r="D1219" s="20">
        <v>3291.84</v>
      </c>
      <c r="E1219" s="22" t="s">
        <v>10</v>
      </c>
      <c r="F1219" s="22" t="s">
        <v>18</v>
      </c>
      <c r="G1219" s="22" t="s">
        <v>20</v>
      </c>
    </row>
    <row r="1220" ht="15.15" spans="1:7">
      <c r="A1220" s="20">
        <v>1218</v>
      </c>
      <c r="B1220" s="20">
        <v>3811</v>
      </c>
      <c r="C1220" s="21">
        <v>45156</v>
      </c>
      <c r="D1220" s="20">
        <v>3291.84</v>
      </c>
      <c r="E1220" s="22" t="s">
        <v>10</v>
      </c>
      <c r="F1220" s="22" t="s">
        <v>16</v>
      </c>
      <c r="G1220" s="22" t="s">
        <v>20</v>
      </c>
    </row>
    <row r="1221" ht="15.15" spans="1:7">
      <c r="A1221" s="20">
        <v>1219</v>
      </c>
      <c r="B1221" s="20">
        <v>6756</v>
      </c>
      <c r="C1221" s="21">
        <v>44948</v>
      </c>
      <c r="D1221" s="20">
        <v>3291.84</v>
      </c>
      <c r="E1221" s="22" t="s">
        <v>10</v>
      </c>
      <c r="F1221" s="22" t="s">
        <v>16</v>
      </c>
      <c r="G1221" s="22" t="s">
        <v>12</v>
      </c>
    </row>
    <row r="1222" ht="15.15" spans="1:7">
      <c r="A1222" s="20">
        <v>1220</v>
      </c>
      <c r="B1222" s="20">
        <v>7701</v>
      </c>
      <c r="C1222" s="21">
        <v>45286</v>
      </c>
      <c r="D1222" s="20">
        <v>3291.84</v>
      </c>
      <c r="E1222" s="22" t="s">
        <v>10</v>
      </c>
      <c r="F1222" s="22" t="s">
        <v>18</v>
      </c>
      <c r="G1222" s="22" t="s">
        <v>17</v>
      </c>
    </row>
    <row r="1223" ht="15.15" spans="1:7">
      <c r="A1223" s="20">
        <v>1221</v>
      </c>
      <c r="B1223" s="20">
        <v>1146</v>
      </c>
      <c r="C1223" s="21">
        <v>45176</v>
      </c>
      <c r="D1223" s="20">
        <v>3291.84</v>
      </c>
      <c r="E1223" s="22" t="s">
        <v>10</v>
      </c>
      <c r="F1223" s="22" t="s">
        <v>14</v>
      </c>
      <c r="G1223" s="22" t="s">
        <v>12</v>
      </c>
    </row>
    <row r="1224" ht="15.15" spans="1:7">
      <c r="A1224" s="20">
        <v>1222</v>
      </c>
      <c r="B1224" s="20">
        <v>2652</v>
      </c>
      <c r="C1224" s="21">
        <v>45064</v>
      </c>
      <c r="D1224" s="20">
        <v>3291.84</v>
      </c>
      <c r="E1224" s="22" t="s">
        <v>10</v>
      </c>
      <c r="F1224" s="22" t="s">
        <v>11</v>
      </c>
      <c r="G1224" s="22" t="s">
        <v>20</v>
      </c>
    </row>
    <row r="1225" ht="15.15" spans="1:7">
      <c r="A1225" s="20">
        <v>1223</v>
      </c>
      <c r="B1225" s="20">
        <v>4349</v>
      </c>
      <c r="C1225" s="21">
        <v>45187</v>
      </c>
      <c r="D1225" s="20">
        <v>3291.84</v>
      </c>
      <c r="E1225" s="22" t="s">
        <v>10</v>
      </c>
      <c r="F1225" s="22" t="s">
        <v>16</v>
      </c>
      <c r="G1225" s="22" t="s">
        <v>20</v>
      </c>
    </row>
    <row r="1226" ht="15.15" spans="1:7">
      <c r="A1226" s="20">
        <v>1224</v>
      </c>
      <c r="B1226" s="20">
        <v>7922</v>
      </c>
      <c r="C1226" s="21">
        <v>44989</v>
      </c>
      <c r="D1226" s="20">
        <v>3291.84</v>
      </c>
      <c r="E1226" s="22" t="s">
        <v>21</v>
      </c>
      <c r="F1226" s="22" t="s">
        <v>11</v>
      </c>
      <c r="G1226" s="22" t="s">
        <v>20</v>
      </c>
    </row>
    <row r="1227" ht="15.15" spans="1:7">
      <c r="A1227" s="20">
        <v>1225</v>
      </c>
      <c r="B1227" s="20">
        <v>6002</v>
      </c>
      <c r="C1227" s="21">
        <v>44952</v>
      </c>
      <c r="D1227" s="20">
        <v>3291.84</v>
      </c>
      <c r="E1227" s="22" t="s">
        <v>10</v>
      </c>
      <c r="F1227" s="22" t="s">
        <v>19</v>
      </c>
      <c r="G1227" s="22" t="s">
        <v>17</v>
      </c>
    </row>
    <row r="1228" ht="15.15" spans="1:7">
      <c r="A1228" s="20">
        <v>1226</v>
      </c>
      <c r="B1228" s="20">
        <v>2198</v>
      </c>
      <c r="C1228" s="21">
        <v>45287</v>
      </c>
      <c r="D1228" s="20">
        <v>3291.84</v>
      </c>
      <c r="E1228" s="22" t="s">
        <v>21</v>
      </c>
      <c r="F1228" s="22" t="s">
        <v>14</v>
      </c>
      <c r="G1228" s="22" t="s">
        <v>17</v>
      </c>
    </row>
    <row r="1229" ht="15.15" spans="1:7">
      <c r="A1229" s="20">
        <v>1227</v>
      </c>
      <c r="B1229" s="20">
        <v>4901</v>
      </c>
      <c r="C1229" s="21">
        <v>45149</v>
      </c>
      <c r="D1229" s="20">
        <v>3291.84</v>
      </c>
      <c r="E1229" s="22" t="s">
        <v>10</v>
      </c>
      <c r="F1229" s="22" t="s">
        <v>18</v>
      </c>
      <c r="G1229" s="22" t="s">
        <v>20</v>
      </c>
    </row>
    <row r="1230" ht="15.15" spans="1:7">
      <c r="A1230" s="20">
        <v>1228</v>
      </c>
      <c r="B1230" s="20">
        <v>374</v>
      </c>
      <c r="C1230" s="21">
        <v>45142</v>
      </c>
      <c r="D1230" s="20">
        <v>3291.84</v>
      </c>
      <c r="E1230" s="22" t="s">
        <v>10</v>
      </c>
      <c r="F1230" s="22" t="s">
        <v>18</v>
      </c>
      <c r="G1230" s="22" t="s">
        <v>20</v>
      </c>
    </row>
    <row r="1231" ht="15.15" spans="1:7">
      <c r="A1231" s="20">
        <v>1229</v>
      </c>
      <c r="B1231" s="20">
        <v>8532</v>
      </c>
      <c r="C1231" s="21">
        <v>44983</v>
      </c>
      <c r="D1231" s="20">
        <v>3291.84</v>
      </c>
      <c r="E1231" s="22" t="s">
        <v>10</v>
      </c>
      <c r="F1231" s="22" t="s">
        <v>18</v>
      </c>
      <c r="G1231" s="22" t="s">
        <v>17</v>
      </c>
    </row>
    <row r="1232" ht="15.15" spans="1:7">
      <c r="A1232" s="20">
        <v>1230</v>
      </c>
      <c r="B1232" s="20">
        <v>9430</v>
      </c>
      <c r="C1232" s="21">
        <v>45012</v>
      </c>
      <c r="D1232" s="20">
        <v>3291.84</v>
      </c>
      <c r="E1232" s="22" t="s">
        <v>10</v>
      </c>
      <c r="F1232" s="22" t="s">
        <v>18</v>
      </c>
      <c r="G1232" s="22" t="s">
        <v>15</v>
      </c>
    </row>
    <row r="1233" ht="15.15" spans="1:7">
      <c r="A1233" s="20">
        <v>1231</v>
      </c>
      <c r="B1233" s="20">
        <v>5223</v>
      </c>
      <c r="C1233" s="21">
        <v>45004</v>
      </c>
      <c r="D1233" s="20">
        <v>3291.84</v>
      </c>
      <c r="E1233" s="22" t="s">
        <v>10</v>
      </c>
      <c r="F1233" s="22" t="s">
        <v>14</v>
      </c>
      <c r="G1233" s="22" t="s">
        <v>15</v>
      </c>
    </row>
    <row r="1234" ht="15.15" spans="1:7">
      <c r="A1234" s="20">
        <v>1232</v>
      </c>
      <c r="B1234" s="20">
        <v>757</v>
      </c>
      <c r="C1234" s="21">
        <v>45131</v>
      </c>
      <c r="D1234" s="20">
        <v>3291.84</v>
      </c>
      <c r="E1234" s="22" t="s">
        <v>10</v>
      </c>
      <c r="F1234" s="22" t="s">
        <v>16</v>
      </c>
      <c r="G1234" s="22" t="s">
        <v>12</v>
      </c>
    </row>
    <row r="1235" ht="15.15" spans="1:7">
      <c r="A1235" s="20">
        <v>1233</v>
      </c>
      <c r="B1235" s="20">
        <v>1158</v>
      </c>
      <c r="C1235" s="21">
        <v>45205</v>
      </c>
      <c r="D1235" s="20">
        <v>3291.84</v>
      </c>
      <c r="E1235" s="22" t="s">
        <v>10</v>
      </c>
      <c r="F1235" s="22" t="s">
        <v>14</v>
      </c>
      <c r="G1235" s="22" t="s">
        <v>12</v>
      </c>
    </row>
    <row r="1236" ht="15.15" spans="1:7">
      <c r="A1236" s="20">
        <v>1234</v>
      </c>
      <c r="B1236" s="20">
        <v>3686</v>
      </c>
      <c r="C1236" s="21">
        <v>45208</v>
      </c>
      <c r="D1236" s="20">
        <v>3291.84</v>
      </c>
      <c r="E1236" s="22" t="s">
        <v>10</v>
      </c>
      <c r="F1236" s="22" t="s">
        <v>11</v>
      </c>
      <c r="G1236" s="22" t="s">
        <v>12</v>
      </c>
    </row>
    <row r="1237" ht="15.15" spans="1:7">
      <c r="A1237" s="20">
        <v>1235</v>
      </c>
      <c r="B1237" s="20">
        <v>8760</v>
      </c>
      <c r="C1237" s="21">
        <v>45048</v>
      </c>
      <c r="D1237" s="20">
        <v>3291.84</v>
      </c>
      <c r="E1237" s="22" t="s">
        <v>10</v>
      </c>
      <c r="F1237" s="22" t="s">
        <v>13</v>
      </c>
      <c r="G1237" s="22" t="s">
        <v>15</v>
      </c>
    </row>
    <row r="1238" ht="15.15" spans="1:7">
      <c r="A1238" s="20">
        <v>1236</v>
      </c>
      <c r="B1238" s="20">
        <v>590</v>
      </c>
      <c r="C1238" s="21">
        <v>45212</v>
      </c>
      <c r="D1238" s="20">
        <v>3291.84</v>
      </c>
      <c r="E1238" s="22" t="s">
        <v>10</v>
      </c>
      <c r="F1238" s="22" t="s">
        <v>14</v>
      </c>
      <c r="G1238" s="22" t="s">
        <v>17</v>
      </c>
    </row>
    <row r="1239" ht="15.15" spans="1:7">
      <c r="A1239" s="20">
        <v>1237</v>
      </c>
      <c r="B1239" s="20">
        <v>2886</v>
      </c>
      <c r="C1239" s="21">
        <v>45119</v>
      </c>
      <c r="D1239" s="20">
        <v>3291.84</v>
      </c>
      <c r="E1239" s="22" t="s">
        <v>10</v>
      </c>
      <c r="F1239" s="22" t="s">
        <v>13</v>
      </c>
      <c r="G1239" s="22" t="s">
        <v>20</v>
      </c>
    </row>
    <row r="1240" ht="15.15" spans="1:7">
      <c r="A1240" s="20">
        <v>1238</v>
      </c>
      <c r="B1240" s="20">
        <v>5508</v>
      </c>
      <c r="C1240" s="21">
        <v>45145</v>
      </c>
      <c r="D1240" s="20">
        <v>3291.84</v>
      </c>
      <c r="E1240" s="22" t="s">
        <v>10</v>
      </c>
      <c r="F1240" s="22" t="s">
        <v>13</v>
      </c>
      <c r="G1240" s="22" t="s">
        <v>15</v>
      </c>
    </row>
    <row r="1241" ht="15.15" spans="1:7">
      <c r="A1241" s="20">
        <v>1239</v>
      </c>
      <c r="B1241" s="20">
        <v>15</v>
      </c>
      <c r="C1241" s="21">
        <v>45142</v>
      </c>
      <c r="D1241" s="20">
        <v>3291.84</v>
      </c>
      <c r="E1241" s="22" t="s">
        <v>10</v>
      </c>
      <c r="F1241" s="22" t="s">
        <v>18</v>
      </c>
      <c r="G1241" s="22" t="s">
        <v>15</v>
      </c>
    </row>
    <row r="1242" ht="15.15" spans="1:7">
      <c r="A1242" s="20">
        <v>1240</v>
      </c>
      <c r="B1242" s="20">
        <v>5489</v>
      </c>
      <c r="C1242" s="21">
        <v>45250</v>
      </c>
      <c r="D1242" s="20">
        <v>3291.84</v>
      </c>
      <c r="E1242" s="22" t="s">
        <v>10</v>
      </c>
      <c r="F1242" s="22" t="s">
        <v>13</v>
      </c>
      <c r="G1242" s="22" t="s">
        <v>15</v>
      </c>
    </row>
    <row r="1243" ht="15.15" spans="1:7">
      <c r="A1243" s="20">
        <v>1241</v>
      </c>
      <c r="B1243" s="20">
        <v>4064</v>
      </c>
      <c r="C1243" s="21">
        <v>45082</v>
      </c>
      <c r="D1243" s="20">
        <v>3291.84</v>
      </c>
      <c r="E1243" s="22" t="s">
        <v>10</v>
      </c>
      <c r="F1243" s="22" t="s">
        <v>18</v>
      </c>
      <c r="G1243" s="22" t="s">
        <v>17</v>
      </c>
    </row>
    <row r="1244" ht="15.15" spans="1:7">
      <c r="A1244" s="20">
        <v>1242</v>
      </c>
      <c r="B1244" s="20">
        <v>9106</v>
      </c>
      <c r="C1244" s="21">
        <v>45256</v>
      </c>
      <c r="D1244" s="20">
        <v>3291.84</v>
      </c>
      <c r="E1244" s="22" t="s">
        <v>10</v>
      </c>
      <c r="F1244" s="22" t="s">
        <v>11</v>
      </c>
      <c r="G1244" s="22" t="s">
        <v>17</v>
      </c>
    </row>
    <row r="1245" ht="15.15" spans="1:7">
      <c r="A1245" s="20">
        <v>1243</v>
      </c>
      <c r="B1245" s="20">
        <v>7520</v>
      </c>
      <c r="C1245" s="21">
        <v>45074</v>
      </c>
      <c r="D1245" s="20">
        <v>3291.84</v>
      </c>
      <c r="E1245" s="22" t="s">
        <v>10</v>
      </c>
      <c r="F1245" s="22" t="s">
        <v>11</v>
      </c>
      <c r="G1245" s="22" t="s">
        <v>15</v>
      </c>
    </row>
    <row r="1246" ht="15.15" spans="1:7">
      <c r="A1246" s="20">
        <v>1244</v>
      </c>
      <c r="B1246" s="20">
        <v>6989</v>
      </c>
      <c r="C1246" s="21">
        <v>45275</v>
      </c>
      <c r="D1246" s="20">
        <v>3291.84</v>
      </c>
      <c r="E1246" s="22" t="s">
        <v>10</v>
      </c>
      <c r="F1246" s="22" t="s">
        <v>16</v>
      </c>
      <c r="G1246" s="22" t="s">
        <v>15</v>
      </c>
    </row>
    <row r="1247" ht="15.15" spans="1:7">
      <c r="A1247" s="20">
        <v>1245</v>
      </c>
      <c r="B1247" s="20">
        <v>4279</v>
      </c>
      <c r="C1247" s="21">
        <v>44969</v>
      </c>
      <c r="D1247" s="20">
        <v>3291.84</v>
      </c>
      <c r="E1247" s="22" t="s">
        <v>10</v>
      </c>
      <c r="F1247" s="22" t="s">
        <v>13</v>
      </c>
      <c r="G1247" s="22" t="s">
        <v>20</v>
      </c>
    </row>
    <row r="1248" ht="15.15" spans="1:7">
      <c r="A1248" s="20">
        <v>1246</v>
      </c>
      <c r="B1248" s="20">
        <v>5092</v>
      </c>
      <c r="C1248" s="21">
        <v>45272</v>
      </c>
      <c r="D1248" s="20">
        <v>3291.84</v>
      </c>
      <c r="E1248" s="22" t="s">
        <v>10</v>
      </c>
      <c r="F1248" s="22" t="s">
        <v>18</v>
      </c>
      <c r="G1248" s="22" t="s">
        <v>15</v>
      </c>
    </row>
    <row r="1249" ht="15.15" spans="1:7">
      <c r="A1249" s="20">
        <v>1247</v>
      </c>
      <c r="B1249" s="20">
        <v>4966</v>
      </c>
      <c r="C1249" s="21">
        <v>45250</v>
      </c>
      <c r="D1249" s="20">
        <v>3291.84</v>
      </c>
      <c r="E1249" s="22" t="s">
        <v>10</v>
      </c>
      <c r="F1249" s="22" t="s">
        <v>16</v>
      </c>
      <c r="G1249" s="22" t="s">
        <v>15</v>
      </c>
    </row>
    <row r="1250" ht="15.15" spans="1:7">
      <c r="A1250" s="20">
        <v>1248</v>
      </c>
      <c r="B1250" s="20">
        <v>7540</v>
      </c>
      <c r="C1250" s="21">
        <v>44980</v>
      </c>
      <c r="D1250" s="20">
        <v>3291.84</v>
      </c>
      <c r="E1250" s="22" t="s">
        <v>10</v>
      </c>
      <c r="F1250" s="22" t="s">
        <v>16</v>
      </c>
      <c r="G1250" s="22" t="s">
        <v>15</v>
      </c>
    </row>
    <row r="1251" ht="15.15" spans="1:7">
      <c r="A1251" s="20">
        <v>1249</v>
      </c>
      <c r="B1251" s="20">
        <v>5255</v>
      </c>
      <c r="C1251" s="21">
        <v>44968</v>
      </c>
      <c r="D1251" s="20">
        <v>3291.84</v>
      </c>
      <c r="E1251" s="22" t="s">
        <v>10</v>
      </c>
      <c r="F1251" s="22" t="s">
        <v>16</v>
      </c>
      <c r="G1251" s="22" t="s">
        <v>20</v>
      </c>
    </row>
    <row r="1252" ht="15.15" spans="1:7">
      <c r="A1252" s="20">
        <v>1250</v>
      </c>
      <c r="B1252" s="20">
        <v>9933</v>
      </c>
      <c r="C1252" s="21">
        <v>45145</v>
      </c>
      <c r="D1252" s="20">
        <v>3291.84</v>
      </c>
      <c r="E1252" s="22" t="s">
        <v>10</v>
      </c>
      <c r="F1252" s="22" t="s">
        <v>11</v>
      </c>
      <c r="G1252" s="22" t="s">
        <v>15</v>
      </c>
    </row>
    <row r="1253" ht="15.15" spans="1:7">
      <c r="A1253" s="20">
        <v>1251</v>
      </c>
      <c r="B1253" s="20">
        <v>6605</v>
      </c>
      <c r="C1253" s="21">
        <v>45024</v>
      </c>
      <c r="D1253" s="20">
        <v>3291.84</v>
      </c>
      <c r="E1253" s="22" t="s">
        <v>21</v>
      </c>
      <c r="F1253" s="22" t="s">
        <v>18</v>
      </c>
      <c r="G1253" s="22" t="s">
        <v>17</v>
      </c>
    </row>
    <row r="1254" ht="15.15" spans="1:7">
      <c r="A1254" s="20">
        <v>1252</v>
      </c>
      <c r="B1254" s="20">
        <v>7211</v>
      </c>
      <c r="C1254" s="21">
        <v>45201</v>
      </c>
      <c r="D1254" s="20">
        <v>3291.84</v>
      </c>
      <c r="E1254" s="22" t="s">
        <v>10</v>
      </c>
      <c r="F1254" s="22" t="s">
        <v>13</v>
      </c>
      <c r="G1254" s="22" t="s">
        <v>12</v>
      </c>
    </row>
    <row r="1255" ht="15.15" spans="1:7">
      <c r="A1255" s="20">
        <v>1253</v>
      </c>
      <c r="B1255" s="20">
        <v>9223</v>
      </c>
      <c r="C1255" s="21">
        <v>45242</v>
      </c>
      <c r="D1255" s="20">
        <v>3291.84</v>
      </c>
      <c r="E1255" s="22" t="s">
        <v>10</v>
      </c>
      <c r="F1255" s="22" t="s">
        <v>14</v>
      </c>
      <c r="G1255" s="22" t="s">
        <v>12</v>
      </c>
    </row>
    <row r="1256" ht="15.15" spans="1:7">
      <c r="A1256" s="20">
        <v>1254</v>
      </c>
      <c r="B1256" s="20">
        <v>1110</v>
      </c>
      <c r="C1256" s="21">
        <v>45282</v>
      </c>
      <c r="D1256" s="20">
        <v>3291.84</v>
      </c>
      <c r="E1256" s="22" t="s">
        <v>10</v>
      </c>
      <c r="F1256" s="22" t="s">
        <v>16</v>
      </c>
      <c r="G1256" s="22" t="s">
        <v>15</v>
      </c>
    </row>
    <row r="1257" ht="15.15" spans="1:7">
      <c r="A1257" s="20">
        <v>1255</v>
      </c>
      <c r="B1257" s="20">
        <v>2196</v>
      </c>
      <c r="C1257" s="21">
        <v>45252</v>
      </c>
      <c r="D1257" s="20">
        <v>3291.84</v>
      </c>
      <c r="E1257" s="22" t="s">
        <v>10</v>
      </c>
      <c r="F1257" s="22" t="s">
        <v>16</v>
      </c>
      <c r="G1257" s="22" t="s">
        <v>15</v>
      </c>
    </row>
    <row r="1258" ht="15.15" spans="1:7">
      <c r="A1258" s="20">
        <v>1256</v>
      </c>
      <c r="B1258" s="20">
        <v>1088</v>
      </c>
      <c r="C1258" s="21">
        <v>45159</v>
      </c>
      <c r="D1258" s="20">
        <v>3291.84</v>
      </c>
      <c r="E1258" s="22" t="s">
        <v>10</v>
      </c>
      <c r="F1258" s="22" t="s">
        <v>14</v>
      </c>
      <c r="G1258" s="22" t="s">
        <v>17</v>
      </c>
    </row>
    <row r="1259" ht="15.15" spans="1:7">
      <c r="A1259" s="20">
        <v>1257</v>
      </c>
      <c r="B1259" s="20">
        <v>1501</v>
      </c>
      <c r="C1259" s="21">
        <v>45112</v>
      </c>
      <c r="D1259" s="20">
        <v>3291.84</v>
      </c>
      <c r="E1259" s="22" t="s">
        <v>10</v>
      </c>
      <c r="F1259" s="22" t="s">
        <v>18</v>
      </c>
      <c r="G1259" s="22" t="s">
        <v>20</v>
      </c>
    </row>
    <row r="1260" ht="15.15" spans="1:7">
      <c r="A1260" s="20">
        <v>1258</v>
      </c>
      <c r="B1260" s="20">
        <v>9314</v>
      </c>
      <c r="C1260" s="21">
        <v>45087</v>
      </c>
      <c r="D1260" s="20">
        <v>3291.84</v>
      </c>
      <c r="E1260" s="22" t="s">
        <v>10</v>
      </c>
      <c r="F1260" s="22" t="s">
        <v>18</v>
      </c>
      <c r="G1260" s="22" t="s">
        <v>15</v>
      </c>
    </row>
    <row r="1261" ht="15.15" spans="1:7">
      <c r="A1261" s="20">
        <v>1259</v>
      </c>
      <c r="B1261" s="20">
        <v>5869</v>
      </c>
      <c r="C1261" s="21">
        <v>45286</v>
      </c>
      <c r="D1261" s="20">
        <v>3291.84</v>
      </c>
      <c r="E1261" s="22" t="s">
        <v>10</v>
      </c>
      <c r="F1261" s="22" t="s">
        <v>16</v>
      </c>
      <c r="G1261" s="22" t="s">
        <v>12</v>
      </c>
    </row>
    <row r="1262" ht="15.15" spans="1:7">
      <c r="A1262" s="20">
        <v>1260</v>
      </c>
      <c r="B1262" s="20">
        <v>1321</v>
      </c>
      <c r="C1262" s="21">
        <v>44994</v>
      </c>
      <c r="D1262" s="20">
        <v>3291.84</v>
      </c>
      <c r="E1262" s="22" t="s">
        <v>10</v>
      </c>
      <c r="F1262" s="22" t="s">
        <v>14</v>
      </c>
      <c r="G1262" s="22" t="s">
        <v>12</v>
      </c>
    </row>
    <row r="1263" ht="15.15" spans="1:7">
      <c r="A1263" s="20">
        <v>1261</v>
      </c>
      <c r="B1263" s="20">
        <v>3582</v>
      </c>
      <c r="C1263" s="21">
        <v>44940</v>
      </c>
      <c r="D1263" s="20">
        <v>3291.84</v>
      </c>
      <c r="E1263" s="22" t="s">
        <v>10</v>
      </c>
      <c r="F1263" s="22" t="s">
        <v>18</v>
      </c>
      <c r="G1263" s="22" t="s">
        <v>12</v>
      </c>
    </row>
    <row r="1264" ht="15.15" spans="1:7">
      <c r="A1264" s="20">
        <v>1262</v>
      </c>
      <c r="B1264" s="20">
        <v>7297</v>
      </c>
      <c r="C1264" s="21">
        <v>45043</v>
      </c>
      <c r="D1264" s="20">
        <v>3291.84</v>
      </c>
      <c r="E1264" s="22" t="s">
        <v>10</v>
      </c>
      <c r="F1264" s="22" t="s">
        <v>16</v>
      </c>
      <c r="G1264" s="22" t="s">
        <v>15</v>
      </c>
    </row>
    <row r="1265" ht="15.15" spans="1:7">
      <c r="A1265" s="20">
        <v>1263</v>
      </c>
      <c r="B1265" s="20">
        <v>4327</v>
      </c>
      <c r="C1265" s="21">
        <v>44964</v>
      </c>
      <c r="D1265" s="20">
        <v>3291.84</v>
      </c>
      <c r="E1265" s="22" t="s">
        <v>10</v>
      </c>
      <c r="F1265" s="22" t="s">
        <v>13</v>
      </c>
      <c r="G1265" s="22" t="s">
        <v>17</v>
      </c>
    </row>
    <row r="1266" ht="15.15" spans="1:7">
      <c r="A1266" s="20">
        <v>1264</v>
      </c>
      <c r="B1266" s="20">
        <v>1267</v>
      </c>
      <c r="C1266" s="21">
        <v>45086</v>
      </c>
      <c r="D1266" s="20">
        <v>3291.84</v>
      </c>
      <c r="E1266" s="22" t="s">
        <v>10</v>
      </c>
      <c r="F1266" s="22" t="s">
        <v>14</v>
      </c>
      <c r="G1266" s="22" t="s">
        <v>15</v>
      </c>
    </row>
    <row r="1267" ht="15.15" spans="1:7">
      <c r="A1267" s="20">
        <v>1265</v>
      </c>
      <c r="B1267" s="20">
        <v>7117</v>
      </c>
      <c r="C1267" s="21">
        <v>45141</v>
      </c>
      <c r="D1267" s="20">
        <v>3291.84</v>
      </c>
      <c r="E1267" s="22" t="s">
        <v>10</v>
      </c>
      <c r="F1267" s="22" t="s">
        <v>16</v>
      </c>
      <c r="G1267" s="22" t="s">
        <v>15</v>
      </c>
    </row>
    <row r="1268" ht="15.15" spans="1:7">
      <c r="A1268" s="20">
        <v>1266</v>
      </c>
      <c r="B1268" s="20">
        <v>3260</v>
      </c>
      <c r="C1268" s="21">
        <v>44984</v>
      </c>
      <c r="D1268" s="20">
        <v>3291.84</v>
      </c>
      <c r="E1268" s="22" t="s">
        <v>10</v>
      </c>
      <c r="F1268" s="22" t="s">
        <v>13</v>
      </c>
      <c r="G1268" s="22" t="s">
        <v>15</v>
      </c>
    </row>
    <row r="1269" ht="15.15" spans="1:7">
      <c r="A1269" s="20">
        <v>1267</v>
      </c>
      <c r="B1269" s="20">
        <v>3102</v>
      </c>
      <c r="C1269" s="21">
        <v>45001</v>
      </c>
      <c r="D1269" s="20">
        <v>3291.84</v>
      </c>
      <c r="E1269" s="22" t="s">
        <v>10</v>
      </c>
      <c r="F1269" s="22" t="s">
        <v>18</v>
      </c>
      <c r="G1269" s="22" t="s">
        <v>17</v>
      </c>
    </row>
    <row r="1270" ht="15.15" spans="1:7">
      <c r="A1270" s="20">
        <v>1268</v>
      </c>
      <c r="B1270" s="20">
        <v>7861</v>
      </c>
      <c r="C1270" s="21">
        <v>44962</v>
      </c>
      <c r="D1270" s="20">
        <v>3291.84</v>
      </c>
      <c r="E1270" s="22" t="s">
        <v>10</v>
      </c>
      <c r="F1270" s="22" t="s">
        <v>13</v>
      </c>
      <c r="G1270" s="22" t="s">
        <v>12</v>
      </c>
    </row>
    <row r="1271" ht="15.15" spans="1:7">
      <c r="A1271" s="20">
        <v>1269</v>
      </c>
      <c r="B1271" s="20">
        <v>5490</v>
      </c>
      <c r="C1271" s="21">
        <v>45209</v>
      </c>
      <c r="D1271" s="20">
        <v>3291.84</v>
      </c>
      <c r="E1271" s="22" t="s">
        <v>10</v>
      </c>
      <c r="F1271" s="22" t="s">
        <v>18</v>
      </c>
      <c r="G1271" s="22" t="s">
        <v>12</v>
      </c>
    </row>
    <row r="1272" ht="15.15" spans="1:7">
      <c r="A1272" s="20">
        <v>1270</v>
      </c>
      <c r="B1272" s="20">
        <v>3575</v>
      </c>
      <c r="C1272" s="21">
        <v>44961</v>
      </c>
      <c r="D1272" s="20">
        <v>3291.84</v>
      </c>
      <c r="E1272" s="22" t="s">
        <v>10</v>
      </c>
      <c r="F1272" s="22" t="s">
        <v>11</v>
      </c>
      <c r="G1272" s="22" t="s">
        <v>17</v>
      </c>
    </row>
    <row r="1273" ht="15.15" spans="1:7">
      <c r="A1273" s="20">
        <v>1271</v>
      </c>
      <c r="B1273" s="20">
        <v>1940</v>
      </c>
      <c r="C1273" s="21">
        <v>45124</v>
      </c>
      <c r="D1273" s="20">
        <v>3291.84</v>
      </c>
      <c r="E1273" s="22" t="s">
        <v>10</v>
      </c>
      <c r="F1273" s="22" t="s">
        <v>18</v>
      </c>
      <c r="G1273" s="22" t="s">
        <v>12</v>
      </c>
    </row>
    <row r="1274" ht="15.15" spans="1:7">
      <c r="A1274" s="20">
        <v>1272</v>
      </c>
      <c r="B1274" s="20">
        <v>5577</v>
      </c>
      <c r="C1274" s="21">
        <v>45232</v>
      </c>
      <c r="D1274" s="20">
        <v>3291.84</v>
      </c>
      <c r="E1274" s="22" t="s">
        <v>10</v>
      </c>
      <c r="F1274" s="22" t="s">
        <v>16</v>
      </c>
      <c r="G1274" s="22" t="s">
        <v>15</v>
      </c>
    </row>
    <row r="1275" ht="15.15" spans="1:7">
      <c r="A1275" s="20">
        <v>1273</v>
      </c>
      <c r="B1275" s="20">
        <v>1126</v>
      </c>
      <c r="C1275" s="21">
        <v>45245</v>
      </c>
      <c r="D1275" s="20">
        <v>3291.84</v>
      </c>
      <c r="E1275" s="22" t="s">
        <v>10</v>
      </c>
      <c r="F1275" s="22" t="s">
        <v>11</v>
      </c>
      <c r="G1275" s="22" t="s">
        <v>20</v>
      </c>
    </row>
    <row r="1276" ht="15.15" spans="1:7">
      <c r="A1276" s="20">
        <v>1274</v>
      </c>
      <c r="B1276" s="20">
        <v>5168</v>
      </c>
      <c r="C1276" s="21">
        <v>45021</v>
      </c>
      <c r="D1276" s="20">
        <v>3291.84</v>
      </c>
      <c r="E1276" s="22" t="s">
        <v>10</v>
      </c>
      <c r="F1276" s="22" t="s">
        <v>16</v>
      </c>
      <c r="G1276" s="22" t="s">
        <v>20</v>
      </c>
    </row>
    <row r="1277" ht="15.15" spans="1:7">
      <c r="A1277" s="20">
        <v>1275</v>
      </c>
      <c r="B1277" s="20">
        <v>7810</v>
      </c>
      <c r="C1277" s="21">
        <v>45156</v>
      </c>
      <c r="D1277" s="20">
        <v>3291.84</v>
      </c>
      <c r="E1277" s="22" t="s">
        <v>21</v>
      </c>
      <c r="F1277" s="22" t="s">
        <v>13</v>
      </c>
      <c r="G1277" s="22" t="s">
        <v>12</v>
      </c>
    </row>
    <row r="1278" ht="15.15" spans="1:7">
      <c r="A1278" s="20">
        <v>1276</v>
      </c>
      <c r="B1278" s="20">
        <v>7542</v>
      </c>
      <c r="C1278" s="21">
        <v>45083</v>
      </c>
      <c r="D1278" s="20">
        <v>3291.84</v>
      </c>
      <c r="E1278" s="22" t="s">
        <v>10</v>
      </c>
      <c r="F1278" s="22" t="s">
        <v>18</v>
      </c>
      <c r="G1278" s="22" t="s">
        <v>17</v>
      </c>
    </row>
    <row r="1279" ht="15.15" spans="1:7">
      <c r="A1279" s="20">
        <v>1277</v>
      </c>
      <c r="B1279" s="20">
        <v>2309</v>
      </c>
      <c r="C1279" s="21">
        <v>45105</v>
      </c>
      <c r="D1279" s="20">
        <v>3291.84</v>
      </c>
      <c r="E1279" s="22" t="s">
        <v>21</v>
      </c>
      <c r="F1279" s="22" t="s">
        <v>18</v>
      </c>
      <c r="G1279" s="22" t="s">
        <v>17</v>
      </c>
    </row>
    <row r="1280" ht="15.15" spans="1:7">
      <c r="A1280" s="20">
        <v>1278</v>
      </c>
      <c r="B1280" s="20">
        <v>9774</v>
      </c>
      <c r="C1280" s="21">
        <v>44936</v>
      </c>
      <c r="D1280" s="20">
        <v>3291.84</v>
      </c>
      <c r="E1280" s="22" t="s">
        <v>10</v>
      </c>
      <c r="F1280" s="22" t="s">
        <v>14</v>
      </c>
      <c r="G1280" s="22" t="s">
        <v>17</v>
      </c>
    </row>
    <row r="1281" ht="15.15" spans="1:7">
      <c r="A1281" s="20">
        <v>1279</v>
      </c>
      <c r="B1281" s="20">
        <v>2630</v>
      </c>
      <c r="C1281" s="21">
        <v>45271</v>
      </c>
      <c r="D1281" s="20">
        <v>3291.84</v>
      </c>
      <c r="E1281" s="22" t="s">
        <v>10</v>
      </c>
      <c r="F1281" s="22" t="s">
        <v>14</v>
      </c>
      <c r="G1281" s="22" t="s">
        <v>17</v>
      </c>
    </row>
    <row r="1282" ht="15.15" spans="1:7">
      <c r="A1282" s="20">
        <v>1280</v>
      </c>
      <c r="B1282" s="20">
        <v>8518</v>
      </c>
      <c r="C1282" s="21">
        <v>45142</v>
      </c>
      <c r="D1282" s="20">
        <v>3291.84</v>
      </c>
      <c r="E1282" s="22" t="s">
        <v>10</v>
      </c>
      <c r="F1282" s="22" t="s">
        <v>16</v>
      </c>
      <c r="G1282" s="22" t="s">
        <v>20</v>
      </c>
    </row>
    <row r="1283" ht="15.15" spans="1:7">
      <c r="A1283" s="20">
        <v>1281</v>
      </c>
      <c r="B1283" s="20">
        <v>8630</v>
      </c>
      <c r="C1283" s="21">
        <v>44963</v>
      </c>
      <c r="D1283" s="20">
        <v>3291.84</v>
      </c>
      <c r="E1283" s="22" t="s">
        <v>10</v>
      </c>
      <c r="F1283" s="22" t="s">
        <v>18</v>
      </c>
      <c r="G1283" s="22" t="s">
        <v>15</v>
      </c>
    </row>
    <row r="1284" ht="15.15" spans="1:7">
      <c r="A1284" s="20">
        <v>1282</v>
      </c>
      <c r="B1284" s="20">
        <v>6106</v>
      </c>
      <c r="C1284" s="21">
        <v>45252</v>
      </c>
      <c r="D1284" s="20">
        <v>3291.84</v>
      </c>
      <c r="E1284" s="22" t="s">
        <v>10</v>
      </c>
      <c r="F1284" s="22" t="s">
        <v>18</v>
      </c>
      <c r="G1284" s="22" t="s">
        <v>15</v>
      </c>
    </row>
    <row r="1285" ht="15.15" spans="1:7">
      <c r="A1285" s="20">
        <v>1283</v>
      </c>
      <c r="B1285" s="20">
        <v>585</v>
      </c>
      <c r="C1285" s="21">
        <v>45237</v>
      </c>
      <c r="D1285" s="20">
        <v>3291.84</v>
      </c>
      <c r="E1285" s="22" t="s">
        <v>10</v>
      </c>
      <c r="F1285" s="22" t="s">
        <v>11</v>
      </c>
      <c r="G1285" s="22" t="s">
        <v>20</v>
      </c>
    </row>
    <row r="1286" ht="15.15" spans="1:7">
      <c r="A1286" s="20">
        <v>1284</v>
      </c>
      <c r="B1286" s="20">
        <v>7930</v>
      </c>
      <c r="C1286" s="21">
        <v>44936</v>
      </c>
      <c r="D1286" s="20">
        <v>3291.84</v>
      </c>
      <c r="E1286" s="22" t="s">
        <v>10</v>
      </c>
      <c r="F1286" s="22" t="s">
        <v>14</v>
      </c>
      <c r="G1286" s="22" t="s">
        <v>17</v>
      </c>
    </row>
    <row r="1287" ht="15.15" spans="1:7">
      <c r="A1287" s="20">
        <v>1285</v>
      </c>
      <c r="B1287" s="20">
        <v>8121</v>
      </c>
      <c r="C1287" s="21">
        <v>45005</v>
      </c>
      <c r="D1287" s="20">
        <v>3291.84</v>
      </c>
      <c r="E1287" s="22" t="s">
        <v>10</v>
      </c>
      <c r="F1287" s="22" t="s">
        <v>18</v>
      </c>
      <c r="G1287" s="22" t="s">
        <v>20</v>
      </c>
    </row>
    <row r="1288" ht="15.15" spans="1:7">
      <c r="A1288" s="20">
        <v>1286</v>
      </c>
      <c r="B1288" s="20">
        <v>5887</v>
      </c>
      <c r="C1288" s="21">
        <v>45096</v>
      </c>
      <c r="D1288" s="20">
        <v>3291.84</v>
      </c>
      <c r="E1288" s="22" t="s">
        <v>10</v>
      </c>
      <c r="F1288" s="22" t="s">
        <v>13</v>
      </c>
      <c r="G1288" s="22" t="s">
        <v>20</v>
      </c>
    </row>
    <row r="1289" ht="15.15" spans="1:7">
      <c r="A1289" s="20">
        <v>1287</v>
      </c>
      <c r="B1289" s="20">
        <v>1694</v>
      </c>
      <c r="C1289" s="21">
        <v>45167</v>
      </c>
      <c r="D1289" s="20">
        <v>3291.84</v>
      </c>
      <c r="E1289" s="22" t="s">
        <v>10</v>
      </c>
      <c r="F1289" s="22" t="s">
        <v>13</v>
      </c>
      <c r="G1289" s="22" t="s">
        <v>17</v>
      </c>
    </row>
    <row r="1290" ht="15.15" spans="1:7">
      <c r="A1290" s="20">
        <v>1288</v>
      </c>
      <c r="B1290" s="20">
        <v>2113</v>
      </c>
      <c r="C1290" s="21">
        <v>45158</v>
      </c>
      <c r="D1290" s="20">
        <v>3291.84</v>
      </c>
      <c r="E1290" s="22" t="s">
        <v>10</v>
      </c>
      <c r="F1290" s="22" t="s">
        <v>11</v>
      </c>
      <c r="G1290" s="22" t="s">
        <v>20</v>
      </c>
    </row>
    <row r="1291" ht="15.15" spans="1:7">
      <c r="A1291" s="20">
        <v>1289</v>
      </c>
      <c r="B1291" s="20">
        <v>1840</v>
      </c>
      <c r="C1291" s="21">
        <v>45158</v>
      </c>
      <c r="D1291" s="20">
        <v>3291.84</v>
      </c>
      <c r="E1291" s="22" t="s">
        <v>10</v>
      </c>
      <c r="F1291" s="22" t="s">
        <v>18</v>
      </c>
      <c r="G1291" s="22" t="s">
        <v>15</v>
      </c>
    </row>
    <row r="1292" ht="15.15" spans="1:7">
      <c r="A1292" s="20">
        <v>1290</v>
      </c>
      <c r="B1292" s="20">
        <v>8274</v>
      </c>
      <c r="C1292" s="21">
        <v>45232</v>
      </c>
      <c r="D1292" s="20">
        <v>3291.84</v>
      </c>
      <c r="E1292" s="22" t="s">
        <v>10</v>
      </c>
      <c r="F1292" s="22" t="s">
        <v>13</v>
      </c>
      <c r="G1292" s="22" t="s">
        <v>20</v>
      </c>
    </row>
    <row r="1293" ht="15.15" spans="1:7">
      <c r="A1293" s="20">
        <v>1291</v>
      </c>
      <c r="B1293" s="20">
        <v>9465</v>
      </c>
      <c r="C1293" s="21">
        <v>45238</v>
      </c>
      <c r="D1293" s="20">
        <v>3291.84</v>
      </c>
      <c r="E1293" s="22" t="s">
        <v>10</v>
      </c>
      <c r="F1293" s="22" t="s">
        <v>11</v>
      </c>
      <c r="G1293" s="22" t="s">
        <v>12</v>
      </c>
    </row>
    <row r="1294" ht="15.15" spans="1:7">
      <c r="A1294" s="20">
        <v>1292</v>
      </c>
      <c r="B1294" s="20">
        <v>1530</v>
      </c>
      <c r="C1294" s="21">
        <v>45290</v>
      </c>
      <c r="D1294" s="20">
        <v>3291.84</v>
      </c>
      <c r="E1294" s="22" t="s">
        <v>10</v>
      </c>
      <c r="F1294" s="22" t="s">
        <v>11</v>
      </c>
      <c r="G1294" s="22" t="s">
        <v>20</v>
      </c>
    </row>
    <row r="1295" ht="15.15" spans="1:7">
      <c r="A1295" s="20">
        <v>1293</v>
      </c>
      <c r="B1295" s="20">
        <v>4538</v>
      </c>
      <c r="C1295" s="21">
        <v>45275</v>
      </c>
      <c r="D1295" s="20">
        <v>3291.84</v>
      </c>
      <c r="E1295" s="22" t="s">
        <v>10</v>
      </c>
      <c r="F1295" s="22" t="s">
        <v>14</v>
      </c>
      <c r="G1295" s="22" t="s">
        <v>17</v>
      </c>
    </row>
    <row r="1296" ht="15.15" spans="1:7">
      <c r="A1296" s="20">
        <v>1294</v>
      </c>
      <c r="B1296" s="20">
        <v>6822</v>
      </c>
      <c r="C1296" s="21">
        <v>45289</v>
      </c>
      <c r="D1296" s="20">
        <v>3291.84</v>
      </c>
      <c r="E1296" s="22" t="s">
        <v>10</v>
      </c>
      <c r="F1296" s="22" t="s">
        <v>14</v>
      </c>
      <c r="G1296" s="22" t="s">
        <v>15</v>
      </c>
    </row>
    <row r="1297" ht="15.15" spans="1:7">
      <c r="A1297" s="20">
        <v>1295</v>
      </c>
      <c r="B1297" s="20">
        <v>1919</v>
      </c>
      <c r="C1297" s="21">
        <v>45081</v>
      </c>
      <c r="D1297" s="20">
        <v>3291.84</v>
      </c>
      <c r="E1297" s="22" t="s">
        <v>10</v>
      </c>
      <c r="F1297" s="22" t="s">
        <v>13</v>
      </c>
      <c r="G1297" s="22" t="s">
        <v>12</v>
      </c>
    </row>
    <row r="1298" ht="15.15" spans="1:7">
      <c r="A1298" s="20">
        <v>1296</v>
      </c>
      <c r="B1298" s="20">
        <v>1363</v>
      </c>
      <c r="C1298" s="21">
        <v>45118</v>
      </c>
      <c r="D1298" s="20">
        <v>3291.84</v>
      </c>
      <c r="E1298" s="22" t="s">
        <v>10</v>
      </c>
      <c r="F1298" s="22" t="s">
        <v>14</v>
      </c>
      <c r="G1298" s="22" t="s">
        <v>17</v>
      </c>
    </row>
    <row r="1299" ht="15.15" spans="1:7">
      <c r="A1299" s="20">
        <v>1297</v>
      </c>
      <c r="B1299" s="20">
        <v>5621</v>
      </c>
      <c r="C1299" s="21">
        <v>45090</v>
      </c>
      <c r="D1299" s="20">
        <v>3291.84</v>
      </c>
      <c r="E1299" s="22" t="s">
        <v>10</v>
      </c>
      <c r="F1299" s="22" t="s">
        <v>13</v>
      </c>
      <c r="G1299" s="22" t="s">
        <v>17</v>
      </c>
    </row>
    <row r="1300" ht="15.15" spans="1:7">
      <c r="A1300" s="20">
        <v>1298</v>
      </c>
      <c r="B1300" s="20">
        <v>6872</v>
      </c>
      <c r="C1300" s="21">
        <v>45064</v>
      </c>
      <c r="D1300" s="20">
        <v>3291.84</v>
      </c>
      <c r="E1300" s="22" t="s">
        <v>10</v>
      </c>
      <c r="F1300" s="22" t="s">
        <v>14</v>
      </c>
      <c r="G1300" s="22" t="s">
        <v>15</v>
      </c>
    </row>
    <row r="1301" ht="15.15" spans="1:7">
      <c r="A1301" s="20">
        <v>1299</v>
      </c>
      <c r="B1301" s="20">
        <v>9710</v>
      </c>
      <c r="C1301" s="21">
        <v>45272</v>
      </c>
      <c r="D1301" s="20">
        <v>3291.84</v>
      </c>
      <c r="E1301" s="22" t="s">
        <v>10</v>
      </c>
      <c r="F1301" s="22" t="s">
        <v>14</v>
      </c>
      <c r="G1301" s="22" t="s">
        <v>12</v>
      </c>
    </row>
    <row r="1302" ht="15.15" spans="1:7">
      <c r="A1302" s="20">
        <v>1300</v>
      </c>
      <c r="B1302" s="20">
        <v>6672</v>
      </c>
      <c r="C1302" s="21">
        <v>45068</v>
      </c>
      <c r="D1302" s="20">
        <v>3291.84</v>
      </c>
      <c r="E1302" s="22" t="s">
        <v>10</v>
      </c>
      <c r="F1302" s="22" t="s">
        <v>16</v>
      </c>
      <c r="G1302" s="22" t="s">
        <v>17</v>
      </c>
    </row>
    <row r="1303" ht="15.15" spans="1:7">
      <c r="A1303" s="20">
        <v>1301</v>
      </c>
      <c r="B1303" s="20">
        <v>9684</v>
      </c>
      <c r="C1303" s="21">
        <v>45089</v>
      </c>
      <c r="D1303" s="20">
        <v>3291.84</v>
      </c>
      <c r="E1303" s="22" t="s">
        <v>10</v>
      </c>
      <c r="F1303" s="22" t="s">
        <v>13</v>
      </c>
      <c r="G1303" s="22" t="s">
        <v>12</v>
      </c>
    </row>
    <row r="1304" ht="15.15" spans="1:7">
      <c r="A1304" s="20">
        <v>1302</v>
      </c>
      <c r="B1304" s="20">
        <v>1248</v>
      </c>
      <c r="C1304" s="21">
        <v>44970</v>
      </c>
      <c r="D1304" s="20">
        <v>3291.84</v>
      </c>
      <c r="E1304" s="22" t="s">
        <v>10</v>
      </c>
      <c r="F1304" s="22" t="s">
        <v>14</v>
      </c>
      <c r="G1304" s="22" t="s">
        <v>15</v>
      </c>
    </row>
    <row r="1305" ht="15.15" spans="1:7">
      <c r="A1305" s="20">
        <v>1303</v>
      </c>
      <c r="B1305" s="20">
        <v>4345</v>
      </c>
      <c r="C1305" s="21">
        <v>45236</v>
      </c>
      <c r="D1305" s="20">
        <v>3291.84</v>
      </c>
      <c r="E1305" s="22" t="s">
        <v>10</v>
      </c>
      <c r="F1305" s="22" t="s">
        <v>11</v>
      </c>
      <c r="G1305" s="22" t="s">
        <v>15</v>
      </c>
    </row>
    <row r="1306" ht="15.15" spans="1:7">
      <c r="A1306" s="20">
        <v>1304</v>
      </c>
      <c r="B1306" s="20">
        <v>4813</v>
      </c>
      <c r="C1306" s="21">
        <v>45055</v>
      </c>
      <c r="D1306" s="20">
        <v>3291.84</v>
      </c>
      <c r="E1306" s="22" t="s">
        <v>10</v>
      </c>
      <c r="F1306" s="22" t="s">
        <v>11</v>
      </c>
      <c r="G1306" s="22" t="s">
        <v>17</v>
      </c>
    </row>
    <row r="1307" ht="15.15" spans="1:7">
      <c r="A1307" s="20">
        <v>1305</v>
      </c>
      <c r="B1307" s="20">
        <v>5775</v>
      </c>
      <c r="C1307" s="21">
        <v>45178</v>
      </c>
      <c r="D1307" s="20">
        <v>3291.84</v>
      </c>
      <c r="E1307" s="22" t="s">
        <v>10</v>
      </c>
      <c r="F1307" s="22" t="s">
        <v>16</v>
      </c>
      <c r="G1307" s="22" t="s">
        <v>12</v>
      </c>
    </row>
    <row r="1308" ht="15.15" spans="1:7">
      <c r="A1308" s="20">
        <v>1306</v>
      </c>
      <c r="B1308" s="20">
        <v>3606</v>
      </c>
      <c r="C1308" s="21">
        <v>45110</v>
      </c>
      <c r="D1308" s="20">
        <v>3291.84</v>
      </c>
      <c r="E1308" s="22" t="s">
        <v>10</v>
      </c>
      <c r="F1308" s="22" t="s">
        <v>16</v>
      </c>
      <c r="G1308" s="22" t="s">
        <v>15</v>
      </c>
    </row>
    <row r="1309" ht="15.15" spans="1:7">
      <c r="A1309" s="20">
        <v>1307</v>
      </c>
      <c r="B1309" s="20">
        <v>958</v>
      </c>
      <c r="C1309" s="21">
        <v>44986</v>
      </c>
      <c r="D1309" s="20">
        <v>3291.84</v>
      </c>
      <c r="E1309" s="22" t="s">
        <v>10</v>
      </c>
      <c r="F1309" s="22" t="s">
        <v>16</v>
      </c>
      <c r="G1309" s="22" t="s">
        <v>15</v>
      </c>
    </row>
    <row r="1310" ht="15.15" spans="1:7">
      <c r="A1310" s="20">
        <v>1308</v>
      </c>
      <c r="B1310" s="20">
        <v>7887</v>
      </c>
      <c r="C1310" s="21">
        <v>45030</v>
      </c>
      <c r="D1310" s="20">
        <v>3291.84</v>
      </c>
      <c r="E1310" s="22" t="s">
        <v>10</v>
      </c>
      <c r="F1310" s="22" t="s">
        <v>13</v>
      </c>
      <c r="G1310" s="22" t="s">
        <v>15</v>
      </c>
    </row>
    <row r="1311" ht="15.15" spans="1:7">
      <c r="A1311" s="20">
        <v>1309</v>
      </c>
      <c r="B1311" s="20">
        <v>663</v>
      </c>
      <c r="C1311" s="21">
        <v>44976</v>
      </c>
      <c r="D1311" s="20">
        <v>3291.84</v>
      </c>
      <c r="E1311" s="22" t="s">
        <v>10</v>
      </c>
      <c r="F1311" s="22" t="s">
        <v>13</v>
      </c>
      <c r="G1311" s="22" t="s">
        <v>15</v>
      </c>
    </row>
    <row r="1312" ht="15.15" spans="1:7">
      <c r="A1312" s="20">
        <v>1310</v>
      </c>
      <c r="B1312" s="20">
        <v>7307</v>
      </c>
      <c r="C1312" s="21">
        <v>44938</v>
      </c>
      <c r="D1312" s="20">
        <v>3291.84</v>
      </c>
      <c r="E1312" s="22" t="s">
        <v>10</v>
      </c>
      <c r="F1312" s="22" t="s">
        <v>14</v>
      </c>
      <c r="G1312" s="22" t="s">
        <v>12</v>
      </c>
    </row>
    <row r="1313" ht="15.15" spans="1:7">
      <c r="A1313" s="20">
        <v>1311</v>
      </c>
      <c r="B1313" s="20">
        <v>5410</v>
      </c>
      <c r="C1313" s="21">
        <v>45244</v>
      </c>
      <c r="D1313" s="20">
        <v>3291.84</v>
      </c>
      <c r="E1313" s="22" t="s">
        <v>10</v>
      </c>
      <c r="F1313" s="22" t="s">
        <v>16</v>
      </c>
      <c r="G1313" s="22" t="s">
        <v>20</v>
      </c>
    </row>
    <row r="1314" ht="15.15" spans="1:7">
      <c r="A1314" s="20">
        <v>1312</v>
      </c>
      <c r="B1314" s="20">
        <v>6708</v>
      </c>
      <c r="C1314" s="21">
        <v>45141</v>
      </c>
      <c r="D1314" s="20">
        <v>3291.84</v>
      </c>
      <c r="E1314" s="22" t="s">
        <v>10</v>
      </c>
      <c r="F1314" s="22" t="s">
        <v>18</v>
      </c>
      <c r="G1314" s="22" t="s">
        <v>17</v>
      </c>
    </row>
    <row r="1315" ht="15.15" spans="1:7">
      <c r="A1315" s="20">
        <v>1313</v>
      </c>
      <c r="B1315" s="20">
        <v>509</v>
      </c>
      <c r="C1315" s="21">
        <v>45291</v>
      </c>
      <c r="D1315" s="20">
        <v>3291.84</v>
      </c>
      <c r="E1315" s="22" t="s">
        <v>10</v>
      </c>
      <c r="F1315" s="22" t="s">
        <v>11</v>
      </c>
      <c r="G1315" s="22" t="s">
        <v>17</v>
      </c>
    </row>
    <row r="1316" ht="15.15" spans="1:7">
      <c r="A1316" s="20">
        <v>1314</v>
      </c>
      <c r="B1316" s="20">
        <v>3889</v>
      </c>
      <c r="C1316" s="21">
        <v>45278</v>
      </c>
      <c r="D1316" s="20">
        <v>3291.84</v>
      </c>
      <c r="E1316" s="22" t="s">
        <v>21</v>
      </c>
      <c r="F1316" s="22" t="s">
        <v>11</v>
      </c>
      <c r="G1316" s="22" t="s">
        <v>12</v>
      </c>
    </row>
    <row r="1317" ht="15.15" spans="1:7">
      <c r="A1317" s="20">
        <v>1315</v>
      </c>
      <c r="B1317" s="20">
        <v>5878</v>
      </c>
      <c r="C1317" s="21">
        <v>45115</v>
      </c>
      <c r="D1317" s="20">
        <v>3291.84</v>
      </c>
      <c r="E1317" s="22" t="s">
        <v>10</v>
      </c>
      <c r="F1317" s="22" t="s">
        <v>13</v>
      </c>
      <c r="G1317" s="22" t="s">
        <v>20</v>
      </c>
    </row>
    <row r="1318" ht="15.15" spans="1:7">
      <c r="A1318" s="20">
        <v>1316</v>
      </c>
      <c r="B1318" s="20">
        <v>3943</v>
      </c>
      <c r="C1318" s="21">
        <v>45264</v>
      </c>
      <c r="D1318" s="20">
        <v>3291.84</v>
      </c>
      <c r="E1318" s="22" t="s">
        <v>10</v>
      </c>
      <c r="F1318" s="22" t="s">
        <v>14</v>
      </c>
      <c r="G1318" s="22" t="s">
        <v>12</v>
      </c>
    </row>
    <row r="1319" ht="15.15" spans="1:7">
      <c r="A1319" s="20">
        <v>1317</v>
      </c>
      <c r="B1319" s="20">
        <v>5625</v>
      </c>
      <c r="C1319" s="21">
        <v>44974</v>
      </c>
      <c r="D1319" s="20">
        <v>3291.84</v>
      </c>
      <c r="E1319" s="22" t="s">
        <v>10</v>
      </c>
      <c r="F1319" s="22" t="s">
        <v>16</v>
      </c>
      <c r="G1319" s="22" t="s">
        <v>12</v>
      </c>
    </row>
    <row r="1320" ht="15.15" spans="1:7">
      <c r="A1320" s="20">
        <v>1318</v>
      </c>
      <c r="B1320" s="20">
        <v>2655</v>
      </c>
      <c r="C1320" s="21">
        <v>45234</v>
      </c>
      <c r="D1320" s="20">
        <v>3291.84</v>
      </c>
      <c r="E1320" s="22" t="s">
        <v>10</v>
      </c>
      <c r="F1320" s="22" t="s">
        <v>11</v>
      </c>
      <c r="G1320" s="22" t="s">
        <v>15</v>
      </c>
    </row>
    <row r="1321" ht="15.15" spans="1:7">
      <c r="A1321" s="20">
        <v>1319</v>
      </c>
      <c r="B1321" s="20">
        <v>1326</v>
      </c>
      <c r="C1321" s="21">
        <v>45017</v>
      </c>
      <c r="D1321" s="20">
        <v>3291.84</v>
      </c>
      <c r="E1321" s="22" t="s">
        <v>10</v>
      </c>
      <c r="F1321" s="22" t="s">
        <v>16</v>
      </c>
      <c r="G1321" s="22" t="s">
        <v>15</v>
      </c>
    </row>
    <row r="1322" ht="15.15" spans="1:7">
      <c r="A1322" s="20">
        <v>1320</v>
      </c>
      <c r="B1322" s="20">
        <v>2591</v>
      </c>
      <c r="C1322" s="21">
        <v>45063</v>
      </c>
      <c r="D1322" s="20">
        <v>3291.84</v>
      </c>
      <c r="E1322" s="22" t="s">
        <v>10</v>
      </c>
      <c r="F1322" s="22" t="s">
        <v>11</v>
      </c>
      <c r="G1322" s="22" t="s">
        <v>20</v>
      </c>
    </row>
    <row r="1323" ht="15.15" spans="1:7">
      <c r="A1323" s="20">
        <v>1321</v>
      </c>
      <c r="B1323" s="20">
        <v>263</v>
      </c>
      <c r="C1323" s="21">
        <v>45078</v>
      </c>
      <c r="D1323" s="20">
        <v>3291.84</v>
      </c>
      <c r="E1323" s="22" t="s">
        <v>10</v>
      </c>
      <c r="F1323" s="22" t="s">
        <v>14</v>
      </c>
      <c r="G1323" s="22" t="s">
        <v>12</v>
      </c>
    </row>
    <row r="1324" ht="15.15" spans="1:7">
      <c r="A1324" s="20">
        <v>1322</v>
      </c>
      <c r="B1324" s="20">
        <v>1634</v>
      </c>
      <c r="C1324" s="21">
        <v>45196</v>
      </c>
      <c r="D1324" s="20">
        <v>3291.84</v>
      </c>
      <c r="E1324" s="22" t="s">
        <v>10</v>
      </c>
      <c r="F1324" s="22" t="s">
        <v>14</v>
      </c>
      <c r="G1324" s="22" t="s">
        <v>20</v>
      </c>
    </row>
    <row r="1325" ht="15.15" spans="1:7">
      <c r="A1325" s="20">
        <v>1323</v>
      </c>
      <c r="B1325" s="20">
        <v>2236</v>
      </c>
      <c r="C1325" s="21">
        <v>45236</v>
      </c>
      <c r="D1325" s="20">
        <v>3291.84</v>
      </c>
      <c r="E1325" s="22" t="s">
        <v>10</v>
      </c>
      <c r="F1325" s="22" t="s">
        <v>14</v>
      </c>
      <c r="G1325" s="22" t="s">
        <v>12</v>
      </c>
    </row>
    <row r="1326" ht="15.15" spans="1:7">
      <c r="A1326" s="20">
        <v>1324</v>
      </c>
      <c r="B1326" s="20">
        <v>2339</v>
      </c>
      <c r="C1326" s="21">
        <v>45136</v>
      </c>
      <c r="D1326" s="20">
        <v>3291.84</v>
      </c>
      <c r="E1326" s="22" t="s">
        <v>22</v>
      </c>
      <c r="F1326" s="22" t="s">
        <v>19</v>
      </c>
      <c r="G1326" s="22" t="s">
        <v>15</v>
      </c>
    </row>
    <row r="1327" ht="15.15" spans="1:7">
      <c r="A1327" s="20">
        <v>1325</v>
      </c>
      <c r="B1327" s="20">
        <v>6621</v>
      </c>
      <c r="C1327" s="21">
        <v>45266</v>
      </c>
      <c r="D1327" s="20">
        <v>3291.84</v>
      </c>
      <c r="E1327" s="22" t="s">
        <v>10</v>
      </c>
      <c r="F1327" s="22" t="s">
        <v>16</v>
      </c>
      <c r="G1327" s="22" t="s">
        <v>17</v>
      </c>
    </row>
    <row r="1328" ht="15.15" spans="1:7">
      <c r="A1328" s="20">
        <v>1326</v>
      </c>
      <c r="B1328" s="20">
        <v>7821</v>
      </c>
      <c r="C1328" s="21">
        <v>45080</v>
      </c>
      <c r="D1328" s="20">
        <v>3291.84</v>
      </c>
      <c r="E1328" s="22" t="s">
        <v>10</v>
      </c>
      <c r="F1328" s="22" t="s">
        <v>16</v>
      </c>
      <c r="G1328" s="22" t="s">
        <v>12</v>
      </c>
    </row>
    <row r="1329" ht="15.15" spans="1:7">
      <c r="A1329" s="20">
        <v>1327</v>
      </c>
      <c r="B1329" s="20">
        <v>7023</v>
      </c>
      <c r="C1329" s="21">
        <v>45210</v>
      </c>
      <c r="D1329" s="20">
        <v>3291.84</v>
      </c>
      <c r="E1329" s="22" t="s">
        <v>10</v>
      </c>
      <c r="F1329" s="22" t="s">
        <v>19</v>
      </c>
      <c r="G1329" s="22" t="s">
        <v>12</v>
      </c>
    </row>
    <row r="1330" ht="15.15" spans="1:7">
      <c r="A1330" s="20">
        <v>1328</v>
      </c>
      <c r="B1330" s="20">
        <v>6710</v>
      </c>
      <c r="C1330" s="21">
        <v>45268</v>
      </c>
      <c r="D1330" s="20">
        <v>3291.84</v>
      </c>
      <c r="E1330" s="22" t="s">
        <v>10</v>
      </c>
      <c r="F1330" s="22" t="s">
        <v>18</v>
      </c>
      <c r="G1330" s="22" t="s">
        <v>20</v>
      </c>
    </row>
    <row r="1331" ht="15.15" spans="1:7">
      <c r="A1331" s="20">
        <v>1329</v>
      </c>
      <c r="B1331" s="20">
        <v>9620</v>
      </c>
      <c r="C1331" s="21">
        <v>45084</v>
      </c>
      <c r="D1331" s="20">
        <v>3291.84</v>
      </c>
      <c r="E1331" s="22" t="s">
        <v>10</v>
      </c>
      <c r="F1331" s="22" t="s">
        <v>11</v>
      </c>
      <c r="G1331" s="22" t="s">
        <v>15</v>
      </c>
    </row>
    <row r="1332" ht="15.15" spans="1:7">
      <c r="A1332" s="20">
        <v>1330</v>
      </c>
      <c r="B1332" s="20">
        <v>7930</v>
      </c>
      <c r="C1332" s="21">
        <v>45287</v>
      </c>
      <c r="D1332" s="20">
        <v>3291.84</v>
      </c>
      <c r="E1332" s="22" t="s">
        <v>10</v>
      </c>
      <c r="F1332" s="22" t="s">
        <v>14</v>
      </c>
      <c r="G1332" s="22" t="s">
        <v>12</v>
      </c>
    </row>
    <row r="1333" ht="15.15" spans="1:7">
      <c r="A1333" s="20">
        <v>1331</v>
      </c>
      <c r="B1333" s="20">
        <v>2140</v>
      </c>
      <c r="C1333" s="21">
        <v>44931</v>
      </c>
      <c r="D1333" s="20">
        <v>3291.84</v>
      </c>
      <c r="E1333" s="22" t="s">
        <v>10</v>
      </c>
      <c r="F1333" s="22" t="s">
        <v>11</v>
      </c>
      <c r="G1333" s="22" t="s">
        <v>17</v>
      </c>
    </row>
    <row r="1334" ht="15.15" spans="1:7">
      <c r="A1334" s="20">
        <v>1332</v>
      </c>
      <c r="B1334" s="20">
        <v>2311</v>
      </c>
      <c r="C1334" s="21">
        <v>45257</v>
      </c>
      <c r="D1334" s="20">
        <v>3291.84</v>
      </c>
      <c r="E1334" s="22" t="s">
        <v>10</v>
      </c>
      <c r="F1334" s="22" t="s">
        <v>18</v>
      </c>
      <c r="G1334" s="22" t="s">
        <v>20</v>
      </c>
    </row>
    <row r="1335" ht="15.15" spans="1:7">
      <c r="A1335" s="20">
        <v>1333</v>
      </c>
      <c r="B1335" s="20">
        <v>1202</v>
      </c>
      <c r="C1335" s="21">
        <v>44928</v>
      </c>
      <c r="D1335" s="20">
        <v>3291.84</v>
      </c>
      <c r="E1335" s="22" t="s">
        <v>10</v>
      </c>
      <c r="F1335" s="22" t="s">
        <v>16</v>
      </c>
      <c r="G1335" s="22" t="s">
        <v>15</v>
      </c>
    </row>
    <row r="1336" ht="15.15" spans="1:7">
      <c r="A1336" s="20">
        <v>1334</v>
      </c>
      <c r="B1336" s="20">
        <v>6957</v>
      </c>
      <c r="C1336" s="21">
        <v>45284</v>
      </c>
      <c r="D1336" s="20">
        <v>3291.84</v>
      </c>
      <c r="E1336" s="22" t="s">
        <v>10</v>
      </c>
      <c r="F1336" s="22" t="s">
        <v>11</v>
      </c>
      <c r="G1336" s="22" t="s">
        <v>15</v>
      </c>
    </row>
    <row r="1337" ht="15.15" spans="1:7">
      <c r="A1337" s="20">
        <v>1335</v>
      </c>
      <c r="B1337" s="20">
        <v>9180</v>
      </c>
      <c r="C1337" s="21">
        <v>45196</v>
      </c>
      <c r="D1337" s="20">
        <v>3291.84</v>
      </c>
      <c r="E1337" s="22" t="s">
        <v>10</v>
      </c>
      <c r="F1337" s="22" t="s">
        <v>11</v>
      </c>
      <c r="G1337" s="22" t="s">
        <v>12</v>
      </c>
    </row>
    <row r="1338" ht="15.15" spans="1:7">
      <c r="A1338" s="20">
        <v>1336</v>
      </c>
      <c r="B1338" s="20">
        <v>1148</v>
      </c>
      <c r="C1338" s="21">
        <v>45168</v>
      </c>
      <c r="D1338" s="20">
        <v>3291.84</v>
      </c>
      <c r="E1338" s="22" t="s">
        <v>10</v>
      </c>
      <c r="F1338" s="22" t="s">
        <v>16</v>
      </c>
      <c r="G1338" s="22" t="s">
        <v>20</v>
      </c>
    </row>
    <row r="1339" ht="15.15" spans="1:7">
      <c r="A1339" s="20">
        <v>1337</v>
      </c>
      <c r="B1339" s="20">
        <v>9425</v>
      </c>
      <c r="C1339" s="21">
        <v>45187</v>
      </c>
      <c r="D1339" s="20">
        <v>3291.84</v>
      </c>
      <c r="E1339" s="22" t="s">
        <v>10</v>
      </c>
      <c r="F1339" s="22" t="s">
        <v>18</v>
      </c>
      <c r="G1339" s="22" t="s">
        <v>20</v>
      </c>
    </row>
    <row r="1340" ht="15.15" spans="1:7">
      <c r="A1340" s="20">
        <v>1338</v>
      </c>
      <c r="B1340" s="20">
        <v>6767</v>
      </c>
      <c r="C1340" s="21">
        <v>44997</v>
      </c>
      <c r="D1340" s="20">
        <v>3291.84</v>
      </c>
      <c r="E1340" s="22" t="s">
        <v>10</v>
      </c>
      <c r="F1340" s="22" t="s">
        <v>11</v>
      </c>
      <c r="G1340" s="22" t="s">
        <v>17</v>
      </c>
    </row>
    <row r="1341" ht="15.15" spans="1:7">
      <c r="A1341" s="20">
        <v>1339</v>
      </c>
      <c r="B1341" s="20">
        <v>5828</v>
      </c>
      <c r="C1341" s="21">
        <v>45124</v>
      </c>
      <c r="D1341" s="20">
        <v>3291.84</v>
      </c>
      <c r="E1341" s="22" t="s">
        <v>10</v>
      </c>
      <c r="F1341" s="22" t="s">
        <v>16</v>
      </c>
      <c r="G1341" s="22" t="s">
        <v>20</v>
      </c>
    </row>
    <row r="1342" ht="15.15" spans="1:7">
      <c r="A1342" s="20">
        <v>1340</v>
      </c>
      <c r="B1342" s="20">
        <v>1718</v>
      </c>
      <c r="C1342" s="21">
        <v>45022</v>
      </c>
      <c r="D1342" s="20">
        <v>3291.84</v>
      </c>
      <c r="E1342" s="22" t="s">
        <v>10</v>
      </c>
      <c r="F1342" s="22" t="s">
        <v>18</v>
      </c>
      <c r="G1342" s="22" t="s">
        <v>20</v>
      </c>
    </row>
    <row r="1343" ht="15.15" spans="1:7">
      <c r="A1343" s="20">
        <v>1341</v>
      </c>
      <c r="B1343" s="20">
        <v>8288</v>
      </c>
      <c r="C1343" s="21">
        <v>45101</v>
      </c>
      <c r="D1343" s="20">
        <v>3291.84</v>
      </c>
      <c r="E1343" s="22" t="s">
        <v>10</v>
      </c>
      <c r="F1343" s="22" t="s">
        <v>11</v>
      </c>
      <c r="G1343" s="22" t="s">
        <v>15</v>
      </c>
    </row>
    <row r="1344" ht="15.15" spans="1:7">
      <c r="A1344" s="20">
        <v>1342</v>
      </c>
      <c r="B1344" s="20">
        <v>1583</v>
      </c>
      <c r="C1344" s="21">
        <v>44974</v>
      </c>
      <c r="D1344" s="20">
        <v>3291.84</v>
      </c>
      <c r="E1344" s="22" t="s">
        <v>10</v>
      </c>
      <c r="F1344" s="22" t="s">
        <v>16</v>
      </c>
      <c r="G1344" s="22" t="s">
        <v>12</v>
      </c>
    </row>
    <row r="1345" ht="15.15" spans="1:7">
      <c r="A1345" s="20">
        <v>1343</v>
      </c>
      <c r="B1345" s="20">
        <v>5375</v>
      </c>
      <c r="C1345" s="21">
        <v>45154</v>
      </c>
      <c r="D1345" s="20">
        <v>3291.84</v>
      </c>
      <c r="E1345" s="22" t="s">
        <v>10</v>
      </c>
      <c r="F1345" s="22" t="s">
        <v>11</v>
      </c>
      <c r="G1345" s="22" t="s">
        <v>12</v>
      </c>
    </row>
    <row r="1346" ht="15.15" spans="1:7">
      <c r="A1346" s="20">
        <v>1344</v>
      </c>
      <c r="B1346" s="20">
        <v>5609</v>
      </c>
      <c r="C1346" s="21">
        <v>45031</v>
      </c>
      <c r="D1346" s="20">
        <v>3291.84</v>
      </c>
      <c r="E1346" s="22" t="s">
        <v>10</v>
      </c>
      <c r="F1346" s="22" t="s">
        <v>11</v>
      </c>
      <c r="G1346" s="22" t="s">
        <v>15</v>
      </c>
    </row>
    <row r="1347" ht="15.15" spans="1:7">
      <c r="A1347" s="20">
        <v>1345</v>
      </c>
      <c r="B1347" s="20">
        <v>8078</v>
      </c>
      <c r="C1347" s="21">
        <v>45169</v>
      </c>
      <c r="D1347" s="20">
        <v>3291.84</v>
      </c>
      <c r="E1347" s="22" t="s">
        <v>10</v>
      </c>
      <c r="F1347" s="22" t="s">
        <v>16</v>
      </c>
      <c r="G1347" s="22" t="s">
        <v>20</v>
      </c>
    </row>
    <row r="1348" ht="15.15" spans="1:7">
      <c r="A1348" s="20">
        <v>1346</v>
      </c>
      <c r="B1348" s="20">
        <v>258</v>
      </c>
      <c r="C1348" s="21">
        <v>45079</v>
      </c>
      <c r="D1348" s="20">
        <v>3291.84</v>
      </c>
      <c r="E1348" s="22" t="s">
        <v>10</v>
      </c>
      <c r="F1348" s="22" t="s">
        <v>16</v>
      </c>
      <c r="G1348" s="22" t="s">
        <v>15</v>
      </c>
    </row>
    <row r="1349" ht="15.15" spans="1:7">
      <c r="A1349" s="20">
        <v>1347</v>
      </c>
      <c r="B1349" s="20">
        <v>6027</v>
      </c>
      <c r="C1349" s="21">
        <v>45047</v>
      </c>
      <c r="D1349" s="20">
        <v>3291.84</v>
      </c>
      <c r="E1349" s="22" t="s">
        <v>10</v>
      </c>
      <c r="F1349" s="22" t="s">
        <v>14</v>
      </c>
      <c r="G1349" s="22" t="s">
        <v>20</v>
      </c>
    </row>
    <row r="1350" ht="15.15" spans="1:7">
      <c r="A1350" s="20">
        <v>1348</v>
      </c>
      <c r="B1350" s="20">
        <v>1883</v>
      </c>
      <c r="C1350" s="21">
        <v>45175</v>
      </c>
      <c r="D1350" s="20">
        <v>3291.84</v>
      </c>
      <c r="E1350" s="22" t="s">
        <v>10</v>
      </c>
      <c r="F1350" s="22" t="s">
        <v>13</v>
      </c>
      <c r="G1350" s="22" t="s">
        <v>12</v>
      </c>
    </row>
    <row r="1351" ht="15.15" spans="1:7">
      <c r="A1351" s="20">
        <v>1349</v>
      </c>
      <c r="B1351" s="20">
        <v>2185</v>
      </c>
      <c r="C1351" s="21">
        <v>45195</v>
      </c>
      <c r="D1351" s="20">
        <v>3291.84</v>
      </c>
      <c r="E1351" s="22" t="s">
        <v>10</v>
      </c>
      <c r="F1351" s="22" t="s">
        <v>11</v>
      </c>
      <c r="G1351" s="22" t="s">
        <v>15</v>
      </c>
    </row>
    <row r="1352" ht="15.15" spans="1:7">
      <c r="A1352" s="20">
        <v>1350</v>
      </c>
      <c r="B1352" s="20">
        <v>1180</v>
      </c>
      <c r="C1352" s="21">
        <v>45200</v>
      </c>
      <c r="D1352" s="20">
        <v>3291.84</v>
      </c>
      <c r="E1352" s="22" t="s">
        <v>10</v>
      </c>
      <c r="F1352" s="22" t="s">
        <v>13</v>
      </c>
      <c r="G1352" s="22" t="s">
        <v>17</v>
      </c>
    </row>
    <row r="1353" ht="15.15" spans="1:7">
      <c r="A1353" s="20">
        <v>1351</v>
      </c>
      <c r="B1353" s="20">
        <v>3722</v>
      </c>
      <c r="C1353" s="21">
        <v>45073</v>
      </c>
      <c r="D1353" s="20">
        <v>3291.84</v>
      </c>
      <c r="E1353" s="22" t="s">
        <v>10</v>
      </c>
      <c r="F1353" s="22" t="s">
        <v>13</v>
      </c>
      <c r="G1353" s="22" t="s">
        <v>20</v>
      </c>
    </row>
    <row r="1354" ht="15.15" spans="1:7">
      <c r="A1354" s="20">
        <v>1352</v>
      </c>
      <c r="B1354" s="20">
        <v>1348</v>
      </c>
      <c r="C1354" s="21">
        <v>45266</v>
      </c>
      <c r="D1354" s="20">
        <v>3291.84</v>
      </c>
      <c r="E1354" s="22" t="s">
        <v>22</v>
      </c>
      <c r="F1354" s="22" t="s">
        <v>13</v>
      </c>
      <c r="G1354" s="22" t="s">
        <v>17</v>
      </c>
    </row>
    <row r="1355" ht="15.15" spans="1:7">
      <c r="A1355" s="20">
        <v>1353</v>
      </c>
      <c r="B1355" s="20">
        <v>8645</v>
      </c>
      <c r="C1355" s="21">
        <v>45188</v>
      </c>
      <c r="D1355" s="20">
        <v>3291.84</v>
      </c>
      <c r="E1355" s="22" t="s">
        <v>10</v>
      </c>
      <c r="F1355" s="22" t="s">
        <v>14</v>
      </c>
      <c r="G1355" s="22" t="s">
        <v>15</v>
      </c>
    </row>
    <row r="1356" ht="15.15" spans="1:7">
      <c r="A1356" s="20">
        <v>1354</v>
      </c>
      <c r="B1356" s="20">
        <v>8666</v>
      </c>
      <c r="C1356" s="21">
        <v>45193</v>
      </c>
      <c r="D1356" s="20">
        <v>3291.84</v>
      </c>
      <c r="E1356" s="22" t="s">
        <v>10</v>
      </c>
      <c r="F1356" s="22" t="s">
        <v>14</v>
      </c>
      <c r="G1356" s="22" t="s">
        <v>20</v>
      </c>
    </row>
    <row r="1357" ht="15.15" spans="1:7">
      <c r="A1357" s="20">
        <v>1355</v>
      </c>
      <c r="B1357" s="20">
        <v>8389</v>
      </c>
      <c r="C1357" s="21">
        <v>45210</v>
      </c>
      <c r="D1357" s="20">
        <v>3291.84</v>
      </c>
      <c r="E1357" s="22" t="s">
        <v>10</v>
      </c>
      <c r="F1357" s="22" t="s">
        <v>11</v>
      </c>
      <c r="G1357" s="22" t="s">
        <v>12</v>
      </c>
    </row>
    <row r="1358" ht="15.15" spans="1:7">
      <c r="A1358" s="20">
        <v>1356</v>
      </c>
      <c r="B1358" s="20">
        <v>2165</v>
      </c>
      <c r="C1358" s="21">
        <v>45207</v>
      </c>
      <c r="D1358" s="20">
        <v>3291.84</v>
      </c>
      <c r="E1358" s="22" t="s">
        <v>10</v>
      </c>
      <c r="F1358" s="22" t="s">
        <v>18</v>
      </c>
      <c r="G1358" s="22" t="s">
        <v>15</v>
      </c>
    </row>
    <row r="1359" ht="15.15" spans="1:7">
      <c r="A1359" s="20">
        <v>1357</v>
      </c>
      <c r="B1359" s="20">
        <v>1262</v>
      </c>
      <c r="C1359" s="21">
        <v>45213</v>
      </c>
      <c r="D1359" s="20">
        <v>3291.84</v>
      </c>
      <c r="E1359" s="22" t="s">
        <v>10</v>
      </c>
      <c r="F1359" s="22" t="s">
        <v>13</v>
      </c>
      <c r="G1359" s="22" t="s">
        <v>17</v>
      </c>
    </row>
    <row r="1360" ht="15.15" spans="1:7">
      <c r="A1360" s="20">
        <v>1358</v>
      </c>
      <c r="B1360" s="20">
        <v>2680</v>
      </c>
      <c r="C1360" s="21">
        <v>45175</v>
      </c>
      <c r="D1360" s="20">
        <v>3291.84</v>
      </c>
      <c r="E1360" s="22" t="s">
        <v>10</v>
      </c>
      <c r="F1360" s="22" t="s">
        <v>11</v>
      </c>
      <c r="G1360" s="22" t="s">
        <v>12</v>
      </c>
    </row>
    <row r="1361" ht="15.15" spans="1:7">
      <c r="A1361" s="20">
        <v>1359</v>
      </c>
      <c r="B1361" s="20">
        <v>3159</v>
      </c>
      <c r="C1361" s="21">
        <v>44936</v>
      </c>
      <c r="D1361" s="20">
        <v>3291.84</v>
      </c>
      <c r="E1361" s="22" t="s">
        <v>10</v>
      </c>
      <c r="F1361" s="22" t="s">
        <v>13</v>
      </c>
      <c r="G1361" s="22" t="s">
        <v>12</v>
      </c>
    </row>
    <row r="1362" ht="15.15" spans="1:7">
      <c r="A1362" s="20">
        <v>1360</v>
      </c>
      <c r="B1362" s="20">
        <v>866</v>
      </c>
      <c r="C1362" s="21">
        <v>45080</v>
      </c>
      <c r="D1362" s="20">
        <v>3291.84</v>
      </c>
      <c r="E1362" s="22" t="s">
        <v>10</v>
      </c>
      <c r="F1362" s="22" t="s">
        <v>14</v>
      </c>
      <c r="G1362" s="22" t="s">
        <v>15</v>
      </c>
    </row>
    <row r="1363" ht="15.15" spans="1:7">
      <c r="A1363" s="20">
        <v>1361</v>
      </c>
      <c r="B1363" s="20">
        <v>8218</v>
      </c>
      <c r="C1363" s="21">
        <v>45130</v>
      </c>
      <c r="D1363" s="20">
        <v>3291.84</v>
      </c>
      <c r="E1363" s="22" t="s">
        <v>10</v>
      </c>
      <c r="F1363" s="22" t="s">
        <v>16</v>
      </c>
      <c r="G1363" s="22" t="s">
        <v>12</v>
      </c>
    </row>
    <row r="1364" ht="15.15" spans="1:7">
      <c r="A1364" s="20">
        <v>1362</v>
      </c>
      <c r="B1364" s="20">
        <v>6319</v>
      </c>
      <c r="C1364" s="21">
        <v>45240</v>
      </c>
      <c r="D1364" s="20">
        <v>3291.84</v>
      </c>
      <c r="E1364" s="22" t="s">
        <v>22</v>
      </c>
      <c r="F1364" s="22" t="s">
        <v>14</v>
      </c>
      <c r="G1364" s="22" t="s">
        <v>15</v>
      </c>
    </row>
    <row r="1365" ht="15.15" spans="1:7">
      <c r="A1365" s="20">
        <v>1363</v>
      </c>
      <c r="B1365" s="20">
        <v>2977</v>
      </c>
      <c r="C1365" s="21">
        <v>44973</v>
      </c>
      <c r="D1365" s="20">
        <v>3291.84</v>
      </c>
      <c r="E1365" s="22" t="s">
        <v>10</v>
      </c>
      <c r="F1365" s="22" t="s">
        <v>16</v>
      </c>
      <c r="G1365" s="22" t="s">
        <v>17</v>
      </c>
    </row>
    <row r="1366" ht="15.15" spans="1:7">
      <c r="A1366" s="20">
        <v>1364</v>
      </c>
      <c r="B1366" s="20">
        <v>4394</v>
      </c>
      <c r="C1366" s="21">
        <v>45215</v>
      </c>
      <c r="D1366" s="20">
        <v>3291.84</v>
      </c>
      <c r="E1366" s="22" t="s">
        <v>10</v>
      </c>
      <c r="F1366" s="22" t="s">
        <v>16</v>
      </c>
      <c r="G1366" s="22" t="s">
        <v>15</v>
      </c>
    </row>
    <row r="1367" ht="15.15" spans="1:7">
      <c r="A1367" s="20">
        <v>1365</v>
      </c>
      <c r="B1367" s="20">
        <v>4133</v>
      </c>
      <c r="C1367" s="21">
        <v>44977</v>
      </c>
      <c r="D1367" s="20">
        <v>3291.84</v>
      </c>
      <c r="E1367" s="22" t="s">
        <v>10</v>
      </c>
      <c r="F1367" s="22" t="s">
        <v>13</v>
      </c>
      <c r="G1367" s="22" t="s">
        <v>12</v>
      </c>
    </row>
    <row r="1368" ht="15.15" spans="1:7">
      <c r="A1368" s="20">
        <v>1366</v>
      </c>
      <c r="B1368" s="20">
        <v>218</v>
      </c>
      <c r="C1368" s="21">
        <v>44940</v>
      </c>
      <c r="D1368" s="20">
        <v>3291.84</v>
      </c>
      <c r="E1368" s="22" t="s">
        <v>10</v>
      </c>
      <c r="F1368" s="22" t="s">
        <v>14</v>
      </c>
      <c r="G1368" s="22" t="s">
        <v>17</v>
      </c>
    </row>
    <row r="1369" ht="15.15" spans="1:7">
      <c r="A1369" s="20">
        <v>1367</v>
      </c>
      <c r="B1369" s="20">
        <v>4307</v>
      </c>
      <c r="C1369" s="21">
        <v>45186</v>
      </c>
      <c r="D1369" s="20">
        <v>3291.84</v>
      </c>
      <c r="E1369" s="22" t="s">
        <v>10</v>
      </c>
      <c r="F1369" s="22" t="s">
        <v>14</v>
      </c>
      <c r="G1369" s="22" t="s">
        <v>12</v>
      </c>
    </row>
    <row r="1370" ht="15.15" spans="1:7">
      <c r="A1370" s="20">
        <v>1368</v>
      </c>
      <c r="B1370" s="20">
        <v>8781</v>
      </c>
      <c r="C1370" s="21">
        <v>45001</v>
      </c>
      <c r="D1370" s="20">
        <v>3291.84</v>
      </c>
      <c r="E1370" s="22" t="s">
        <v>10</v>
      </c>
      <c r="F1370" s="22" t="s">
        <v>13</v>
      </c>
      <c r="G1370" s="22" t="s">
        <v>17</v>
      </c>
    </row>
    <row r="1371" ht="15.15" spans="1:7">
      <c r="A1371" s="20">
        <v>1369</v>
      </c>
      <c r="B1371" s="20">
        <v>1240</v>
      </c>
      <c r="C1371" s="21">
        <v>45140</v>
      </c>
      <c r="D1371" s="20">
        <v>3291.84</v>
      </c>
      <c r="E1371" s="22" t="s">
        <v>10</v>
      </c>
      <c r="F1371" s="22" t="s">
        <v>11</v>
      </c>
      <c r="G1371" s="22" t="s">
        <v>12</v>
      </c>
    </row>
    <row r="1372" ht="15.15" spans="1:7">
      <c r="A1372" s="20">
        <v>1370</v>
      </c>
      <c r="B1372" s="20">
        <v>5396</v>
      </c>
      <c r="C1372" s="21">
        <v>45139</v>
      </c>
      <c r="D1372" s="20">
        <v>3291.84</v>
      </c>
      <c r="E1372" s="22" t="s">
        <v>10</v>
      </c>
      <c r="F1372" s="22" t="s">
        <v>11</v>
      </c>
      <c r="G1372" s="22" t="s">
        <v>17</v>
      </c>
    </row>
    <row r="1373" ht="15.15" spans="1:7">
      <c r="A1373" s="20">
        <v>1371</v>
      </c>
      <c r="B1373" s="20">
        <v>1644</v>
      </c>
      <c r="C1373" s="21">
        <v>45084</v>
      </c>
      <c r="D1373" s="20">
        <v>3291.84</v>
      </c>
      <c r="E1373" s="22" t="s">
        <v>10</v>
      </c>
      <c r="F1373" s="22" t="s">
        <v>16</v>
      </c>
      <c r="G1373" s="22" t="s">
        <v>12</v>
      </c>
    </row>
    <row r="1374" ht="15.15" spans="1:7">
      <c r="A1374" s="20">
        <v>1372</v>
      </c>
      <c r="B1374" s="20">
        <v>1319</v>
      </c>
      <c r="C1374" s="21">
        <v>45281</v>
      </c>
      <c r="D1374" s="20">
        <v>3291.84</v>
      </c>
      <c r="E1374" s="22" t="s">
        <v>10</v>
      </c>
      <c r="F1374" s="22" t="s">
        <v>13</v>
      </c>
      <c r="G1374" s="22" t="s">
        <v>20</v>
      </c>
    </row>
    <row r="1375" ht="15.15" spans="1:7">
      <c r="A1375" s="20">
        <v>1373</v>
      </c>
      <c r="B1375" s="20">
        <v>2514</v>
      </c>
      <c r="C1375" s="21">
        <v>45033</v>
      </c>
      <c r="D1375" s="20">
        <v>3291.84</v>
      </c>
      <c r="E1375" s="22" t="s">
        <v>10</v>
      </c>
      <c r="F1375" s="22" t="s">
        <v>16</v>
      </c>
      <c r="G1375" s="22" t="s">
        <v>17</v>
      </c>
    </row>
    <row r="1376" ht="15.15" spans="1:7">
      <c r="A1376" s="20">
        <v>1374</v>
      </c>
      <c r="B1376" s="20">
        <v>9314</v>
      </c>
      <c r="C1376" s="21">
        <v>45026</v>
      </c>
      <c r="D1376" s="20">
        <v>3291.84</v>
      </c>
      <c r="E1376" s="22" t="s">
        <v>10</v>
      </c>
      <c r="F1376" s="22" t="s">
        <v>18</v>
      </c>
      <c r="G1376" s="22" t="s">
        <v>20</v>
      </c>
    </row>
    <row r="1377" ht="15.15" spans="1:7">
      <c r="A1377" s="20">
        <v>1375</v>
      </c>
      <c r="B1377" s="20">
        <v>2913</v>
      </c>
      <c r="C1377" s="21">
        <v>44973</v>
      </c>
      <c r="D1377" s="20">
        <v>3291.84</v>
      </c>
      <c r="E1377" s="22" t="s">
        <v>10</v>
      </c>
      <c r="F1377" s="22" t="s">
        <v>18</v>
      </c>
      <c r="G1377" s="22" t="s">
        <v>12</v>
      </c>
    </row>
    <row r="1378" ht="15.15" spans="1:7">
      <c r="A1378" s="20">
        <v>1376</v>
      </c>
      <c r="B1378" s="20">
        <v>994</v>
      </c>
      <c r="C1378" s="21">
        <v>44949</v>
      </c>
      <c r="D1378" s="20">
        <v>3291.84</v>
      </c>
      <c r="E1378" s="22" t="s">
        <v>10</v>
      </c>
      <c r="F1378" s="22" t="s">
        <v>18</v>
      </c>
      <c r="G1378" s="22" t="s">
        <v>12</v>
      </c>
    </row>
    <row r="1379" ht="15.15" spans="1:7">
      <c r="A1379" s="20">
        <v>1377</v>
      </c>
      <c r="B1379" s="20">
        <v>8078</v>
      </c>
      <c r="C1379" s="21">
        <v>45117</v>
      </c>
      <c r="D1379" s="20">
        <v>3291.84</v>
      </c>
      <c r="E1379" s="22" t="s">
        <v>10</v>
      </c>
      <c r="F1379" s="22" t="s">
        <v>16</v>
      </c>
      <c r="G1379" s="22" t="s">
        <v>15</v>
      </c>
    </row>
    <row r="1380" ht="15.15" spans="1:7">
      <c r="A1380" s="20">
        <v>1378</v>
      </c>
      <c r="B1380" s="20">
        <v>7461</v>
      </c>
      <c r="C1380" s="21">
        <v>45202</v>
      </c>
      <c r="D1380" s="20">
        <v>3291.84</v>
      </c>
      <c r="E1380" s="22" t="s">
        <v>10</v>
      </c>
      <c r="F1380" s="22" t="s">
        <v>18</v>
      </c>
      <c r="G1380" s="22" t="s">
        <v>15</v>
      </c>
    </row>
    <row r="1381" ht="15.15" spans="1:7">
      <c r="A1381" s="20">
        <v>1379</v>
      </c>
      <c r="B1381" s="20">
        <v>5138</v>
      </c>
      <c r="C1381" s="21">
        <v>44978</v>
      </c>
      <c r="D1381" s="20">
        <v>3291.84</v>
      </c>
      <c r="E1381" s="22" t="s">
        <v>10</v>
      </c>
      <c r="F1381" s="22" t="s">
        <v>11</v>
      </c>
      <c r="G1381" s="22" t="s">
        <v>12</v>
      </c>
    </row>
    <row r="1382" ht="15.15" spans="1:7">
      <c r="A1382" s="20">
        <v>1380</v>
      </c>
      <c r="B1382" s="20">
        <v>3500</v>
      </c>
      <c r="C1382" s="21">
        <v>45156</v>
      </c>
      <c r="D1382" s="20">
        <v>3291.84</v>
      </c>
      <c r="E1382" s="22" t="s">
        <v>10</v>
      </c>
      <c r="F1382" s="22" t="s">
        <v>16</v>
      </c>
      <c r="G1382" s="22" t="s">
        <v>15</v>
      </c>
    </row>
    <row r="1383" ht="15.15" spans="1:7">
      <c r="A1383" s="20">
        <v>1381</v>
      </c>
      <c r="B1383" s="20">
        <v>1092</v>
      </c>
      <c r="C1383" s="21">
        <v>45274</v>
      </c>
      <c r="D1383" s="20">
        <v>3291.84</v>
      </c>
      <c r="E1383" s="22" t="s">
        <v>10</v>
      </c>
      <c r="F1383" s="22" t="s">
        <v>14</v>
      </c>
      <c r="G1383" s="22" t="s">
        <v>20</v>
      </c>
    </row>
    <row r="1384" ht="15.15" spans="1:7">
      <c r="A1384" s="20">
        <v>1382</v>
      </c>
      <c r="B1384" s="20">
        <v>8625</v>
      </c>
      <c r="C1384" s="21">
        <v>45179</v>
      </c>
      <c r="D1384" s="20">
        <v>3291.84</v>
      </c>
      <c r="E1384" s="22" t="s">
        <v>10</v>
      </c>
      <c r="F1384" s="22" t="s">
        <v>13</v>
      </c>
      <c r="G1384" s="22" t="s">
        <v>15</v>
      </c>
    </row>
    <row r="1385" ht="15.15" spans="1:7">
      <c r="A1385" s="20">
        <v>1383</v>
      </c>
      <c r="B1385" s="20">
        <v>2523</v>
      </c>
      <c r="C1385" s="21">
        <v>45103</v>
      </c>
      <c r="D1385" s="20">
        <v>3291.84</v>
      </c>
      <c r="E1385" s="22" t="s">
        <v>10</v>
      </c>
      <c r="F1385" s="22" t="s">
        <v>11</v>
      </c>
      <c r="G1385" s="22" t="s">
        <v>12</v>
      </c>
    </row>
    <row r="1386" ht="15.15" spans="1:7">
      <c r="A1386" s="20">
        <v>1384</v>
      </c>
      <c r="B1386" s="20">
        <v>6722</v>
      </c>
      <c r="C1386" s="21">
        <v>45102</v>
      </c>
      <c r="D1386" s="20">
        <v>3291.84</v>
      </c>
      <c r="E1386" s="22" t="s">
        <v>10</v>
      </c>
      <c r="F1386" s="22" t="s">
        <v>18</v>
      </c>
      <c r="G1386" s="22" t="s">
        <v>20</v>
      </c>
    </row>
    <row r="1387" ht="15.15" spans="1:7">
      <c r="A1387" s="20">
        <v>1385</v>
      </c>
      <c r="B1387" s="20">
        <v>3770</v>
      </c>
      <c r="C1387" s="21">
        <v>45235</v>
      </c>
      <c r="D1387" s="20">
        <v>3291.84</v>
      </c>
      <c r="E1387" s="22" t="s">
        <v>10</v>
      </c>
      <c r="F1387" s="22" t="s">
        <v>13</v>
      </c>
      <c r="G1387" s="22" t="s">
        <v>20</v>
      </c>
    </row>
    <row r="1388" ht="15.15" spans="1:7">
      <c r="A1388" s="20">
        <v>1386</v>
      </c>
      <c r="B1388" s="20">
        <v>5875</v>
      </c>
      <c r="C1388" s="21">
        <v>45201</v>
      </c>
      <c r="D1388" s="20">
        <v>3291.84</v>
      </c>
      <c r="E1388" s="22" t="s">
        <v>10</v>
      </c>
      <c r="F1388" s="22" t="s">
        <v>18</v>
      </c>
      <c r="G1388" s="22" t="s">
        <v>12</v>
      </c>
    </row>
    <row r="1389" ht="15.15" spans="1:7">
      <c r="A1389" s="20">
        <v>1387</v>
      </c>
      <c r="B1389" s="20">
        <v>7712</v>
      </c>
      <c r="C1389" s="21">
        <v>45060</v>
      </c>
      <c r="D1389" s="20">
        <v>3291.84</v>
      </c>
      <c r="E1389" s="22" t="s">
        <v>10</v>
      </c>
      <c r="F1389" s="22" t="s">
        <v>16</v>
      </c>
      <c r="G1389" s="22" t="s">
        <v>15</v>
      </c>
    </row>
    <row r="1390" ht="15.15" spans="1:7">
      <c r="A1390" s="20">
        <v>1388</v>
      </c>
      <c r="B1390" s="20">
        <v>4979</v>
      </c>
      <c r="C1390" s="21">
        <v>45288</v>
      </c>
      <c r="D1390" s="20">
        <v>3291.84</v>
      </c>
      <c r="E1390" s="22" t="s">
        <v>10</v>
      </c>
      <c r="F1390" s="22" t="s">
        <v>13</v>
      </c>
      <c r="G1390" s="22" t="s">
        <v>15</v>
      </c>
    </row>
    <row r="1391" ht="15.15" spans="1:7">
      <c r="A1391" s="20">
        <v>1389</v>
      </c>
      <c r="B1391" s="20">
        <v>7402</v>
      </c>
      <c r="C1391" s="21">
        <v>44938</v>
      </c>
      <c r="D1391" s="20">
        <v>3291.84</v>
      </c>
      <c r="E1391" s="22" t="s">
        <v>10</v>
      </c>
      <c r="F1391" s="22" t="s">
        <v>14</v>
      </c>
      <c r="G1391" s="22" t="s">
        <v>12</v>
      </c>
    </row>
    <row r="1392" ht="15.15" spans="1:7">
      <c r="A1392" s="20">
        <v>1390</v>
      </c>
      <c r="B1392" s="20">
        <v>720</v>
      </c>
      <c r="C1392" s="21">
        <v>45205</v>
      </c>
      <c r="D1392" s="20">
        <v>3291.84</v>
      </c>
      <c r="E1392" s="22" t="s">
        <v>10</v>
      </c>
      <c r="F1392" s="22" t="s">
        <v>18</v>
      </c>
      <c r="G1392" s="22" t="s">
        <v>15</v>
      </c>
    </row>
    <row r="1393" ht="15.15" spans="1:7">
      <c r="A1393" s="20">
        <v>1391</v>
      </c>
      <c r="B1393" s="20">
        <v>2473</v>
      </c>
      <c r="C1393" s="21">
        <v>45049</v>
      </c>
      <c r="D1393" s="20">
        <v>3291.84</v>
      </c>
      <c r="E1393" s="22" t="s">
        <v>10</v>
      </c>
      <c r="F1393" s="22" t="s">
        <v>13</v>
      </c>
      <c r="G1393" s="22" t="s">
        <v>17</v>
      </c>
    </row>
    <row r="1394" ht="15.15" spans="1:7">
      <c r="A1394" s="20">
        <v>1392</v>
      </c>
      <c r="B1394" s="20">
        <v>6054</v>
      </c>
      <c r="C1394" s="21">
        <v>45229</v>
      </c>
      <c r="D1394" s="20">
        <v>3291.84</v>
      </c>
      <c r="E1394" s="22" t="s">
        <v>10</v>
      </c>
      <c r="F1394" s="22" t="s">
        <v>16</v>
      </c>
      <c r="G1394" s="22" t="s">
        <v>12</v>
      </c>
    </row>
    <row r="1395" ht="15.15" spans="1:7">
      <c r="A1395" s="20">
        <v>1393</v>
      </c>
      <c r="B1395" s="20">
        <v>1636</v>
      </c>
      <c r="C1395" s="21">
        <v>45224</v>
      </c>
      <c r="D1395" s="20">
        <v>3291.84</v>
      </c>
      <c r="E1395" s="22" t="s">
        <v>10</v>
      </c>
      <c r="F1395" s="22" t="s">
        <v>14</v>
      </c>
      <c r="G1395" s="22" t="s">
        <v>12</v>
      </c>
    </row>
    <row r="1396" ht="15.15" spans="1:7">
      <c r="A1396" s="20">
        <v>1394</v>
      </c>
      <c r="B1396" s="20">
        <v>646</v>
      </c>
      <c r="C1396" s="21">
        <v>45242</v>
      </c>
      <c r="D1396" s="20">
        <v>3291.84</v>
      </c>
      <c r="E1396" s="22" t="s">
        <v>10</v>
      </c>
      <c r="F1396" s="22" t="s">
        <v>11</v>
      </c>
      <c r="G1396" s="22" t="s">
        <v>12</v>
      </c>
    </row>
    <row r="1397" ht="15.15" spans="1:7">
      <c r="A1397" s="20">
        <v>1395</v>
      </c>
      <c r="B1397" s="20">
        <v>8773</v>
      </c>
      <c r="C1397" s="21">
        <v>45278</v>
      </c>
      <c r="D1397" s="20">
        <v>3291.84</v>
      </c>
      <c r="E1397" s="22" t="s">
        <v>10</v>
      </c>
      <c r="F1397" s="22" t="s">
        <v>13</v>
      </c>
      <c r="G1397" s="22" t="s">
        <v>17</v>
      </c>
    </row>
    <row r="1398" ht="15.15" spans="1:7">
      <c r="A1398" s="20">
        <v>1396</v>
      </c>
      <c r="B1398" s="20">
        <v>3464</v>
      </c>
      <c r="C1398" s="21">
        <v>45245</v>
      </c>
      <c r="D1398" s="20">
        <v>3291.84</v>
      </c>
      <c r="E1398" s="22" t="s">
        <v>22</v>
      </c>
      <c r="F1398" s="22" t="s">
        <v>16</v>
      </c>
      <c r="G1398" s="22" t="s">
        <v>17</v>
      </c>
    </row>
    <row r="1399" ht="15.15" spans="1:7">
      <c r="A1399" s="20">
        <v>1397</v>
      </c>
      <c r="B1399" s="20">
        <v>9202</v>
      </c>
      <c r="C1399" s="21">
        <v>45102</v>
      </c>
      <c r="D1399" s="20">
        <v>3291.84</v>
      </c>
      <c r="E1399" s="22" t="s">
        <v>10</v>
      </c>
      <c r="F1399" s="22" t="s">
        <v>13</v>
      </c>
      <c r="G1399" s="22" t="s">
        <v>17</v>
      </c>
    </row>
    <row r="1400" ht="15.15" spans="1:7">
      <c r="A1400" s="20">
        <v>1398</v>
      </c>
      <c r="B1400" s="20">
        <v>7504</v>
      </c>
      <c r="C1400" s="21">
        <v>45240</v>
      </c>
      <c r="D1400" s="20">
        <v>3291.84</v>
      </c>
      <c r="E1400" s="22" t="s">
        <v>10</v>
      </c>
      <c r="F1400" s="22" t="s">
        <v>16</v>
      </c>
      <c r="G1400" s="22" t="s">
        <v>20</v>
      </c>
    </row>
    <row r="1401" ht="15.15" spans="1:7">
      <c r="A1401" s="20">
        <v>1399</v>
      </c>
      <c r="B1401" s="20">
        <v>6443</v>
      </c>
      <c r="C1401" s="21">
        <v>44996</v>
      </c>
      <c r="D1401" s="20">
        <v>3291.84</v>
      </c>
      <c r="E1401" s="22" t="s">
        <v>10</v>
      </c>
      <c r="F1401" s="22" t="s">
        <v>13</v>
      </c>
      <c r="G1401" s="22" t="s">
        <v>20</v>
      </c>
    </row>
    <row r="1402" ht="15.15" spans="1:7">
      <c r="A1402" s="20">
        <v>1400</v>
      </c>
      <c r="B1402" s="20">
        <v>2994</v>
      </c>
      <c r="C1402" s="21">
        <v>45114</v>
      </c>
      <c r="D1402" s="20">
        <v>3291.84</v>
      </c>
      <c r="E1402" s="22" t="s">
        <v>10</v>
      </c>
      <c r="F1402" s="22" t="s">
        <v>16</v>
      </c>
      <c r="G1402" s="22" t="s">
        <v>20</v>
      </c>
    </row>
    <row r="1403" ht="15.15" spans="1:7">
      <c r="A1403" s="20">
        <v>1401</v>
      </c>
      <c r="B1403" s="20">
        <v>3549</v>
      </c>
      <c r="C1403" s="21">
        <v>45024</v>
      </c>
      <c r="D1403" s="20">
        <v>3291.84</v>
      </c>
      <c r="E1403" s="22" t="s">
        <v>10</v>
      </c>
      <c r="F1403" s="22" t="s">
        <v>19</v>
      </c>
      <c r="G1403" s="22" t="s">
        <v>12</v>
      </c>
    </row>
    <row r="1404" ht="15.15" spans="1:7">
      <c r="A1404" s="20">
        <v>1402</v>
      </c>
      <c r="B1404" s="20">
        <v>3808</v>
      </c>
      <c r="C1404" s="21">
        <v>45259</v>
      </c>
      <c r="D1404" s="20">
        <v>3291.84</v>
      </c>
      <c r="E1404" s="22" t="s">
        <v>10</v>
      </c>
      <c r="F1404" s="22" t="s">
        <v>14</v>
      </c>
      <c r="G1404" s="22" t="s">
        <v>12</v>
      </c>
    </row>
    <row r="1405" ht="15.15" spans="1:7">
      <c r="A1405" s="20">
        <v>1403</v>
      </c>
      <c r="B1405" s="20">
        <v>8612</v>
      </c>
      <c r="C1405" s="21">
        <v>45076</v>
      </c>
      <c r="D1405" s="20">
        <v>3291.84</v>
      </c>
      <c r="E1405" s="22" t="s">
        <v>10</v>
      </c>
      <c r="F1405" s="22" t="s">
        <v>18</v>
      </c>
      <c r="G1405" s="22" t="s">
        <v>20</v>
      </c>
    </row>
    <row r="1406" ht="15.15" spans="1:7">
      <c r="A1406" s="20">
        <v>1404</v>
      </c>
      <c r="B1406" s="20">
        <v>1000</v>
      </c>
      <c r="C1406" s="21">
        <v>44963</v>
      </c>
      <c r="D1406" s="20">
        <v>3291.84</v>
      </c>
      <c r="E1406" s="22" t="s">
        <v>10</v>
      </c>
      <c r="F1406" s="22" t="s">
        <v>14</v>
      </c>
      <c r="G1406" s="22" t="s">
        <v>17</v>
      </c>
    </row>
    <row r="1407" ht="15.15" spans="1:7">
      <c r="A1407" s="20">
        <v>1405</v>
      </c>
      <c r="B1407" s="20">
        <v>1207</v>
      </c>
      <c r="C1407" s="21">
        <v>45178</v>
      </c>
      <c r="D1407" s="20">
        <v>3291.84</v>
      </c>
      <c r="E1407" s="22" t="s">
        <v>10</v>
      </c>
      <c r="F1407" s="22" t="s">
        <v>18</v>
      </c>
      <c r="G1407" s="22" t="s">
        <v>17</v>
      </c>
    </row>
    <row r="1408" ht="15.15" spans="1:7">
      <c r="A1408" s="20">
        <v>1406</v>
      </c>
      <c r="B1408" s="20">
        <v>5301</v>
      </c>
      <c r="C1408" s="21">
        <v>45250</v>
      </c>
      <c r="D1408" s="20">
        <v>3291.84</v>
      </c>
      <c r="E1408" s="22" t="s">
        <v>10</v>
      </c>
      <c r="F1408" s="22" t="s">
        <v>16</v>
      </c>
      <c r="G1408" s="22" t="s">
        <v>12</v>
      </c>
    </row>
    <row r="1409" ht="15.15" spans="1:7">
      <c r="A1409" s="20">
        <v>1407</v>
      </c>
      <c r="B1409" s="20">
        <v>2393</v>
      </c>
      <c r="C1409" s="21">
        <v>44994</v>
      </c>
      <c r="D1409" s="20">
        <v>3291.84</v>
      </c>
      <c r="E1409" s="22" t="s">
        <v>10</v>
      </c>
      <c r="F1409" s="22" t="s">
        <v>18</v>
      </c>
      <c r="G1409" s="22" t="s">
        <v>12</v>
      </c>
    </row>
    <row r="1410" ht="15.15" spans="1:7">
      <c r="A1410" s="20">
        <v>1408</v>
      </c>
      <c r="B1410" s="20">
        <v>6950</v>
      </c>
      <c r="C1410" s="21">
        <v>45067</v>
      </c>
      <c r="D1410" s="20">
        <v>3291.84</v>
      </c>
      <c r="E1410" s="22" t="s">
        <v>10</v>
      </c>
      <c r="F1410" s="22" t="s">
        <v>18</v>
      </c>
      <c r="G1410" s="22" t="s">
        <v>12</v>
      </c>
    </row>
    <row r="1411" ht="15.15" spans="1:7">
      <c r="A1411" s="20">
        <v>1409</v>
      </c>
      <c r="B1411" s="20">
        <v>2572</v>
      </c>
      <c r="C1411" s="21">
        <v>45281</v>
      </c>
      <c r="D1411" s="20">
        <v>3291.84</v>
      </c>
      <c r="E1411" s="22" t="s">
        <v>10</v>
      </c>
      <c r="F1411" s="22" t="s">
        <v>16</v>
      </c>
      <c r="G1411" s="22" t="s">
        <v>20</v>
      </c>
    </row>
    <row r="1412" ht="15.15" spans="1:7">
      <c r="A1412" s="20">
        <v>1410</v>
      </c>
      <c r="B1412" s="20">
        <v>7569</v>
      </c>
      <c r="C1412" s="21">
        <v>45117</v>
      </c>
      <c r="D1412" s="20">
        <v>3291.84</v>
      </c>
      <c r="E1412" s="22" t="s">
        <v>10</v>
      </c>
      <c r="F1412" s="22" t="s">
        <v>11</v>
      </c>
      <c r="G1412" s="22" t="s">
        <v>12</v>
      </c>
    </row>
    <row r="1413" ht="15.15" spans="1:7">
      <c r="A1413" s="20">
        <v>1411</v>
      </c>
      <c r="B1413" s="20">
        <v>606</v>
      </c>
      <c r="C1413" s="21">
        <v>45290</v>
      </c>
      <c r="D1413" s="20">
        <v>3291.84</v>
      </c>
      <c r="E1413" s="22" t="s">
        <v>10</v>
      </c>
      <c r="F1413" s="22" t="s">
        <v>16</v>
      </c>
      <c r="G1413" s="22" t="s">
        <v>17</v>
      </c>
    </row>
    <row r="1414" ht="15.15" spans="1:7">
      <c r="A1414" s="20">
        <v>1412</v>
      </c>
      <c r="B1414" s="20">
        <v>9239</v>
      </c>
      <c r="C1414" s="21">
        <v>44954</v>
      </c>
      <c r="D1414" s="20">
        <v>3291.84</v>
      </c>
      <c r="E1414" s="22" t="s">
        <v>10</v>
      </c>
      <c r="F1414" s="22" t="s">
        <v>18</v>
      </c>
      <c r="G1414" s="22" t="s">
        <v>20</v>
      </c>
    </row>
    <row r="1415" ht="15.15" spans="1:7">
      <c r="A1415" s="20">
        <v>1413</v>
      </c>
      <c r="B1415" s="20">
        <v>1455</v>
      </c>
      <c r="C1415" s="21">
        <v>45107</v>
      </c>
      <c r="D1415" s="20">
        <v>3291.84</v>
      </c>
      <c r="E1415" s="22" t="s">
        <v>10</v>
      </c>
      <c r="F1415" s="22" t="s">
        <v>18</v>
      </c>
      <c r="G1415" s="22" t="s">
        <v>17</v>
      </c>
    </row>
    <row r="1416" ht="15.15" spans="1:7">
      <c r="A1416" s="20">
        <v>1414</v>
      </c>
      <c r="B1416" s="20">
        <v>188</v>
      </c>
      <c r="C1416" s="21">
        <v>44966</v>
      </c>
      <c r="D1416" s="20">
        <v>3291.84</v>
      </c>
      <c r="E1416" s="22" t="s">
        <v>10</v>
      </c>
      <c r="F1416" s="22" t="s">
        <v>11</v>
      </c>
      <c r="G1416" s="22" t="s">
        <v>12</v>
      </c>
    </row>
    <row r="1417" ht="15.15" spans="1:7">
      <c r="A1417" s="20">
        <v>1415</v>
      </c>
      <c r="B1417" s="20">
        <v>9123</v>
      </c>
      <c r="C1417" s="21">
        <v>44965</v>
      </c>
      <c r="D1417" s="20">
        <v>3291.84</v>
      </c>
      <c r="E1417" s="22" t="s">
        <v>10</v>
      </c>
      <c r="F1417" s="22" t="s">
        <v>14</v>
      </c>
      <c r="G1417" s="22" t="s">
        <v>15</v>
      </c>
    </row>
    <row r="1418" ht="15.15" spans="1:7">
      <c r="A1418" s="20">
        <v>1416</v>
      </c>
      <c r="B1418" s="20">
        <v>9679</v>
      </c>
      <c r="C1418" s="21">
        <v>45135</v>
      </c>
      <c r="D1418" s="20">
        <v>3291.84</v>
      </c>
      <c r="E1418" s="22" t="s">
        <v>10</v>
      </c>
      <c r="F1418" s="22" t="s">
        <v>16</v>
      </c>
      <c r="G1418" s="22" t="s">
        <v>12</v>
      </c>
    </row>
    <row r="1419" ht="15.15" spans="1:7">
      <c r="A1419" s="20">
        <v>1417</v>
      </c>
      <c r="B1419" s="20">
        <v>6668</v>
      </c>
      <c r="C1419" s="21">
        <v>45191</v>
      </c>
      <c r="D1419" s="20">
        <v>3291.84</v>
      </c>
      <c r="E1419" s="22" t="s">
        <v>10</v>
      </c>
      <c r="F1419" s="22" t="s">
        <v>14</v>
      </c>
      <c r="G1419" s="22" t="s">
        <v>12</v>
      </c>
    </row>
    <row r="1420" ht="15.15" spans="1:7">
      <c r="A1420" s="20">
        <v>1418</v>
      </c>
      <c r="B1420" s="20">
        <v>1661</v>
      </c>
      <c r="C1420" s="21">
        <v>45165</v>
      </c>
      <c r="D1420" s="20">
        <v>3291.84</v>
      </c>
      <c r="E1420" s="22" t="s">
        <v>10</v>
      </c>
      <c r="F1420" s="22" t="s">
        <v>18</v>
      </c>
      <c r="G1420" s="22" t="s">
        <v>15</v>
      </c>
    </row>
    <row r="1421" ht="15.15" spans="1:7">
      <c r="A1421" s="20">
        <v>1419</v>
      </c>
      <c r="B1421" s="20">
        <v>8836</v>
      </c>
      <c r="C1421" s="21">
        <v>45118</v>
      </c>
      <c r="D1421" s="20">
        <v>3291.84</v>
      </c>
      <c r="E1421" s="22" t="s">
        <v>10</v>
      </c>
      <c r="F1421" s="22" t="s">
        <v>16</v>
      </c>
      <c r="G1421" s="22" t="s">
        <v>17</v>
      </c>
    </row>
    <row r="1422" ht="15.15" spans="1:7">
      <c r="A1422" s="20">
        <v>1420</v>
      </c>
      <c r="B1422" s="20">
        <v>965</v>
      </c>
      <c r="C1422" s="21">
        <v>45233</v>
      </c>
      <c r="D1422" s="20">
        <v>3291.84</v>
      </c>
      <c r="E1422" s="22" t="s">
        <v>22</v>
      </c>
      <c r="F1422" s="22" t="s">
        <v>14</v>
      </c>
      <c r="G1422" s="22" t="s">
        <v>17</v>
      </c>
    </row>
    <row r="1423" ht="15.15" spans="1:7">
      <c r="A1423" s="20">
        <v>1421</v>
      </c>
      <c r="B1423" s="20">
        <v>8219</v>
      </c>
      <c r="C1423" s="21">
        <v>44931</v>
      </c>
      <c r="D1423" s="20">
        <v>3291.84</v>
      </c>
      <c r="E1423" s="22" t="s">
        <v>10</v>
      </c>
      <c r="F1423" s="22" t="s">
        <v>18</v>
      </c>
      <c r="G1423" s="22" t="s">
        <v>20</v>
      </c>
    </row>
    <row r="1424" ht="15.15" spans="1:7">
      <c r="A1424" s="20">
        <v>1422</v>
      </c>
      <c r="B1424" s="20">
        <v>2040</v>
      </c>
      <c r="C1424" s="21">
        <v>45208</v>
      </c>
      <c r="D1424" s="20">
        <v>3291.84</v>
      </c>
      <c r="E1424" s="22" t="s">
        <v>10</v>
      </c>
      <c r="F1424" s="22" t="s">
        <v>18</v>
      </c>
      <c r="G1424" s="22" t="s">
        <v>12</v>
      </c>
    </row>
    <row r="1425" ht="15.15" spans="1:7">
      <c r="A1425" s="20">
        <v>1423</v>
      </c>
      <c r="B1425" s="20">
        <v>6872</v>
      </c>
      <c r="C1425" s="21">
        <v>45170</v>
      </c>
      <c r="D1425" s="20">
        <v>3291.84</v>
      </c>
      <c r="E1425" s="22" t="s">
        <v>10</v>
      </c>
      <c r="F1425" s="22" t="s">
        <v>14</v>
      </c>
      <c r="G1425" s="22" t="s">
        <v>20</v>
      </c>
    </row>
    <row r="1426" ht="15.15" spans="1:7">
      <c r="A1426" s="20">
        <v>1424</v>
      </c>
      <c r="B1426" s="20">
        <v>4451</v>
      </c>
      <c r="C1426" s="21">
        <v>44960</v>
      </c>
      <c r="D1426" s="20">
        <v>3291.84</v>
      </c>
      <c r="E1426" s="22" t="s">
        <v>10</v>
      </c>
      <c r="F1426" s="22" t="s">
        <v>14</v>
      </c>
      <c r="G1426" s="22" t="s">
        <v>15</v>
      </c>
    </row>
    <row r="1427" ht="15.15" spans="1:7">
      <c r="A1427" s="20">
        <v>1425</v>
      </c>
      <c r="B1427" s="20">
        <v>7468</v>
      </c>
      <c r="C1427" s="21">
        <v>45110</v>
      </c>
      <c r="D1427" s="20">
        <v>3291.84</v>
      </c>
      <c r="E1427" s="22" t="s">
        <v>10</v>
      </c>
      <c r="F1427" s="22" t="s">
        <v>19</v>
      </c>
      <c r="G1427" s="22" t="s">
        <v>12</v>
      </c>
    </row>
    <row r="1428" ht="15.15" spans="1:7">
      <c r="A1428" s="20">
        <v>1426</v>
      </c>
      <c r="B1428" s="20">
        <v>8566</v>
      </c>
      <c r="C1428" s="21">
        <v>45140</v>
      </c>
      <c r="D1428" s="20">
        <v>3291.84</v>
      </c>
      <c r="E1428" s="22" t="s">
        <v>10</v>
      </c>
      <c r="F1428" s="22" t="s">
        <v>13</v>
      </c>
      <c r="G1428" s="22" t="s">
        <v>20</v>
      </c>
    </row>
    <row r="1429" ht="15.15" spans="1:7">
      <c r="A1429" s="20">
        <v>1427</v>
      </c>
      <c r="B1429" s="20">
        <v>4731</v>
      </c>
      <c r="C1429" s="21">
        <v>44999</v>
      </c>
      <c r="D1429" s="20">
        <v>3291.84</v>
      </c>
      <c r="E1429" s="22" t="s">
        <v>10</v>
      </c>
      <c r="F1429" s="22" t="s">
        <v>13</v>
      </c>
      <c r="G1429" s="22" t="s">
        <v>20</v>
      </c>
    </row>
    <row r="1430" ht="15.15" spans="1:7">
      <c r="A1430" s="20">
        <v>1428</v>
      </c>
      <c r="B1430" s="20">
        <v>8560</v>
      </c>
      <c r="C1430" s="21">
        <v>45258</v>
      </c>
      <c r="D1430" s="20">
        <v>3291.84</v>
      </c>
      <c r="E1430" s="22" t="s">
        <v>10</v>
      </c>
      <c r="F1430" s="22" t="s">
        <v>18</v>
      </c>
      <c r="G1430" s="22" t="s">
        <v>12</v>
      </c>
    </row>
    <row r="1431" ht="15.15" spans="1:7">
      <c r="A1431" s="20">
        <v>1429</v>
      </c>
      <c r="B1431" s="20">
        <v>5582</v>
      </c>
      <c r="C1431" s="21">
        <v>45154</v>
      </c>
      <c r="D1431" s="20">
        <v>3291.84</v>
      </c>
      <c r="E1431" s="22" t="s">
        <v>10</v>
      </c>
      <c r="F1431" s="22" t="s">
        <v>14</v>
      </c>
      <c r="G1431" s="22" t="s">
        <v>15</v>
      </c>
    </row>
    <row r="1432" ht="15.15" spans="1:7">
      <c r="A1432" s="20">
        <v>1430</v>
      </c>
      <c r="B1432" s="20">
        <v>2279</v>
      </c>
      <c r="C1432" s="21">
        <v>45053</v>
      </c>
      <c r="D1432" s="20">
        <v>3291.84</v>
      </c>
      <c r="E1432" s="22" t="s">
        <v>10</v>
      </c>
      <c r="F1432" s="22" t="s">
        <v>18</v>
      </c>
      <c r="G1432" s="22" t="s">
        <v>12</v>
      </c>
    </row>
    <row r="1433" ht="15.15" spans="1:7">
      <c r="A1433" s="20">
        <v>1431</v>
      </c>
      <c r="B1433" s="20">
        <v>2339</v>
      </c>
      <c r="C1433" s="21">
        <v>45026</v>
      </c>
      <c r="D1433" s="20">
        <v>3291.84</v>
      </c>
      <c r="E1433" s="22" t="s">
        <v>10</v>
      </c>
      <c r="F1433" s="22" t="s">
        <v>13</v>
      </c>
      <c r="G1433" s="22" t="s">
        <v>20</v>
      </c>
    </row>
    <row r="1434" ht="15.15" spans="1:7">
      <c r="A1434" s="20">
        <v>1432</v>
      </c>
      <c r="B1434" s="20">
        <v>1148</v>
      </c>
      <c r="C1434" s="21">
        <v>45015</v>
      </c>
      <c r="D1434" s="20">
        <v>3291.84</v>
      </c>
      <c r="E1434" s="22" t="s">
        <v>10</v>
      </c>
      <c r="F1434" s="22" t="s">
        <v>16</v>
      </c>
      <c r="G1434" s="22" t="s">
        <v>15</v>
      </c>
    </row>
    <row r="1435" ht="15.15" spans="1:7">
      <c r="A1435" s="20">
        <v>1433</v>
      </c>
      <c r="B1435" s="20">
        <v>8543</v>
      </c>
      <c r="C1435" s="21">
        <v>45075</v>
      </c>
      <c r="D1435" s="20">
        <v>3291.84</v>
      </c>
      <c r="E1435" s="22" t="s">
        <v>10</v>
      </c>
      <c r="F1435" s="22" t="s">
        <v>16</v>
      </c>
      <c r="G1435" s="22" t="s">
        <v>12</v>
      </c>
    </row>
    <row r="1436" ht="15.15" spans="1:7">
      <c r="A1436" s="20">
        <v>1434</v>
      </c>
      <c r="B1436" s="20">
        <v>8354</v>
      </c>
      <c r="C1436" s="21">
        <v>45181</v>
      </c>
      <c r="D1436" s="20">
        <v>3291.84</v>
      </c>
      <c r="E1436" s="22" t="s">
        <v>10</v>
      </c>
      <c r="F1436" s="22" t="s">
        <v>18</v>
      </c>
      <c r="G1436" s="22" t="s">
        <v>20</v>
      </c>
    </row>
    <row r="1437" ht="15.15" spans="1:7">
      <c r="A1437" s="20">
        <v>1435</v>
      </c>
      <c r="B1437" s="20">
        <v>8642</v>
      </c>
      <c r="C1437" s="21">
        <v>45106</v>
      </c>
      <c r="D1437" s="20">
        <v>3291.84</v>
      </c>
      <c r="E1437" s="22" t="s">
        <v>10</v>
      </c>
      <c r="F1437" s="22" t="s">
        <v>14</v>
      </c>
      <c r="G1437" s="22" t="s">
        <v>15</v>
      </c>
    </row>
    <row r="1438" ht="15.15" spans="1:7">
      <c r="A1438" s="20">
        <v>1436</v>
      </c>
      <c r="B1438" s="20">
        <v>8897</v>
      </c>
      <c r="C1438" s="21">
        <v>44987</v>
      </c>
      <c r="D1438" s="20">
        <v>3291.84</v>
      </c>
      <c r="E1438" s="22" t="s">
        <v>10</v>
      </c>
      <c r="F1438" s="22" t="s">
        <v>13</v>
      </c>
      <c r="G1438" s="22" t="s">
        <v>17</v>
      </c>
    </row>
    <row r="1439" ht="15.15" spans="1:7">
      <c r="A1439" s="20">
        <v>1437</v>
      </c>
      <c r="B1439" s="20">
        <v>8098</v>
      </c>
      <c r="C1439" s="21">
        <v>45142</v>
      </c>
      <c r="D1439" s="20">
        <v>3291.84</v>
      </c>
      <c r="E1439" s="22" t="s">
        <v>10</v>
      </c>
      <c r="F1439" s="22" t="s">
        <v>11</v>
      </c>
      <c r="G1439" s="22" t="s">
        <v>20</v>
      </c>
    </row>
    <row r="1440" ht="15.15" spans="1:7">
      <c r="A1440" s="20">
        <v>1438</v>
      </c>
      <c r="B1440" s="20">
        <v>1062</v>
      </c>
      <c r="C1440" s="21">
        <v>45083</v>
      </c>
      <c r="D1440" s="20">
        <v>3291.84</v>
      </c>
      <c r="E1440" s="22" t="s">
        <v>10</v>
      </c>
      <c r="F1440" s="22" t="s">
        <v>16</v>
      </c>
      <c r="G1440" s="22" t="s">
        <v>15</v>
      </c>
    </row>
    <row r="1441" ht="15.15" spans="1:7">
      <c r="A1441" s="20">
        <v>1439</v>
      </c>
      <c r="B1441" s="20">
        <v>6955</v>
      </c>
      <c r="C1441" s="21">
        <v>45255</v>
      </c>
      <c r="D1441" s="20">
        <v>3291.84</v>
      </c>
      <c r="E1441" s="22" t="s">
        <v>10</v>
      </c>
      <c r="F1441" s="22" t="s">
        <v>13</v>
      </c>
      <c r="G1441" s="22" t="s">
        <v>12</v>
      </c>
    </row>
    <row r="1442" ht="15.15" spans="1:7">
      <c r="A1442" s="20">
        <v>1440</v>
      </c>
      <c r="B1442" s="20">
        <v>6761</v>
      </c>
      <c r="C1442" s="21">
        <v>44963</v>
      </c>
      <c r="D1442" s="20">
        <v>3291.84</v>
      </c>
      <c r="E1442" s="22" t="s">
        <v>10</v>
      </c>
      <c r="F1442" s="22" t="s">
        <v>16</v>
      </c>
      <c r="G1442" s="22" t="s">
        <v>20</v>
      </c>
    </row>
    <row r="1443" ht="15.15" spans="1:7">
      <c r="A1443" s="20">
        <v>1441</v>
      </c>
      <c r="B1443" s="20">
        <v>7385</v>
      </c>
      <c r="C1443" s="21">
        <v>45104</v>
      </c>
      <c r="D1443" s="20">
        <v>3291.84</v>
      </c>
      <c r="E1443" s="22" t="s">
        <v>10</v>
      </c>
      <c r="F1443" s="22" t="s">
        <v>13</v>
      </c>
      <c r="G1443" s="22" t="s">
        <v>17</v>
      </c>
    </row>
    <row r="1444" ht="15.15" spans="1:7">
      <c r="A1444" s="20">
        <v>1442</v>
      </c>
      <c r="B1444" s="20">
        <v>7044</v>
      </c>
      <c r="C1444" s="21">
        <v>45096</v>
      </c>
      <c r="D1444" s="20">
        <v>3291.84</v>
      </c>
      <c r="E1444" s="22" t="s">
        <v>10</v>
      </c>
      <c r="F1444" s="22" t="s">
        <v>19</v>
      </c>
      <c r="G1444" s="22" t="s">
        <v>20</v>
      </c>
    </row>
    <row r="1445" ht="15.15" spans="1:7">
      <c r="A1445" s="20">
        <v>1443</v>
      </c>
      <c r="B1445" s="20">
        <v>3970</v>
      </c>
      <c r="C1445" s="21">
        <v>45005</v>
      </c>
      <c r="D1445" s="20">
        <v>3291.84</v>
      </c>
      <c r="E1445" s="22" t="s">
        <v>10</v>
      </c>
      <c r="F1445" s="22" t="s">
        <v>11</v>
      </c>
      <c r="G1445" s="22" t="s">
        <v>15</v>
      </c>
    </row>
    <row r="1446" ht="15.15" spans="1:7">
      <c r="A1446" s="20">
        <v>1444</v>
      </c>
      <c r="B1446" s="20">
        <v>6432</v>
      </c>
      <c r="C1446" s="21">
        <v>44941</v>
      </c>
      <c r="D1446" s="20">
        <v>3291.84</v>
      </c>
      <c r="E1446" s="22" t="s">
        <v>10</v>
      </c>
      <c r="F1446" s="22" t="s">
        <v>13</v>
      </c>
      <c r="G1446" s="22" t="s">
        <v>15</v>
      </c>
    </row>
    <row r="1447" ht="15.15" spans="1:7">
      <c r="A1447" s="20">
        <v>1445</v>
      </c>
      <c r="B1447" s="20">
        <v>9681</v>
      </c>
      <c r="C1447" s="21">
        <v>44977</v>
      </c>
      <c r="D1447" s="20">
        <v>3291.84</v>
      </c>
      <c r="E1447" s="22" t="s">
        <v>10</v>
      </c>
      <c r="F1447" s="22" t="s">
        <v>13</v>
      </c>
      <c r="G1447" s="22" t="s">
        <v>17</v>
      </c>
    </row>
    <row r="1448" ht="15.15" spans="1:7">
      <c r="A1448" s="20">
        <v>1446</v>
      </c>
      <c r="B1448" s="20">
        <v>546</v>
      </c>
      <c r="C1448" s="21">
        <v>45159</v>
      </c>
      <c r="D1448" s="20">
        <v>3291.84</v>
      </c>
      <c r="E1448" s="22" t="s">
        <v>10</v>
      </c>
      <c r="F1448" s="22" t="s">
        <v>11</v>
      </c>
      <c r="G1448" s="22" t="s">
        <v>15</v>
      </c>
    </row>
    <row r="1449" ht="15.15" spans="1:7">
      <c r="A1449" s="20">
        <v>1447</v>
      </c>
      <c r="B1449" s="20">
        <v>4142</v>
      </c>
      <c r="C1449" s="21">
        <v>45021</v>
      </c>
      <c r="D1449" s="20">
        <v>3291.84</v>
      </c>
      <c r="E1449" s="22" t="s">
        <v>10</v>
      </c>
      <c r="F1449" s="22" t="s">
        <v>13</v>
      </c>
      <c r="G1449" s="22" t="s">
        <v>17</v>
      </c>
    </row>
    <row r="1450" ht="15.15" spans="1:7">
      <c r="A1450" s="20">
        <v>1448</v>
      </c>
      <c r="B1450" s="20">
        <v>8100</v>
      </c>
      <c r="C1450" s="21">
        <v>45290</v>
      </c>
      <c r="D1450" s="20">
        <v>3291.84</v>
      </c>
      <c r="E1450" s="22" t="s">
        <v>10</v>
      </c>
      <c r="F1450" s="22" t="s">
        <v>14</v>
      </c>
      <c r="G1450" s="22" t="s">
        <v>15</v>
      </c>
    </row>
    <row r="1451" ht="15.15" spans="1:7">
      <c r="A1451" s="20">
        <v>1449</v>
      </c>
      <c r="B1451" s="20">
        <v>3958</v>
      </c>
      <c r="C1451" s="21">
        <v>45121</v>
      </c>
      <c r="D1451" s="20">
        <v>3291.84</v>
      </c>
      <c r="E1451" s="22" t="s">
        <v>10</v>
      </c>
      <c r="F1451" s="22" t="s">
        <v>18</v>
      </c>
      <c r="G1451" s="22" t="s">
        <v>15</v>
      </c>
    </row>
    <row r="1452" ht="15.15" spans="1:7">
      <c r="A1452" s="20">
        <v>1450</v>
      </c>
      <c r="B1452" s="20">
        <v>4031</v>
      </c>
      <c r="C1452" s="21">
        <v>45243</v>
      </c>
      <c r="D1452" s="20">
        <v>3291.84</v>
      </c>
      <c r="E1452" s="22" t="s">
        <v>10</v>
      </c>
      <c r="F1452" s="22" t="s">
        <v>18</v>
      </c>
      <c r="G1452" s="22" t="s">
        <v>17</v>
      </c>
    </row>
    <row r="1453" ht="15.15" spans="1:7">
      <c r="A1453" s="20">
        <v>1451</v>
      </c>
      <c r="B1453" s="20">
        <v>731</v>
      </c>
      <c r="C1453" s="21">
        <v>44980</v>
      </c>
      <c r="D1453" s="20">
        <v>3291.84</v>
      </c>
      <c r="E1453" s="22" t="s">
        <v>10</v>
      </c>
      <c r="F1453" s="22" t="s">
        <v>11</v>
      </c>
      <c r="G1453" s="22" t="s">
        <v>15</v>
      </c>
    </row>
    <row r="1454" ht="15.15" spans="1:7">
      <c r="A1454" s="20">
        <v>1452</v>
      </c>
      <c r="B1454" s="20">
        <v>253</v>
      </c>
      <c r="C1454" s="21">
        <v>45148</v>
      </c>
      <c r="D1454" s="20">
        <v>3291.84</v>
      </c>
      <c r="E1454" s="22" t="s">
        <v>10</v>
      </c>
      <c r="F1454" s="22" t="s">
        <v>11</v>
      </c>
      <c r="G1454" s="22" t="s">
        <v>15</v>
      </c>
    </row>
    <row r="1455" ht="15.15" spans="1:7">
      <c r="A1455" s="20">
        <v>1453</v>
      </c>
      <c r="B1455" s="20">
        <v>4486</v>
      </c>
      <c r="C1455" s="21">
        <v>45153</v>
      </c>
      <c r="D1455" s="20">
        <v>3291.84</v>
      </c>
      <c r="E1455" s="22" t="s">
        <v>10</v>
      </c>
      <c r="F1455" s="22" t="s">
        <v>13</v>
      </c>
      <c r="G1455" s="22" t="s">
        <v>17</v>
      </c>
    </row>
    <row r="1456" ht="15.15" spans="1:7">
      <c r="A1456" s="20">
        <v>1454</v>
      </c>
      <c r="B1456" s="20">
        <v>2736</v>
      </c>
      <c r="C1456" s="21">
        <v>45124</v>
      </c>
      <c r="D1456" s="20">
        <v>3291.84</v>
      </c>
      <c r="E1456" s="22" t="s">
        <v>22</v>
      </c>
      <c r="F1456" s="22" t="s">
        <v>13</v>
      </c>
      <c r="G1456" s="22" t="s">
        <v>17</v>
      </c>
    </row>
    <row r="1457" ht="15.15" spans="1:7">
      <c r="A1457" s="20">
        <v>1455</v>
      </c>
      <c r="B1457" s="20">
        <v>3084</v>
      </c>
      <c r="C1457" s="21">
        <v>45238</v>
      </c>
      <c r="D1457" s="20">
        <v>3291.84</v>
      </c>
      <c r="E1457" s="22" t="s">
        <v>10</v>
      </c>
      <c r="F1457" s="22" t="s">
        <v>16</v>
      </c>
      <c r="G1457" s="22" t="s">
        <v>12</v>
      </c>
    </row>
    <row r="1458" ht="15.15" spans="1:7">
      <c r="A1458" s="20">
        <v>1456</v>
      </c>
      <c r="B1458" s="20">
        <v>6588</v>
      </c>
      <c r="C1458" s="21">
        <v>45127</v>
      </c>
      <c r="D1458" s="20">
        <v>3291.84</v>
      </c>
      <c r="E1458" s="22" t="s">
        <v>10</v>
      </c>
      <c r="F1458" s="22" t="s">
        <v>18</v>
      </c>
      <c r="G1458" s="22" t="s">
        <v>12</v>
      </c>
    </row>
    <row r="1459" ht="15.15" spans="1:7">
      <c r="A1459" s="20">
        <v>1457</v>
      </c>
      <c r="B1459" s="20">
        <v>2810</v>
      </c>
      <c r="C1459" s="21">
        <v>45124</v>
      </c>
      <c r="D1459" s="20">
        <v>3291.84</v>
      </c>
      <c r="E1459" s="22" t="s">
        <v>10</v>
      </c>
      <c r="F1459" s="22" t="s">
        <v>13</v>
      </c>
      <c r="G1459" s="22" t="s">
        <v>20</v>
      </c>
    </row>
    <row r="1460" ht="15.15" spans="1:7">
      <c r="A1460" s="20">
        <v>1458</v>
      </c>
      <c r="B1460" s="20">
        <v>306</v>
      </c>
      <c r="C1460" s="21">
        <v>45154</v>
      </c>
      <c r="D1460" s="20">
        <v>3291.84</v>
      </c>
      <c r="E1460" s="22" t="s">
        <v>10</v>
      </c>
      <c r="F1460" s="22" t="s">
        <v>13</v>
      </c>
      <c r="G1460" s="22" t="s">
        <v>20</v>
      </c>
    </row>
    <row r="1461" ht="15.15" spans="1:7">
      <c r="A1461" s="20">
        <v>1459</v>
      </c>
      <c r="B1461" s="20">
        <v>7827</v>
      </c>
      <c r="C1461" s="21">
        <v>45185</v>
      </c>
      <c r="D1461" s="20">
        <v>3291.84</v>
      </c>
      <c r="E1461" s="22" t="s">
        <v>10</v>
      </c>
      <c r="F1461" s="22" t="s">
        <v>11</v>
      </c>
      <c r="G1461" s="22" t="s">
        <v>20</v>
      </c>
    </row>
    <row r="1462" ht="15.15" spans="1:7">
      <c r="A1462" s="20">
        <v>1460</v>
      </c>
      <c r="B1462" s="20">
        <v>2665</v>
      </c>
      <c r="C1462" s="21">
        <v>45259</v>
      </c>
      <c r="D1462" s="20">
        <v>3291.84</v>
      </c>
      <c r="E1462" s="22" t="s">
        <v>10</v>
      </c>
      <c r="F1462" s="22" t="s">
        <v>16</v>
      </c>
      <c r="G1462" s="22" t="s">
        <v>15</v>
      </c>
    </row>
    <row r="1463" ht="15.15" spans="1:7">
      <c r="A1463" s="20">
        <v>1461</v>
      </c>
      <c r="B1463" s="20">
        <v>8063</v>
      </c>
      <c r="C1463" s="21">
        <v>45020</v>
      </c>
      <c r="D1463" s="20">
        <v>3291.84</v>
      </c>
      <c r="E1463" s="22" t="s">
        <v>10</v>
      </c>
      <c r="F1463" s="22" t="s">
        <v>16</v>
      </c>
      <c r="G1463" s="22" t="s">
        <v>17</v>
      </c>
    </row>
    <row r="1464" ht="15.15" spans="1:7">
      <c r="A1464" s="20">
        <v>1462</v>
      </c>
      <c r="B1464" s="20">
        <v>2018</v>
      </c>
      <c r="C1464" s="21">
        <v>45023</v>
      </c>
      <c r="D1464" s="20">
        <v>3291.84</v>
      </c>
      <c r="E1464" s="22" t="s">
        <v>10</v>
      </c>
      <c r="F1464" s="22" t="s">
        <v>13</v>
      </c>
      <c r="G1464" s="22" t="s">
        <v>12</v>
      </c>
    </row>
    <row r="1465" ht="15.15" spans="1:7">
      <c r="A1465" s="20">
        <v>1463</v>
      </c>
      <c r="B1465" s="20">
        <v>653</v>
      </c>
      <c r="C1465" s="21">
        <v>45277</v>
      </c>
      <c r="D1465" s="20">
        <v>3291.84</v>
      </c>
      <c r="E1465" s="22" t="s">
        <v>10</v>
      </c>
      <c r="F1465" s="22" t="s">
        <v>18</v>
      </c>
      <c r="G1465" s="22" t="s">
        <v>17</v>
      </c>
    </row>
    <row r="1466" ht="15.15" spans="1:7">
      <c r="A1466" s="20">
        <v>1464</v>
      </c>
      <c r="B1466" s="20">
        <v>590</v>
      </c>
      <c r="C1466" s="21">
        <v>45255</v>
      </c>
      <c r="D1466" s="20">
        <v>3291.84</v>
      </c>
      <c r="E1466" s="22" t="s">
        <v>10</v>
      </c>
      <c r="F1466" s="22" t="s">
        <v>14</v>
      </c>
      <c r="G1466" s="22" t="s">
        <v>12</v>
      </c>
    </row>
    <row r="1467" ht="15.15" spans="1:7">
      <c r="A1467" s="20">
        <v>1465</v>
      </c>
      <c r="B1467" s="20">
        <v>1797</v>
      </c>
      <c r="C1467" s="21">
        <v>45062</v>
      </c>
      <c r="D1467" s="20">
        <v>3291.84</v>
      </c>
      <c r="E1467" s="22" t="s">
        <v>10</v>
      </c>
      <c r="F1467" s="22" t="s">
        <v>14</v>
      </c>
      <c r="G1467" s="22" t="s">
        <v>17</v>
      </c>
    </row>
    <row r="1468" ht="15.15" spans="1:7">
      <c r="A1468" s="20">
        <v>1466</v>
      </c>
      <c r="B1468" s="20">
        <v>1056</v>
      </c>
      <c r="C1468" s="21">
        <v>45016</v>
      </c>
      <c r="D1468" s="20">
        <v>3291.84</v>
      </c>
      <c r="E1468" s="22" t="s">
        <v>10</v>
      </c>
      <c r="F1468" s="22" t="s">
        <v>16</v>
      </c>
      <c r="G1468" s="22" t="s">
        <v>17</v>
      </c>
    </row>
    <row r="1469" ht="15.15" spans="1:7">
      <c r="A1469" s="20">
        <v>1467</v>
      </c>
      <c r="B1469" s="20">
        <v>2716</v>
      </c>
      <c r="C1469" s="21">
        <v>45047</v>
      </c>
      <c r="D1469" s="20">
        <v>3291.84</v>
      </c>
      <c r="E1469" s="22" t="s">
        <v>10</v>
      </c>
      <c r="F1469" s="22" t="s">
        <v>13</v>
      </c>
      <c r="G1469" s="22" t="s">
        <v>12</v>
      </c>
    </row>
    <row r="1470" ht="15.15" spans="1:7">
      <c r="A1470" s="20">
        <v>1468</v>
      </c>
      <c r="B1470" s="20">
        <v>431</v>
      </c>
      <c r="C1470" s="21">
        <v>44943</v>
      </c>
      <c r="D1470" s="20">
        <v>3291.84</v>
      </c>
      <c r="E1470" s="22" t="s">
        <v>10</v>
      </c>
      <c r="F1470" s="22" t="s">
        <v>16</v>
      </c>
      <c r="G1470" s="22" t="s">
        <v>12</v>
      </c>
    </row>
    <row r="1471" ht="15.15" spans="1:7">
      <c r="A1471" s="20">
        <v>1469</v>
      </c>
      <c r="B1471" s="20">
        <v>3857</v>
      </c>
      <c r="C1471" s="21">
        <v>45213</v>
      </c>
      <c r="D1471" s="20">
        <v>3291.84</v>
      </c>
      <c r="E1471" s="22" t="s">
        <v>10</v>
      </c>
      <c r="F1471" s="22" t="s">
        <v>11</v>
      </c>
      <c r="G1471" s="22" t="s">
        <v>17</v>
      </c>
    </row>
    <row r="1472" ht="15.15" spans="1:7">
      <c r="A1472" s="20">
        <v>1470</v>
      </c>
      <c r="B1472" s="20">
        <v>577</v>
      </c>
      <c r="C1472" s="21">
        <v>44957</v>
      </c>
      <c r="D1472" s="20">
        <v>3291.84</v>
      </c>
      <c r="E1472" s="22" t="s">
        <v>10</v>
      </c>
      <c r="F1472" s="22" t="s">
        <v>14</v>
      </c>
      <c r="G1472" s="22" t="s">
        <v>15</v>
      </c>
    </row>
    <row r="1473" ht="15.15" spans="1:7">
      <c r="A1473" s="20">
        <v>1471</v>
      </c>
      <c r="B1473" s="20">
        <v>9997</v>
      </c>
      <c r="C1473" s="21">
        <v>44947</v>
      </c>
      <c r="D1473" s="20">
        <v>3291.84</v>
      </c>
      <c r="E1473" s="22" t="s">
        <v>10</v>
      </c>
      <c r="F1473" s="22" t="s">
        <v>18</v>
      </c>
      <c r="G1473" s="22" t="s">
        <v>12</v>
      </c>
    </row>
    <row r="1474" ht="15.15" spans="1:7">
      <c r="A1474" s="20">
        <v>1472</v>
      </c>
      <c r="B1474" s="20">
        <v>9483</v>
      </c>
      <c r="C1474" s="21">
        <v>44999</v>
      </c>
      <c r="D1474" s="20">
        <v>3291.84</v>
      </c>
      <c r="E1474" s="22" t="s">
        <v>10</v>
      </c>
      <c r="F1474" s="22" t="s">
        <v>16</v>
      </c>
      <c r="G1474" s="22" t="s">
        <v>12</v>
      </c>
    </row>
    <row r="1475" ht="15.15" spans="1:7">
      <c r="A1475" s="20">
        <v>1473</v>
      </c>
      <c r="B1475" s="20">
        <v>1136</v>
      </c>
      <c r="C1475" s="21">
        <v>45235</v>
      </c>
      <c r="D1475" s="20">
        <v>3291.84</v>
      </c>
      <c r="E1475" s="22" t="s">
        <v>10</v>
      </c>
      <c r="F1475" s="22" t="s">
        <v>14</v>
      </c>
      <c r="G1475" s="22" t="s">
        <v>17</v>
      </c>
    </row>
    <row r="1476" ht="15.15" spans="1:7">
      <c r="A1476" s="20">
        <v>1474</v>
      </c>
      <c r="B1476" s="20">
        <v>5216</v>
      </c>
      <c r="C1476" s="21">
        <v>45288</v>
      </c>
      <c r="D1476" s="20">
        <v>3291.84</v>
      </c>
      <c r="E1476" s="22" t="s">
        <v>10</v>
      </c>
      <c r="F1476" s="22" t="s">
        <v>16</v>
      </c>
      <c r="G1476" s="22" t="s">
        <v>15</v>
      </c>
    </row>
    <row r="1477" ht="15.15" spans="1:7">
      <c r="A1477" s="20">
        <v>1475</v>
      </c>
      <c r="B1477" s="20">
        <v>6766</v>
      </c>
      <c r="C1477" s="21">
        <v>45133</v>
      </c>
      <c r="D1477" s="20">
        <v>3291.84</v>
      </c>
      <c r="E1477" s="22" t="s">
        <v>10</v>
      </c>
      <c r="F1477" s="22" t="s">
        <v>11</v>
      </c>
      <c r="G1477" s="22" t="s">
        <v>20</v>
      </c>
    </row>
    <row r="1478" ht="15.15" spans="1:7">
      <c r="A1478" s="20">
        <v>1476</v>
      </c>
      <c r="B1478" s="20">
        <v>3963</v>
      </c>
      <c r="C1478" s="21">
        <v>45067</v>
      </c>
      <c r="D1478" s="20">
        <v>3291.84</v>
      </c>
      <c r="E1478" s="22" t="s">
        <v>10</v>
      </c>
      <c r="F1478" s="22" t="s">
        <v>13</v>
      </c>
      <c r="G1478" s="22" t="s">
        <v>17</v>
      </c>
    </row>
    <row r="1479" ht="15.15" spans="1:7">
      <c r="A1479" s="20">
        <v>1477</v>
      </c>
      <c r="B1479" s="20">
        <v>8982</v>
      </c>
      <c r="C1479" s="21">
        <v>45149</v>
      </c>
      <c r="D1479" s="20">
        <v>3291.84</v>
      </c>
      <c r="E1479" s="22" t="s">
        <v>10</v>
      </c>
      <c r="F1479" s="22" t="s">
        <v>19</v>
      </c>
      <c r="G1479" s="22" t="s">
        <v>15</v>
      </c>
    </row>
    <row r="1480" ht="15.15" spans="1:7">
      <c r="A1480" s="20">
        <v>1478</v>
      </c>
      <c r="B1480" s="20">
        <v>7099</v>
      </c>
      <c r="C1480" s="21">
        <v>45145</v>
      </c>
      <c r="D1480" s="20">
        <v>3291.84</v>
      </c>
      <c r="E1480" s="22" t="s">
        <v>10</v>
      </c>
      <c r="F1480" s="22" t="s">
        <v>16</v>
      </c>
      <c r="G1480" s="22" t="s">
        <v>12</v>
      </c>
    </row>
    <row r="1481" ht="15.15" spans="1:7">
      <c r="A1481" s="20">
        <v>1479</v>
      </c>
      <c r="B1481" s="20">
        <v>6822</v>
      </c>
      <c r="C1481" s="21">
        <v>45048</v>
      </c>
      <c r="D1481" s="20">
        <v>3291.84</v>
      </c>
      <c r="E1481" s="22" t="s">
        <v>10</v>
      </c>
      <c r="F1481" s="22" t="s">
        <v>14</v>
      </c>
      <c r="G1481" s="22" t="s">
        <v>20</v>
      </c>
    </row>
    <row r="1482" ht="15.15" spans="1:7">
      <c r="A1482" s="20">
        <v>1480</v>
      </c>
      <c r="B1482" s="20">
        <v>297</v>
      </c>
      <c r="C1482" s="21">
        <v>45085</v>
      </c>
      <c r="D1482" s="20">
        <v>3291.84</v>
      </c>
      <c r="E1482" s="22" t="s">
        <v>10</v>
      </c>
      <c r="F1482" s="22" t="s">
        <v>11</v>
      </c>
      <c r="G1482" s="22" t="s">
        <v>20</v>
      </c>
    </row>
    <row r="1483" ht="15.15" spans="1:7">
      <c r="A1483" s="20">
        <v>1481</v>
      </c>
      <c r="B1483" s="20">
        <v>624</v>
      </c>
      <c r="C1483" s="21">
        <v>45208</v>
      </c>
      <c r="D1483" s="20">
        <v>3291.84</v>
      </c>
      <c r="E1483" s="22" t="s">
        <v>22</v>
      </c>
      <c r="F1483" s="22" t="s">
        <v>13</v>
      </c>
      <c r="G1483" s="22" t="s">
        <v>12</v>
      </c>
    </row>
    <row r="1484" ht="15.15" spans="1:7">
      <c r="A1484" s="20">
        <v>1482</v>
      </c>
      <c r="B1484" s="20">
        <v>1643</v>
      </c>
      <c r="C1484" s="21">
        <v>45225</v>
      </c>
      <c r="D1484" s="20">
        <v>3291.84</v>
      </c>
      <c r="E1484" s="22" t="s">
        <v>10</v>
      </c>
      <c r="F1484" s="22" t="s">
        <v>18</v>
      </c>
      <c r="G1484" s="22" t="s">
        <v>12</v>
      </c>
    </row>
    <row r="1485" ht="15.15" spans="1:7">
      <c r="A1485" s="20">
        <v>1483</v>
      </c>
      <c r="B1485" s="20">
        <v>8027</v>
      </c>
      <c r="C1485" s="21">
        <v>45159</v>
      </c>
      <c r="D1485" s="20">
        <v>3291.84</v>
      </c>
      <c r="E1485" s="22" t="s">
        <v>10</v>
      </c>
      <c r="F1485" s="22" t="s">
        <v>18</v>
      </c>
      <c r="G1485" s="22" t="s">
        <v>17</v>
      </c>
    </row>
    <row r="1486" ht="15.15" spans="1:7">
      <c r="A1486" s="20">
        <v>1484</v>
      </c>
      <c r="B1486" s="20">
        <v>2993</v>
      </c>
      <c r="C1486" s="21">
        <v>45181</v>
      </c>
      <c r="D1486" s="20">
        <v>3291.84</v>
      </c>
      <c r="E1486" s="22" t="s">
        <v>10</v>
      </c>
      <c r="F1486" s="22" t="s">
        <v>16</v>
      </c>
      <c r="G1486" s="22" t="s">
        <v>12</v>
      </c>
    </row>
    <row r="1487" ht="15.15" spans="1:7">
      <c r="A1487" s="20">
        <v>1485</v>
      </c>
      <c r="B1487" s="20">
        <v>1962</v>
      </c>
      <c r="C1487" s="21">
        <v>45208</v>
      </c>
      <c r="D1487" s="20">
        <v>3291.84</v>
      </c>
      <c r="E1487" s="22" t="s">
        <v>10</v>
      </c>
      <c r="F1487" s="22" t="s">
        <v>11</v>
      </c>
      <c r="G1487" s="22" t="s">
        <v>17</v>
      </c>
    </row>
    <row r="1488" ht="15.15" spans="1:7">
      <c r="A1488" s="20">
        <v>1486</v>
      </c>
      <c r="B1488" s="20">
        <v>2471</v>
      </c>
      <c r="C1488" s="21">
        <v>45277</v>
      </c>
      <c r="D1488" s="20">
        <v>3291.84</v>
      </c>
      <c r="E1488" s="22" t="s">
        <v>10</v>
      </c>
      <c r="F1488" s="22" t="s">
        <v>16</v>
      </c>
      <c r="G1488" s="22" t="s">
        <v>17</v>
      </c>
    </row>
    <row r="1489" ht="15.15" spans="1:7">
      <c r="A1489" s="20">
        <v>1487</v>
      </c>
      <c r="B1489" s="20">
        <v>8951</v>
      </c>
      <c r="C1489" s="21">
        <v>44938</v>
      </c>
      <c r="D1489" s="20">
        <v>3291.84</v>
      </c>
      <c r="E1489" s="22" t="s">
        <v>10</v>
      </c>
      <c r="F1489" s="22" t="s">
        <v>13</v>
      </c>
      <c r="G1489" s="22" t="s">
        <v>12</v>
      </c>
    </row>
    <row r="1490" ht="15.15" spans="1:7">
      <c r="A1490" s="20">
        <v>1488</v>
      </c>
      <c r="B1490" s="20">
        <v>9199</v>
      </c>
      <c r="C1490" s="21">
        <v>45093</v>
      </c>
      <c r="D1490" s="20">
        <v>3291.84</v>
      </c>
      <c r="E1490" s="22" t="s">
        <v>10</v>
      </c>
      <c r="F1490" s="22" t="s">
        <v>16</v>
      </c>
      <c r="G1490" s="22" t="s">
        <v>15</v>
      </c>
    </row>
    <row r="1491" ht="15.15" spans="1:7">
      <c r="A1491" s="20">
        <v>1489</v>
      </c>
      <c r="B1491" s="20">
        <v>8466</v>
      </c>
      <c r="C1491" s="21">
        <v>45239</v>
      </c>
      <c r="D1491" s="20">
        <v>3291.84</v>
      </c>
      <c r="E1491" s="22" t="s">
        <v>10</v>
      </c>
      <c r="F1491" s="22" t="s">
        <v>16</v>
      </c>
      <c r="G1491" s="22" t="s">
        <v>17</v>
      </c>
    </row>
    <row r="1492" ht="15.15" spans="1:7">
      <c r="A1492" s="20">
        <v>1490</v>
      </c>
      <c r="B1492" s="20">
        <v>4526</v>
      </c>
      <c r="C1492" s="21">
        <v>45050</v>
      </c>
      <c r="D1492" s="20">
        <v>3291.84</v>
      </c>
      <c r="E1492" s="22" t="s">
        <v>10</v>
      </c>
      <c r="F1492" s="22" t="s">
        <v>18</v>
      </c>
      <c r="G1492" s="22" t="s">
        <v>15</v>
      </c>
    </row>
    <row r="1493" ht="15.15" spans="1:7">
      <c r="A1493" s="20">
        <v>1491</v>
      </c>
      <c r="B1493" s="20">
        <v>2243</v>
      </c>
      <c r="C1493" s="21">
        <v>44933</v>
      </c>
      <c r="D1493" s="20">
        <v>3291.84</v>
      </c>
      <c r="E1493" s="22" t="s">
        <v>10</v>
      </c>
      <c r="F1493" s="22" t="s">
        <v>16</v>
      </c>
      <c r="G1493" s="22" t="s">
        <v>17</v>
      </c>
    </row>
    <row r="1494" ht="15.15" spans="1:7">
      <c r="A1494" s="20">
        <v>1492</v>
      </c>
      <c r="B1494" s="20">
        <v>7822</v>
      </c>
      <c r="C1494" s="21">
        <v>45146</v>
      </c>
      <c r="D1494" s="20">
        <v>3291.84</v>
      </c>
      <c r="E1494" s="22" t="s">
        <v>10</v>
      </c>
      <c r="F1494" s="22" t="s">
        <v>13</v>
      </c>
      <c r="G1494" s="22" t="s">
        <v>15</v>
      </c>
    </row>
    <row r="1495" ht="15.15" spans="1:7">
      <c r="A1495" s="20">
        <v>1493</v>
      </c>
      <c r="B1495" s="20">
        <v>6912</v>
      </c>
      <c r="C1495" s="21">
        <v>45280</v>
      </c>
      <c r="D1495" s="20">
        <v>3291.84</v>
      </c>
      <c r="E1495" s="22" t="s">
        <v>10</v>
      </c>
      <c r="F1495" s="22" t="s">
        <v>11</v>
      </c>
      <c r="G1495" s="22" t="s">
        <v>17</v>
      </c>
    </row>
    <row r="1496" ht="15.15" spans="1:7">
      <c r="A1496" s="20">
        <v>1494</v>
      </c>
      <c r="B1496" s="20">
        <v>3468</v>
      </c>
      <c r="C1496" s="21">
        <v>44976</v>
      </c>
      <c r="D1496" s="20">
        <v>3291.84</v>
      </c>
      <c r="E1496" s="22" t="s">
        <v>10</v>
      </c>
      <c r="F1496" s="22" t="s">
        <v>18</v>
      </c>
      <c r="G1496" s="22" t="s">
        <v>20</v>
      </c>
    </row>
    <row r="1497" ht="15.15" spans="1:7">
      <c r="A1497" s="20">
        <v>1495</v>
      </c>
      <c r="B1497" s="20">
        <v>811</v>
      </c>
      <c r="C1497" s="21">
        <v>45157</v>
      </c>
      <c r="D1497" s="20">
        <v>3291.84</v>
      </c>
      <c r="E1497" s="22" t="s">
        <v>10</v>
      </c>
      <c r="F1497" s="22" t="s">
        <v>13</v>
      </c>
      <c r="G1497" s="22" t="s">
        <v>12</v>
      </c>
    </row>
    <row r="1498" ht="15.15" spans="1:7">
      <c r="A1498" s="20">
        <v>1496</v>
      </c>
      <c r="B1498" s="20">
        <v>1360</v>
      </c>
      <c r="C1498" s="21">
        <v>45278</v>
      </c>
      <c r="D1498" s="20">
        <v>3291.84</v>
      </c>
      <c r="E1498" s="22" t="s">
        <v>10</v>
      </c>
      <c r="F1498" s="22" t="s">
        <v>13</v>
      </c>
      <c r="G1498" s="22" t="s">
        <v>20</v>
      </c>
    </row>
    <row r="1499" ht="15.15" spans="1:7">
      <c r="A1499" s="20">
        <v>1497</v>
      </c>
      <c r="B1499" s="20">
        <v>7631</v>
      </c>
      <c r="C1499" s="21">
        <v>45285</v>
      </c>
      <c r="D1499" s="20">
        <v>3291.84</v>
      </c>
      <c r="E1499" s="22" t="s">
        <v>10</v>
      </c>
      <c r="F1499" s="22" t="s">
        <v>13</v>
      </c>
      <c r="G1499" s="22" t="s">
        <v>17</v>
      </c>
    </row>
    <row r="1500" ht="15.15" spans="1:7">
      <c r="A1500" s="20">
        <v>1498</v>
      </c>
      <c r="B1500" s="20">
        <v>4812</v>
      </c>
      <c r="C1500" s="21">
        <v>45097</v>
      </c>
      <c r="D1500" s="20">
        <v>3291.84</v>
      </c>
      <c r="E1500" s="22" t="s">
        <v>10</v>
      </c>
      <c r="F1500" s="22" t="s">
        <v>11</v>
      </c>
      <c r="G1500" s="22" t="s">
        <v>12</v>
      </c>
    </row>
    <row r="1501" ht="15.15" spans="1:7">
      <c r="A1501" s="20">
        <v>1499</v>
      </c>
      <c r="B1501" s="20">
        <v>7074</v>
      </c>
      <c r="C1501" s="21">
        <v>45277</v>
      </c>
      <c r="D1501" s="20">
        <v>3291.84</v>
      </c>
      <c r="E1501" s="22" t="s">
        <v>10</v>
      </c>
      <c r="F1501" s="22" t="s">
        <v>18</v>
      </c>
      <c r="G1501" s="22" t="s">
        <v>12</v>
      </c>
    </row>
    <row r="1502" ht="15.15" spans="1:7">
      <c r="A1502" s="20">
        <v>1500</v>
      </c>
      <c r="B1502" s="20">
        <v>6605</v>
      </c>
      <c r="C1502" s="21">
        <v>44992</v>
      </c>
      <c r="D1502" s="20">
        <v>3291.84</v>
      </c>
      <c r="E1502" s="22" t="s">
        <v>10</v>
      </c>
      <c r="F1502" s="22" t="s">
        <v>18</v>
      </c>
      <c r="G1502" s="22" t="s">
        <v>12</v>
      </c>
    </row>
    <row r="1503" ht="15.15" spans="1:7">
      <c r="A1503" s="20">
        <v>1501</v>
      </c>
      <c r="B1503" s="20">
        <v>5056</v>
      </c>
      <c r="C1503" s="21">
        <v>45129</v>
      </c>
      <c r="D1503" s="20">
        <v>3291.84</v>
      </c>
      <c r="E1503" s="22" t="s">
        <v>10</v>
      </c>
      <c r="F1503" s="22" t="s">
        <v>14</v>
      </c>
      <c r="G1503" s="22" t="s">
        <v>15</v>
      </c>
    </row>
    <row r="1504" ht="15.15" spans="1:7">
      <c r="A1504" s="20">
        <v>1502</v>
      </c>
      <c r="B1504" s="20">
        <v>5920</v>
      </c>
      <c r="C1504" s="21">
        <v>44942</v>
      </c>
      <c r="D1504" s="20">
        <v>3291.84</v>
      </c>
      <c r="E1504" s="22" t="s">
        <v>10</v>
      </c>
      <c r="F1504" s="22" t="s">
        <v>14</v>
      </c>
      <c r="G1504" s="22" t="s">
        <v>17</v>
      </c>
    </row>
    <row r="1505" ht="15.15" spans="1:7">
      <c r="A1505" s="20">
        <v>1503</v>
      </c>
      <c r="B1505" s="20">
        <v>2667</v>
      </c>
      <c r="C1505" s="21">
        <v>45082</v>
      </c>
      <c r="D1505" s="20">
        <v>3291.84</v>
      </c>
      <c r="E1505" s="22" t="s">
        <v>10</v>
      </c>
      <c r="F1505" s="22" t="s">
        <v>11</v>
      </c>
      <c r="G1505" s="22" t="s">
        <v>20</v>
      </c>
    </row>
    <row r="1506" ht="15.15" spans="1:7">
      <c r="A1506" s="20">
        <v>1504</v>
      </c>
      <c r="B1506" s="20">
        <v>5119</v>
      </c>
      <c r="C1506" s="21">
        <v>45289</v>
      </c>
      <c r="D1506" s="20">
        <v>3291.84</v>
      </c>
      <c r="E1506" s="22" t="s">
        <v>10</v>
      </c>
      <c r="F1506" s="22" t="s">
        <v>14</v>
      </c>
      <c r="G1506" s="22" t="s">
        <v>17</v>
      </c>
    </row>
    <row r="1507" ht="15.15" spans="1:7">
      <c r="A1507" s="20">
        <v>1505</v>
      </c>
      <c r="B1507" s="20">
        <v>5184</v>
      </c>
      <c r="C1507" s="21">
        <v>45218</v>
      </c>
      <c r="D1507" s="20">
        <v>3291.84</v>
      </c>
      <c r="E1507" s="22" t="s">
        <v>10</v>
      </c>
      <c r="F1507" s="22" t="s">
        <v>19</v>
      </c>
      <c r="G1507" s="22" t="s">
        <v>15</v>
      </c>
    </row>
    <row r="1508" ht="15.15" spans="1:7">
      <c r="A1508" s="20">
        <v>1506</v>
      </c>
      <c r="B1508" s="20">
        <v>2455</v>
      </c>
      <c r="C1508" s="21">
        <v>45103</v>
      </c>
      <c r="D1508" s="20">
        <v>3291.84</v>
      </c>
      <c r="E1508" s="22" t="s">
        <v>10</v>
      </c>
      <c r="F1508" s="22" t="s">
        <v>16</v>
      </c>
      <c r="G1508" s="22" t="s">
        <v>20</v>
      </c>
    </row>
    <row r="1509" ht="15.15" spans="1:7">
      <c r="A1509" s="20">
        <v>1507</v>
      </c>
      <c r="B1509" s="20">
        <v>2950</v>
      </c>
      <c r="C1509" s="21">
        <v>45098</v>
      </c>
      <c r="D1509" s="20">
        <v>3291.84</v>
      </c>
      <c r="E1509" s="22" t="s">
        <v>10</v>
      </c>
      <c r="F1509" s="22" t="s">
        <v>14</v>
      </c>
      <c r="G1509" s="22" t="s">
        <v>12</v>
      </c>
    </row>
    <row r="1510" ht="15.15" spans="1:7">
      <c r="A1510" s="20">
        <v>1508</v>
      </c>
      <c r="B1510" s="20">
        <v>8926</v>
      </c>
      <c r="C1510" s="21">
        <v>45222</v>
      </c>
      <c r="D1510" s="20">
        <v>3291.84</v>
      </c>
      <c r="E1510" s="22" t="s">
        <v>10</v>
      </c>
      <c r="F1510" s="22" t="s">
        <v>18</v>
      </c>
      <c r="G1510" s="22" t="s">
        <v>12</v>
      </c>
    </row>
    <row r="1511" ht="15.15" spans="1:7">
      <c r="A1511" s="20">
        <v>1509</v>
      </c>
      <c r="B1511" s="20">
        <v>5314</v>
      </c>
      <c r="C1511" s="21">
        <v>45236</v>
      </c>
      <c r="D1511" s="20">
        <v>3291.84</v>
      </c>
      <c r="E1511" s="22" t="s">
        <v>10</v>
      </c>
      <c r="F1511" s="22" t="s">
        <v>18</v>
      </c>
      <c r="G1511" s="22" t="s">
        <v>15</v>
      </c>
    </row>
    <row r="1512" ht="15.15" spans="1:7">
      <c r="A1512" s="20">
        <v>1510</v>
      </c>
      <c r="B1512" s="20">
        <v>934</v>
      </c>
      <c r="C1512" s="21">
        <v>45259</v>
      </c>
      <c r="D1512" s="20">
        <v>3291.84</v>
      </c>
      <c r="E1512" s="22" t="s">
        <v>10</v>
      </c>
      <c r="F1512" s="22" t="s">
        <v>13</v>
      </c>
      <c r="G1512" s="22" t="s">
        <v>20</v>
      </c>
    </row>
    <row r="1513" ht="15.15" spans="1:7">
      <c r="A1513" s="20">
        <v>1511</v>
      </c>
      <c r="B1513" s="20">
        <v>508</v>
      </c>
      <c r="C1513" s="21">
        <v>45173</v>
      </c>
      <c r="D1513" s="20">
        <v>3291.84</v>
      </c>
      <c r="E1513" s="22" t="s">
        <v>10</v>
      </c>
      <c r="F1513" s="22" t="s">
        <v>13</v>
      </c>
      <c r="G1513" s="22" t="s">
        <v>20</v>
      </c>
    </row>
    <row r="1514" ht="15.15" spans="1:7">
      <c r="A1514" s="20">
        <v>1512</v>
      </c>
      <c r="B1514" s="20">
        <v>53</v>
      </c>
      <c r="C1514" s="21">
        <v>44969</v>
      </c>
      <c r="D1514" s="20">
        <v>3291.84</v>
      </c>
      <c r="E1514" s="22" t="s">
        <v>10</v>
      </c>
      <c r="F1514" s="22" t="s">
        <v>18</v>
      </c>
      <c r="G1514" s="22" t="s">
        <v>15</v>
      </c>
    </row>
    <row r="1515" ht="15.15" spans="1:7">
      <c r="A1515" s="20">
        <v>1513</v>
      </c>
      <c r="B1515" s="20">
        <v>1291</v>
      </c>
      <c r="C1515" s="21">
        <v>44981</v>
      </c>
      <c r="D1515" s="20">
        <v>3291.84</v>
      </c>
      <c r="E1515" s="22" t="s">
        <v>10</v>
      </c>
      <c r="F1515" s="22" t="s">
        <v>14</v>
      </c>
      <c r="G1515" s="22" t="s">
        <v>12</v>
      </c>
    </row>
    <row r="1516" ht="15.15" spans="1:7">
      <c r="A1516" s="20">
        <v>1514</v>
      </c>
      <c r="B1516" s="20">
        <v>3128</v>
      </c>
      <c r="C1516" s="21">
        <v>45286</v>
      </c>
      <c r="D1516" s="20">
        <v>3291.84</v>
      </c>
      <c r="E1516" s="22" t="s">
        <v>10</v>
      </c>
      <c r="F1516" s="22" t="s">
        <v>14</v>
      </c>
      <c r="G1516" s="22" t="s">
        <v>15</v>
      </c>
    </row>
    <row r="1517" ht="15.15" spans="1:7">
      <c r="A1517" s="20">
        <v>1515</v>
      </c>
      <c r="B1517" s="20">
        <v>6801</v>
      </c>
      <c r="C1517" s="21">
        <v>45020</v>
      </c>
      <c r="D1517" s="20">
        <v>3291.84</v>
      </c>
      <c r="E1517" s="22" t="s">
        <v>10</v>
      </c>
      <c r="F1517" s="22" t="s">
        <v>11</v>
      </c>
      <c r="G1517" s="22" t="s">
        <v>20</v>
      </c>
    </row>
    <row r="1518" ht="15.15" spans="1:7">
      <c r="A1518" s="20">
        <v>1516</v>
      </c>
      <c r="B1518" s="20">
        <v>7472</v>
      </c>
      <c r="C1518" s="21">
        <v>45290</v>
      </c>
      <c r="D1518" s="20">
        <v>3291.84</v>
      </c>
      <c r="E1518" s="22" t="s">
        <v>10</v>
      </c>
      <c r="F1518" s="22" t="s">
        <v>16</v>
      </c>
      <c r="G1518" s="22" t="s">
        <v>12</v>
      </c>
    </row>
    <row r="1519" ht="15.15" spans="1:7">
      <c r="A1519" s="20">
        <v>1517</v>
      </c>
      <c r="B1519" s="20">
        <v>8097</v>
      </c>
      <c r="C1519" s="21">
        <v>45223</v>
      </c>
      <c r="D1519" s="20">
        <v>3291.84</v>
      </c>
      <c r="E1519" s="22" t="s">
        <v>10</v>
      </c>
      <c r="F1519" s="22" t="s">
        <v>16</v>
      </c>
      <c r="G1519" s="22" t="s">
        <v>15</v>
      </c>
    </row>
    <row r="1520" ht="15.15" spans="1:7">
      <c r="A1520" s="20">
        <v>1518</v>
      </c>
      <c r="B1520" s="20">
        <v>8081</v>
      </c>
      <c r="C1520" s="21">
        <v>45271</v>
      </c>
      <c r="D1520" s="20">
        <v>3291.84</v>
      </c>
      <c r="E1520" s="22" t="s">
        <v>10</v>
      </c>
      <c r="F1520" s="22" t="s">
        <v>11</v>
      </c>
      <c r="G1520" s="22" t="s">
        <v>15</v>
      </c>
    </row>
    <row r="1521" ht="15.15" spans="1:7">
      <c r="A1521" s="20">
        <v>1519</v>
      </c>
      <c r="B1521" s="20">
        <v>6165</v>
      </c>
      <c r="C1521" s="21">
        <v>45255</v>
      </c>
      <c r="D1521" s="20">
        <v>3291.84</v>
      </c>
      <c r="E1521" s="22" t="s">
        <v>10</v>
      </c>
      <c r="F1521" s="22" t="s">
        <v>14</v>
      </c>
      <c r="G1521" s="22" t="s">
        <v>12</v>
      </c>
    </row>
    <row r="1522" ht="15.15" spans="1:7">
      <c r="A1522" s="20">
        <v>1520</v>
      </c>
      <c r="B1522" s="20">
        <v>6345</v>
      </c>
      <c r="C1522" s="21">
        <v>45200</v>
      </c>
      <c r="D1522" s="20">
        <v>3291.84</v>
      </c>
      <c r="E1522" s="22" t="s">
        <v>10</v>
      </c>
      <c r="F1522" s="22" t="s">
        <v>18</v>
      </c>
      <c r="G1522" s="22" t="s">
        <v>12</v>
      </c>
    </row>
    <row r="1523" ht="15.15" spans="1:7">
      <c r="A1523" s="20">
        <v>1521</v>
      </c>
      <c r="B1523" s="20">
        <v>9939</v>
      </c>
      <c r="C1523" s="21">
        <v>45283</v>
      </c>
      <c r="D1523" s="20">
        <v>3291.84</v>
      </c>
      <c r="E1523" s="22" t="s">
        <v>10</v>
      </c>
      <c r="F1523" s="22" t="s">
        <v>18</v>
      </c>
      <c r="G1523" s="22" t="s">
        <v>17</v>
      </c>
    </row>
    <row r="1524" ht="15.15" spans="1:7">
      <c r="A1524" s="20">
        <v>1522</v>
      </c>
      <c r="B1524" s="20">
        <v>53</v>
      </c>
      <c r="C1524" s="21">
        <v>45053</v>
      </c>
      <c r="D1524" s="20">
        <v>3291.84</v>
      </c>
      <c r="E1524" s="22" t="s">
        <v>10</v>
      </c>
      <c r="F1524" s="22" t="s">
        <v>18</v>
      </c>
      <c r="G1524" s="22" t="s">
        <v>15</v>
      </c>
    </row>
    <row r="1525" ht="15.15" spans="1:7">
      <c r="A1525" s="20">
        <v>1523</v>
      </c>
      <c r="B1525" s="20">
        <v>1710</v>
      </c>
      <c r="C1525" s="21">
        <v>45059</v>
      </c>
      <c r="D1525" s="20">
        <v>3291.84</v>
      </c>
      <c r="E1525" s="22" t="s">
        <v>10</v>
      </c>
      <c r="F1525" s="22" t="s">
        <v>18</v>
      </c>
      <c r="G1525" s="22" t="s">
        <v>20</v>
      </c>
    </row>
    <row r="1526" ht="15.15" spans="1:7">
      <c r="A1526" s="20">
        <v>1524</v>
      </c>
      <c r="B1526" s="20">
        <v>3657</v>
      </c>
      <c r="C1526" s="21">
        <v>45192</v>
      </c>
      <c r="D1526" s="20">
        <v>3291.84</v>
      </c>
      <c r="E1526" s="22" t="s">
        <v>10</v>
      </c>
      <c r="F1526" s="22" t="s">
        <v>13</v>
      </c>
      <c r="G1526" s="22" t="s">
        <v>12</v>
      </c>
    </row>
    <row r="1527" ht="15.15" spans="1:7">
      <c r="A1527" s="20">
        <v>1525</v>
      </c>
      <c r="B1527" s="20">
        <v>9945</v>
      </c>
      <c r="C1527" s="21">
        <v>45220</v>
      </c>
      <c r="D1527" s="20">
        <v>3291.84</v>
      </c>
      <c r="E1527" s="22" t="s">
        <v>10</v>
      </c>
      <c r="F1527" s="22" t="s">
        <v>13</v>
      </c>
      <c r="G1527" s="22" t="s">
        <v>17</v>
      </c>
    </row>
    <row r="1528" ht="15.15" spans="1:7">
      <c r="A1528" s="20">
        <v>1526</v>
      </c>
      <c r="B1528" s="20">
        <v>305</v>
      </c>
      <c r="C1528" s="21">
        <v>45075</v>
      </c>
      <c r="D1528" s="20">
        <v>3291.84</v>
      </c>
      <c r="E1528" s="22" t="s">
        <v>10</v>
      </c>
      <c r="F1528" s="22" t="s">
        <v>13</v>
      </c>
      <c r="G1528" s="22" t="s">
        <v>17</v>
      </c>
    </row>
    <row r="1529" ht="15.15" spans="1:7">
      <c r="A1529" s="20">
        <v>1527</v>
      </c>
      <c r="B1529" s="20">
        <v>1526</v>
      </c>
      <c r="C1529" s="21">
        <v>45237</v>
      </c>
      <c r="D1529" s="20">
        <v>3291.84</v>
      </c>
      <c r="E1529" s="22" t="s">
        <v>10</v>
      </c>
      <c r="F1529" s="22" t="s">
        <v>13</v>
      </c>
      <c r="G1529" s="22" t="s">
        <v>15</v>
      </c>
    </row>
    <row r="1530" ht="15.15" spans="1:7">
      <c r="A1530" s="20">
        <v>1528</v>
      </c>
      <c r="B1530" s="20">
        <v>5547</v>
      </c>
      <c r="C1530" s="21">
        <v>45090</v>
      </c>
      <c r="D1530" s="20">
        <v>3291.84</v>
      </c>
      <c r="E1530" s="22" t="s">
        <v>10</v>
      </c>
      <c r="F1530" s="22" t="s">
        <v>13</v>
      </c>
      <c r="G1530" s="22" t="s">
        <v>20</v>
      </c>
    </row>
    <row r="1531" ht="15.15" spans="1:7">
      <c r="A1531" s="20">
        <v>1529</v>
      </c>
      <c r="B1531" s="20">
        <v>2285</v>
      </c>
      <c r="C1531" s="21">
        <v>45158</v>
      </c>
      <c r="D1531" s="20">
        <v>3291.84</v>
      </c>
      <c r="E1531" s="22" t="s">
        <v>10</v>
      </c>
      <c r="F1531" s="22" t="s">
        <v>11</v>
      </c>
      <c r="G1531" s="22" t="s">
        <v>17</v>
      </c>
    </row>
    <row r="1532" ht="15.15" spans="1:7">
      <c r="A1532" s="20">
        <v>1530</v>
      </c>
      <c r="B1532" s="20">
        <v>8264</v>
      </c>
      <c r="C1532" s="21">
        <v>45029</v>
      </c>
      <c r="D1532" s="20">
        <v>3291.84</v>
      </c>
      <c r="E1532" s="22" t="s">
        <v>10</v>
      </c>
      <c r="F1532" s="22" t="s">
        <v>14</v>
      </c>
      <c r="G1532" s="22" t="s">
        <v>20</v>
      </c>
    </row>
    <row r="1533" ht="15.15" spans="1:7">
      <c r="A1533" s="20">
        <v>1531</v>
      </c>
      <c r="B1533" s="20">
        <v>8737</v>
      </c>
      <c r="C1533" s="21">
        <v>45183</v>
      </c>
      <c r="D1533" s="20">
        <v>3291.84</v>
      </c>
      <c r="E1533" s="22" t="s">
        <v>10</v>
      </c>
      <c r="F1533" s="22" t="s">
        <v>16</v>
      </c>
      <c r="G1533" s="22" t="s">
        <v>17</v>
      </c>
    </row>
    <row r="1534" ht="15.15" spans="1:7">
      <c r="A1534" s="20">
        <v>1532</v>
      </c>
      <c r="B1534" s="20">
        <v>6825</v>
      </c>
      <c r="C1534" s="21">
        <v>45138</v>
      </c>
      <c r="D1534" s="20">
        <v>3291.84</v>
      </c>
      <c r="E1534" s="22" t="s">
        <v>21</v>
      </c>
      <c r="F1534" s="22" t="s">
        <v>13</v>
      </c>
      <c r="G1534" s="22" t="s">
        <v>20</v>
      </c>
    </row>
    <row r="1535" ht="15.15" spans="1:7">
      <c r="A1535" s="20">
        <v>1533</v>
      </c>
      <c r="B1535" s="20">
        <v>4394</v>
      </c>
      <c r="C1535" s="21">
        <v>45169</v>
      </c>
      <c r="D1535" s="20">
        <v>3291.84</v>
      </c>
      <c r="E1535" s="22" t="s">
        <v>10</v>
      </c>
      <c r="F1535" s="22" t="s">
        <v>16</v>
      </c>
      <c r="G1535" s="22" t="s">
        <v>12</v>
      </c>
    </row>
    <row r="1536" ht="15.15" spans="1:7">
      <c r="A1536" s="20">
        <v>1534</v>
      </c>
      <c r="B1536" s="20">
        <v>9637</v>
      </c>
      <c r="C1536" s="21">
        <v>45289</v>
      </c>
      <c r="D1536" s="20">
        <v>3291.84</v>
      </c>
      <c r="E1536" s="22" t="s">
        <v>10</v>
      </c>
      <c r="F1536" s="22" t="s">
        <v>16</v>
      </c>
      <c r="G1536" s="22" t="s">
        <v>15</v>
      </c>
    </row>
    <row r="1537" ht="15.15" spans="1:7">
      <c r="A1537" s="20">
        <v>1535</v>
      </c>
      <c r="B1537" s="20">
        <v>685</v>
      </c>
      <c r="C1537" s="21">
        <v>45283</v>
      </c>
      <c r="D1537" s="20">
        <v>3291.84</v>
      </c>
      <c r="E1537" s="22" t="s">
        <v>10</v>
      </c>
      <c r="F1537" s="22" t="s">
        <v>18</v>
      </c>
      <c r="G1537" s="22" t="s">
        <v>15</v>
      </c>
    </row>
    <row r="1538" ht="15.15" spans="1:7">
      <c r="A1538" s="20">
        <v>1536</v>
      </c>
      <c r="B1538" s="20">
        <v>9611</v>
      </c>
      <c r="C1538" s="21">
        <v>45249</v>
      </c>
      <c r="D1538" s="20">
        <v>3291.84</v>
      </c>
      <c r="E1538" s="22" t="s">
        <v>10</v>
      </c>
      <c r="F1538" s="22" t="s">
        <v>18</v>
      </c>
      <c r="G1538" s="22" t="s">
        <v>12</v>
      </c>
    </row>
    <row r="1539" ht="15.15" spans="1:7">
      <c r="A1539" s="20">
        <v>1537</v>
      </c>
      <c r="B1539" s="20">
        <v>134</v>
      </c>
      <c r="C1539" s="21">
        <v>45128</v>
      </c>
      <c r="D1539" s="20">
        <v>3291.84</v>
      </c>
      <c r="E1539" s="22" t="s">
        <v>10</v>
      </c>
      <c r="F1539" s="22" t="s">
        <v>18</v>
      </c>
      <c r="G1539" s="22" t="s">
        <v>17</v>
      </c>
    </row>
    <row r="1540" ht="15.15" spans="1:7">
      <c r="A1540" s="20">
        <v>1538</v>
      </c>
      <c r="B1540" s="20">
        <v>9681</v>
      </c>
      <c r="C1540" s="21">
        <v>44999</v>
      </c>
      <c r="D1540" s="20">
        <v>3291.84</v>
      </c>
      <c r="E1540" s="22" t="s">
        <v>10</v>
      </c>
      <c r="F1540" s="22" t="s">
        <v>13</v>
      </c>
      <c r="G1540" s="22" t="s">
        <v>17</v>
      </c>
    </row>
    <row r="1541" ht="15.15" spans="1:7">
      <c r="A1541" s="20">
        <v>1539</v>
      </c>
      <c r="B1541" s="20">
        <v>6450</v>
      </c>
      <c r="C1541" s="21">
        <v>45162</v>
      </c>
      <c r="D1541" s="20">
        <v>3291.84</v>
      </c>
      <c r="E1541" s="22" t="s">
        <v>10</v>
      </c>
      <c r="F1541" s="22" t="s">
        <v>18</v>
      </c>
      <c r="G1541" s="22" t="s">
        <v>12</v>
      </c>
    </row>
    <row r="1542" ht="15.15" spans="1:7">
      <c r="A1542" s="20">
        <v>1540</v>
      </c>
      <c r="B1542" s="20">
        <v>5804</v>
      </c>
      <c r="C1542" s="21">
        <v>45211</v>
      </c>
      <c r="D1542" s="20">
        <v>3291.84</v>
      </c>
      <c r="E1542" s="22" t="s">
        <v>10</v>
      </c>
      <c r="F1542" s="22" t="s">
        <v>11</v>
      </c>
      <c r="G1542" s="22" t="s">
        <v>12</v>
      </c>
    </row>
    <row r="1543" ht="15.15" spans="1:7">
      <c r="A1543" s="20">
        <v>1541</v>
      </c>
      <c r="B1543" s="20">
        <v>3797</v>
      </c>
      <c r="C1543" s="21">
        <v>44962</v>
      </c>
      <c r="D1543" s="20">
        <v>3291.84</v>
      </c>
      <c r="E1543" s="22" t="s">
        <v>10</v>
      </c>
      <c r="F1543" s="22" t="s">
        <v>18</v>
      </c>
      <c r="G1543" s="22" t="s">
        <v>15</v>
      </c>
    </row>
    <row r="1544" ht="15.15" spans="1:7">
      <c r="A1544" s="20">
        <v>1542</v>
      </c>
      <c r="B1544" s="20">
        <v>1005</v>
      </c>
      <c r="C1544" s="21">
        <v>44980</v>
      </c>
      <c r="D1544" s="20">
        <v>3291.84</v>
      </c>
      <c r="E1544" s="22" t="s">
        <v>10</v>
      </c>
      <c r="F1544" s="22" t="s">
        <v>16</v>
      </c>
      <c r="G1544" s="22" t="s">
        <v>20</v>
      </c>
    </row>
    <row r="1545" ht="15.15" spans="1:7">
      <c r="A1545" s="20">
        <v>1543</v>
      </c>
      <c r="B1545" s="20">
        <v>3035</v>
      </c>
      <c r="C1545" s="21">
        <v>45117</v>
      </c>
      <c r="D1545" s="20">
        <v>3291.84</v>
      </c>
      <c r="E1545" s="22" t="s">
        <v>10</v>
      </c>
      <c r="F1545" s="22" t="s">
        <v>18</v>
      </c>
      <c r="G1545" s="22" t="s">
        <v>12</v>
      </c>
    </row>
    <row r="1546" ht="15.15" spans="1:7">
      <c r="A1546" s="20">
        <v>1544</v>
      </c>
      <c r="B1546" s="20">
        <v>4749</v>
      </c>
      <c r="C1546" s="21">
        <v>45094</v>
      </c>
      <c r="D1546" s="20">
        <v>3291.84</v>
      </c>
      <c r="E1546" s="22" t="s">
        <v>10</v>
      </c>
      <c r="F1546" s="22" t="s">
        <v>11</v>
      </c>
      <c r="G1546" s="22" t="s">
        <v>15</v>
      </c>
    </row>
    <row r="1547" ht="15.15" spans="1:7">
      <c r="A1547" s="20">
        <v>1545</v>
      </c>
      <c r="B1547" s="20">
        <v>3876</v>
      </c>
      <c r="C1547" s="21">
        <v>45212</v>
      </c>
      <c r="D1547" s="20">
        <v>3291.84</v>
      </c>
      <c r="E1547" s="22" t="s">
        <v>10</v>
      </c>
      <c r="F1547" s="22" t="s">
        <v>18</v>
      </c>
      <c r="G1547" s="22" t="s">
        <v>12</v>
      </c>
    </row>
    <row r="1548" ht="15.15" spans="1:7">
      <c r="A1548" s="20">
        <v>1546</v>
      </c>
      <c r="B1548" s="20">
        <v>6517</v>
      </c>
      <c r="C1548" s="21">
        <v>45206</v>
      </c>
      <c r="D1548" s="20">
        <v>3291.84</v>
      </c>
      <c r="E1548" s="22" t="s">
        <v>21</v>
      </c>
      <c r="F1548" s="22" t="s">
        <v>18</v>
      </c>
      <c r="G1548" s="22" t="s">
        <v>15</v>
      </c>
    </row>
    <row r="1549" ht="15.15" spans="1:7">
      <c r="A1549" s="20">
        <v>1547</v>
      </c>
      <c r="B1549" s="20">
        <v>1192</v>
      </c>
      <c r="C1549" s="21">
        <v>45017</v>
      </c>
      <c r="D1549" s="20">
        <v>3291.84</v>
      </c>
      <c r="E1549" s="22" t="s">
        <v>10</v>
      </c>
      <c r="F1549" s="22" t="s">
        <v>13</v>
      </c>
      <c r="G1549" s="22" t="s">
        <v>17</v>
      </c>
    </row>
    <row r="1550" ht="15.15" spans="1:7">
      <c r="A1550" s="20">
        <v>1548</v>
      </c>
      <c r="B1550" s="20">
        <v>8476</v>
      </c>
      <c r="C1550" s="21">
        <v>45031</v>
      </c>
      <c r="D1550" s="20">
        <v>3291.84</v>
      </c>
      <c r="E1550" s="22" t="s">
        <v>10</v>
      </c>
      <c r="F1550" s="22" t="s">
        <v>18</v>
      </c>
      <c r="G1550" s="22" t="s">
        <v>17</v>
      </c>
    </row>
    <row r="1551" ht="15.15" spans="1:7">
      <c r="A1551" s="20">
        <v>1549</v>
      </c>
      <c r="B1551" s="20">
        <v>1207</v>
      </c>
      <c r="C1551" s="21">
        <v>45265</v>
      </c>
      <c r="D1551" s="20">
        <v>3291.84</v>
      </c>
      <c r="E1551" s="22" t="s">
        <v>10</v>
      </c>
      <c r="F1551" s="22" t="s">
        <v>18</v>
      </c>
      <c r="G1551" s="22" t="s">
        <v>17</v>
      </c>
    </row>
    <row r="1552" ht="15.15" spans="1:7">
      <c r="A1552" s="20">
        <v>1550</v>
      </c>
      <c r="B1552" s="20">
        <v>7355</v>
      </c>
      <c r="C1552" s="21">
        <v>45025</v>
      </c>
      <c r="D1552" s="20">
        <v>3291.84</v>
      </c>
      <c r="E1552" s="22" t="s">
        <v>10</v>
      </c>
      <c r="F1552" s="22" t="s">
        <v>13</v>
      </c>
      <c r="G1552" s="22" t="s">
        <v>15</v>
      </c>
    </row>
    <row r="1553" ht="15.15" spans="1:7">
      <c r="A1553" s="20">
        <v>1551</v>
      </c>
      <c r="B1553" s="20">
        <v>1304</v>
      </c>
      <c r="C1553" s="21">
        <v>45275</v>
      </c>
      <c r="D1553" s="20">
        <v>3291.84</v>
      </c>
      <c r="E1553" s="22" t="s">
        <v>10</v>
      </c>
      <c r="F1553" s="22" t="s">
        <v>11</v>
      </c>
      <c r="G1553" s="22" t="s">
        <v>15</v>
      </c>
    </row>
    <row r="1554" ht="15.15" spans="1:7">
      <c r="A1554" s="20">
        <v>1552</v>
      </c>
      <c r="B1554" s="20">
        <v>455</v>
      </c>
      <c r="C1554" s="21">
        <v>45233</v>
      </c>
      <c r="D1554" s="20">
        <v>3291.84</v>
      </c>
      <c r="E1554" s="22" t="s">
        <v>10</v>
      </c>
      <c r="F1554" s="22" t="s">
        <v>18</v>
      </c>
      <c r="G1554" s="22" t="s">
        <v>20</v>
      </c>
    </row>
    <row r="1555" ht="15.15" spans="1:7">
      <c r="A1555" s="20">
        <v>1553</v>
      </c>
      <c r="B1555" s="20">
        <v>8675</v>
      </c>
      <c r="C1555" s="21">
        <v>45102</v>
      </c>
      <c r="D1555" s="20">
        <v>3291.84</v>
      </c>
      <c r="E1555" s="22" t="s">
        <v>10</v>
      </c>
      <c r="F1555" s="22" t="s">
        <v>18</v>
      </c>
      <c r="G1555" s="22" t="s">
        <v>20</v>
      </c>
    </row>
    <row r="1556" ht="15.15" spans="1:7">
      <c r="A1556" s="20">
        <v>1554</v>
      </c>
      <c r="B1556" s="20">
        <v>2147</v>
      </c>
      <c r="C1556" s="21">
        <v>45203</v>
      </c>
      <c r="D1556" s="20">
        <v>3291.84</v>
      </c>
      <c r="E1556" s="22" t="s">
        <v>10</v>
      </c>
      <c r="F1556" s="22" t="s">
        <v>11</v>
      </c>
      <c r="G1556" s="22" t="s">
        <v>12</v>
      </c>
    </row>
    <row r="1557" ht="15.15" spans="1:7">
      <c r="A1557" s="20">
        <v>1555</v>
      </c>
      <c r="B1557" s="20">
        <v>9038</v>
      </c>
      <c r="C1557" s="21">
        <v>45064</v>
      </c>
      <c r="D1557" s="20">
        <v>3291.84</v>
      </c>
      <c r="E1557" s="22" t="s">
        <v>10</v>
      </c>
      <c r="F1557" s="22" t="s">
        <v>14</v>
      </c>
      <c r="G1557" s="22" t="s">
        <v>15</v>
      </c>
    </row>
    <row r="1558" ht="15.15" spans="1:7">
      <c r="A1558" s="20">
        <v>1556</v>
      </c>
      <c r="B1558" s="20">
        <v>6944</v>
      </c>
      <c r="C1558" s="21">
        <v>45154</v>
      </c>
      <c r="D1558" s="20">
        <v>3291.84</v>
      </c>
      <c r="E1558" s="22" t="s">
        <v>10</v>
      </c>
      <c r="F1558" s="22" t="s">
        <v>18</v>
      </c>
      <c r="G1558" s="22" t="s">
        <v>20</v>
      </c>
    </row>
    <row r="1559" ht="15.15" spans="1:7">
      <c r="A1559" s="20">
        <v>1557</v>
      </c>
      <c r="B1559" s="20">
        <v>242</v>
      </c>
      <c r="C1559" s="21">
        <v>45026</v>
      </c>
      <c r="D1559" s="20">
        <v>3291.84</v>
      </c>
      <c r="E1559" s="22" t="s">
        <v>10</v>
      </c>
      <c r="F1559" s="22" t="s">
        <v>13</v>
      </c>
      <c r="G1559" s="22" t="s">
        <v>12</v>
      </c>
    </row>
    <row r="1560" ht="15.15" spans="1:7">
      <c r="A1560" s="20">
        <v>1558</v>
      </c>
      <c r="B1560" s="20">
        <v>2628</v>
      </c>
      <c r="C1560" s="21">
        <v>44956</v>
      </c>
      <c r="D1560" s="20">
        <v>3291.84</v>
      </c>
      <c r="E1560" s="22" t="s">
        <v>10</v>
      </c>
      <c r="F1560" s="22" t="s">
        <v>16</v>
      </c>
      <c r="G1560" s="22" t="s">
        <v>12</v>
      </c>
    </row>
    <row r="1561" ht="15.15" spans="1:7">
      <c r="A1561" s="20">
        <v>1559</v>
      </c>
      <c r="B1561" s="20">
        <v>1988</v>
      </c>
      <c r="C1561" s="21">
        <v>45201</v>
      </c>
      <c r="D1561" s="20">
        <v>3291.84</v>
      </c>
      <c r="E1561" s="22" t="s">
        <v>10</v>
      </c>
      <c r="F1561" s="22" t="s">
        <v>14</v>
      </c>
      <c r="G1561" s="22" t="s">
        <v>15</v>
      </c>
    </row>
    <row r="1562" ht="15.15" spans="1:7">
      <c r="A1562" s="20">
        <v>1560</v>
      </c>
      <c r="B1562" s="20">
        <v>7243</v>
      </c>
      <c r="C1562" s="21">
        <v>45082</v>
      </c>
      <c r="D1562" s="20">
        <v>3291.84</v>
      </c>
      <c r="E1562" s="22" t="s">
        <v>10</v>
      </c>
      <c r="F1562" s="22" t="s">
        <v>14</v>
      </c>
      <c r="G1562" s="22" t="s">
        <v>12</v>
      </c>
    </row>
    <row r="1563" ht="15.15" spans="1:7">
      <c r="A1563" s="20">
        <v>1561</v>
      </c>
      <c r="B1563" s="20">
        <v>6284</v>
      </c>
      <c r="C1563" s="21">
        <v>45121</v>
      </c>
      <c r="D1563" s="20">
        <v>3291.84</v>
      </c>
      <c r="E1563" s="22" t="s">
        <v>10</v>
      </c>
      <c r="F1563" s="22" t="s">
        <v>16</v>
      </c>
      <c r="G1563" s="22" t="s">
        <v>20</v>
      </c>
    </row>
    <row r="1564" ht="15.15" spans="1:7">
      <c r="A1564" s="20">
        <v>1562</v>
      </c>
      <c r="B1564" s="20">
        <v>23</v>
      </c>
      <c r="C1564" s="21">
        <v>44944</v>
      </c>
      <c r="D1564" s="20">
        <v>3291.84</v>
      </c>
      <c r="E1564" s="22" t="s">
        <v>10</v>
      </c>
      <c r="F1564" s="22" t="s">
        <v>13</v>
      </c>
      <c r="G1564" s="22" t="s">
        <v>17</v>
      </c>
    </row>
    <row r="1565" ht="15.15" spans="1:7">
      <c r="A1565" s="20">
        <v>1563</v>
      </c>
      <c r="B1565" s="20">
        <v>1842</v>
      </c>
      <c r="C1565" s="21">
        <v>45259</v>
      </c>
      <c r="D1565" s="20">
        <v>3291.84</v>
      </c>
      <c r="E1565" s="22" t="s">
        <v>10</v>
      </c>
      <c r="F1565" s="22" t="s">
        <v>16</v>
      </c>
      <c r="G1565" s="22" t="s">
        <v>20</v>
      </c>
    </row>
    <row r="1566" ht="15.15" spans="1:7">
      <c r="A1566" s="20">
        <v>1564</v>
      </c>
      <c r="B1566" s="20">
        <v>4880</v>
      </c>
      <c r="C1566" s="21">
        <v>45051</v>
      </c>
      <c r="D1566" s="20">
        <v>3291.84</v>
      </c>
      <c r="E1566" s="22" t="s">
        <v>10</v>
      </c>
      <c r="F1566" s="22" t="s">
        <v>16</v>
      </c>
      <c r="G1566" s="22" t="s">
        <v>20</v>
      </c>
    </row>
    <row r="1567" ht="15.15" spans="1:7">
      <c r="A1567" s="20">
        <v>1565</v>
      </c>
      <c r="B1567" s="20">
        <v>6463</v>
      </c>
      <c r="C1567" s="21">
        <v>45041</v>
      </c>
      <c r="D1567" s="20">
        <v>3291.84</v>
      </c>
      <c r="E1567" s="22" t="s">
        <v>10</v>
      </c>
      <c r="F1567" s="22" t="s">
        <v>18</v>
      </c>
      <c r="G1567" s="22" t="s">
        <v>12</v>
      </c>
    </row>
    <row r="1568" ht="15.15" spans="1:7">
      <c r="A1568" s="20">
        <v>1566</v>
      </c>
      <c r="B1568" s="20">
        <v>4829</v>
      </c>
      <c r="C1568" s="21">
        <v>45223</v>
      </c>
      <c r="D1568" s="20">
        <v>3291.84</v>
      </c>
      <c r="E1568" s="22" t="s">
        <v>10</v>
      </c>
      <c r="F1568" s="22" t="s">
        <v>13</v>
      </c>
      <c r="G1568" s="22" t="s">
        <v>20</v>
      </c>
    </row>
    <row r="1569" ht="15.15" spans="1:7">
      <c r="A1569" s="20">
        <v>1567</v>
      </c>
      <c r="B1569" s="20">
        <v>1608</v>
      </c>
      <c r="C1569" s="21">
        <v>45038</v>
      </c>
      <c r="D1569" s="20">
        <v>3291.84</v>
      </c>
      <c r="E1569" s="22" t="s">
        <v>10</v>
      </c>
      <c r="F1569" s="22" t="s">
        <v>14</v>
      </c>
      <c r="G1569" s="22" t="s">
        <v>20</v>
      </c>
    </row>
    <row r="1570" ht="15.15" spans="1:7">
      <c r="A1570" s="20">
        <v>1568</v>
      </c>
      <c r="B1570" s="20">
        <v>4797</v>
      </c>
      <c r="C1570" s="21">
        <v>45239</v>
      </c>
      <c r="D1570" s="20">
        <v>3291.84</v>
      </c>
      <c r="E1570" s="22" t="s">
        <v>10</v>
      </c>
      <c r="F1570" s="22" t="s">
        <v>16</v>
      </c>
      <c r="G1570" s="22" t="s">
        <v>15</v>
      </c>
    </row>
    <row r="1571" ht="15.15" spans="1:7">
      <c r="A1571" s="20">
        <v>1569</v>
      </c>
      <c r="B1571" s="20">
        <v>1047</v>
      </c>
      <c r="C1571" s="21">
        <v>45254</v>
      </c>
      <c r="D1571" s="20">
        <v>3291.84</v>
      </c>
      <c r="E1571" s="22" t="s">
        <v>10</v>
      </c>
      <c r="F1571" s="22" t="s">
        <v>14</v>
      </c>
      <c r="G1571" s="22" t="s">
        <v>20</v>
      </c>
    </row>
    <row r="1572" ht="15.15" spans="1:7">
      <c r="A1572" s="20">
        <v>1570</v>
      </c>
      <c r="B1572" s="20">
        <v>3500</v>
      </c>
      <c r="C1572" s="21">
        <v>45200</v>
      </c>
      <c r="D1572" s="20">
        <v>3291.84</v>
      </c>
      <c r="E1572" s="22" t="s">
        <v>10</v>
      </c>
      <c r="F1572" s="22" t="s">
        <v>16</v>
      </c>
      <c r="G1572" s="22" t="s">
        <v>17</v>
      </c>
    </row>
    <row r="1573" ht="15.15" spans="1:7">
      <c r="A1573" s="20">
        <v>1571</v>
      </c>
      <c r="B1573" s="20">
        <v>9332</v>
      </c>
      <c r="C1573" s="21">
        <v>45246</v>
      </c>
      <c r="D1573" s="20">
        <v>3291.84</v>
      </c>
      <c r="E1573" s="22" t="s">
        <v>10</v>
      </c>
      <c r="F1573" s="22" t="s">
        <v>18</v>
      </c>
      <c r="G1573" s="22" t="s">
        <v>12</v>
      </c>
    </row>
    <row r="1574" ht="15.15" spans="1:7">
      <c r="A1574" s="20">
        <v>1572</v>
      </c>
      <c r="B1574" s="20">
        <v>203</v>
      </c>
      <c r="C1574" s="21">
        <v>44948</v>
      </c>
      <c r="D1574" s="20">
        <v>3291.84</v>
      </c>
      <c r="E1574" s="22" t="s">
        <v>10</v>
      </c>
      <c r="F1574" s="22" t="s">
        <v>19</v>
      </c>
      <c r="G1574" s="22" t="s">
        <v>17</v>
      </c>
    </row>
    <row r="1575" ht="15.15" spans="1:7">
      <c r="A1575" s="20">
        <v>1573</v>
      </c>
      <c r="B1575" s="20">
        <v>7040</v>
      </c>
      <c r="C1575" s="21">
        <v>44961</v>
      </c>
      <c r="D1575" s="20">
        <v>3291.84</v>
      </c>
      <c r="E1575" s="22" t="s">
        <v>10</v>
      </c>
      <c r="F1575" s="22" t="s">
        <v>16</v>
      </c>
      <c r="G1575" s="22" t="s">
        <v>17</v>
      </c>
    </row>
    <row r="1576" ht="15.15" spans="1:7">
      <c r="A1576" s="20">
        <v>1574</v>
      </c>
      <c r="B1576" s="20">
        <v>9555</v>
      </c>
      <c r="C1576" s="21">
        <v>45258</v>
      </c>
      <c r="D1576" s="20">
        <v>3291.84</v>
      </c>
      <c r="E1576" s="22" t="s">
        <v>10</v>
      </c>
      <c r="F1576" s="22" t="s">
        <v>11</v>
      </c>
      <c r="G1576" s="22" t="s">
        <v>20</v>
      </c>
    </row>
    <row r="1577" ht="15.15" spans="1:7">
      <c r="A1577" s="20">
        <v>1575</v>
      </c>
      <c r="B1577" s="20">
        <v>3659</v>
      </c>
      <c r="C1577" s="21">
        <v>45266</v>
      </c>
      <c r="D1577" s="20">
        <v>3291.84</v>
      </c>
      <c r="E1577" s="22" t="s">
        <v>10</v>
      </c>
      <c r="F1577" s="22" t="s">
        <v>14</v>
      </c>
      <c r="G1577" s="22" t="s">
        <v>20</v>
      </c>
    </row>
    <row r="1578" ht="15.15" spans="1:7">
      <c r="A1578" s="20">
        <v>1576</v>
      </c>
      <c r="B1578" s="20">
        <v>2681</v>
      </c>
      <c r="C1578" s="21">
        <v>45243</v>
      </c>
      <c r="D1578" s="20">
        <v>3291.84</v>
      </c>
      <c r="E1578" s="22" t="s">
        <v>10</v>
      </c>
      <c r="F1578" s="22" t="s">
        <v>13</v>
      </c>
      <c r="G1578" s="22" t="s">
        <v>17</v>
      </c>
    </row>
    <row r="1579" ht="15.15" spans="1:7">
      <c r="A1579" s="20">
        <v>1577</v>
      </c>
      <c r="B1579" s="20">
        <v>741</v>
      </c>
      <c r="C1579" s="21">
        <v>45186</v>
      </c>
      <c r="D1579" s="20">
        <v>3291.84</v>
      </c>
      <c r="E1579" s="22" t="s">
        <v>10</v>
      </c>
      <c r="F1579" s="22" t="s">
        <v>13</v>
      </c>
      <c r="G1579" s="22" t="s">
        <v>15</v>
      </c>
    </row>
    <row r="1580" ht="15.15" spans="1:7">
      <c r="A1580" s="20">
        <v>1578</v>
      </c>
      <c r="B1580" s="20">
        <v>5549</v>
      </c>
      <c r="C1580" s="21">
        <v>45274</v>
      </c>
      <c r="D1580" s="20">
        <v>3291.84</v>
      </c>
      <c r="E1580" s="22" t="s">
        <v>10</v>
      </c>
      <c r="F1580" s="22" t="s">
        <v>18</v>
      </c>
      <c r="G1580" s="22" t="s">
        <v>20</v>
      </c>
    </row>
    <row r="1581" ht="15.15" spans="1:7">
      <c r="A1581" s="20">
        <v>1579</v>
      </c>
      <c r="B1581" s="20">
        <v>5108</v>
      </c>
      <c r="C1581" s="21">
        <v>45164</v>
      </c>
      <c r="D1581" s="20">
        <v>3291.84</v>
      </c>
      <c r="E1581" s="22" t="s">
        <v>10</v>
      </c>
      <c r="F1581" s="22" t="s">
        <v>13</v>
      </c>
      <c r="G1581" s="22" t="s">
        <v>15</v>
      </c>
    </row>
    <row r="1582" ht="15.15" spans="1:7">
      <c r="A1582" s="20">
        <v>1580</v>
      </c>
      <c r="B1582" s="20">
        <v>3583</v>
      </c>
      <c r="C1582" s="21">
        <v>45269</v>
      </c>
      <c r="D1582" s="20">
        <v>3291.84</v>
      </c>
      <c r="E1582" s="22" t="s">
        <v>22</v>
      </c>
      <c r="F1582" s="22" t="s">
        <v>18</v>
      </c>
      <c r="G1582" s="22" t="s">
        <v>20</v>
      </c>
    </row>
    <row r="1583" ht="15.15" spans="1:7">
      <c r="A1583" s="20">
        <v>1581</v>
      </c>
      <c r="B1583" s="20">
        <v>1304</v>
      </c>
      <c r="C1583" s="21">
        <v>45137</v>
      </c>
      <c r="D1583" s="20">
        <v>3291.84</v>
      </c>
      <c r="E1583" s="22" t="s">
        <v>10</v>
      </c>
      <c r="F1583" s="22" t="s">
        <v>11</v>
      </c>
      <c r="G1583" s="22" t="s">
        <v>20</v>
      </c>
    </row>
    <row r="1584" ht="15.15" spans="1:7">
      <c r="A1584" s="20">
        <v>1582</v>
      </c>
      <c r="B1584" s="20">
        <v>8691</v>
      </c>
      <c r="C1584" s="21">
        <v>45142</v>
      </c>
      <c r="D1584" s="20">
        <v>3291.84</v>
      </c>
      <c r="E1584" s="22" t="s">
        <v>10</v>
      </c>
      <c r="F1584" s="22" t="s">
        <v>13</v>
      </c>
      <c r="G1584" s="22" t="s">
        <v>12</v>
      </c>
    </row>
    <row r="1585" ht="15.15" spans="1:7">
      <c r="A1585" s="20">
        <v>1583</v>
      </c>
      <c r="B1585" s="20">
        <v>7330</v>
      </c>
      <c r="C1585" s="21">
        <v>45174</v>
      </c>
      <c r="D1585" s="20">
        <v>3291.84</v>
      </c>
      <c r="E1585" s="22" t="s">
        <v>10</v>
      </c>
      <c r="F1585" s="22" t="s">
        <v>11</v>
      </c>
      <c r="G1585" s="22" t="s">
        <v>12</v>
      </c>
    </row>
    <row r="1586" ht="15.15" spans="1:7">
      <c r="A1586" s="20">
        <v>1584</v>
      </c>
      <c r="B1586" s="20">
        <v>546</v>
      </c>
      <c r="C1586" s="21">
        <v>44954</v>
      </c>
      <c r="D1586" s="20">
        <v>3291.84</v>
      </c>
      <c r="E1586" s="22" t="s">
        <v>10</v>
      </c>
      <c r="F1586" s="22" t="s">
        <v>11</v>
      </c>
      <c r="G1586" s="22" t="s">
        <v>20</v>
      </c>
    </row>
    <row r="1587" ht="15.15" spans="1:7">
      <c r="A1587" s="20">
        <v>1585</v>
      </c>
      <c r="B1587" s="20">
        <v>9930</v>
      </c>
      <c r="C1587" s="21">
        <v>45244</v>
      </c>
      <c r="D1587" s="20">
        <v>3291.84</v>
      </c>
      <c r="E1587" s="22" t="s">
        <v>22</v>
      </c>
      <c r="F1587" s="22" t="s">
        <v>11</v>
      </c>
      <c r="G1587" s="22" t="s">
        <v>17</v>
      </c>
    </row>
    <row r="1588" ht="15.15" spans="1:7">
      <c r="A1588" s="20">
        <v>1586</v>
      </c>
      <c r="B1588" s="20">
        <v>5341</v>
      </c>
      <c r="C1588" s="21">
        <v>45023</v>
      </c>
      <c r="D1588" s="20">
        <v>3291.84</v>
      </c>
      <c r="E1588" s="22" t="s">
        <v>10</v>
      </c>
      <c r="F1588" s="22" t="s">
        <v>16</v>
      </c>
      <c r="G1588" s="22" t="s">
        <v>15</v>
      </c>
    </row>
    <row r="1589" ht="15.15" spans="1:7">
      <c r="A1589" s="20">
        <v>1587</v>
      </c>
      <c r="B1589" s="20">
        <v>8161</v>
      </c>
      <c r="C1589" s="21">
        <v>45182</v>
      </c>
      <c r="D1589" s="20">
        <v>3291.84</v>
      </c>
      <c r="E1589" s="22" t="s">
        <v>10</v>
      </c>
      <c r="F1589" s="22" t="s">
        <v>11</v>
      </c>
      <c r="G1589" s="22" t="s">
        <v>20</v>
      </c>
    </row>
    <row r="1590" ht="15.15" spans="1:7">
      <c r="A1590" s="20">
        <v>1588</v>
      </c>
      <c r="B1590" s="20">
        <v>9893</v>
      </c>
      <c r="C1590" s="21">
        <v>44950</v>
      </c>
      <c r="D1590" s="20">
        <v>3291.84</v>
      </c>
      <c r="E1590" s="22" t="s">
        <v>10</v>
      </c>
      <c r="F1590" s="22" t="s">
        <v>11</v>
      </c>
      <c r="G1590" s="22" t="s">
        <v>20</v>
      </c>
    </row>
    <row r="1591" ht="15.15" spans="1:7">
      <c r="A1591" s="20">
        <v>1589</v>
      </c>
      <c r="B1591" s="20">
        <v>5548</v>
      </c>
      <c r="C1591" s="21">
        <v>45115</v>
      </c>
      <c r="D1591" s="20">
        <v>3291.84</v>
      </c>
      <c r="E1591" s="22" t="s">
        <v>10</v>
      </c>
      <c r="F1591" s="22" t="s">
        <v>14</v>
      </c>
      <c r="G1591" s="22" t="s">
        <v>17</v>
      </c>
    </row>
    <row r="1592" ht="15.15" spans="1:7">
      <c r="A1592" s="20">
        <v>1590</v>
      </c>
      <c r="B1592" s="20">
        <v>8137</v>
      </c>
      <c r="C1592" s="21">
        <v>44930</v>
      </c>
      <c r="D1592" s="20">
        <v>3291.84</v>
      </c>
      <c r="E1592" s="22" t="s">
        <v>10</v>
      </c>
      <c r="F1592" s="22" t="s">
        <v>13</v>
      </c>
      <c r="G1592" s="22" t="s">
        <v>17</v>
      </c>
    </row>
    <row r="1593" ht="15.15" spans="1:7">
      <c r="A1593" s="20">
        <v>1591</v>
      </c>
      <c r="B1593" s="20">
        <v>6898</v>
      </c>
      <c r="C1593" s="21">
        <v>45229</v>
      </c>
      <c r="D1593" s="20">
        <v>3291.84</v>
      </c>
      <c r="E1593" s="22" t="s">
        <v>10</v>
      </c>
      <c r="F1593" s="22" t="s">
        <v>13</v>
      </c>
      <c r="G1593" s="22" t="s">
        <v>20</v>
      </c>
    </row>
    <row r="1594" ht="15.15" spans="1:7">
      <c r="A1594" s="20">
        <v>1592</v>
      </c>
      <c r="B1594" s="20">
        <v>3287</v>
      </c>
      <c r="C1594" s="21">
        <v>45272</v>
      </c>
      <c r="D1594" s="20">
        <v>3291.84</v>
      </c>
      <c r="E1594" s="22" t="s">
        <v>10</v>
      </c>
      <c r="F1594" s="22" t="s">
        <v>19</v>
      </c>
      <c r="G1594" s="22" t="s">
        <v>15</v>
      </c>
    </row>
    <row r="1595" ht="15.15" spans="1:7">
      <c r="A1595" s="20">
        <v>1593</v>
      </c>
      <c r="B1595" s="20">
        <v>4869</v>
      </c>
      <c r="C1595" s="21">
        <v>45211</v>
      </c>
      <c r="D1595" s="20">
        <v>3291.84</v>
      </c>
      <c r="E1595" s="22" t="s">
        <v>10</v>
      </c>
      <c r="F1595" s="22" t="s">
        <v>16</v>
      </c>
      <c r="G1595" s="22" t="s">
        <v>17</v>
      </c>
    </row>
    <row r="1596" ht="15.15" spans="1:7">
      <c r="A1596" s="20">
        <v>1594</v>
      </c>
      <c r="B1596" s="20">
        <v>9091</v>
      </c>
      <c r="C1596" s="21">
        <v>45020</v>
      </c>
      <c r="D1596" s="20">
        <v>3291.84</v>
      </c>
      <c r="E1596" s="22" t="s">
        <v>10</v>
      </c>
      <c r="F1596" s="22" t="s">
        <v>13</v>
      </c>
      <c r="G1596" s="22" t="s">
        <v>17</v>
      </c>
    </row>
    <row r="1597" ht="15.15" spans="1:7">
      <c r="A1597" s="20">
        <v>1595</v>
      </c>
      <c r="B1597" s="20">
        <v>6969</v>
      </c>
      <c r="C1597" s="21">
        <v>45163</v>
      </c>
      <c r="D1597" s="20">
        <v>3291.84</v>
      </c>
      <c r="E1597" s="22" t="s">
        <v>10</v>
      </c>
      <c r="F1597" s="22" t="s">
        <v>18</v>
      </c>
      <c r="G1597" s="22" t="s">
        <v>20</v>
      </c>
    </row>
    <row r="1598" ht="15.15" spans="1:7">
      <c r="A1598" s="20">
        <v>1596</v>
      </c>
      <c r="B1598" s="20">
        <v>438</v>
      </c>
      <c r="C1598" s="21">
        <v>45222</v>
      </c>
      <c r="D1598" s="20">
        <v>3291.84</v>
      </c>
      <c r="E1598" s="22" t="s">
        <v>10</v>
      </c>
      <c r="F1598" s="22" t="s">
        <v>18</v>
      </c>
      <c r="G1598" s="22" t="s">
        <v>17</v>
      </c>
    </row>
    <row r="1599" ht="15.15" spans="1:7">
      <c r="A1599" s="20">
        <v>1597</v>
      </c>
      <c r="B1599" s="20">
        <v>3172</v>
      </c>
      <c r="C1599" s="21">
        <v>45106</v>
      </c>
      <c r="D1599" s="20">
        <v>3291.84</v>
      </c>
      <c r="E1599" s="22" t="s">
        <v>10</v>
      </c>
      <c r="F1599" s="22" t="s">
        <v>14</v>
      </c>
      <c r="G1599" s="22" t="s">
        <v>20</v>
      </c>
    </row>
    <row r="1600" ht="15.15" spans="1:7">
      <c r="A1600" s="20">
        <v>1598</v>
      </c>
      <c r="B1600" s="20">
        <v>3742</v>
      </c>
      <c r="C1600" s="21">
        <v>45250</v>
      </c>
      <c r="D1600" s="20">
        <v>3291.84</v>
      </c>
      <c r="E1600" s="22" t="s">
        <v>10</v>
      </c>
      <c r="F1600" s="22" t="s">
        <v>13</v>
      </c>
      <c r="G1600" s="22" t="s">
        <v>20</v>
      </c>
    </row>
    <row r="1601" ht="15.15" spans="1:7">
      <c r="A1601" s="20">
        <v>1599</v>
      </c>
      <c r="B1601" s="20">
        <v>646</v>
      </c>
      <c r="C1601" s="21">
        <v>45068</v>
      </c>
      <c r="D1601" s="20">
        <v>3291.84</v>
      </c>
      <c r="E1601" s="22" t="s">
        <v>10</v>
      </c>
      <c r="F1601" s="22" t="s">
        <v>11</v>
      </c>
      <c r="G1601" s="22" t="s">
        <v>12</v>
      </c>
    </row>
    <row r="1602" ht="15.15" spans="1:7">
      <c r="A1602" s="20">
        <v>1600</v>
      </c>
      <c r="B1602" s="20">
        <v>8683</v>
      </c>
      <c r="C1602" s="21">
        <v>45157</v>
      </c>
      <c r="D1602" s="20">
        <v>3291.84</v>
      </c>
      <c r="E1602" s="22" t="s">
        <v>10</v>
      </c>
      <c r="F1602" s="22" t="s">
        <v>14</v>
      </c>
      <c r="G1602" s="22" t="s">
        <v>15</v>
      </c>
    </row>
    <row r="1603" ht="15.15" spans="1:7">
      <c r="A1603" s="20">
        <v>1601</v>
      </c>
      <c r="B1603" s="20">
        <v>8098</v>
      </c>
      <c r="C1603" s="21">
        <v>44987</v>
      </c>
      <c r="D1603" s="20">
        <v>3291.84</v>
      </c>
      <c r="E1603" s="22" t="s">
        <v>10</v>
      </c>
      <c r="F1603" s="22" t="s">
        <v>11</v>
      </c>
      <c r="G1603" s="22" t="s">
        <v>20</v>
      </c>
    </row>
    <row r="1604" ht="15.15" spans="1:7">
      <c r="A1604" s="20">
        <v>1602</v>
      </c>
      <c r="B1604" s="20">
        <v>8657</v>
      </c>
      <c r="C1604" s="21">
        <v>45167</v>
      </c>
      <c r="D1604" s="20">
        <v>3291.84</v>
      </c>
      <c r="E1604" s="22" t="s">
        <v>10</v>
      </c>
      <c r="F1604" s="22" t="s">
        <v>13</v>
      </c>
      <c r="G1604" s="22" t="s">
        <v>20</v>
      </c>
    </row>
    <row r="1605" ht="15.15" spans="1:7">
      <c r="A1605" s="20">
        <v>1603</v>
      </c>
      <c r="B1605" s="20">
        <v>1528</v>
      </c>
      <c r="C1605" s="21">
        <v>45261</v>
      </c>
      <c r="D1605" s="20">
        <v>3291.84</v>
      </c>
      <c r="E1605" s="22" t="s">
        <v>10</v>
      </c>
      <c r="F1605" s="22" t="s">
        <v>18</v>
      </c>
      <c r="G1605" s="22" t="s">
        <v>15</v>
      </c>
    </row>
    <row r="1606" ht="15.15" spans="1:7">
      <c r="A1606" s="20">
        <v>1604</v>
      </c>
      <c r="B1606" s="20">
        <v>5751</v>
      </c>
      <c r="C1606" s="21">
        <v>45145</v>
      </c>
      <c r="D1606" s="20">
        <v>3291.84</v>
      </c>
      <c r="E1606" s="22" t="s">
        <v>10</v>
      </c>
      <c r="F1606" s="22" t="s">
        <v>13</v>
      </c>
      <c r="G1606" s="22" t="s">
        <v>17</v>
      </c>
    </row>
    <row r="1607" ht="15.15" spans="1:7">
      <c r="A1607" s="20">
        <v>1605</v>
      </c>
      <c r="B1607" s="20">
        <v>1739</v>
      </c>
      <c r="C1607" s="21">
        <v>45268</v>
      </c>
      <c r="D1607" s="20">
        <v>3291.84</v>
      </c>
      <c r="E1607" s="22" t="s">
        <v>10</v>
      </c>
      <c r="F1607" s="22" t="s">
        <v>13</v>
      </c>
      <c r="G1607" s="22" t="s">
        <v>15</v>
      </c>
    </row>
    <row r="1608" ht="15.15" spans="1:7">
      <c r="A1608" s="20">
        <v>1606</v>
      </c>
      <c r="B1608" s="20">
        <v>1036</v>
      </c>
      <c r="C1608" s="21">
        <v>45117</v>
      </c>
      <c r="D1608" s="20">
        <v>3291.84</v>
      </c>
      <c r="E1608" s="22" t="s">
        <v>10</v>
      </c>
      <c r="F1608" s="22" t="s">
        <v>16</v>
      </c>
      <c r="G1608" s="22" t="s">
        <v>20</v>
      </c>
    </row>
    <row r="1609" ht="15.15" spans="1:7">
      <c r="A1609" s="20">
        <v>1607</v>
      </c>
      <c r="B1609" s="20">
        <v>8982</v>
      </c>
      <c r="C1609" s="21">
        <v>45074</v>
      </c>
      <c r="D1609" s="20">
        <v>3291.84</v>
      </c>
      <c r="E1609" s="22" t="s">
        <v>10</v>
      </c>
      <c r="F1609" s="22" t="s">
        <v>14</v>
      </c>
      <c r="G1609" s="22" t="s">
        <v>17</v>
      </c>
    </row>
    <row r="1610" ht="15.15" spans="1:7">
      <c r="A1610" s="20">
        <v>1608</v>
      </c>
      <c r="B1610" s="20">
        <v>2505</v>
      </c>
      <c r="C1610" s="21">
        <v>45285</v>
      </c>
      <c r="D1610" s="20">
        <v>3291.84</v>
      </c>
      <c r="E1610" s="22" t="s">
        <v>10</v>
      </c>
      <c r="F1610" s="22" t="s">
        <v>13</v>
      </c>
      <c r="G1610" s="22" t="s">
        <v>20</v>
      </c>
    </row>
    <row r="1611" ht="15.15" spans="1:7">
      <c r="A1611" s="20">
        <v>1609</v>
      </c>
      <c r="B1611" s="20">
        <v>6529</v>
      </c>
      <c r="C1611" s="21">
        <v>45078</v>
      </c>
      <c r="D1611" s="20">
        <v>3291.84</v>
      </c>
      <c r="E1611" s="22" t="s">
        <v>10</v>
      </c>
      <c r="F1611" s="22" t="s">
        <v>13</v>
      </c>
      <c r="G1611" s="22" t="s">
        <v>12</v>
      </c>
    </row>
    <row r="1612" ht="15.15" spans="1:7">
      <c r="A1612" s="20">
        <v>1610</v>
      </c>
      <c r="B1612" s="20">
        <v>3899</v>
      </c>
      <c r="C1612" s="21">
        <v>45270</v>
      </c>
      <c r="D1612" s="20">
        <v>3291.84</v>
      </c>
      <c r="E1612" s="22" t="s">
        <v>10</v>
      </c>
      <c r="F1612" s="22" t="s">
        <v>16</v>
      </c>
      <c r="G1612" s="22" t="s">
        <v>15</v>
      </c>
    </row>
    <row r="1613" ht="15.15" spans="1:7">
      <c r="A1613" s="20">
        <v>1611</v>
      </c>
      <c r="B1613" s="20">
        <v>3946</v>
      </c>
      <c r="C1613" s="21">
        <v>45014</v>
      </c>
      <c r="D1613" s="20">
        <v>3291.84</v>
      </c>
      <c r="E1613" s="22" t="s">
        <v>10</v>
      </c>
      <c r="F1613" s="22" t="s">
        <v>16</v>
      </c>
      <c r="G1613" s="22" t="s">
        <v>15</v>
      </c>
    </row>
    <row r="1614" ht="15.15" spans="1:7">
      <c r="A1614" s="20">
        <v>1612</v>
      </c>
      <c r="B1614" s="20">
        <v>5840</v>
      </c>
      <c r="C1614" s="21">
        <v>44950</v>
      </c>
      <c r="D1614" s="20">
        <v>3291.84</v>
      </c>
      <c r="E1614" s="22" t="s">
        <v>10</v>
      </c>
      <c r="F1614" s="22" t="s">
        <v>16</v>
      </c>
      <c r="G1614" s="22" t="s">
        <v>15</v>
      </c>
    </row>
    <row r="1615" ht="15.15" spans="1:7">
      <c r="A1615" s="20">
        <v>1613</v>
      </c>
      <c r="B1615" s="20">
        <v>8012</v>
      </c>
      <c r="C1615" s="21">
        <v>44999</v>
      </c>
      <c r="D1615" s="20">
        <v>3291.84</v>
      </c>
      <c r="E1615" s="22" t="s">
        <v>10</v>
      </c>
      <c r="F1615" s="22" t="s">
        <v>16</v>
      </c>
      <c r="G1615" s="22" t="s">
        <v>15</v>
      </c>
    </row>
    <row r="1616" ht="15.15" spans="1:7">
      <c r="A1616" s="20">
        <v>1614</v>
      </c>
      <c r="B1616" s="20">
        <v>4214</v>
      </c>
      <c r="C1616" s="21">
        <v>45072</v>
      </c>
      <c r="D1616" s="20">
        <v>3291.84</v>
      </c>
      <c r="E1616" s="22" t="s">
        <v>10</v>
      </c>
      <c r="F1616" s="22" t="s">
        <v>11</v>
      </c>
      <c r="G1616" s="22" t="s">
        <v>17</v>
      </c>
    </row>
    <row r="1617" ht="15.15" spans="1:7">
      <c r="A1617" s="20">
        <v>1615</v>
      </c>
      <c r="B1617" s="20">
        <v>4075</v>
      </c>
      <c r="C1617" s="21">
        <v>45112</v>
      </c>
      <c r="D1617" s="20">
        <v>3291.84</v>
      </c>
      <c r="E1617" s="22" t="s">
        <v>10</v>
      </c>
      <c r="F1617" s="22" t="s">
        <v>16</v>
      </c>
      <c r="G1617" s="22" t="s">
        <v>17</v>
      </c>
    </row>
    <row r="1618" ht="15.15" spans="1:7">
      <c r="A1618" s="20">
        <v>1616</v>
      </c>
      <c r="B1618" s="20">
        <v>7653</v>
      </c>
      <c r="C1618" s="21">
        <v>45286</v>
      </c>
      <c r="D1618" s="20">
        <v>3291.84</v>
      </c>
      <c r="E1618" s="22" t="s">
        <v>10</v>
      </c>
      <c r="F1618" s="22" t="s">
        <v>18</v>
      </c>
      <c r="G1618" s="22" t="s">
        <v>17</v>
      </c>
    </row>
    <row r="1619" ht="15.15" spans="1:7">
      <c r="A1619" s="20">
        <v>1617</v>
      </c>
      <c r="B1619" s="20">
        <v>192</v>
      </c>
      <c r="C1619" s="21">
        <v>45050</v>
      </c>
      <c r="D1619" s="20">
        <v>3291.84</v>
      </c>
      <c r="E1619" s="22" t="s">
        <v>10</v>
      </c>
      <c r="F1619" s="22" t="s">
        <v>11</v>
      </c>
      <c r="G1619" s="22" t="s">
        <v>15</v>
      </c>
    </row>
    <row r="1620" ht="15.15" spans="1:7">
      <c r="A1620" s="20">
        <v>1618</v>
      </c>
      <c r="B1620" s="20">
        <v>8108</v>
      </c>
      <c r="C1620" s="21">
        <v>45219</v>
      </c>
      <c r="D1620" s="20">
        <v>3291.84</v>
      </c>
      <c r="E1620" s="22" t="s">
        <v>10</v>
      </c>
      <c r="F1620" s="22" t="s">
        <v>18</v>
      </c>
      <c r="G1620" s="22" t="s">
        <v>15</v>
      </c>
    </row>
    <row r="1621" ht="15.15" spans="1:7">
      <c r="A1621" s="20">
        <v>1619</v>
      </c>
      <c r="B1621" s="20">
        <v>9004</v>
      </c>
      <c r="C1621" s="21">
        <v>45022</v>
      </c>
      <c r="D1621" s="20">
        <v>3291.84</v>
      </c>
      <c r="E1621" s="22" t="s">
        <v>10</v>
      </c>
      <c r="F1621" s="22" t="s">
        <v>11</v>
      </c>
      <c r="G1621" s="22" t="s">
        <v>12</v>
      </c>
    </row>
    <row r="1622" ht="15.15" spans="1:7">
      <c r="A1622" s="20">
        <v>1620</v>
      </c>
      <c r="B1622" s="20">
        <v>6650</v>
      </c>
      <c r="C1622" s="21">
        <v>45277</v>
      </c>
      <c r="D1622" s="20">
        <v>3291.84</v>
      </c>
      <c r="E1622" s="22" t="s">
        <v>10</v>
      </c>
      <c r="F1622" s="22" t="s">
        <v>19</v>
      </c>
      <c r="G1622" s="22" t="s">
        <v>20</v>
      </c>
    </row>
    <row r="1623" ht="15.15" spans="1:7">
      <c r="A1623" s="20">
        <v>1621</v>
      </c>
      <c r="B1623" s="20">
        <v>8890</v>
      </c>
      <c r="C1623" s="21">
        <v>45152</v>
      </c>
      <c r="D1623" s="20">
        <v>3291.84</v>
      </c>
      <c r="E1623" s="22" t="s">
        <v>10</v>
      </c>
      <c r="F1623" s="22" t="s">
        <v>11</v>
      </c>
      <c r="G1623" s="22" t="s">
        <v>15</v>
      </c>
    </row>
    <row r="1624" ht="15.15" spans="1:7">
      <c r="A1624" s="20">
        <v>1622</v>
      </c>
      <c r="B1624" s="20">
        <v>6924</v>
      </c>
      <c r="C1624" s="21">
        <v>45251</v>
      </c>
      <c r="D1624" s="20">
        <v>3291.84</v>
      </c>
      <c r="E1624" s="22" t="s">
        <v>10</v>
      </c>
      <c r="F1624" s="22" t="s">
        <v>13</v>
      </c>
      <c r="G1624" s="22" t="s">
        <v>15</v>
      </c>
    </row>
    <row r="1625" ht="15.15" spans="1:7">
      <c r="A1625" s="20">
        <v>1623</v>
      </c>
      <c r="B1625" s="20">
        <v>3548</v>
      </c>
      <c r="C1625" s="21">
        <v>45179</v>
      </c>
      <c r="D1625" s="20">
        <v>3291.84</v>
      </c>
      <c r="E1625" s="22" t="s">
        <v>10</v>
      </c>
      <c r="F1625" s="22" t="s">
        <v>16</v>
      </c>
      <c r="G1625" s="22" t="s">
        <v>17</v>
      </c>
    </row>
    <row r="1626" ht="15.15" spans="1:7">
      <c r="A1626" s="20">
        <v>1624</v>
      </c>
      <c r="B1626" s="20">
        <v>5376</v>
      </c>
      <c r="C1626" s="21">
        <v>45279</v>
      </c>
      <c r="D1626" s="20">
        <v>3291.84</v>
      </c>
      <c r="E1626" s="22" t="s">
        <v>10</v>
      </c>
      <c r="F1626" s="22" t="s">
        <v>16</v>
      </c>
      <c r="G1626" s="22" t="s">
        <v>15</v>
      </c>
    </row>
    <row r="1627" ht="15.15" spans="1:7">
      <c r="A1627" s="20">
        <v>1625</v>
      </c>
      <c r="B1627" s="20">
        <v>3332</v>
      </c>
      <c r="C1627" s="21">
        <v>45087</v>
      </c>
      <c r="D1627" s="20">
        <v>3291.84</v>
      </c>
      <c r="E1627" s="22" t="s">
        <v>10</v>
      </c>
      <c r="F1627" s="22" t="s">
        <v>18</v>
      </c>
      <c r="G1627" s="22" t="s">
        <v>15</v>
      </c>
    </row>
    <row r="1628" ht="15.15" spans="1:7">
      <c r="A1628" s="20">
        <v>1626</v>
      </c>
      <c r="B1628" s="20">
        <v>7884</v>
      </c>
      <c r="C1628" s="21">
        <v>45242</v>
      </c>
      <c r="D1628" s="20">
        <v>3291.84</v>
      </c>
      <c r="E1628" s="22" t="s">
        <v>10</v>
      </c>
      <c r="F1628" s="22" t="s">
        <v>16</v>
      </c>
      <c r="G1628" s="22" t="s">
        <v>20</v>
      </c>
    </row>
    <row r="1629" ht="15.15" spans="1:7">
      <c r="A1629" s="20">
        <v>1627</v>
      </c>
      <c r="B1629" s="20">
        <v>5872</v>
      </c>
      <c r="C1629" s="21">
        <v>45003</v>
      </c>
      <c r="D1629" s="20">
        <v>3291.84</v>
      </c>
      <c r="E1629" s="22" t="s">
        <v>10</v>
      </c>
      <c r="F1629" s="22" t="s">
        <v>16</v>
      </c>
      <c r="G1629" s="22" t="s">
        <v>20</v>
      </c>
    </row>
    <row r="1630" ht="15.15" spans="1:7">
      <c r="A1630" s="20">
        <v>1628</v>
      </c>
      <c r="B1630" s="20">
        <v>1866</v>
      </c>
      <c r="C1630" s="21">
        <v>44961</v>
      </c>
      <c r="D1630" s="20">
        <v>3291.84</v>
      </c>
      <c r="E1630" s="22" t="s">
        <v>10</v>
      </c>
      <c r="F1630" s="22" t="s">
        <v>18</v>
      </c>
      <c r="G1630" s="22" t="s">
        <v>12</v>
      </c>
    </row>
    <row r="1631" ht="15.15" spans="1:7">
      <c r="A1631" s="20">
        <v>1629</v>
      </c>
      <c r="B1631" s="20">
        <v>6336</v>
      </c>
      <c r="C1631" s="21">
        <v>45163</v>
      </c>
      <c r="D1631" s="20">
        <v>3291.84</v>
      </c>
      <c r="E1631" s="22" t="s">
        <v>10</v>
      </c>
      <c r="F1631" s="22" t="s">
        <v>14</v>
      </c>
      <c r="G1631" s="22" t="s">
        <v>12</v>
      </c>
    </row>
    <row r="1632" ht="15.15" spans="1:7">
      <c r="A1632" s="20">
        <v>1630</v>
      </c>
      <c r="B1632" s="20">
        <v>9502</v>
      </c>
      <c r="C1632" s="21">
        <v>45049</v>
      </c>
      <c r="D1632" s="20">
        <v>3291.84</v>
      </c>
      <c r="E1632" s="22" t="s">
        <v>10</v>
      </c>
      <c r="F1632" s="22" t="s">
        <v>14</v>
      </c>
      <c r="G1632" s="22" t="s">
        <v>20</v>
      </c>
    </row>
    <row r="1633" ht="15.15" spans="1:7">
      <c r="A1633" s="20">
        <v>1631</v>
      </c>
      <c r="B1633" s="20">
        <v>461</v>
      </c>
      <c r="C1633" s="21">
        <v>45255</v>
      </c>
      <c r="D1633" s="20">
        <v>3291.84</v>
      </c>
      <c r="E1633" s="22" t="s">
        <v>10</v>
      </c>
      <c r="F1633" s="22" t="s">
        <v>13</v>
      </c>
      <c r="G1633" s="22" t="s">
        <v>17</v>
      </c>
    </row>
    <row r="1634" ht="15.15" spans="1:7">
      <c r="A1634" s="20">
        <v>1632</v>
      </c>
      <c r="B1634" s="20">
        <v>1337</v>
      </c>
      <c r="C1634" s="21">
        <v>44947</v>
      </c>
      <c r="D1634" s="20">
        <v>3291.84</v>
      </c>
      <c r="E1634" s="22" t="s">
        <v>10</v>
      </c>
      <c r="F1634" s="22" t="s">
        <v>11</v>
      </c>
      <c r="G1634" s="22" t="s">
        <v>12</v>
      </c>
    </row>
    <row r="1635" ht="15.15" spans="1:7">
      <c r="A1635" s="20">
        <v>1633</v>
      </c>
      <c r="B1635" s="20">
        <v>3678</v>
      </c>
      <c r="C1635" s="21">
        <v>45176</v>
      </c>
      <c r="D1635" s="20">
        <v>3291.84</v>
      </c>
      <c r="E1635" s="22" t="s">
        <v>10</v>
      </c>
      <c r="F1635" s="22" t="s">
        <v>11</v>
      </c>
      <c r="G1635" s="22" t="s">
        <v>17</v>
      </c>
    </row>
    <row r="1636" ht="15.15" spans="1:7">
      <c r="A1636" s="20">
        <v>1634</v>
      </c>
      <c r="B1636" s="20">
        <v>8430</v>
      </c>
      <c r="C1636" s="21">
        <v>45272</v>
      </c>
      <c r="D1636" s="20">
        <v>3291.84</v>
      </c>
      <c r="E1636" s="22" t="s">
        <v>10</v>
      </c>
      <c r="F1636" s="22" t="s">
        <v>16</v>
      </c>
      <c r="G1636" s="22" t="s">
        <v>12</v>
      </c>
    </row>
    <row r="1637" ht="15.15" spans="1:7">
      <c r="A1637" s="20">
        <v>1635</v>
      </c>
      <c r="B1637" s="20">
        <v>5454</v>
      </c>
      <c r="C1637" s="21">
        <v>45056</v>
      </c>
      <c r="D1637" s="20">
        <v>3291.84</v>
      </c>
      <c r="E1637" s="22" t="s">
        <v>10</v>
      </c>
      <c r="F1637" s="22" t="s">
        <v>14</v>
      </c>
      <c r="G1637" s="22" t="s">
        <v>20</v>
      </c>
    </row>
    <row r="1638" ht="15.15" spans="1:7">
      <c r="A1638" s="20">
        <v>1636</v>
      </c>
      <c r="B1638" s="20">
        <v>5840</v>
      </c>
      <c r="C1638" s="21">
        <v>45239</v>
      </c>
      <c r="D1638" s="20">
        <v>3291.84</v>
      </c>
      <c r="E1638" s="22" t="s">
        <v>22</v>
      </c>
      <c r="F1638" s="22" t="s">
        <v>16</v>
      </c>
      <c r="G1638" s="22" t="s">
        <v>17</v>
      </c>
    </row>
    <row r="1639" ht="15.15" spans="1:7">
      <c r="A1639" s="20">
        <v>1637</v>
      </c>
      <c r="B1639" s="20">
        <v>1094</v>
      </c>
      <c r="C1639" s="21">
        <v>44939</v>
      </c>
      <c r="D1639" s="20">
        <v>3291.84</v>
      </c>
      <c r="E1639" s="22" t="s">
        <v>10</v>
      </c>
      <c r="F1639" s="22" t="s">
        <v>18</v>
      </c>
      <c r="G1639" s="22" t="s">
        <v>20</v>
      </c>
    </row>
    <row r="1640" ht="15.15" spans="1:7">
      <c r="A1640" s="20">
        <v>1638</v>
      </c>
      <c r="B1640" s="20">
        <v>8542</v>
      </c>
      <c r="C1640" s="21">
        <v>45218</v>
      </c>
      <c r="D1640" s="20">
        <v>3291.84</v>
      </c>
      <c r="E1640" s="22" t="s">
        <v>21</v>
      </c>
      <c r="F1640" s="22" t="s">
        <v>18</v>
      </c>
      <c r="G1640" s="22" t="s">
        <v>17</v>
      </c>
    </row>
    <row r="1641" ht="15.15" spans="1:7">
      <c r="A1641" s="20">
        <v>1639</v>
      </c>
      <c r="B1641" s="20">
        <v>1655</v>
      </c>
      <c r="C1641" s="21">
        <v>45237</v>
      </c>
      <c r="D1641" s="20">
        <v>3291.84</v>
      </c>
      <c r="E1641" s="22" t="s">
        <v>10</v>
      </c>
      <c r="F1641" s="22" t="s">
        <v>11</v>
      </c>
      <c r="G1641" s="22" t="s">
        <v>15</v>
      </c>
    </row>
    <row r="1642" ht="15.15" spans="1:7">
      <c r="A1642" s="20">
        <v>1640</v>
      </c>
      <c r="B1642" s="20">
        <v>7374</v>
      </c>
      <c r="C1642" s="21">
        <v>45264</v>
      </c>
      <c r="D1642" s="20">
        <v>3291.84</v>
      </c>
      <c r="E1642" s="22" t="s">
        <v>10</v>
      </c>
      <c r="F1642" s="22" t="s">
        <v>16</v>
      </c>
      <c r="G1642" s="22" t="s">
        <v>12</v>
      </c>
    </row>
    <row r="1643" ht="15.15" spans="1:7">
      <c r="A1643" s="20">
        <v>1641</v>
      </c>
      <c r="B1643" s="20">
        <v>7047</v>
      </c>
      <c r="C1643" s="21">
        <v>45249</v>
      </c>
      <c r="D1643" s="20">
        <v>3291.84</v>
      </c>
      <c r="E1643" s="22" t="s">
        <v>10</v>
      </c>
      <c r="F1643" s="22" t="s">
        <v>16</v>
      </c>
      <c r="G1643" s="22" t="s">
        <v>12</v>
      </c>
    </row>
    <row r="1644" ht="15.15" spans="1:7">
      <c r="A1644" s="20">
        <v>1642</v>
      </c>
      <c r="B1644" s="20">
        <v>3886</v>
      </c>
      <c r="C1644" s="21">
        <v>45158</v>
      </c>
      <c r="D1644" s="20">
        <v>3291.84</v>
      </c>
      <c r="E1644" s="22" t="s">
        <v>10</v>
      </c>
      <c r="F1644" s="22" t="s">
        <v>19</v>
      </c>
      <c r="G1644" s="22" t="s">
        <v>17</v>
      </c>
    </row>
    <row r="1645" ht="15.15" spans="1:7">
      <c r="A1645" s="20">
        <v>1643</v>
      </c>
      <c r="B1645" s="20">
        <v>4158</v>
      </c>
      <c r="C1645" s="21">
        <v>45259</v>
      </c>
      <c r="D1645" s="20">
        <v>3291.84</v>
      </c>
      <c r="E1645" s="22" t="s">
        <v>10</v>
      </c>
      <c r="F1645" s="22" t="s">
        <v>16</v>
      </c>
      <c r="G1645" s="22" t="s">
        <v>15</v>
      </c>
    </row>
    <row r="1646" ht="15.15" spans="1:7">
      <c r="A1646" s="20">
        <v>1644</v>
      </c>
      <c r="B1646" s="20">
        <v>3974</v>
      </c>
      <c r="C1646" s="21">
        <v>45264</v>
      </c>
      <c r="D1646" s="20">
        <v>3291.84</v>
      </c>
      <c r="E1646" s="22" t="s">
        <v>10</v>
      </c>
      <c r="F1646" s="22" t="s">
        <v>16</v>
      </c>
      <c r="G1646" s="22" t="s">
        <v>12</v>
      </c>
    </row>
    <row r="1647" ht="15.15" spans="1:7">
      <c r="A1647" s="20">
        <v>1645</v>
      </c>
      <c r="B1647" s="20">
        <v>8590</v>
      </c>
      <c r="C1647" s="21">
        <v>45280</v>
      </c>
      <c r="D1647" s="20">
        <v>3291.84</v>
      </c>
      <c r="E1647" s="22" t="s">
        <v>10</v>
      </c>
      <c r="F1647" s="22" t="s">
        <v>18</v>
      </c>
      <c r="G1647" s="22" t="s">
        <v>17</v>
      </c>
    </row>
    <row r="1648" ht="15.15" spans="1:7">
      <c r="A1648" s="20">
        <v>1646</v>
      </c>
      <c r="B1648" s="20">
        <v>3987</v>
      </c>
      <c r="C1648" s="21">
        <v>45262</v>
      </c>
      <c r="D1648" s="20">
        <v>3291.84</v>
      </c>
      <c r="E1648" s="22" t="s">
        <v>10</v>
      </c>
      <c r="F1648" s="22" t="s">
        <v>18</v>
      </c>
      <c r="G1648" s="22" t="s">
        <v>17</v>
      </c>
    </row>
    <row r="1649" ht="15.15" spans="1:7">
      <c r="A1649" s="20">
        <v>1647</v>
      </c>
      <c r="B1649" s="20">
        <v>1592</v>
      </c>
      <c r="C1649" s="21">
        <v>45093</v>
      </c>
      <c r="D1649" s="20">
        <v>3291.84</v>
      </c>
      <c r="E1649" s="22" t="s">
        <v>10</v>
      </c>
      <c r="F1649" s="22" t="s">
        <v>13</v>
      </c>
      <c r="G1649" s="22" t="s">
        <v>12</v>
      </c>
    </row>
    <row r="1650" ht="15.15" spans="1:7">
      <c r="A1650" s="20">
        <v>1648</v>
      </c>
      <c r="B1650" s="20">
        <v>7736</v>
      </c>
      <c r="C1650" s="21">
        <v>45061</v>
      </c>
      <c r="D1650" s="20">
        <v>3291.84</v>
      </c>
      <c r="E1650" s="22" t="s">
        <v>10</v>
      </c>
      <c r="F1650" s="22" t="s">
        <v>18</v>
      </c>
      <c r="G1650" s="22" t="s">
        <v>17</v>
      </c>
    </row>
    <row r="1651" ht="15.15" spans="1:7">
      <c r="A1651" s="20">
        <v>1649</v>
      </c>
      <c r="B1651" s="20">
        <v>5887</v>
      </c>
      <c r="C1651" s="21">
        <v>44932</v>
      </c>
      <c r="D1651" s="20">
        <v>3291.84</v>
      </c>
      <c r="E1651" s="22" t="s">
        <v>10</v>
      </c>
      <c r="F1651" s="22" t="s">
        <v>13</v>
      </c>
      <c r="G1651" s="22" t="s">
        <v>17</v>
      </c>
    </row>
    <row r="1652" ht="15.15" spans="1:7">
      <c r="A1652" s="20">
        <v>1650</v>
      </c>
      <c r="B1652" s="20">
        <v>8027</v>
      </c>
      <c r="C1652" s="21">
        <v>45245</v>
      </c>
      <c r="D1652" s="20">
        <v>3291.84</v>
      </c>
      <c r="E1652" s="22" t="s">
        <v>10</v>
      </c>
      <c r="F1652" s="22" t="s">
        <v>18</v>
      </c>
      <c r="G1652" s="22" t="s">
        <v>17</v>
      </c>
    </row>
    <row r="1653" ht="15.15" spans="1:7">
      <c r="A1653" s="20">
        <v>1651</v>
      </c>
      <c r="B1653" s="20">
        <v>6756</v>
      </c>
      <c r="C1653" s="21">
        <v>45207</v>
      </c>
      <c r="D1653" s="20">
        <v>3291.84</v>
      </c>
      <c r="E1653" s="22" t="s">
        <v>10</v>
      </c>
      <c r="F1653" s="22" t="s">
        <v>16</v>
      </c>
      <c r="G1653" s="22" t="s">
        <v>20</v>
      </c>
    </row>
    <row r="1654" ht="15.15" spans="1:7">
      <c r="A1654" s="20">
        <v>1652</v>
      </c>
      <c r="B1654" s="20">
        <v>4788</v>
      </c>
      <c r="C1654" s="21">
        <v>44958</v>
      </c>
      <c r="D1654" s="20">
        <v>3291.84</v>
      </c>
      <c r="E1654" s="22" t="s">
        <v>10</v>
      </c>
      <c r="F1654" s="22" t="s">
        <v>18</v>
      </c>
      <c r="G1654" s="22" t="s">
        <v>17</v>
      </c>
    </row>
    <row r="1655" ht="15.15" spans="1:7">
      <c r="A1655" s="20">
        <v>1653</v>
      </c>
      <c r="B1655" s="20">
        <v>1787</v>
      </c>
      <c r="C1655" s="21">
        <v>45135</v>
      </c>
      <c r="D1655" s="20">
        <v>3291.84</v>
      </c>
      <c r="E1655" s="22" t="s">
        <v>10</v>
      </c>
      <c r="F1655" s="22" t="s">
        <v>13</v>
      </c>
      <c r="G1655" s="22" t="s">
        <v>20</v>
      </c>
    </row>
    <row r="1656" ht="15.15" spans="1:7">
      <c r="A1656" s="20">
        <v>1654</v>
      </c>
      <c r="B1656" s="20">
        <v>2189</v>
      </c>
      <c r="C1656" s="21">
        <v>45209</v>
      </c>
      <c r="D1656" s="20">
        <v>3291.84</v>
      </c>
      <c r="E1656" s="22" t="s">
        <v>10</v>
      </c>
      <c r="F1656" s="22" t="s">
        <v>19</v>
      </c>
      <c r="G1656" s="22" t="s">
        <v>20</v>
      </c>
    </row>
    <row r="1657" ht="15.15" spans="1:7">
      <c r="A1657" s="20">
        <v>1655</v>
      </c>
      <c r="B1657" s="20">
        <v>1413</v>
      </c>
      <c r="C1657" s="21">
        <v>45107</v>
      </c>
      <c r="D1657" s="20">
        <v>3291.84</v>
      </c>
      <c r="E1657" s="22" t="s">
        <v>10</v>
      </c>
      <c r="F1657" s="22" t="s">
        <v>11</v>
      </c>
      <c r="G1657" s="22" t="s">
        <v>20</v>
      </c>
    </row>
    <row r="1658" ht="15.15" spans="1:7">
      <c r="A1658" s="20">
        <v>1656</v>
      </c>
      <c r="B1658" s="20">
        <v>6066</v>
      </c>
      <c r="C1658" s="21">
        <v>45236</v>
      </c>
      <c r="D1658" s="20">
        <v>3291.84</v>
      </c>
      <c r="E1658" s="22" t="s">
        <v>10</v>
      </c>
      <c r="F1658" s="22" t="s">
        <v>11</v>
      </c>
      <c r="G1658" s="22" t="s">
        <v>17</v>
      </c>
    </row>
    <row r="1659" ht="15.15" spans="1:7">
      <c r="A1659" s="20">
        <v>1657</v>
      </c>
      <c r="B1659" s="20">
        <v>5630</v>
      </c>
      <c r="C1659" s="21">
        <v>45104</v>
      </c>
      <c r="D1659" s="20">
        <v>3291.84</v>
      </c>
      <c r="E1659" s="22" t="s">
        <v>10</v>
      </c>
      <c r="F1659" s="22" t="s">
        <v>11</v>
      </c>
      <c r="G1659" s="22" t="s">
        <v>15</v>
      </c>
    </row>
    <row r="1660" ht="15.15" spans="1:7">
      <c r="A1660" s="20">
        <v>1658</v>
      </c>
      <c r="B1660" s="20">
        <v>1832</v>
      </c>
      <c r="C1660" s="21">
        <v>45120</v>
      </c>
      <c r="D1660" s="20">
        <v>3291.84</v>
      </c>
      <c r="E1660" s="22" t="s">
        <v>10</v>
      </c>
      <c r="F1660" s="22" t="s">
        <v>14</v>
      </c>
      <c r="G1660" s="22" t="s">
        <v>15</v>
      </c>
    </row>
    <row r="1661" ht="15.15" spans="1:7">
      <c r="A1661" s="20">
        <v>1659</v>
      </c>
      <c r="B1661" s="20">
        <v>1784</v>
      </c>
      <c r="C1661" s="21">
        <v>45247</v>
      </c>
      <c r="D1661" s="20">
        <v>3291.84</v>
      </c>
      <c r="E1661" s="22" t="s">
        <v>10</v>
      </c>
      <c r="F1661" s="22" t="s">
        <v>16</v>
      </c>
      <c r="G1661" s="22" t="s">
        <v>20</v>
      </c>
    </row>
    <row r="1662" ht="15.15" spans="1:7">
      <c r="A1662" s="20">
        <v>1660</v>
      </c>
      <c r="B1662" s="20">
        <v>5924</v>
      </c>
      <c r="C1662" s="21">
        <v>45238</v>
      </c>
      <c r="D1662" s="20">
        <v>3291.84</v>
      </c>
      <c r="E1662" s="22" t="s">
        <v>10</v>
      </c>
      <c r="F1662" s="22" t="s">
        <v>11</v>
      </c>
      <c r="G1662" s="22" t="s">
        <v>15</v>
      </c>
    </row>
    <row r="1663" ht="15.15" spans="1:7">
      <c r="A1663" s="20">
        <v>1661</v>
      </c>
      <c r="B1663" s="20">
        <v>1477</v>
      </c>
      <c r="C1663" s="21">
        <v>44987</v>
      </c>
      <c r="D1663" s="20">
        <v>3291.84</v>
      </c>
      <c r="E1663" s="22" t="s">
        <v>10</v>
      </c>
      <c r="F1663" s="22" t="s">
        <v>18</v>
      </c>
      <c r="G1663" s="22" t="s">
        <v>15</v>
      </c>
    </row>
    <row r="1664" ht="15.15" spans="1:7">
      <c r="A1664" s="20">
        <v>1662</v>
      </c>
      <c r="B1664" s="20">
        <v>3640</v>
      </c>
      <c r="C1664" s="21">
        <v>45241</v>
      </c>
      <c r="D1664" s="20">
        <v>3291.84</v>
      </c>
      <c r="E1664" s="22" t="s">
        <v>10</v>
      </c>
      <c r="F1664" s="22" t="s">
        <v>13</v>
      </c>
      <c r="G1664" s="22" t="s">
        <v>15</v>
      </c>
    </row>
    <row r="1665" ht="15.15" spans="1:7">
      <c r="A1665" s="20">
        <v>1663</v>
      </c>
      <c r="B1665" s="20">
        <v>6736</v>
      </c>
      <c r="C1665" s="21">
        <v>45188</v>
      </c>
      <c r="D1665" s="20">
        <v>3291.84</v>
      </c>
      <c r="E1665" s="22" t="s">
        <v>10</v>
      </c>
      <c r="F1665" s="22" t="s">
        <v>16</v>
      </c>
      <c r="G1665" s="22" t="s">
        <v>17</v>
      </c>
    </row>
    <row r="1666" ht="15.15" spans="1:7">
      <c r="A1666" s="20">
        <v>1664</v>
      </c>
      <c r="B1666" s="20">
        <v>9882</v>
      </c>
      <c r="C1666" s="21">
        <v>45209</v>
      </c>
      <c r="D1666" s="20">
        <v>3291.84</v>
      </c>
      <c r="E1666" s="22" t="s">
        <v>10</v>
      </c>
      <c r="F1666" s="22" t="s">
        <v>13</v>
      </c>
      <c r="G1666" s="22" t="s">
        <v>20</v>
      </c>
    </row>
    <row r="1667" ht="15.15" spans="1:7">
      <c r="A1667" s="20">
        <v>1665</v>
      </c>
      <c r="B1667" s="20">
        <v>1750</v>
      </c>
      <c r="C1667" s="21">
        <v>45118</v>
      </c>
      <c r="D1667" s="20">
        <v>3291.84</v>
      </c>
      <c r="E1667" s="22" t="s">
        <v>10</v>
      </c>
      <c r="F1667" s="22" t="s">
        <v>13</v>
      </c>
      <c r="G1667" s="22" t="s">
        <v>15</v>
      </c>
    </row>
    <row r="1668" ht="15.15" spans="1:7">
      <c r="A1668" s="20">
        <v>1666</v>
      </c>
      <c r="B1668" s="20">
        <v>88</v>
      </c>
      <c r="C1668" s="21">
        <v>45235</v>
      </c>
      <c r="D1668" s="20">
        <v>3291.84</v>
      </c>
      <c r="E1668" s="22" t="s">
        <v>10</v>
      </c>
      <c r="F1668" s="22" t="s">
        <v>14</v>
      </c>
      <c r="G1668" s="22" t="s">
        <v>12</v>
      </c>
    </row>
    <row r="1669" ht="15.15" spans="1:7">
      <c r="A1669" s="20">
        <v>1667</v>
      </c>
      <c r="B1669" s="20">
        <v>2720</v>
      </c>
      <c r="C1669" s="21">
        <v>45191</v>
      </c>
      <c r="D1669" s="20">
        <v>3291.84</v>
      </c>
      <c r="E1669" s="22" t="s">
        <v>10</v>
      </c>
      <c r="F1669" s="22" t="s">
        <v>16</v>
      </c>
      <c r="G1669" s="22" t="s">
        <v>12</v>
      </c>
    </row>
    <row r="1670" ht="15.15" spans="1:7">
      <c r="A1670" s="20">
        <v>1668</v>
      </c>
      <c r="B1670" s="20">
        <v>427</v>
      </c>
      <c r="C1670" s="21">
        <v>45058</v>
      </c>
      <c r="D1670" s="20">
        <v>3291.84</v>
      </c>
      <c r="E1670" s="22" t="s">
        <v>10</v>
      </c>
      <c r="F1670" s="22" t="s">
        <v>11</v>
      </c>
      <c r="G1670" s="22" t="s">
        <v>20</v>
      </c>
    </row>
    <row r="1671" ht="15.15" spans="1:7">
      <c r="A1671" s="20">
        <v>1669</v>
      </c>
      <c r="B1671" s="20">
        <v>2265</v>
      </c>
      <c r="C1671" s="21">
        <v>44934</v>
      </c>
      <c r="D1671" s="20">
        <v>3291.84</v>
      </c>
      <c r="E1671" s="22" t="s">
        <v>10</v>
      </c>
      <c r="F1671" s="22" t="s">
        <v>14</v>
      </c>
      <c r="G1671" s="22" t="s">
        <v>17</v>
      </c>
    </row>
    <row r="1672" ht="15.15" spans="1:7">
      <c r="A1672" s="20">
        <v>1670</v>
      </c>
      <c r="B1672" s="20">
        <v>8144</v>
      </c>
      <c r="C1672" s="21">
        <v>45278</v>
      </c>
      <c r="D1672" s="20">
        <v>3291.84</v>
      </c>
      <c r="E1672" s="22" t="s">
        <v>10</v>
      </c>
      <c r="F1672" s="22" t="s">
        <v>14</v>
      </c>
      <c r="G1672" s="22" t="s">
        <v>17</v>
      </c>
    </row>
    <row r="1673" ht="15.15" spans="1:7">
      <c r="A1673" s="20">
        <v>1671</v>
      </c>
      <c r="B1673" s="20">
        <v>2406</v>
      </c>
      <c r="C1673" s="21">
        <v>44947</v>
      </c>
      <c r="D1673" s="20">
        <v>3291.84</v>
      </c>
      <c r="E1673" s="22" t="s">
        <v>10</v>
      </c>
      <c r="F1673" s="22" t="s">
        <v>11</v>
      </c>
      <c r="G1673" s="22" t="s">
        <v>17</v>
      </c>
    </row>
    <row r="1674" ht="15.15" spans="1:7">
      <c r="A1674" s="20">
        <v>1672</v>
      </c>
      <c r="B1674" s="20">
        <v>404</v>
      </c>
      <c r="C1674" s="21">
        <v>45060</v>
      </c>
      <c r="D1674" s="20">
        <v>3291.84</v>
      </c>
      <c r="E1674" s="22" t="s">
        <v>10</v>
      </c>
      <c r="F1674" s="22" t="s">
        <v>11</v>
      </c>
      <c r="G1674" s="22" t="s">
        <v>20</v>
      </c>
    </row>
    <row r="1675" ht="15.15" spans="1:7">
      <c r="A1675" s="20">
        <v>1673</v>
      </c>
      <c r="B1675" s="20">
        <v>3740</v>
      </c>
      <c r="C1675" s="21">
        <v>45286</v>
      </c>
      <c r="D1675" s="20">
        <v>3291.84</v>
      </c>
      <c r="E1675" s="22" t="s">
        <v>10</v>
      </c>
      <c r="F1675" s="22" t="s">
        <v>18</v>
      </c>
      <c r="G1675" s="22" t="s">
        <v>17</v>
      </c>
    </row>
    <row r="1676" ht="15.15" spans="1:7">
      <c r="A1676" s="20">
        <v>1674</v>
      </c>
      <c r="B1676" s="20">
        <v>5209</v>
      </c>
      <c r="C1676" s="21">
        <v>45274</v>
      </c>
      <c r="D1676" s="20">
        <v>3291.84</v>
      </c>
      <c r="E1676" s="22" t="s">
        <v>10</v>
      </c>
      <c r="F1676" s="22" t="s">
        <v>18</v>
      </c>
      <c r="G1676" s="22" t="s">
        <v>17</v>
      </c>
    </row>
    <row r="1677" ht="15.15" spans="1:7">
      <c r="A1677" s="20">
        <v>1675</v>
      </c>
      <c r="B1677" s="20">
        <v>5221</v>
      </c>
      <c r="C1677" s="21">
        <v>45067</v>
      </c>
      <c r="D1677" s="20">
        <v>3291.84</v>
      </c>
      <c r="E1677" s="22" t="s">
        <v>10</v>
      </c>
      <c r="F1677" s="22" t="s">
        <v>13</v>
      </c>
      <c r="G1677" s="22" t="s">
        <v>12</v>
      </c>
    </row>
    <row r="1678" ht="15.15" spans="1:7">
      <c r="A1678" s="20">
        <v>1676</v>
      </c>
      <c r="B1678" s="20">
        <v>7820</v>
      </c>
      <c r="C1678" s="21">
        <v>45030</v>
      </c>
      <c r="D1678" s="20">
        <v>3291.84</v>
      </c>
      <c r="E1678" s="22" t="s">
        <v>10</v>
      </c>
      <c r="F1678" s="22" t="s">
        <v>13</v>
      </c>
      <c r="G1678" s="22" t="s">
        <v>17</v>
      </c>
    </row>
    <row r="1679" ht="15.15" spans="1:7">
      <c r="A1679" s="20">
        <v>1677</v>
      </c>
      <c r="B1679" s="20">
        <v>1941</v>
      </c>
      <c r="C1679" s="21">
        <v>45156</v>
      </c>
      <c r="D1679" s="20">
        <v>3291.84</v>
      </c>
      <c r="E1679" s="22" t="s">
        <v>10</v>
      </c>
      <c r="F1679" s="22" t="s">
        <v>14</v>
      </c>
      <c r="G1679" s="22" t="s">
        <v>17</v>
      </c>
    </row>
    <row r="1680" ht="15.15" spans="1:7">
      <c r="A1680" s="20">
        <v>1678</v>
      </c>
      <c r="B1680" s="20">
        <v>1545</v>
      </c>
      <c r="C1680" s="21">
        <v>45229</v>
      </c>
      <c r="D1680" s="20">
        <v>3291.84</v>
      </c>
      <c r="E1680" s="22" t="s">
        <v>10</v>
      </c>
      <c r="F1680" s="22" t="s">
        <v>11</v>
      </c>
      <c r="G1680" s="22" t="s">
        <v>20</v>
      </c>
    </row>
    <row r="1681" ht="15.15" spans="1:7">
      <c r="A1681" s="20">
        <v>1679</v>
      </c>
      <c r="B1681" s="20">
        <v>3266</v>
      </c>
      <c r="C1681" s="21">
        <v>45244</v>
      </c>
      <c r="D1681" s="20">
        <v>3291.84</v>
      </c>
      <c r="E1681" s="22" t="s">
        <v>10</v>
      </c>
      <c r="F1681" s="22" t="s">
        <v>13</v>
      </c>
      <c r="G1681" s="22" t="s">
        <v>20</v>
      </c>
    </row>
    <row r="1682" ht="15.15" spans="1:7">
      <c r="A1682" s="20">
        <v>1680</v>
      </c>
      <c r="B1682" s="20">
        <v>1146</v>
      </c>
      <c r="C1682" s="21">
        <v>45281</v>
      </c>
      <c r="D1682" s="20">
        <v>3291.84</v>
      </c>
      <c r="E1682" s="22" t="s">
        <v>10</v>
      </c>
      <c r="F1682" s="22" t="s">
        <v>14</v>
      </c>
      <c r="G1682" s="22" t="s">
        <v>12</v>
      </c>
    </row>
    <row r="1683" ht="15.15" spans="1:7">
      <c r="A1683" s="20">
        <v>1681</v>
      </c>
      <c r="B1683" s="20">
        <v>946</v>
      </c>
      <c r="C1683" s="21">
        <v>45289</v>
      </c>
      <c r="D1683" s="20">
        <v>3291.84</v>
      </c>
      <c r="E1683" s="22" t="s">
        <v>10</v>
      </c>
      <c r="F1683" s="22" t="s">
        <v>19</v>
      </c>
      <c r="G1683" s="22" t="s">
        <v>12</v>
      </c>
    </row>
    <row r="1684" ht="15.15" spans="1:7">
      <c r="A1684" s="20">
        <v>1682</v>
      </c>
      <c r="B1684" s="20">
        <v>4630</v>
      </c>
      <c r="C1684" s="21">
        <v>45127</v>
      </c>
      <c r="D1684" s="20">
        <v>3291.84</v>
      </c>
      <c r="E1684" s="22" t="s">
        <v>10</v>
      </c>
      <c r="F1684" s="22" t="s">
        <v>18</v>
      </c>
      <c r="G1684" s="22" t="s">
        <v>17</v>
      </c>
    </row>
    <row r="1685" ht="15.15" spans="1:7">
      <c r="A1685" s="20">
        <v>1683</v>
      </c>
      <c r="B1685" s="20">
        <v>4825</v>
      </c>
      <c r="C1685" s="21">
        <v>45248</v>
      </c>
      <c r="D1685" s="20">
        <v>3291.84</v>
      </c>
      <c r="E1685" s="22" t="s">
        <v>10</v>
      </c>
      <c r="F1685" s="22" t="s">
        <v>14</v>
      </c>
      <c r="G1685" s="22" t="s">
        <v>12</v>
      </c>
    </row>
    <row r="1686" ht="15.15" spans="1:7">
      <c r="A1686" s="20">
        <v>1684</v>
      </c>
      <c r="B1686" s="20">
        <v>431</v>
      </c>
      <c r="C1686" s="21">
        <v>45246</v>
      </c>
      <c r="D1686" s="20">
        <v>3291.84</v>
      </c>
      <c r="E1686" s="22" t="s">
        <v>10</v>
      </c>
      <c r="F1686" s="22" t="s">
        <v>16</v>
      </c>
      <c r="G1686" s="22" t="s">
        <v>15</v>
      </c>
    </row>
    <row r="1687" ht="15.15" spans="1:7">
      <c r="A1687" s="20">
        <v>1685</v>
      </c>
      <c r="B1687" s="20">
        <v>2450</v>
      </c>
      <c r="C1687" s="21">
        <v>45247</v>
      </c>
      <c r="D1687" s="20">
        <v>3291.84</v>
      </c>
      <c r="E1687" s="22" t="s">
        <v>10</v>
      </c>
      <c r="F1687" s="22" t="s">
        <v>18</v>
      </c>
      <c r="G1687" s="22" t="s">
        <v>20</v>
      </c>
    </row>
    <row r="1688" ht="15.15" spans="1:7">
      <c r="A1688" s="20">
        <v>1686</v>
      </c>
      <c r="B1688" s="20">
        <v>6607</v>
      </c>
      <c r="C1688" s="21">
        <v>44968</v>
      </c>
      <c r="D1688" s="20">
        <v>3291.84</v>
      </c>
      <c r="E1688" s="22" t="s">
        <v>10</v>
      </c>
      <c r="F1688" s="22" t="s">
        <v>16</v>
      </c>
      <c r="G1688" s="22" t="s">
        <v>20</v>
      </c>
    </row>
    <row r="1689" ht="15.15" spans="1:7">
      <c r="A1689" s="20">
        <v>1687</v>
      </c>
      <c r="B1689" s="20">
        <v>7592</v>
      </c>
      <c r="C1689" s="21">
        <v>45274</v>
      </c>
      <c r="D1689" s="20">
        <v>3291.84</v>
      </c>
      <c r="E1689" s="22" t="s">
        <v>10</v>
      </c>
      <c r="F1689" s="22" t="s">
        <v>13</v>
      </c>
      <c r="G1689" s="22" t="s">
        <v>17</v>
      </c>
    </row>
    <row r="1690" ht="15.15" spans="1:7">
      <c r="A1690" s="20">
        <v>1688</v>
      </c>
      <c r="B1690" s="20">
        <v>2245</v>
      </c>
      <c r="C1690" s="21">
        <v>45121</v>
      </c>
      <c r="D1690" s="20">
        <v>3291.84</v>
      </c>
      <c r="E1690" s="22" t="s">
        <v>10</v>
      </c>
      <c r="F1690" s="22" t="s">
        <v>11</v>
      </c>
      <c r="G1690" s="22" t="s">
        <v>15</v>
      </c>
    </row>
    <row r="1691" ht="15.15" spans="1:7">
      <c r="A1691" s="20">
        <v>1689</v>
      </c>
      <c r="B1691" s="20">
        <v>3136</v>
      </c>
      <c r="C1691" s="21">
        <v>45231</v>
      </c>
      <c r="D1691" s="20">
        <v>3291.84</v>
      </c>
      <c r="E1691" s="22" t="s">
        <v>10</v>
      </c>
      <c r="F1691" s="22" t="s">
        <v>11</v>
      </c>
      <c r="G1691" s="22" t="s">
        <v>15</v>
      </c>
    </row>
    <row r="1692" ht="15.15" spans="1:7">
      <c r="A1692" s="20">
        <v>1690</v>
      </c>
      <c r="B1692" s="20">
        <v>8781</v>
      </c>
      <c r="C1692" s="21">
        <v>45148</v>
      </c>
      <c r="D1692" s="20">
        <v>3291.84</v>
      </c>
      <c r="E1692" s="22" t="s">
        <v>10</v>
      </c>
      <c r="F1692" s="22" t="s">
        <v>13</v>
      </c>
      <c r="G1692" s="22" t="s">
        <v>15</v>
      </c>
    </row>
    <row r="1693" ht="15.15" spans="1:7">
      <c r="A1693" s="20">
        <v>1691</v>
      </c>
      <c r="B1693" s="20">
        <v>2144</v>
      </c>
      <c r="C1693" s="21">
        <v>45139</v>
      </c>
      <c r="D1693" s="20">
        <v>3291.84</v>
      </c>
      <c r="E1693" s="22" t="s">
        <v>10</v>
      </c>
      <c r="F1693" s="22" t="s">
        <v>16</v>
      </c>
      <c r="G1693" s="22" t="s">
        <v>12</v>
      </c>
    </row>
    <row r="1694" ht="15.15" spans="1:7">
      <c r="A1694" s="20">
        <v>1692</v>
      </c>
      <c r="B1694" s="20">
        <v>9695</v>
      </c>
      <c r="C1694" s="21">
        <v>44957</v>
      </c>
      <c r="D1694" s="20">
        <v>3291.84</v>
      </c>
      <c r="E1694" s="22" t="s">
        <v>10</v>
      </c>
      <c r="F1694" s="22" t="s">
        <v>16</v>
      </c>
      <c r="G1694" s="22" t="s">
        <v>15</v>
      </c>
    </row>
    <row r="1695" ht="15.15" spans="1:7">
      <c r="A1695" s="20">
        <v>1693</v>
      </c>
      <c r="B1695" s="20">
        <v>4076</v>
      </c>
      <c r="C1695" s="21">
        <v>45080</v>
      </c>
      <c r="D1695" s="20">
        <v>3291.84</v>
      </c>
      <c r="E1695" s="22" t="s">
        <v>10</v>
      </c>
      <c r="F1695" s="22" t="s">
        <v>16</v>
      </c>
      <c r="G1695" s="22" t="s">
        <v>15</v>
      </c>
    </row>
    <row r="1696" ht="15.15" spans="1:7">
      <c r="A1696" s="20">
        <v>1694</v>
      </c>
      <c r="B1696" s="20">
        <v>1234</v>
      </c>
      <c r="C1696" s="21">
        <v>45250</v>
      </c>
      <c r="D1696" s="20">
        <v>3291.84</v>
      </c>
      <c r="E1696" s="22" t="s">
        <v>10</v>
      </c>
      <c r="F1696" s="22" t="s">
        <v>14</v>
      </c>
      <c r="G1696" s="22" t="s">
        <v>17</v>
      </c>
    </row>
    <row r="1697" ht="15.15" spans="1:7">
      <c r="A1697" s="20">
        <v>1695</v>
      </c>
      <c r="B1697" s="20">
        <v>287</v>
      </c>
      <c r="C1697" s="21">
        <v>45121</v>
      </c>
      <c r="D1697" s="20">
        <v>3291.84</v>
      </c>
      <c r="E1697" s="22" t="s">
        <v>10</v>
      </c>
      <c r="F1697" s="22" t="s">
        <v>13</v>
      </c>
      <c r="G1697" s="22" t="s">
        <v>20</v>
      </c>
    </row>
    <row r="1698" ht="15.15" spans="1:7">
      <c r="A1698" s="20">
        <v>1696</v>
      </c>
      <c r="B1698" s="20">
        <v>3589</v>
      </c>
      <c r="C1698" s="21">
        <v>45180</v>
      </c>
      <c r="D1698" s="20">
        <v>3291.84</v>
      </c>
      <c r="E1698" s="22" t="s">
        <v>10</v>
      </c>
      <c r="F1698" s="22" t="s">
        <v>14</v>
      </c>
      <c r="G1698" s="22" t="s">
        <v>12</v>
      </c>
    </row>
    <row r="1699" ht="15.15" spans="1:7">
      <c r="A1699" s="20">
        <v>1697</v>
      </c>
      <c r="B1699" s="20">
        <v>7825</v>
      </c>
      <c r="C1699" s="21">
        <v>45126</v>
      </c>
      <c r="D1699" s="20">
        <v>3291.84</v>
      </c>
      <c r="E1699" s="22" t="s">
        <v>10</v>
      </c>
      <c r="F1699" s="22" t="s">
        <v>18</v>
      </c>
      <c r="G1699" s="22" t="s">
        <v>12</v>
      </c>
    </row>
    <row r="1700" ht="15.15" spans="1:7">
      <c r="A1700" s="20">
        <v>1698</v>
      </c>
      <c r="B1700" s="20">
        <v>9685</v>
      </c>
      <c r="C1700" s="21">
        <v>45250</v>
      </c>
      <c r="D1700" s="20">
        <v>3291.84</v>
      </c>
      <c r="E1700" s="22" t="s">
        <v>10</v>
      </c>
      <c r="F1700" s="22" t="s">
        <v>11</v>
      </c>
      <c r="G1700" s="22" t="s">
        <v>20</v>
      </c>
    </row>
    <row r="1701" ht="15.15" spans="1:7">
      <c r="A1701" s="20">
        <v>1699</v>
      </c>
      <c r="B1701" s="20">
        <v>625</v>
      </c>
      <c r="C1701" s="21">
        <v>45238</v>
      </c>
      <c r="D1701" s="20">
        <v>3291.84</v>
      </c>
      <c r="E1701" s="22" t="s">
        <v>10</v>
      </c>
      <c r="F1701" s="22" t="s">
        <v>18</v>
      </c>
      <c r="G1701" s="22" t="s">
        <v>17</v>
      </c>
    </row>
    <row r="1702" ht="15.15" spans="1:7">
      <c r="A1702" s="20">
        <v>1700</v>
      </c>
      <c r="B1702" s="20">
        <v>8276</v>
      </c>
      <c r="C1702" s="21">
        <v>44978</v>
      </c>
      <c r="D1702" s="20">
        <v>3291.84</v>
      </c>
      <c r="E1702" s="22" t="s">
        <v>10</v>
      </c>
      <c r="F1702" s="22" t="s">
        <v>16</v>
      </c>
      <c r="G1702" s="22" t="s">
        <v>20</v>
      </c>
    </row>
    <row r="1703" ht="15.15" spans="1:7">
      <c r="A1703" s="20">
        <v>1701</v>
      </c>
      <c r="B1703" s="20">
        <v>2632</v>
      </c>
      <c r="C1703" s="21">
        <v>45165</v>
      </c>
      <c r="D1703" s="20">
        <v>3291.84</v>
      </c>
      <c r="E1703" s="22" t="s">
        <v>10</v>
      </c>
      <c r="F1703" s="22" t="s">
        <v>14</v>
      </c>
      <c r="G1703" s="22" t="s">
        <v>20</v>
      </c>
    </row>
    <row r="1704" ht="15.15" spans="1:7">
      <c r="A1704" s="20">
        <v>1702</v>
      </c>
      <c r="B1704" s="20">
        <v>1137</v>
      </c>
      <c r="C1704" s="21">
        <v>45099</v>
      </c>
      <c r="D1704" s="20">
        <v>3291.84</v>
      </c>
      <c r="E1704" s="22" t="s">
        <v>10</v>
      </c>
      <c r="F1704" s="22" t="s">
        <v>11</v>
      </c>
      <c r="G1704" s="22" t="s">
        <v>15</v>
      </c>
    </row>
    <row r="1705" ht="15.15" spans="1:7">
      <c r="A1705" s="20">
        <v>1703</v>
      </c>
      <c r="B1705" s="20">
        <v>2600</v>
      </c>
      <c r="C1705" s="21">
        <v>45143</v>
      </c>
      <c r="D1705" s="20">
        <v>3291.84</v>
      </c>
      <c r="E1705" s="22" t="s">
        <v>10</v>
      </c>
      <c r="F1705" s="22" t="s">
        <v>13</v>
      </c>
      <c r="G1705" s="22" t="s">
        <v>15</v>
      </c>
    </row>
    <row r="1706" ht="15.15" spans="1:7">
      <c r="A1706" s="20">
        <v>1704</v>
      </c>
      <c r="B1706" s="20">
        <v>6536</v>
      </c>
      <c r="C1706" s="21">
        <v>45039</v>
      </c>
      <c r="D1706" s="20">
        <v>3291.84</v>
      </c>
      <c r="E1706" s="22" t="s">
        <v>10</v>
      </c>
      <c r="F1706" s="22" t="s">
        <v>16</v>
      </c>
      <c r="G1706" s="22" t="s">
        <v>15</v>
      </c>
    </row>
    <row r="1707" ht="15.15" spans="1:7">
      <c r="A1707" s="20">
        <v>1705</v>
      </c>
      <c r="B1707" s="20">
        <v>5759</v>
      </c>
      <c r="C1707" s="21">
        <v>45274</v>
      </c>
      <c r="D1707" s="20">
        <v>3291.84</v>
      </c>
      <c r="E1707" s="22" t="s">
        <v>10</v>
      </c>
      <c r="F1707" s="22" t="s">
        <v>16</v>
      </c>
      <c r="G1707" s="22" t="s">
        <v>12</v>
      </c>
    </row>
    <row r="1708" ht="15.15" spans="1:7">
      <c r="A1708" s="20">
        <v>1706</v>
      </c>
      <c r="B1708" s="20">
        <v>7011</v>
      </c>
      <c r="C1708" s="21">
        <v>45061</v>
      </c>
      <c r="D1708" s="20">
        <v>3291.84</v>
      </c>
      <c r="E1708" s="22" t="s">
        <v>10</v>
      </c>
      <c r="F1708" s="22" t="s">
        <v>13</v>
      </c>
      <c r="G1708" s="22" t="s">
        <v>15</v>
      </c>
    </row>
    <row r="1709" ht="15.15" spans="1:7">
      <c r="A1709" s="20">
        <v>1707</v>
      </c>
      <c r="B1709" s="20">
        <v>5422</v>
      </c>
      <c r="C1709" s="21">
        <v>44977</v>
      </c>
      <c r="D1709" s="20">
        <v>3291.84</v>
      </c>
      <c r="E1709" s="22" t="s">
        <v>10</v>
      </c>
      <c r="F1709" s="22" t="s">
        <v>18</v>
      </c>
      <c r="G1709" s="22" t="s">
        <v>20</v>
      </c>
    </row>
    <row r="1710" ht="15.15" spans="1:7">
      <c r="A1710" s="20">
        <v>1708</v>
      </c>
      <c r="B1710" s="20">
        <v>2839</v>
      </c>
      <c r="C1710" s="21">
        <v>45105</v>
      </c>
      <c r="D1710" s="20">
        <v>3291.84</v>
      </c>
      <c r="E1710" s="22" t="s">
        <v>10</v>
      </c>
      <c r="F1710" s="22" t="s">
        <v>11</v>
      </c>
      <c r="G1710" s="22" t="s">
        <v>12</v>
      </c>
    </row>
    <row r="1711" ht="15.15" spans="1:7">
      <c r="A1711" s="20">
        <v>1709</v>
      </c>
      <c r="B1711" s="20">
        <v>3991</v>
      </c>
      <c r="C1711" s="21">
        <v>44949</v>
      </c>
      <c r="D1711" s="20">
        <v>3291.84</v>
      </c>
      <c r="E1711" s="22" t="s">
        <v>10</v>
      </c>
      <c r="F1711" s="22" t="s">
        <v>18</v>
      </c>
      <c r="G1711" s="22" t="s">
        <v>20</v>
      </c>
    </row>
    <row r="1712" ht="15.15" spans="1:7">
      <c r="A1712" s="20">
        <v>1710</v>
      </c>
      <c r="B1712" s="20">
        <v>3421</v>
      </c>
      <c r="C1712" s="21">
        <v>45110</v>
      </c>
      <c r="D1712" s="20">
        <v>3291.84</v>
      </c>
      <c r="E1712" s="22" t="s">
        <v>10</v>
      </c>
      <c r="F1712" s="22" t="s">
        <v>18</v>
      </c>
      <c r="G1712" s="22" t="s">
        <v>15</v>
      </c>
    </row>
    <row r="1713" ht="15.15" spans="1:7">
      <c r="A1713" s="20">
        <v>1711</v>
      </c>
      <c r="B1713" s="20">
        <v>923</v>
      </c>
      <c r="C1713" s="21">
        <v>44995</v>
      </c>
      <c r="D1713" s="20">
        <v>3291.84</v>
      </c>
      <c r="E1713" s="22" t="s">
        <v>10</v>
      </c>
      <c r="F1713" s="22" t="s">
        <v>13</v>
      </c>
      <c r="G1713" s="22" t="s">
        <v>20</v>
      </c>
    </row>
    <row r="1714" ht="15.15" spans="1:7">
      <c r="A1714" s="20">
        <v>1712</v>
      </c>
      <c r="B1714" s="20">
        <v>6063</v>
      </c>
      <c r="C1714" s="21">
        <v>45187</v>
      </c>
      <c r="D1714" s="20">
        <v>3291.84</v>
      </c>
      <c r="E1714" s="22" t="s">
        <v>10</v>
      </c>
      <c r="F1714" s="22" t="s">
        <v>11</v>
      </c>
      <c r="G1714" s="22" t="s">
        <v>20</v>
      </c>
    </row>
    <row r="1715" ht="15.15" spans="1:7">
      <c r="A1715" s="20">
        <v>1713</v>
      </c>
      <c r="B1715" s="20">
        <v>9691</v>
      </c>
      <c r="C1715" s="21">
        <v>44962</v>
      </c>
      <c r="D1715" s="20">
        <v>3291.84</v>
      </c>
      <c r="E1715" s="22" t="s">
        <v>10</v>
      </c>
      <c r="F1715" s="22" t="s">
        <v>16</v>
      </c>
      <c r="G1715" s="22" t="s">
        <v>20</v>
      </c>
    </row>
    <row r="1716" ht="15.15" spans="1:7">
      <c r="A1716" s="20">
        <v>1714</v>
      </c>
      <c r="B1716" s="20">
        <v>6688</v>
      </c>
      <c r="C1716" s="21">
        <v>45214</v>
      </c>
      <c r="D1716" s="20">
        <v>3291.84</v>
      </c>
      <c r="E1716" s="22" t="s">
        <v>10</v>
      </c>
      <c r="F1716" s="22" t="s">
        <v>14</v>
      </c>
      <c r="G1716" s="22" t="s">
        <v>15</v>
      </c>
    </row>
    <row r="1717" ht="15.15" spans="1:7">
      <c r="A1717" s="20">
        <v>1715</v>
      </c>
      <c r="B1717" s="20">
        <v>950</v>
      </c>
      <c r="C1717" s="21">
        <v>45157</v>
      </c>
      <c r="D1717" s="20">
        <v>3291.84</v>
      </c>
      <c r="E1717" s="22" t="s">
        <v>10</v>
      </c>
      <c r="F1717" s="22" t="s">
        <v>16</v>
      </c>
      <c r="G1717" s="22" t="s">
        <v>15</v>
      </c>
    </row>
    <row r="1718" ht="15.15" spans="1:7">
      <c r="A1718" s="20">
        <v>1716</v>
      </c>
      <c r="B1718" s="20">
        <v>6263</v>
      </c>
      <c r="C1718" s="21">
        <v>45106</v>
      </c>
      <c r="D1718" s="20">
        <v>3291.84</v>
      </c>
      <c r="E1718" s="22" t="s">
        <v>10</v>
      </c>
      <c r="F1718" s="22" t="s">
        <v>14</v>
      </c>
      <c r="G1718" s="22" t="s">
        <v>15</v>
      </c>
    </row>
    <row r="1719" ht="15.15" spans="1:7">
      <c r="A1719" s="20">
        <v>1717</v>
      </c>
      <c r="B1719" s="20">
        <v>4622</v>
      </c>
      <c r="C1719" s="21">
        <v>45144</v>
      </c>
      <c r="D1719" s="20">
        <v>3291.84</v>
      </c>
      <c r="E1719" s="22" t="s">
        <v>10</v>
      </c>
      <c r="F1719" s="22" t="s">
        <v>13</v>
      </c>
      <c r="G1719" s="22" t="s">
        <v>12</v>
      </c>
    </row>
    <row r="1720" ht="15.15" spans="1:7">
      <c r="A1720" s="20">
        <v>1718</v>
      </c>
      <c r="B1720" s="20">
        <v>2375</v>
      </c>
      <c r="C1720" s="21">
        <v>45288</v>
      </c>
      <c r="D1720" s="20">
        <v>3291.84</v>
      </c>
      <c r="E1720" s="22" t="s">
        <v>10</v>
      </c>
      <c r="F1720" s="22" t="s">
        <v>14</v>
      </c>
      <c r="G1720" s="22" t="s">
        <v>12</v>
      </c>
    </row>
    <row r="1721" ht="15.15" spans="1:7">
      <c r="A1721" s="20">
        <v>1719</v>
      </c>
      <c r="B1721" s="20">
        <v>5023</v>
      </c>
      <c r="C1721" s="21">
        <v>45155</v>
      </c>
      <c r="D1721" s="20">
        <v>3291.84</v>
      </c>
      <c r="E1721" s="22" t="s">
        <v>10</v>
      </c>
      <c r="F1721" s="22" t="s">
        <v>18</v>
      </c>
      <c r="G1721" s="22" t="s">
        <v>12</v>
      </c>
    </row>
    <row r="1722" ht="15.15" spans="1:7">
      <c r="A1722" s="20">
        <v>1720</v>
      </c>
      <c r="B1722" s="20">
        <v>4834</v>
      </c>
      <c r="C1722" s="21">
        <v>45043</v>
      </c>
      <c r="D1722" s="20">
        <v>3291.84</v>
      </c>
      <c r="E1722" s="22" t="s">
        <v>10</v>
      </c>
      <c r="F1722" s="22" t="s">
        <v>16</v>
      </c>
      <c r="G1722" s="22" t="s">
        <v>12</v>
      </c>
    </row>
    <row r="1723" ht="15.15" spans="1:7">
      <c r="A1723" s="20">
        <v>1721</v>
      </c>
      <c r="B1723" s="20">
        <v>4018</v>
      </c>
      <c r="C1723" s="21">
        <v>44974</v>
      </c>
      <c r="D1723" s="20">
        <v>3291.84</v>
      </c>
      <c r="E1723" s="22" t="s">
        <v>10</v>
      </c>
      <c r="F1723" s="22" t="s">
        <v>18</v>
      </c>
      <c r="G1723" s="22" t="s">
        <v>12</v>
      </c>
    </row>
    <row r="1724" ht="15.15" spans="1:7">
      <c r="A1724" s="20">
        <v>1722</v>
      </c>
      <c r="B1724" s="20">
        <v>7587</v>
      </c>
      <c r="C1724" s="21">
        <v>45210</v>
      </c>
      <c r="D1724" s="20">
        <v>3291.84</v>
      </c>
      <c r="E1724" s="22" t="s">
        <v>10</v>
      </c>
      <c r="F1724" s="22" t="s">
        <v>18</v>
      </c>
      <c r="G1724" s="22" t="s">
        <v>12</v>
      </c>
    </row>
    <row r="1725" ht="15.15" spans="1:7">
      <c r="A1725" s="20">
        <v>1723</v>
      </c>
      <c r="B1725" s="20">
        <v>2276</v>
      </c>
      <c r="C1725" s="21">
        <v>45079</v>
      </c>
      <c r="D1725" s="20">
        <v>3291.84</v>
      </c>
      <c r="E1725" s="22" t="s">
        <v>10</v>
      </c>
      <c r="F1725" s="22" t="s">
        <v>18</v>
      </c>
      <c r="G1725" s="22" t="s">
        <v>17</v>
      </c>
    </row>
    <row r="1726" ht="15.15" spans="1:7">
      <c r="A1726" s="20">
        <v>1724</v>
      </c>
      <c r="B1726" s="20">
        <v>6942</v>
      </c>
      <c r="C1726" s="21">
        <v>45284</v>
      </c>
      <c r="D1726" s="20">
        <v>3291.84</v>
      </c>
      <c r="E1726" s="22" t="s">
        <v>10</v>
      </c>
      <c r="F1726" s="22" t="s">
        <v>11</v>
      </c>
      <c r="G1726" s="22" t="s">
        <v>20</v>
      </c>
    </row>
    <row r="1727" ht="15.15" spans="1:7">
      <c r="A1727" s="20">
        <v>1725</v>
      </c>
      <c r="B1727" s="20">
        <v>5673</v>
      </c>
      <c r="C1727" s="21">
        <v>45283</v>
      </c>
      <c r="D1727" s="20">
        <v>3291.84</v>
      </c>
      <c r="E1727" s="22" t="s">
        <v>10</v>
      </c>
      <c r="F1727" s="22" t="s">
        <v>16</v>
      </c>
      <c r="G1727" s="22" t="s">
        <v>15</v>
      </c>
    </row>
    <row r="1728" ht="15.15" spans="1:7">
      <c r="A1728" s="20">
        <v>1726</v>
      </c>
      <c r="B1728" s="20">
        <v>2628</v>
      </c>
      <c r="C1728" s="21">
        <v>45251</v>
      </c>
      <c r="D1728" s="20">
        <v>3291.84</v>
      </c>
      <c r="E1728" s="22" t="s">
        <v>10</v>
      </c>
      <c r="F1728" s="22" t="s">
        <v>16</v>
      </c>
      <c r="G1728" s="22" t="s">
        <v>12</v>
      </c>
    </row>
    <row r="1729" ht="15.15" spans="1:7">
      <c r="A1729" s="20">
        <v>1727</v>
      </c>
      <c r="B1729" s="20">
        <v>1682</v>
      </c>
      <c r="C1729" s="21">
        <v>45267</v>
      </c>
      <c r="D1729" s="20">
        <v>3291.84</v>
      </c>
      <c r="E1729" s="22" t="s">
        <v>10</v>
      </c>
      <c r="F1729" s="22" t="s">
        <v>16</v>
      </c>
      <c r="G1729" s="22" t="s">
        <v>12</v>
      </c>
    </row>
    <row r="1730" ht="15.15" spans="1:7">
      <c r="A1730" s="20">
        <v>1728</v>
      </c>
      <c r="B1730" s="20">
        <v>6281</v>
      </c>
      <c r="C1730" s="21">
        <v>45001</v>
      </c>
      <c r="D1730" s="20">
        <v>3291.84</v>
      </c>
      <c r="E1730" s="22" t="s">
        <v>10</v>
      </c>
      <c r="F1730" s="22" t="s">
        <v>19</v>
      </c>
      <c r="G1730" s="22" t="s">
        <v>20</v>
      </c>
    </row>
    <row r="1731" ht="15.15" spans="1:7">
      <c r="A1731" s="20">
        <v>1729</v>
      </c>
      <c r="B1731" s="20">
        <v>9106</v>
      </c>
      <c r="C1731" s="21">
        <v>45026</v>
      </c>
      <c r="D1731" s="20">
        <v>3291.84</v>
      </c>
      <c r="E1731" s="22" t="s">
        <v>10</v>
      </c>
      <c r="F1731" s="22" t="s">
        <v>11</v>
      </c>
      <c r="G1731" s="22" t="s">
        <v>17</v>
      </c>
    </row>
    <row r="1732" ht="15.15" spans="1:7">
      <c r="A1732" s="20">
        <v>1730</v>
      </c>
      <c r="B1732" s="20">
        <v>9555</v>
      </c>
      <c r="C1732" s="21">
        <v>45054</v>
      </c>
      <c r="D1732" s="20">
        <v>3291.84</v>
      </c>
      <c r="E1732" s="22" t="s">
        <v>10</v>
      </c>
      <c r="F1732" s="22" t="s">
        <v>11</v>
      </c>
      <c r="G1732" s="22" t="s">
        <v>17</v>
      </c>
    </row>
    <row r="1733" ht="15.15" spans="1:7">
      <c r="A1733" s="20">
        <v>1731</v>
      </c>
      <c r="B1733" s="20">
        <v>6378</v>
      </c>
      <c r="C1733" s="21">
        <v>45265</v>
      </c>
      <c r="D1733" s="20">
        <v>3291.84</v>
      </c>
      <c r="E1733" s="22" t="s">
        <v>10</v>
      </c>
      <c r="F1733" s="22" t="s">
        <v>13</v>
      </c>
      <c r="G1733" s="22" t="s">
        <v>17</v>
      </c>
    </row>
    <row r="1734" ht="15.15" spans="1:7">
      <c r="A1734" s="20">
        <v>1732</v>
      </c>
      <c r="B1734" s="20">
        <v>4345</v>
      </c>
      <c r="C1734" s="21">
        <v>45181</v>
      </c>
      <c r="D1734" s="20">
        <v>3291.84</v>
      </c>
      <c r="E1734" s="22" t="s">
        <v>10</v>
      </c>
      <c r="F1734" s="22" t="s">
        <v>11</v>
      </c>
      <c r="G1734" s="22" t="s">
        <v>20</v>
      </c>
    </row>
    <row r="1735" ht="15.15" spans="1:7">
      <c r="A1735" s="20">
        <v>1733</v>
      </c>
      <c r="B1735" s="20">
        <v>2300</v>
      </c>
      <c r="C1735" s="21">
        <v>45290</v>
      </c>
      <c r="D1735" s="20">
        <v>3291.84</v>
      </c>
      <c r="E1735" s="22" t="s">
        <v>10</v>
      </c>
      <c r="F1735" s="22" t="s">
        <v>18</v>
      </c>
      <c r="G1735" s="22" t="s">
        <v>12</v>
      </c>
    </row>
    <row r="1736" ht="15.15" spans="1:7">
      <c r="A1736" s="20">
        <v>1734</v>
      </c>
      <c r="B1736" s="20">
        <v>9376</v>
      </c>
      <c r="C1736" s="21">
        <v>45256</v>
      </c>
      <c r="D1736" s="20">
        <v>3291.84</v>
      </c>
      <c r="E1736" s="22" t="s">
        <v>10</v>
      </c>
      <c r="F1736" s="22" t="s">
        <v>18</v>
      </c>
      <c r="G1736" s="22" t="s">
        <v>12</v>
      </c>
    </row>
    <row r="1737" ht="15.15" spans="1:7">
      <c r="A1737" s="20">
        <v>1735</v>
      </c>
      <c r="B1737" s="20">
        <v>7430</v>
      </c>
      <c r="C1737" s="21">
        <v>45159</v>
      </c>
      <c r="D1737" s="20">
        <v>3291.84</v>
      </c>
      <c r="E1737" s="22" t="s">
        <v>10</v>
      </c>
      <c r="F1737" s="22" t="s">
        <v>18</v>
      </c>
      <c r="G1737" s="22" t="s">
        <v>17</v>
      </c>
    </row>
    <row r="1738" ht="15.15" spans="1:7">
      <c r="A1738" s="20">
        <v>1736</v>
      </c>
      <c r="B1738" s="20">
        <v>3534</v>
      </c>
      <c r="C1738" s="21">
        <v>45270</v>
      </c>
      <c r="D1738" s="20">
        <v>3291.84</v>
      </c>
      <c r="E1738" s="22" t="s">
        <v>10</v>
      </c>
      <c r="F1738" s="22" t="s">
        <v>13</v>
      </c>
      <c r="G1738" s="22" t="s">
        <v>20</v>
      </c>
    </row>
    <row r="1739" ht="15.15" spans="1:7">
      <c r="A1739" s="20">
        <v>1737</v>
      </c>
      <c r="B1739" s="20">
        <v>7095</v>
      </c>
      <c r="C1739" s="21">
        <v>45109</v>
      </c>
      <c r="D1739" s="20">
        <v>3291.84</v>
      </c>
      <c r="E1739" s="22" t="s">
        <v>10</v>
      </c>
      <c r="F1739" s="22" t="s">
        <v>11</v>
      </c>
      <c r="G1739" s="22" t="s">
        <v>20</v>
      </c>
    </row>
    <row r="1740" ht="15.15" spans="1:7">
      <c r="A1740" s="20">
        <v>1738</v>
      </c>
      <c r="B1740" s="20">
        <v>6174</v>
      </c>
      <c r="C1740" s="21">
        <v>45254</v>
      </c>
      <c r="D1740" s="20">
        <v>3291.84</v>
      </c>
      <c r="E1740" s="22" t="s">
        <v>10</v>
      </c>
      <c r="F1740" s="22" t="s">
        <v>18</v>
      </c>
      <c r="G1740" s="22" t="s">
        <v>20</v>
      </c>
    </row>
    <row r="1741" ht="15.15" spans="1:7">
      <c r="A1741" s="20">
        <v>1739</v>
      </c>
      <c r="B1741" s="20">
        <v>9328</v>
      </c>
      <c r="C1741" s="21">
        <v>45071</v>
      </c>
      <c r="D1741" s="20">
        <v>3291.84</v>
      </c>
      <c r="E1741" s="22" t="s">
        <v>10</v>
      </c>
      <c r="F1741" s="22" t="s">
        <v>16</v>
      </c>
      <c r="G1741" s="22" t="s">
        <v>15</v>
      </c>
    </row>
    <row r="1742" ht="15.15" spans="1:7">
      <c r="A1742" s="20">
        <v>1740</v>
      </c>
      <c r="B1742" s="20">
        <v>3947</v>
      </c>
      <c r="C1742" s="21">
        <v>45227</v>
      </c>
      <c r="D1742" s="20">
        <v>3291.84</v>
      </c>
      <c r="E1742" s="22" t="s">
        <v>10</v>
      </c>
      <c r="F1742" s="22" t="s">
        <v>19</v>
      </c>
      <c r="G1742" s="22" t="s">
        <v>12</v>
      </c>
    </row>
    <row r="1743" ht="15.15" spans="1:7">
      <c r="A1743" s="20">
        <v>1741</v>
      </c>
      <c r="B1743" s="20">
        <v>3125</v>
      </c>
      <c r="C1743" s="21">
        <v>44984</v>
      </c>
      <c r="D1743" s="20">
        <v>3291.84</v>
      </c>
      <c r="E1743" s="22" t="s">
        <v>10</v>
      </c>
      <c r="F1743" s="22" t="s">
        <v>18</v>
      </c>
      <c r="G1743" s="22" t="s">
        <v>17</v>
      </c>
    </row>
    <row r="1744" ht="15.15" spans="1:7">
      <c r="A1744" s="20">
        <v>1742</v>
      </c>
      <c r="B1744" s="20">
        <v>2133</v>
      </c>
      <c r="C1744" s="21">
        <v>45240</v>
      </c>
      <c r="D1744" s="20">
        <v>3291.84</v>
      </c>
      <c r="E1744" s="22" t="s">
        <v>10</v>
      </c>
      <c r="F1744" s="22" t="s">
        <v>18</v>
      </c>
      <c r="G1744" s="22" t="s">
        <v>12</v>
      </c>
    </row>
    <row r="1745" ht="15.15" spans="1:7">
      <c r="A1745" s="20">
        <v>1743</v>
      </c>
      <c r="B1745" s="20">
        <v>897</v>
      </c>
      <c r="C1745" s="21">
        <v>45048</v>
      </c>
      <c r="D1745" s="20">
        <v>3291.84</v>
      </c>
      <c r="E1745" s="22" t="s">
        <v>10</v>
      </c>
      <c r="F1745" s="22" t="s">
        <v>11</v>
      </c>
      <c r="G1745" s="22" t="s">
        <v>17</v>
      </c>
    </row>
    <row r="1746" ht="15.15" spans="1:7">
      <c r="A1746" s="20">
        <v>1744</v>
      </c>
      <c r="B1746" s="20">
        <v>7832</v>
      </c>
      <c r="C1746" s="21">
        <v>45291</v>
      </c>
      <c r="D1746" s="20">
        <v>3291.84</v>
      </c>
      <c r="E1746" s="22" t="s">
        <v>10</v>
      </c>
      <c r="F1746" s="22" t="s">
        <v>13</v>
      </c>
      <c r="G1746" s="22" t="s">
        <v>20</v>
      </c>
    </row>
    <row r="1747" ht="15.15" spans="1:7">
      <c r="A1747" s="20">
        <v>1745</v>
      </c>
      <c r="B1747" s="20">
        <v>3400</v>
      </c>
      <c r="C1747" s="21">
        <v>45102</v>
      </c>
      <c r="D1747" s="20">
        <v>3291.84</v>
      </c>
      <c r="E1747" s="22" t="s">
        <v>10</v>
      </c>
      <c r="F1747" s="22" t="s">
        <v>14</v>
      </c>
      <c r="G1747" s="22" t="s">
        <v>15</v>
      </c>
    </row>
    <row r="1748" ht="15.15" spans="1:7">
      <c r="A1748" s="20">
        <v>1746</v>
      </c>
      <c r="B1748" s="20">
        <v>1027</v>
      </c>
      <c r="C1748" s="21">
        <v>45159</v>
      </c>
      <c r="D1748" s="20">
        <v>3291.84</v>
      </c>
      <c r="E1748" s="22" t="s">
        <v>10</v>
      </c>
      <c r="F1748" s="22" t="s">
        <v>18</v>
      </c>
      <c r="G1748" s="22" t="s">
        <v>17</v>
      </c>
    </row>
    <row r="1749" ht="15.15" spans="1:7">
      <c r="A1749" s="20">
        <v>1747</v>
      </c>
      <c r="B1749" s="20">
        <v>4102</v>
      </c>
      <c r="C1749" s="21">
        <v>45279</v>
      </c>
      <c r="D1749" s="20">
        <v>3291.84</v>
      </c>
      <c r="E1749" s="22" t="s">
        <v>10</v>
      </c>
      <c r="F1749" s="22" t="s">
        <v>18</v>
      </c>
      <c r="G1749" s="22" t="s">
        <v>12</v>
      </c>
    </row>
    <row r="1750" ht="15.15" spans="1:7">
      <c r="A1750" s="20">
        <v>1748</v>
      </c>
      <c r="B1750" s="20">
        <v>6744</v>
      </c>
      <c r="C1750" s="21">
        <v>45269</v>
      </c>
      <c r="D1750" s="20">
        <v>3291.84</v>
      </c>
      <c r="E1750" s="22" t="s">
        <v>10</v>
      </c>
      <c r="F1750" s="22" t="s">
        <v>13</v>
      </c>
      <c r="G1750" s="22" t="s">
        <v>17</v>
      </c>
    </row>
    <row r="1751" ht="15.15" spans="1:7">
      <c r="A1751" s="20">
        <v>1749</v>
      </c>
      <c r="B1751" s="20">
        <v>8361</v>
      </c>
      <c r="C1751" s="21">
        <v>45239</v>
      </c>
      <c r="D1751" s="20">
        <v>3291.84</v>
      </c>
      <c r="E1751" s="22" t="s">
        <v>10</v>
      </c>
      <c r="F1751" s="22" t="s">
        <v>13</v>
      </c>
      <c r="G1751" s="22" t="s">
        <v>17</v>
      </c>
    </row>
    <row r="1752" ht="15.15" spans="1:7">
      <c r="A1752" s="20">
        <v>1750</v>
      </c>
      <c r="B1752" s="20">
        <v>3593</v>
      </c>
      <c r="C1752" s="21">
        <v>45287</v>
      </c>
      <c r="D1752" s="20">
        <v>3291.84</v>
      </c>
      <c r="E1752" s="22" t="s">
        <v>10</v>
      </c>
      <c r="F1752" s="22" t="s">
        <v>18</v>
      </c>
      <c r="G1752" s="22" t="s">
        <v>17</v>
      </c>
    </row>
    <row r="1753" ht="15.15" spans="1:7">
      <c r="A1753" s="20">
        <v>1751</v>
      </c>
      <c r="B1753" s="20">
        <v>4193</v>
      </c>
      <c r="C1753" s="21">
        <v>44991</v>
      </c>
      <c r="D1753" s="20">
        <v>3291.84</v>
      </c>
      <c r="E1753" s="22" t="s">
        <v>10</v>
      </c>
      <c r="F1753" s="22" t="s">
        <v>13</v>
      </c>
      <c r="G1753" s="22" t="s">
        <v>17</v>
      </c>
    </row>
    <row r="1754" ht="15.15" spans="1:7">
      <c r="A1754" s="20">
        <v>1752</v>
      </c>
      <c r="B1754" s="20">
        <v>3292</v>
      </c>
      <c r="C1754" s="21">
        <v>44976</v>
      </c>
      <c r="D1754" s="20">
        <v>3291.84</v>
      </c>
      <c r="E1754" s="22" t="s">
        <v>10</v>
      </c>
      <c r="F1754" s="22" t="s">
        <v>16</v>
      </c>
      <c r="G1754" s="22" t="s">
        <v>15</v>
      </c>
    </row>
    <row r="1755" ht="15.15" spans="1:7">
      <c r="A1755" s="20">
        <v>1753</v>
      </c>
      <c r="B1755" s="20">
        <v>5255</v>
      </c>
      <c r="C1755" s="21">
        <v>44948</v>
      </c>
      <c r="D1755" s="20">
        <v>3291.84</v>
      </c>
      <c r="E1755" s="22" t="s">
        <v>22</v>
      </c>
      <c r="F1755" s="22" t="s">
        <v>16</v>
      </c>
      <c r="G1755" s="22" t="s">
        <v>20</v>
      </c>
    </row>
    <row r="1756" ht="15.15" spans="1:7">
      <c r="A1756" s="20">
        <v>1754</v>
      </c>
      <c r="B1756" s="20">
        <v>4446</v>
      </c>
      <c r="C1756" s="21">
        <v>45104</v>
      </c>
      <c r="D1756" s="20">
        <v>3291.84</v>
      </c>
      <c r="E1756" s="22" t="s">
        <v>10</v>
      </c>
      <c r="F1756" s="22" t="s">
        <v>18</v>
      </c>
      <c r="G1756" s="22" t="s">
        <v>15</v>
      </c>
    </row>
    <row r="1757" ht="15.15" spans="1:7">
      <c r="A1757" s="20">
        <v>1755</v>
      </c>
      <c r="B1757" s="20">
        <v>122</v>
      </c>
      <c r="C1757" s="21">
        <v>45132</v>
      </c>
      <c r="D1757" s="20">
        <v>3291.84</v>
      </c>
      <c r="E1757" s="22" t="s">
        <v>10</v>
      </c>
      <c r="F1757" s="22" t="s">
        <v>13</v>
      </c>
      <c r="G1757" s="22" t="s">
        <v>12</v>
      </c>
    </row>
    <row r="1758" ht="15.15" spans="1:7">
      <c r="A1758" s="20">
        <v>1756</v>
      </c>
      <c r="B1758" s="20">
        <v>4684</v>
      </c>
      <c r="C1758" s="21">
        <v>45129</v>
      </c>
      <c r="D1758" s="20">
        <v>3291.84</v>
      </c>
      <c r="E1758" s="22" t="s">
        <v>10</v>
      </c>
      <c r="F1758" s="22" t="s">
        <v>13</v>
      </c>
      <c r="G1758" s="22" t="s">
        <v>17</v>
      </c>
    </row>
    <row r="1759" ht="15.15" spans="1:7">
      <c r="A1759" s="20">
        <v>1757</v>
      </c>
      <c r="B1759" s="20">
        <v>4368</v>
      </c>
      <c r="C1759" s="21">
        <v>45165</v>
      </c>
      <c r="D1759" s="20">
        <v>3291.84</v>
      </c>
      <c r="E1759" s="22" t="s">
        <v>10</v>
      </c>
      <c r="F1759" s="22" t="s">
        <v>11</v>
      </c>
      <c r="G1759" s="22" t="s">
        <v>12</v>
      </c>
    </row>
    <row r="1760" ht="15.15" spans="1:7">
      <c r="A1760" s="20">
        <v>1758</v>
      </c>
      <c r="B1760" s="20">
        <v>4019</v>
      </c>
      <c r="C1760" s="21">
        <v>45031</v>
      </c>
      <c r="D1760" s="20">
        <v>3291.84</v>
      </c>
      <c r="E1760" s="22" t="s">
        <v>10</v>
      </c>
      <c r="F1760" s="22" t="s">
        <v>18</v>
      </c>
      <c r="G1760" s="22" t="s">
        <v>20</v>
      </c>
    </row>
    <row r="1761" ht="15.15" spans="1:7">
      <c r="A1761" s="20">
        <v>1759</v>
      </c>
      <c r="B1761" s="20">
        <v>4366</v>
      </c>
      <c r="C1761" s="21">
        <v>45125</v>
      </c>
      <c r="D1761" s="20">
        <v>3291.84</v>
      </c>
      <c r="E1761" s="22" t="s">
        <v>10</v>
      </c>
      <c r="F1761" s="22" t="s">
        <v>18</v>
      </c>
      <c r="G1761" s="22" t="s">
        <v>12</v>
      </c>
    </row>
    <row r="1762" ht="15.15" spans="1:7">
      <c r="A1762" s="20">
        <v>1760</v>
      </c>
      <c r="B1762" s="20">
        <v>61</v>
      </c>
      <c r="C1762" s="21">
        <v>44933</v>
      </c>
      <c r="D1762" s="20">
        <v>3291.84</v>
      </c>
      <c r="E1762" s="22" t="s">
        <v>10</v>
      </c>
      <c r="F1762" s="22" t="s">
        <v>14</v>
      </c>
      <c r="G1762" s="22" t="s">
        <v>15</v>
      </c>
    </row>
    <row r="1763" ht="15.15" spans="1:7">
      <c r="A1763" s="20">
        <v>1761</v>
      </c>
      <c r="B1763" s="20">
        <v>2505</v>
      </c>
      <c r="C1763" s="21">
        <v>45021</v>
      </c>
      <c r="D1763" s="20">
        <v>3291.84</v>
      </c>
      <c r="E1763" s="22" t="s">
        <v>21</v>
      </c>
      <c r="F1763" s="22" t="s">
        <v>13</v>
      </c>
      <c r="G1763" s="22" t="s">
        <v>17</v>
      </c>
    </row>
    <row r="1764" ht="15.15" spans="1:7">
      <c r="A1764" s="20">
        <v>1762</v>
      </c>
      <c r="B1764" s="20">
        <v>6906</v>
      </c>
      <c r="C1764" s="21">
        <v>45207</v>
      </c>
      <c r="D1764" s="20">
        <v>3291.84</v>
      </c>
      <c r="E1764" s="22" t="s">
        <v>10</v>
      </c>
      <c r="F1764" s="22" t="s">
        <v>16</v>
      </c>
      <c r="G1764" s="22" t="s">
        <v>20</v>
      </c>
    </row>
    <row r="1765" ht="15.15" spans="1:7">
      <c r="A1765" s="20">
        <v>1763</v>
      </c>
      <c r="B1765" s="20">
        <v>179</v>
      </c>
      <c r="C1765" s="21">
        <v>44949</v>
      </c>
      <c r="D1765" s="20">
        <v>3291.84</v>
      </c>
      <c r="E1765" s="22" t="s">
        <v>10</v>
      </c>
      <c r="F1765" s="22" t="s">
        <v>13</v>
      </c>
      <c r="G1765" s="22" t="s">
        <v>17</v>
      </c>
    </row>
    <row r="1766" ht="15.15" spans="1:7">
      <c r="A1766" s="20">
        <v>1764</v>
      </c>
      <c r="B1766" s="20">
        <v>7520</v>
      </c>
      <c r="C1766" s="21">
        <v>45202</v>
      </c>
      <c r="D1766" s="20">
        <v>3291.84</v>
      </c>
      <c r="E1766" s="22" t="s">
        <v>10</v>
      </c>
      <c r="F1766" s="22" t="s">
        <v>19</v>
      </c>
      <c r="G1766" s="22" t="s">
        <v>15</v>
      </c>
    </row>
    <row r="1767" ht="15.15" spans="1:7">
      <c r="A1767" s="20">
        <v>1765</v>
      </c>
      <c r="B1767" s="20">
        <v>4676</v>
      </c>
      <c r="C1767" s="21">
        <v>45065</v>
      </c>
      <c r="D1767" s="20">
        <v>3291.84</v>
      </c>
      <c r="E1767" s="22" t="s">
        <v>22</v>
      </c>
      <c r="F1767" s="22" t="s">
        <v>18</v>
      </c>
      <c r="G1767" s="22" t="s">
        <v>15</v>
      </c>
    </row>
    <row r="1768" ht="15.15" spans="1:7">
      <c r="A1768" s="20">
        <v>1766</v>
      </c>
      <c r="B1768" s="20">
        <v>6002</v>
      </c>
      <c r="C1768" s="21">
        <v>45195</v>
      </c>
      <c r="D1768" s="20">
        <v>3291.84</v>
      </c>
      <c r="E1768" s="22" t="s">
        <v>10</v>
      </c>
      <c r="F1768" s="22" t="s">
        <v>14</v>
      </c>
      <c r="G1768" s="22" t="s">
        <v>12</v>
      </c>
    </row>
    <row r="1769" ht="15.15" spans="1:7">
      <c r="A1769" s="20">
        <v>1767</v>
      </c>
      <c r="B1769" s="20">
        <v>5257</v>
      </c>
      <c r="C1769" s="21">
        <v>45249</v>
      </c>
      <c r="D1769" s="20">
        <v>3291.84</v>
      </c>
      <c r="E1769" s="22" t="s">
        <v>10</v>
      </c>
      <c r="F1769" s="22" t="s">
        <v>11</v>
      </c>
      <c r="G1769" s="22" t="s">
        <v>15</v>
      </c>
    </row>
    <row r="1770" ht="15.15" spans="1:7">
      <c r="A1770" s="20">
        <v>1768</v>
      </c>
      <c r="B1770" s="20">
        <v>1128</v>
      </c>
      <c r="C1770" s="21">
        <v>45084</v>
      </c>
      <c r="D1770" s="20">
        <v>3291.84</v>
      </c>
      <c r="E1770" s="22" t="s">
        <v>10</v>
      </c>
      <c r="F1770" s="22" t="s">
        <v>14</v>
      </c>
      <c r="G1770" s="22" t="s">
        <v>20</v>
      </c>
    </row>
    <row r="1771" ht="15.15" spans="1:7">
      <c r="A1771" s="20">
        <v>1769</v>
      </c>
      <c r="B1771" s="20">
        <v>4938</v>
      </c>
      <c r="C1771" s="21">
        <v>45237</v>
      </c>
      <c r="D1771" s="20">
        <v>3291.84</v>
      </c>
      <c r="E1771" s="22" t="s">
        <v>10</v>
      </c>
      <c r="F1771" s="22" t="s">
        <v>18</v>
      </c>
      <c r="G1771" s="22" t="s">
        <v>20</v>
      </c>
    </row>
    <row r="1772" ht="15.15" spans="1:7">
      <c r="A1772" s="20">
        <v>1770</v>
      </c>
      <c r="B1772" s="20">
        <v>3272</v>
      </c>
      <c r="C1772" s="21">
        <v>45289</v>
      </c>
      <c r="D1772" s="20">
        <v>3291.84</v>
      </c>
      <c r="E1772" s="22" t="s">
        <v>10</v>
      </c>
      <c r="F1772" s="22" t="s">
        <v>18</v>
      </c>
      <c r="G1772" s="22" t="s">
        <v>17</v>
      </c>
    </row>
    <row r="1773" ht="15.15" spans="1:7">
      <c r="A1773" s="20">
        <v>1771</v>
      </c>
      <c r="B1773" s="20">
        <v>3449</v>
      </c>
      <c r="C1773" s="21">
        <v>45020</v>
      </c>
      <c r="D1773" s="20">
        <v>3291.84</v>
      </c>
      <c r="E1773" s="22" t="s">
        <v>10</v>
      </c>
      <c r="F1773" s="22" t="s">
        <v>11</v>
      </c>
      <c r="G1773" s="22" t="s">
        <v>12</v>
      </c>
    </row>
    <row r="1774" ht="15.15" spans="1:7">
      <c r="A1774" s="20">
        <v>1772</v>
      </c>
      <c r="B1774" s="20">
        <v>587</v>
      </c>
      <c r="C1774" s="21">
        <v>45023</v>
      </c>
      <c r="D1774" s="20">
        <v>3291.84</v>
      </c>
      <c r="E1774" s="22" t="s">
        <v>22</v>
      </c>
      <c r="F1774" s="22" t="s">
        <v>14</v>
      </c>
      <c r="G1774" s="22" t="s">
        <v>15</v>
      </c>
    </row>
    <row r="1775" ht="15.15" spans="1:7">
      <c r="A1775" s="20">
        <v>1773</v>
      </c>
      <c r="B1775" s="20">
        <v>4021</v>
      </c>
      <c r="C1775" s="21">
        <v>45195</v>
      </c>
      <c r="D1775" s="20">
        <v>3291.84</v>
      </c>
      <c r="E1775" s="22" t="s">
        <v>10</v>
      </c>
      <c r="F1775" s="22" t="s">
        <v>16</v>
      </c>
      <c r="G1775" s="22" t="s">
        <v>20</v>
      </c>
    </row>
    <row r="1776" ht="15.15" spans="1:7">
      <c r="A1776" s="20">
        <v>1774</v>
      </c>
      <c r="B1776" s="20">
        <v>551</v>
      </c>
      <c r="C1776" s="21">
        <v>45011</v>
      </c>
      <c r="D1776" s="20">
        <v>3291.84</v>
      </c>
      <c r="E1776" s="22" t="s">
        <v>10</v>
      </c>
      <c r="F1776" s="22" t="s">
        <v>11</v>
      </c>
      <c r="G1776" s="22" t="s">
        <v>17</v>
      </c>
    </row>
    <row r="1777" ht="15.15" spans="1:7">
      <c r="A1777" s="20">
        <v>1775</v>
      </c>
      <c r="B1777" s="20">
        <v>7492</v>
      </c>
      <c r="C1777" s="21">
        <v>45167</v>
      </c>
      <c r="D1777" s="20">
        <v>3291.84</v>
      </c>
      <c r="E1777" s="22" t="s">
        <v>10</v>
      </c>
      <c r="F1777" s="22" t="s">
        <v>13</v>
      </c>
      <c r="G1777" s="22" t="s">
        <v>15</v>
      </c>
    </row>
    <row r="1778" ht="15.15" spans="1:7">
      <c r="A1778" s="20">
        <v>1776</v>
      </c>
      <c r="B1778" s="20">
        <v>4111</v>
      </c>
      <c r="C1778" s="21">
        <v>45272</v>
      </c>
      <c r="D1778" s="20">
        <v>3291.84</v>
      </c>
      <c r="E1778" s="22" t="s">
        <v>10</v>
      </c>
      <c r="F1778" s="22" t="s">
        <v>16</v>
      </c>
      <c r="G1778" s="22" t="s">
        <v>20</v>
      </c>
    </row>
    <row r="1779" ht="15.15" spans="1:7">
      <c r="A1779" s="20">
        <v>1777</v>
      </c>
      <c r="B1779" s="20">
        <v>4461</v>
      </c>
      <c r="C1779" s="21">
        <v>44929</v>
      </c>
      <c r="D1779" s="20">
        <v>3291.84</v>
      </c>
      <c r="E1779" s="22" t="s">
        <v>10</v>
      </c>
      <c r="F1779" s="22" t="s">
        <v>16</v>
      </c>
      <c r="G1779" s="22" t="s">
        <v>15</v>
      </c>
    </row>
    <row r="1780" ht="15.15" spans="1:7">
      <c r="A1780" s="20">
        <v>1778</v>
      </c>
      <c r="B1780" s="20">
        <v>3621</v>
      </c>
      <c r="C1780" s="21">
        <v>45080</v>
      </c>
      <c r="D1780" s="20">
        <v>3291.84</v>
      </c>
      <c r="E1780" s="22" t="s">
        <v>10</v>
      </c>
      <c r="F1780" s="22" t="s">
        <v>18</v>
      </c>
      <c r="G1780" s="22" t="s">
        <v>15</v>
      </c>
    </row>
    <row r="1781" ht="15.15" spans="1:7">
      <c r="A1781" s="20">
        <v>1779</v>
      </c>
      <c r="B1781" s="20">
        <v>6502</v>
      </c>
      <c r="C1781" s="21">
        <v>45165</v>
      </c>
      <c r="D1781" s="20">
        <v>3291.84</v>
      </c>
      <c r="E1781" s="22" t="s">
        <v>10</v>
      </c>
      <c r="F1781" s="22" t="s">
        <v>18</v>
      </c>
      <c r="G1781" s="22" t="s">
        <v>15</v>
      </c>
    </row>
    <row r="1782" ht="15.15" spans="1:7">
      <c r="A1782" s="20">
        <v>1780</v>
      </c>
      <c r="B1782" s="20">
        <v>3705</v>
      </c>
      <c r="C1782" s="21">
        <v>45025</v>
      </c>
      <c r="D1782" s="20">
        <v>3291.84</v>
      </c>
      <c r="E1782" s="22" t="s">
        <v>10</v>
      </c>
      <c r="F1782" s="22" t="s">
        <v>13</v>
      </c>
      <c r="G1782" s="22" t="s">
        <v>12</v>
      </c>
    </row>
    <row r="1783" ht="15.15" spans="1:7">
      <c r="A1783" s="20">
        <v>1781</v>
      </c>
      <c r="B1783" s="20">
        <v>2682</v>
      </c>
      <c r="C1783" s="21">
        <v>45256</v>
      </c>
      <c r="D1783" s="20">
        <v>3291.84</v>
      </c>
      <c r="E1783" s="22" t="s">
        <v>10</v>
      </c>
      <c r="F1783" s="22" t="s">
        <v>16</v>
      </c>
      <c r="G1783" s="22" t="s">
        <v>15</v>
      </c>
    </row>
    <row r="1784" ht="15.15" spans="1:7">
      <c r="A1784" s="20">
        <v>1782</v>
      </c>
      <c r="B1784" s="20">
        <v>7360</v>
      </c>
      <c r="C1784" s="21">
        <v>45029</v>
      </c>
      <c r="D1784" s="20">
        <v>3291.84</v>
      </c>
      <c r="E1784" s="22" t="s">
        <v>10</v>
      </c>
      <c r="F1784" s="22" t="s">
        <v>13</v>
      </c>
      <c r="G1784" s="22" t="s">
        <v>12</v>
      </c>
    </row>
    <row r="1785" ht="15.15" spans="1:7">
      <c r="A1785" s="20">
        <v>1783</v>
      </c>
      <c r="B1785" s="20">
        <v>1475</v>
      </c>
      <c r="C1785" s="21">
        <v>45013</v>
      </c>
      <c r="D1785" s="20">
        <v>3291.84</v>
      </c>
      <c r="E1785" s="22" t="s">
        <v>10</v>
      </c>
      <c r="F1785" s="22" t="s">
        <v>16</v>
      </c>
      <c r="G1785" s="22" t="s">
        <v>15</v>
      </c>
    </row>
    <row r="1786" ht="15.15" spans="1:7">
      <c r="A1786" s="20">
        <v>1784</v>
      </c>
      <c r="B1786" s="20">
        <v>9069</v>
      </c>
      <c r="C1786" s="21">
        <v>45164</v>
      </c>
      <c r="D1786" s="20">
        <v>3291.84</v>
      </c>
      <c r="E1786" s="22" t="s">
        <v>10</v>
      </c>
      <c r="F1786" s="22" t="s">
        <v>16</v>
      </c>
      <c r="G1786" s="22" t="s">
        <v>20</v>
      </c>
    </row>
    <row r="1787" ht="15.15" spans="1:7">
      <c r="A1787" s="20">
        <v>1785</v>
      </c>
      <c r="B1787" s="20">
        <v>3921</v>
      </c>
      <c r="C1787" s="21">
        <v>45205</v>
      </c>
      <c r="D1787" s="20">
        <v>3291.84</v>
      </c>
      <c r="E1787" s="22" t="s">
        <v>10</v>
      </c>
      <c r="F1787" s="22" t="s">
        <v>16</v>
      </c>
      <c r="G1787" s="22" t="s">
        <v>12</v>
      </c>
    </row>
    <row r="1788" ht="15.15" spans="1:7">
      <c r="A1788" s="20">
        <v>1786</v>
      </c>
      <c r="B1788" s="20">
        <v>9107</v>
      </c>
      <c r="C1788" s="21">
        <v>45240</v>
      </c>
      <c r="D1788" s="20">
        <v>3291.84</v>
      </c>
      <c r="E1788" s="22" t="s">
        <v>10</v>
      </c>
      <c r="F1788" s="22" t="s">
        <v>18</v>
      </c>
      <c r="G1788" s="22" t="s">
        <v>20</v>
      </c>
    </row>
    <row r="1789" ht="15.15" spans="1:7">
      <c r="A1789" s="20">
        <v>1787</v>
      </c>
      <c r="B1789" s="20">
        <v>3420</v>
      </c>
      <c r="C1789" s="21">
        <v>45072</v>
      </c>
      <c r="D1789" s="20">
        <v>3291.84</v>
      </c>
      <c r="E1789" s="22" t="s">
        <v>10</v>
      </c>
      <c r="F1789" s="22" t="s">
        <v>14</v>
      </c>
      <c r="G1789" s="22" t="s">
        <v>12</v>
      </c>
    </row>
    <row r="1790" ht="15.15" spans="1:7">
      <c r="A1790" s="20">
        <v>1788</v>
      </c>
      <c r="B1790" s="20">
        <v>7424</v>
      </c>
      <c r="C1790" s="21">
        <v>44971</v>
      </c>
      <c r="D1790" s="20">
        <v>3291.84</v>
      </c>
      <c r="E1790" s="22" t="s">
        <v>10</v>
      </c>
      <c r="F1790" s="22" t="s">
        <v>11</v>
      </c>
      <c r="G1790" s="22" t="s">
        <v>15</v>
      </c>
    </row>
    <row r="1791" ht="15.15" spans="1:7">
      <c r="A1791" s="20">
        <v>1789</v>
      </c>
      <c r="B1791" s="20">
        <v>182</v>
      </c>
      <c r="C1791" s="21">
        <v>45257</v>
      </c>
      <c r="D1791" s="20">
        <v>3291.84</v>
      </c>
      <c r="E1791" s="22" t="s">
        <v>10</v>
      </c>
      <c r="F1791" s="22" t="s">
        <v>11</v>
      </c>
      <c r="G1791" s="22" t="s">
        <v>17</v>
      </c>
    </row>
    <row r="1792" ht="15.15" spans="1:7">
      <c r="A1792" s="20">
        <v>1790</v>
      </c>
      <c r="B1792" s="20">
        <v>4966</v>
      </c>
      <c r="C1792" s="21">
        <v>45018</v>
      </c>
      <c r="D1792" s="20">
        <v>3291.84</v>
      </c>
      <c r="E1792" s="22" t="s">
        <v>10</v>
      </c>
      <c r="F1792" s="22" t="s">
        <v>16</v>
      </c>
      <c r="G1792" s="22" t="s">
        <v>20</v>
      </c>
    </row>
    <row r="1793" ht="15.15" spans="1:7">
      <c r="A1793" s="20">
        <v>1791</v>
      </c>
      <c r="B1793" s="20">
        <v>4608</v>
      </c>
      <c r="C1793" s="21">
        <v>45258</v>
      </c>
      <c r="D1793" s="20">
        <v>3291.84</v>
      </c>
      <c r="E1793" s="22" t="s">
        <v>10</v>
      </c>
      <c r="F1793" s="22" t="s">
        <v>11</v>
      </c>
      <c r="G1793" s="22" t="s">
        <v>15</v>
      </c>
    </row>
    <row r="1794" ht="15.15" spans="1:7">
      <c r="A1794" s="20">
        <v>1792</v>
      </c>
      <c r="B1794" s="20">
        <v>7440</v>
      </c>
      <c r="C1794" s="21">
        <v>45265</v>
      </c>
      <c r="D1794" s="20">
        <v>3291.84</v>
      </c>
      <c r="E1794" s="22" t="s">
        <v>10</v>
      </c>
      <c r="F1794" s="22" t="s">
        <v>14</v>
      </c>
      <c r="G1794" s="22" t="s">
        <v>20</v>
      </c>
    </row>
    <row r="1795" ht="15.15" spans="1:7">
      <c r="A1795" s="20">
        <v>1793</v>
      </c>
      <c r="B1795" s="20">
        <v>9337</v>
      </c>
      <c r="C1795" s="21">
        <v>45250</v>
      </c>
      <c r="D1795" s="20">
        <v>3291.84</v>
      </c>
      <c r="E1795" s="22" t="s">
        <v>10</v>
      </c>
      <c r="F1795" s="22" t="s">
        <v>14</v>
      </c>
      <c r="G1795" s="22" t="s">
        <v>17</v>
      </c>
    </row>
    <row r="1796" ht="15.15" spans="1:7">
      <c r="A1796" s="20">
        <v>1794</v>
      </c>
      <c r="B1796" s="20">
        <v>8684</v>
      </c>
      <c r="C1796" s="21">
        <v>44981</v>
      </c>
      <c r="D1796" s="20">
        <v>3291.84</v>
      </c>
      <c r="E1796" s="22" t="s">
        <v>10</v>
      </c>
      <c r="F1796" s="22" t="s">
        <v>16</v>
      </c>
      <c r="G1796" s="22" t="s">
        <v>17</v>
      </c>
    </row>
    <row r="1797" ht="15.15" spans="1:7">
      <c r="A1797" s="20">
        <v>1795</v>
      </c>
      <c r="B1797" s="20">
        <v>8810</v>
      </c>
      <c r="C1797" s="21">
        <v>45265</v>
      </c>
      <c r="D1797" s="20">
        <v>3291.84</v>
      </c>
      <c r="E1797" s="22" t="s">
        <v>10</v>
      </c>
      <c r="F1797" s="22" t="s">
        <v>13</v>
      </c>
      <c r="G1797" s="22" t="s">
        <v>20</v>
      </c>
    </row>
    <row r="1798" ht="15.15" spans="1:7">
      <c r="A1798" s="20">
        <v>1796</v>
      </c>
      <c r="B1798" s="20">
        <v>6881</v>
      </c>
      <c r="C1798" s="21">
        <v>44967</v>
      </c>
      <c r="D1798" s="20">
        <v>3291.84</v>
      </c>
      <c r="E1798" s="22" t="s">
        <v>10</v>
      </c>
      <c r="F1798" s="22" t="s">
        <v>14</v>
      </c>
      <c r="G1798" s="22" t="s">
        <v>20</v>
      </c>
    </row>
    <row r="1799" ht="15.15" spans="1:7">
      <c r="A1799" s="20">
        <v>1797</v>
      </c>
      <c r="B1799" s="20">
        <v>1850</v>
      </c>
      <c r="C1799" s="21">
        <v>45276</v>
      </c>
      <c r="D1799" s="20">
        <v>3291.84</v>
      </c>
      <c r="E1799" s="22" t="s">
        <v>10</v>
      </c>
      <c r="F1799" s="22" t="s">
        <v>11</v>
      </c>
      <c r="G1799" s="22" t="s">
        <v>17</v>
      </c>
    </row>
    <row r="1800" ht="15.15" spans="1:7">
      <c r="A1800" s="20">
        <v>1798</v>
      </c>
      <c r="B1800" s="20">
        <v>9437</v>
      </c>
      <c r="C1800" s="21">
        <v>45267</v>
      </c>
      <c r="D1800" s="20">
        <v>3291.84</v>
      </c>
      <c r="E1800" s="22" t="s">
        <v>10</v>
      </c>
      <c r="F1800" s="22" t="s">
        <v>18</v>
      </c>
      <c r="G1800" s="22" t="s">
        <v>17</v>
      </c>
    </row>
    <row r="1801" ht="15.15" spans="1:7">
      <c r="A1801" s="20">
        <v>1799</v>
      </c>
      <c r="B1801" s="20">
        <v>2191</v>
      </c>
      <c r="C1801" s="21">
        <v>45020</v>
      </c>
      <c r="D1801" s="20">
        <v>3291.84</v>
      </c>
      <c r="E1801" s="22" t="s">
        <v>10</v>
      </c>
      <c r="F1801" s="22" t="s">
        <v>11</v>
      </c>
      <c r="G1801" s="22" t="s">
        <v>17</v>
      </c>
    </row>
    <row r="1802" ht="15.15" spans="1:7">
      <c r="A1802" s="20">
        <v>1800</v>
      </c>
      <c r="B1802" s="20">
        <v>9768</v>
      </c>
      <c r="C1802" s="21">
        <v>45281</v>
      </c>
      <c r="D1802" s="20">
        <v>3291.84</v>
      </c>
      <c r="E1802" s="22" t="s">
        <v>10</v>
      </c>
      <c r="F1802" s="22" t="s">
        <v>18</v>
      </c>
      <c r="G1802" s="22" t="s">
        <v>17</v>
      </c>
    </row>
    <row r="1803" ht="15.15" spans="1:7">
      <c r="A1803" s="20">
        <v>1801</v>
      </c>
      <c r="B1803" s="20">
        <v>1786</v>
      </c>
      <c r="C1803" s="21">
        <v>45250</v>
      </c>
      <c r="D1803" s="20">
        <v>3291.84</v>
      </c>
      <c r="E1803" s="22" t="s">
        <v>10</v>
      </c>
      <c r="F1803" s="22" t="s">
        <v>14</v>
      </c>
      <c r="G1803" s="22" t="s">
        <v>12</v>
      </c>
    </row>
    <row r="1804" ht="15.15" spans="1:7">
      <c r="A1804" s="20">
        <v>1802</v>
      </c>
      <c r="B1804" s="20">
        <v>7693</v>
      </c>
      <c r="C1804" s="21">
        <v>45021</v>
      </c>
      <c r="D1804" s="20">
        <v>3291.84</v>
      </c>
      <c r="E1804" s="22" t="s">
        <v>10</v>
      </c>
      <c r="F1804" s="22" t="s">
        <v>16</v>
      </c>
      <c r="G1804" s="22" t="s">
        <v>12</v>
      </c>
    </row>
    <row r="1805" ht="15.15" spans="1:7">
      <c r="A1805" s="20">
        <v>1803</v>
      </c>
      <c r="B1805" s="20">
        <v>6506</v>
      </c>
      <c r="C1805" s="21">
        <v>45258</v>
      </c>
      <c r="D1805" s="20">
        <v>3291.84</v>
      </c>
      <c r="E1805" s="22" t="s">
        <v>10</v>
      </c>
      <c r="F1805" s="22" t="s">
        <v>14</v>
      </c>
      <c r="G1805" s="22" t="s">
        <v>17</v>
      </c>
    </row>
    <row r="1806" ht="15.15" spans="1:7">
      <c r="A1806" s="20">
        <v>1804</v>
      </c>
      <c r="B1806" s="20">
        <v>9710</v>
      </c>
      <c r="C1806" s="21">
        <v>45027</v>
      </c>
      <c r="D1806" s="20">
        <v>3291.84</v>
      </c>
      <c r="E1806" s="22" t="s">
        <v>10</v>
      </c>
      <c r="F1806" s="22" t="s">
        <v>14</v>
      </c>
      <c r="G1806" s="22" t="s">
        <v>20</v>
      </c>
    </row>
    <row r="1807" ht="15.15" spans="1:7">
      <c r="A1807" s="20">
        <v>1805</v>
      </c>
      <c r="B1807" s="20">
        <v>4874</v>
      </c>
      <c r="C1807" s="21">
        <v>45089</v>
      </c>
      <c r="D1807" s="20">
        <v>3291.84</v>
      </c>
      <c r="E1807" s="22" t="s">
        <v>10</v>
      </c>
      <c r="F1807" s="22" t="s">
        <v>14</v>
      </c>
      <c r="G1807" s="22" t="s">
        <v>20</v>
      </c>
    </row>
    <row r="1808" ht="15.15" spans="1:7">
      <c r="A1808" s="20">
        <v>1806</v>
      </c>
      <c r="B1808" s="20">
        <v>6483</v>
      </c>
      <c r="C1808" s="21">
        <v>44972</v>
      </c>
      <c r="D1808" s="20">
        <v>3291.84</v>
      </c>
      <c r="E1808" s="22" t="s">
        <v>10</v>
      </c>
      <c r="F1808" s="22" t="s">
        <v>16</v>
      </c>
      <c r="G1808" s="22" t="s">
        <v>20</v>
      </c>
    </row>
    <row r="1809" ht="15.15" spans="1:7">
      <c r="A1809" s="20">
        <v>1807</v>
      </c>
      <c r="B1809" s="20">
        <v>2758</v>
      </c>
      <c r="C1809" s="21">
        <v>45099</v>
      </c>
      <c r="D1809" s="20">
        <v>3291.84</v>
      </c>
      <c r="E1809" s="22" t="s">
        <v>10</v>
      </c>
      <c r="F1809" s="22" t="s">
        <v>18</v>
      </c>
      <c r="G1809" s="22" t="s">
        <v>15</v>
      </c>
    </row>
    <row r="1810" ht="15.15" spans="1:7">
      <c r="A1810" s="20">
        <v>1808</v>
      </c>
      <c r="B1810" s="20">
        <v>5946</v>
      </c>
      <c r="C1810" s="21">
        <v>45161</v>
      </c>
      <c r="D1810" s="20">
        <v>3291.84</v>
      </c>
      <c r="E1810" s="22" t="s">
        <v>10</v>
      </c>
      <c r="F1810" s="22" t="s">
        <v>16</v>
      </c>
      <c r="G1810" s="22" t="s">
        <v>17</v>
      </c>
    </row>
    <row r="1811" ht="15.15" spans="1:7">
      <c r="A1811" s="20">
        <v>1809</v>
      </c>
      <c r="B1811" s="20">
        <v>2422</v>
      </c>
      <c r="C1811" s="21">
        <v>45066</v>
      </c>
      <c r="D1811" s="20">
        <v>3291.84</v>
      </c>
      <c r="E1811" s="22" t="s">
        <v>10</v>
      </c>
      <c r="F1811" s="22" t="s">
        <v>11</v>
      </c>
      <c r="G1811" s="22" t="s">
        <v>15</v>
      </c>
    </row>
    <row r="1812" ht="15.15" spans="1:7">
      <c r="A1812" s="20">
        <v>1810</v>
      </c>
      <c r="B1812" s="20">
        <v>8742</v>
      </c>
      <c r="C1812" s="21">
        <v>45060</v>
      </c>
      <c r="D1812" s="20">
        <v>3291.84</v>
      </c>
      <c r="E1812" s="22" t="s">
        <v>10</v>
      </c>
      <c r="F1812" s="22" t="s">
        <v>16</v>
      </c>
      <c r="G1812" s="22" t="s">
        <v>15</v>
      </c>
    </row>
    <row r="1813" ht="15.15" spans="1:7">
      <c r="A1813" s="20">
        <v>1811</v>
      </c>
      <c r="B1813" s="20">
        <v>1528</v>
      </c>
      <c r="C1813" s="21">
        <v>44998</v>
      </c>
      <c r="D1813" s="20">
        <v>3291.84</v>
      </c>
      <c r="E1813" s="22" t="s">
        <v>10</v>
      </c>
      <c r="F1813" s="22" t="s">
        <v>18</v>
      </c>
      <c r="G1813" s="22" t="s">
        <v>17</v>
      </c>
    </row>
    <row r="1814" ht="15.15" spans="1:7">
      <c r="A1814" s="20">
        <v>1812</v>
      </c>
      <c r="B1814" s="20">
        <v>6568</v>
      </c>
      <c r="C1814" s="21">
        <v>45096</v>
      </c>
      <c r="D1814" s="20">
        <v>3291.84</v>
      </c>
      <c r="E1814" s="22" t="s">
        <v>10</v>
      </c>
      <c r="F1814" s="22" t="s">
        <v>18</v>
      </c>
      <c r="G1814" s="22" t="s">
        <v>15</v>
      </c>
    </row>
    <row r="1815" ht="15.15" spans="1:7">
      <c r="A1815" s="20">
        <v>1813</v>
      </c>
      <c r="B1815" s="20">
        <v>2444</v>
      </c>
      <c r="C1815" s="21">
        <v>45072</v>
      </c>
      <c r="D1815" s="20">
        <v>3291.84</v>
      </c>
      <c r="E1815" s="22" t="s">
        <v>10</v>
      </c>
      <c r="F1815" s="22" t="s">
        <v>18</v>
      </c>
      <c r="G1815" s="22" t="s">
        <v>12</v>
      </c>
    </row>
    <row r="1816" ht="15.15" spans="1:7">
      <c r="A1816" s="20">
        <v>1814</v>
      </c>
      <c r="B1816" s="20">
        <v>3480</v>
      </c>
      <c r="C1816" s="21">
        <v>45138</v>
      </c>
      <c r="D1816" s="20">
        <v>3291.84</v>
      </c>
      <c r="E1816" s="22" t="s">
        <v>10</v>
      </c>
      <c r="F1816" s="22" t="s">
        <v>11</v>
      </c>
      <c r="G1816" s="22" t="s">
        <v>17</v>
      </c>
    </row>
    <row r="1817" ht="15.15" spans="1:7">
      <c r="A1817" s="20">
        <v>1815</v>
      </c>
      <c r="B1817" s="20">
        <v>8345</v>
      </c>
      <c r="C1817" s="21">
        <v>45271</v>
      </c>
      <c r="D1817" s="20">
        <v>3291.84</v>
      </c>
      <c r="E1817" s="22" t="s">
        <v>10</v>
      </c>
      <c r="F1817" s="22" t="s">
        <v>13</v>
      </c>
      <c r="G1817" s="22" t="s">
        <v>17</v>
      </c>
    </row>
    <row r="1818" ht="15.15" spans="1:7">
      <c r="A1818" s="20">
        <v>1816</v>
      </c>
      <c r="B1818" s="20">
        <v>2880</v>
      </c>
      <c r="C1818" s="21">
        <v>44995</v>
      </c>
      <c r="D1818" s="20">
        <v>3291.84</v>
      </c>
      <c r="E1818" s="22" t="s">
        <v>10</v>
      </c>
      <c r="F1818" s="22" t="s">
        <v>13</v>
      </c>
      <c r="G1818" s="22" t="s">
        <v>20</v>
      </c>
    </row>
    <row r="1819" ht="15.15" spans="1:7">
      <c r="A1819" s="20">
        <v>1817</v>
      </c>
      <c r="B1819" s="20">
        <v>4111</v>
      </c>
      <c r="C1819" s="21">
        <v>45243</v>
      </c>
      <c r="D1819" s="20">
        <v>3291.84</v>
      </c>
      <c r="E1819" s="22" t="s">
        <v>10</v>
      </c>
      <c r="F1819" s="22" t="s">
        <v>16</v>
      </c>
      <c r="G1819" s="22" t="s">
        <v>20</v>
      </c>
    </row>
    <row r="1820" ht="15.15" spans="1:7">
      <c r="A1820" s="20">
        <v>1818</v>
      </c>
      <c r="B1820" s="20">
        <v>1177</v>
      </c>
      <c r="C1820" s="21">
        <v>45067</v>
      </c>
      <c r="D1820" s="20">
        <v>3291.84</v>
      </c>
      <c r="E1820" s="22" t="s">
        <v>10</v>
      </c>
      <c r="F1820" s="22" t="s">
        <v>19</v>
      </c>
      <c r="G1820" s="22" t="s">
        <v>17</v>
      </c>
    </row>
    <row r="1821" ht="15.15" spans="1:7">
      <c r="A1821" s="20">
        <v>1819</v>
      </c>
      <c r="B1821" s="20">
        <v>5369</v>
      </c>
      <c r="C1821" s="21">
        <v>45099</v>
      </c>
      <c r="D1821" s="20">
        <v>3291.84</v>
      </c>
      <c r="E1821" s="22" t="s">
        <v>10</v>
      </c>
      <c r="F1821" s="22" t="s">
        <v>18</v>
      </c>
      <c r="G1821" s="22" t="s">
        <v>15</v>
      </c>
    </row>
    <row r="1822" ht="15.15" spans="1:7">
      <c r="A1822" s="20">
        <v>1820</v>
      </c>
      <c r="B1822" s="20">
        <v>9397</v>
      </c>
      <c r="C1822" s="21">
        <v>45001</v>
      </c>
      <c r="D1822" s="20">
        <v>3291.84</v>
      </c>
      <c r="E1822" s="22" t="s">
        <v>10</v>
      </c>
      <c r="F1822" s="22" t="s">
        <v>16</v>
      </c>
      <c r="G1822" s="22" t="s">
        <v>20</v>
      </c>
    </row>
    <row r="1823" ht="15.15" spans="1:7">
      <c r="A1823" s="20">
        <v>1821</v>
      </c>
      <c r="B1823" s="20">
        <v>1433</v>
      </c>
      <c r="C1823" s="21">
        <v>45185</v>
      </c>
      <c r="D1823" s="20">
        <v>3291.84</v>
      </c>
      <c r="E1823" s="22" t="s">
        <v>10</v>
      </c>
      <c r="F1823" s="22" t="s">
        <v>11</v>
      </c>
      <c r="G1823" s="22" t="s">
        <v>15</v>
      </c>
    </row>
    <row r="1824" ht="15.15" spans="1:7">
      <c r="A1824" s="20">
        <v>1822</v>
      </c>
      <c r="B1824" s="20">
        <v>8657</v>
      </c>
      <c r="C1824" s="21">
        <v>45260</v>
      </c>
      <c r="D1824" s="20">
        <v>3291.84</v>
      </c>
      <c r="E1824" s="22" t="s">
        <v>10</v>
      </c>
      <c r="F1824" s="22" t="s">
        <v>13</v>
      </c>
      <c r="G1824" s="22" t="s">
        <v>20</v>
      </c>
    </row>
    <row r="1825" ht="15.15" spans="1:7">
      <c r="A1825" s="20">
        <v>1823</v>
      </c>
      <c r="B1825" s="20">
        <v>7897</v>
      </c>
      <c r="C1825" s="21">
        <v>45203</v>
      </c>
      <c r="D1825" s="20">
        <v>3291.84</v>
      </c>
      <c r="E1825" s="22" t="s">
        <v>10</v>
      </c>
      <c r="F1825" s="22" t="s">
        <v>18</v>
      </c>
      <c r="G1825" s="22" t="s">
        <v>17</v>
      </c>
    </row>
    <row r="1826" ht="15.15" spans="1:7">
      <c r="A1826" s="20">
        <v>1824</v>
      </c>
      <c r="B1826" s="20">
        <v>5034</v>
      </c>
      <c r="C1826" s="21">
        <v>45132</v>
      </c>
      <c r="D1826" s="20">
        <v>3291.84</v>
      </c>
      <c r="E1826" s="22" t="s">
        <v>10</v>
      </c>
      <c r="F1826" s="22" t="s">
        <v>14</v>
      </c>
      <c r="G1826" s="22" t="s">
        <v>17</v>
      </c>
    </row>
    <row r="1827" ht="15.15" spans="1:7">
      <c r="A1827" s="20">
        <v>1825</v>
      </c>
      <c r="B1827" s="20">
        <v>8505</v>
      </c>
      <c r="C1827" s="21">
        <v>45215</v>
      </c>
      <c r="D1827" s="20">
        <v>3291.84</v>
      </c>
      <c r="E1827" s="22" t="s">
        <v>10</v>
      </c>
      <c r="F1827" s="22" t="s">
        <v>18</v>
      </c>
      <c r="G1827" s="22" t="s">
        <v>17</v>
      </c>
    </row>
    <row r="1828" ht="15.15" spans="1:7">
      <c r="A1828" s="20">
        <v>1826</v>
      </c>
      <c r="B1828" s="20">
        <v>7798</v>
      </c>
      <c r="C1828" s="21">
        <v>45193</v>
      </c>
      <c r="D1828" s="20">
        <v>3291.84</v>
      </c>
      <c r="E1828" s="22" t="s">
        <v>10</v>
      </c>
      <c r="F1828" s="22" t="s">
        <v>13</v>
      </c>
      <c r="G1828" s="22" t="s">
        <v>17</v>
      </c>
    </row>
    <row r="1829" ht="15.15" spans="1:7">
      <c r="A1829" s="20">
        <v>1827</v>
      </c>
      <c r="B1829" s="20">
        <v>5511</v>
      </c>
      <c r="C1829" s="21">
        <v>45132</v>
      </c>
      <c r="D1829" s="20">
        <v>3291.84</v>
      </c>
      <c r="E1829" s="22" t="s">
        <v>10</v>
      </c>
      <c r="F1829" s="22" t="s">
        <v>14</v>
      </c>
      <c r="G1829" s="22" t="s">
        <v>20</v>
      </c>
    </row>
    <row r="1830" ht="15.15" spans="1:7">
      <c r="A1830" s="20">
        <v>1828</v>
      </c>
      <c r="B1830" s="20">
        <v>9982</v>
      </c>
      <c r="C1830" s="21">
        <v>45188</v>
      </c>
      <c r="D1830" s="20">
        <v>3291.84</v>
      </c>
      <c r="E1830" s="22" t="s">
        <v>10</v>
      </c>
      <c r="F1830" s="22" t="s">
        <v>14</v>
      </c>
      <c r="G1830" s="22" t="s">
        <v>15</v>
      </c>
    </row>
    <row r="1831" ht="15.15" spans="1:7">
      <c r="A1831" s="20">
        <v>1829</v>
      </c>
      <c r="B1831" s="20">
        <v>6284</v>
      </c>
      <c r="C1831" s="21">
        <v>44963</v>
      </c>
      <c r="D1831" s="20">
        <v>3291.84</v>
      </c>
      <c r="E1831" s="22" t="s">
        <v>10</v>
      </c>
      <c r="F1831" s="22" t="s">
        <v>16</v>
      </c>
      <c r="G1831" s="22" t="s">
        <v>20</v>
      </c>
    </row>
    <row r="1832" ht="15.15" spans="1:7">
      <c r="A1832" s="20">
        <v>1830</v>
      </c>
      <c r="B1832" s="20">
        <v>6283</v>
      </c>
      <c r="C1832" s="21">
        <v>45209</v>
      </c>
      <c r="D1832" s="20">
        <v>3291.84</v>
      </c>
      <c r="E1832" s="22" t="s">
        <v>10</v>
      </c>
      <c r="F1832" s="22" t="s">
        <v>16</v>
      </c>
      <c r="G1832" s="22" t="s">
        <v>17</v>
      </c>
    </row>
    <row r="1833" ht="15.15" spans="1:7">
      <c r="A1833" s="20">
        <v>1831</v>
      </c>
      <c r="B1833" s="20">
        <v>7220</v>
      </c>
      <c r="C1833" s="21">
        <v>45117</v>
      </c>
      <c r="D1833" s="20">
        <v>3291.84</v>
      </c>
      <c r="E1833" s="22" t="s">
        <v>10</v>
      </c>
      <c r="F1833" s="22" t="s">
        <v>16</v>
      </c>
      <c r="G1833" s="22" t="s">
        <v>17</v>
      </c>
    </row>
    <row r="1834" ht="15.15" spans="1:7">
      <c r="A1834" s="20">
        <v>1832</v>
      </c>
      <c r="B1834" s="20">
        <v>7343</v>
      </c>
      <c r="C1834" s="21">
        <v>45039</v>
      </c>
      <c r="D1834" s="20">
        <v>3291.84</v>
      </c>
      <c r="E1834" s="22" t="s">
        <v>10</v>
      </c>
      <c r="F1834" s="22" t="s">
        <v>14</v>
      </c>
      <c r="G1834" s="22" t="s">
        <v>20</v>
      </c>
    </row>
    <row r="1835" ht="15.15" spans="1:7">
      <c r="A1835" s="20">
        <v>1833</v>
      </c>
      <c r="B1835" s="20">
        <v>3385</v>
      </c>
      <c r="C1835" s="21">
        <v>45143</v>
      </c>
      <c r="D1835" s="20">
        <v>3291.84</v>
      </c>
      <c r="E1835" s="22" t="s">
        <v>10</v>
      </c>
      <c r="F1835" s="22" t="s">
        <v>14</v>
      </c>
      <c r="G1835" s="22" t="s">
        <v>12</v>
      </c>
    </row>
    <row r="1836" ht="15.15" spans="1:7">
      <c r="A1836" s="20">
        <v>1834</v>
      </c>
      <c r="B1836" s="20">
        <v>7102</v>
      </c>
      <c r="C1836" s="21">
        <v>44965</v>
      </c>
      <c r="D1836" s="20">
        <v>3291.84</v>
      </c>
      <c r="E1836" s="22" t="s">
        <v>22</v>
      </c>
      <c r="F1836" s="22" t="s">
        <v>16</v>
      </c>
      <c r="G1836" s="22" t="s">
        <v>15</v>
      </c>
    </row>
    <row r="1837" ht="15.15" spans="1:7">
      <c r="A1837" s="20">
        <v>1835</v>
      </c>
      <c r="B1837" s="20">
        <v>5743</v>
      </c>
      <c r="C1837" s="21">
        <v>44930</v>
      </c>
      <c r="D1837" s="20">
        <v>3291.84</v>
      </c>
      <c r="E1837" s="22" t="s">
        <v>10</v>
      </c>
      <c r="F1837" s="22" t="s">
        <v>14</v>
      </c>
      <c r="G1837" s="22" t="s">
        <v>17</v>
      </c>
    </row>
    <row r="1838" ht="15.15" spans="1:7">
      <c r="A1838" s="20">
        <v>1836</v>
      </c>
      <c r="B1838" s="20">
        <v>9268</v>
      </c>
      <c r="C1838" s="21">
        <v>45086</v>
      </c>
      <c r="D1838" s="20">
        <v>3291.84</v>
      </c>
      <c r="E1838" s="22" t="s">
        <v>10</v>
      </c>
      <c r="F1838" s="22" t="s">
        <v>13</v>
      </c>
      <c r="G1838" s="22" t="s">
        <v>15</v>
      </c>
    </row>
    <row r="1839" ht="15.15" spans="1:7">
      <c r="A1839" s="20">
        <v>1837</v>
      </c>
      <c r="B1839" s="20">
        <v>1983</v>
      </c>
      <c r="C1839" s="21">
        <v>45287</v>
      </c>
      <c r="D1839" s="20">
        <v>3291.84</v>
      </c>
      <c r="E1839" s="22" t="s">
        <v>10</v>
      </c>
      <c r="F1839" s="22" t="s">
        <v>18</v>
      </c>
      <c r="G1839" s="22" t="s">
        <v>12</v>
      </c>
    </row>
    <row r="1840" ht="15.15" spans="1:7">
      <c r="A1840" s="20">
        <v>1838</v>
      </c>
      <c r="B1840" s="20">
        <v>6831</v>
      </c>
      <c r="C1840" s="21">
        <v>45112</v>
      </c>
      <c r="D1840" s="20">
        <v>3291.84</v>
      </c>
      <c r="E1840" s="22" t="s">
        <v>22</v>
      </c>
      <c r="F1840" s="22" t="s">
        <v>16</v>
      </c>
      <c r="G1840" s="22" t="s">
        <v>15</v>
      </c>
    </row>
    <row r="1841" ht="15.15" spans="1:7">
      <c r="A1841" s="20">
        <v>1839</v>
      </c>
      <c r="B1841" s="20">
        <v>8713</v>
      </c>
      <c r="C1841" s="21">
        <v>45054</v>
      </c>
      <c r="D1841" s="20">
        <v>3291.84</v>
      </c>
      <c r="E1841" s="22" t="s">
        <v>10</v>
      </c>
      <c r="F1841" s="22" t="s">
        <v>11</v>
      </c>
      <c r="G1841" s="22" t="s">
        <v>15</v>
      </c>
    </row>
    <row r="1842" ht="15.15" spans="1:7">
      <c r="A1842" s="20">
        <v>1840</v>
      </c>
      <c r="B1842" s="20">
        <v>7849</v>
      </c>
      <c r="C1842" s="21">
        <v>45010</v>
      </c>
      <c r="D1842" s="20">
        <v>3291.84</v>
      </c>
      <c r="E1842" s="22" t="s">
        <v>10</v>
      </c>
      <c r="F1842" s="22" t="s">
        <v>18</v>
      </c>
      <c r="G1842" s="22" t="s">
        <v>12</v>
      </c>
    </row>
    <row r="1843" ht="15.15" spans="1:7">
      <c r="A1843" s="20">
        <v>1841</v>
      </c>
      <c r="B1843" s="20">
        <v>7074</v>
      </c>
      <c r="C1843" s="21">
        <v>44955</v>
      </c>
      <c r="D1843" s="20">
        <v>3291.84</v>
      </c>
      <c r="E1843" s="22" t="s">
        <v>10</v>
      </c>
      <c r="F1843" s="22" t="s">
        <v>18</v>
      </c>
      <c r="G1843" s="22" t="s">
        <v>17</v>
      </c>
    </row>
    <row r="1844" ht="15.15" spans="1:7">
      <c r="A1844" s="20">
        <v>1842</v>
      </c>
      <c r="B1844" s="20">
        <v>8227</v>
      </c>
      <c r="C1844" s="21">
        <v>44971</v>
      </c>
      <c r="D1844" s="20">
        <v>3291.84</v>
      </c>
      <c r="E1844" s="22" t="s">
        <v>22</v>
      </c>
      <c r="F1844" s="22" t="s">
        <v>18</v>
      </c>
      <c r="G1844" s="22" t="s">
        <v>12</v>
      </c>
    </row>
    <row r="1845" ht="15.15" spans="1:7">
      <c r="A1845" s="20">
        <v>1843</v>
      </c>
      <c r="B1845" s="20">
        <v>6063</v>
      </c>
      <c r="C1845" s="21">
        <v>45166</v>
      </c>
      <c r="D1845" s="20">
        <v>3291.84</v>
      </c>
      <c r="E1845" s="22" t="s">
        <v>10</v>
      </c>
      <c r="F1845" s="22" t="s">
        <v>11</v>
      </c>
      <c r="G1845" s="22" t="s">
        <v>17</v>
      </c>
    </row>
    <row r="1846" ht="15.15" spans="1:7">
      <c r="A1846" s="20">
        <v>1844</v>
      </c>
      <c r="B1846" s="20">
        <v>8571</v>
      </c>
      <c r="C1846" s="21">
        <v>45035</v>
      </c>
      <c r="D1846" s="20">
        <v>3291.84</v>
      </c>
      <c r="E1846" s="22" t="s">
        <v>10</v>
      </c>
      <c r="F1846" s="22" t="s">
        <v>14</v>
      </c>
      <c r="G1846" s="22" t="s">
        <v>15</v>
      </c>
    </row>
    <row r="1847" ht="15.15" spans="1:7">
      <c r="A1847" s="20">
        <v>1845</v>
      </c>
      <c r="B1847" s="20">
        <v>8678</v>
      </c>
      <c r="C1847" s="21">
        <v>44969</v>
      </c>
      <c r="D1847" s="20">
        <v>3291.84</v>
      </c>
      <c r="E1847" s="22" t="s">
        <v>10</v>
      </c>
      <c r="F1847" s="22" t="s">
        <v>16</v>
      </c>
      <c r="G1847" s="22" t="s">
        <v>15</v>
      </c>
    </row>
    <row r="1848" ht="15.15" spans="1:7">
      <c r="A1848" s="20">
        <v>1846</v>
      </c>
      <c r="B1848" s="20">
        <v>6261</v>
      </c>
      <c r="C1848" s="21">
        <v>44985</v>
      </c>
      <c r="D1848" s="20">
        <v>3291.84</v>
      </c>
      <c r="E1848" s="22" t="s">
        <v>10</v>
      </c>
      <c r="F1848" s="22" t="s">
        <v>13</v>
      </c>
      <c r="G1848" s="22" t="s">
        <v>15</v>
      </c>
    </row>
    <row r="1849" ht="15.15" spans="1:7">
      <c r="A1849" s="20">
        <v>1847</v>
      </c>
      <c r="B1849" s="20">
        <v>9432</v>
      </c>
      <c r="C1849" s="21">
        <v>45106</v>
      </c>
      <c r="D1849" s="20">
        <v>3291.84</v>
      </c>
      <c r="E1849" s="22" t="s">
        <v>10</v>
      </c>
      <c r="F1849" s="22" t="s">
        <v>11</v>
      </c>
      <c r="G1849" s="22" t="s">
        <v>17</v>
      </c>
    </row>
    <row r="1850" ht="15.15" spans="1:7">
      <c r="A1850" s="20">
        <v>1848</v>
      </c>
      <c r="B1850" s="20">
        <v>626</v>
      </c>
      <c r="C1850" s="21">
        <v>45230</v>
      </c>
      <c r="D1850" s="20">
        <v>3291.84</v>
      </c>
      <c r="E1850" s="22" t="s">
        <v>22</v>
      </c>
      <c r="F1850" s="22" t="s">
        <v>18</v>
      </c>
      <c r="G1850" s="22" t="s">
        <v>12</v>
      </c>
    </row>
    <row r="1851" ht="15.15" spans="1:7">
      <c r="A1851" s="20">
        <v>1849</v>
      </c>
      <c r="B1851" s="20">
        <v>6397</v>
      </c>
      <c r="C1851" s="21">
        <v>45009</v>
      </c>
      <c r="D1851" s="20">
        <v>3291.84</v>
      </c>
      <c r="E1851" s="22" t="s">
        <v>10</v>
      </c>
      <c r="F1851" s="22" t="s">
        <v>11</v>
      </c>
      <c r="G1851" s="22" t="s">
        <v>20</v>
      </c>
    </row>
    <row r="1852" ht="15.15" spans="1:7">
      <c r="A1852" s="20">
        <v>1850</v>
      </c>
      <c r="B1852" s="20">
        <v>8116</v>
      </c>
      <c r="C1852" s="21">
        <v>45274</v>
      </c>
      <c r="D1852" s="20">
        <v>3291.84</v>
      </c>
      <c r="E1852" s="22" t="s">
        <v>10</v>
      </c>
      <c r="F1852" s="22" t="s">
        <v>16</v>
      </c>
      <c r="G1852" s="22" t="s">
        <v>15</v>
      </c>
    </row>
    <row r="1853" ht="15.15" spans="1:7">
      <c r="A1853" s="20">
        <v>1851</v>
      </c>
      <c r="B1853" s="20">
        <v>3005</v>
      </c>
      <c r="C1853" s="21">
        <v>45197</v>
      </c>
      <c r="D1853" s="20">
        <v>3291.84</v>
      </c>
      <c r="E1853" s="22" t="s">
        <v>10</v>
      </c>
      <c r="F1853" s="22" t="s">
        <v>13</v>
      </c>
      <c r="G1853" s="22" t="s">
        <v>17</v>
      </c>
    </row>
    <row r="1854" ht="15.15" spans="1:7">
      <c r="A1854" s="20">
        <v>1852</v>
      </c>
      <c r="B1854" s="20">
        <v>6078</v>
      </c>
      <c r="C1854" s="21">
        <v>45223</v>
      </c>
      <c r="D1854" s="20">
        <v>3291.84</v>
      </c>
      <c r="E1854" s="22" t="s">
        <v>10</v>
      </c>
      <c r="F1854" s="22" t="s">
        <v>13</v>
      </c>
      <c r="G1854" s="22" t="s">
        <v>12</v>
      </c>
    </row>
    <row r="1855" ht="15.15" spans="1:7">
      <c r="A1855" s="20">
        <v>1853</v>
      </c>
      <c r="B1855" s="20">
        <v>2375</v>
      </c>
      <c r="C1855" s="21">
        <v>45149</v>
      </c>
      <c r="D1855" s="20">
        <v>3291.84</v>
      </c>
      <c r="E1855" s="22" t="s">
        <v>10</v>
      </c>
      <c r="F1855" s="22" t="s">
        <v>14</v>
      </c>
      <c r="G1855" s="22" t="s">
        <v>12</v>
      </c>
    </row>
    <row r="1856" ht="15.15" spans="1:7">
      <c r="A1856" s="20">
        <v>1854</v>
      </c>
      <c r="B1856" s="20">
        <v>7039</v>
      </c>
      <c r="C1856" s="21">
        <v>44955</v>
      </c>
      <c r="D1856" s="20">
        <v>3291.84</v>
      </c>
      <c r="E1856" s="22" t="s">
        <v>10</v>
      </c>
      <c r="F1856" s="22" t="s">
        <v>18</v>
      </c>
      <c r="G1856" s="22" t="s">
        <v>20</v>
      </c>
    </row>
    <row r="1857" ht="15.15" spans="1:7">
      <c r="A1857" s="20">
        <v>1855</v>
      </c>
      <c r="B1857" s="20">
        <v>4102</v>
      </c>
      <c r="C1857" s="21">
        <v>45041</v>
      </c>
      <c r="D1857" s="20">
        <v>3291.84</v>
      </c>
      <c r="E1857" s="22" t="s">
        <v>10</v>
      </c>
      <c r="F1857" s="22" t="s">
        <v>18</v>
      </c>
      <c r="G1857" s="22" t="s">
        <v>15</v>
      </c>
    </row>
    <row r="1858" ht="15.15" spans="1:7">
      <c r="A1858" s="20">
        <v>1856</v>
      </c>
      <c r="B1858" s="20">
        <v>6646</v>
      </c>
      <c r="C1858" s="21">
        <v>45214</v>
      </c>
      <c r="D1858" s="20">
        <v>3291.84</v>
      </c>
      <c r="E1858" s="22" t="s">
        <v>10</v>
      </c>
      <c r="F1858" s="22" t="s">
        <v>14</v>
      </c>
      <c r="G1858" s="22" t="s">
        <v>17</v>
      </c>
    </row>
    <row r="1859" ht="15.15" spans="1:7">
      <c r="A1859" s="20">
        <v>1857</v>
      </c>
      <c r="B1859" s="20">
        <v>5366</v>
      </c>
      <c r="C1859" s="21">
        <v>45169</v>
      </c>
      <c r="D1859" s="20">
        <v>3291.84</v>
      </c>
      <c r="E1859" s="22" t="s">
        <v>10</v>
      </c>
      <c r="F1859" s="22" t="s">
        <v>16</v>
      </c>
      <c r="G1859" s="22" t="s">
        <v>20</v>
      </c>
    </row>
    <row r="1860" ht="15.15" spans="1:7">
      <c r="A1860" s="20">
        <v>1858</v>
      </c>
      <c r="B1860" s="20">
        <v>5546</v>
      </c>
      <c r="C1860" s="21">
        <v>45012</v>
      </c>
      <c r="D1860" s="20">
        <v>3291.84</v>
      </c>
      <c r="E1860" s="22" t="s">
        <v>10</v>
      </c>
      <c r="F1860" s="22" t="s">
        <v>13</v>
      </c>
      <c r="G1860" s="22" t="s">
        <v>20</v>
      </c>
    </row>
    <row r="1861" ht="15.15" spans="1:7">
      <c r="A1861" s="20">
        <v>1859</v>
      </c>
      <c r="B1861" s="20">
        <v>9139</v>
      </c>
      <c r="C1861" s="21">
        <v>45254</v>
      </c>
      <c r="D1861" s="20">
        <v>3291.84</v>
      </c>
      <c r="E1861" s="22" t="s">
        <v>10</v>
      </c>
      <c r="F1861" s="22" t="s">
        <v>16</v>
      </c>
      <c r="G1861" s="22" t="s">
        <v>17</v>
      </c>
    </row>
    <row r="1862" ht="15.15" spans="1:7">
      <c r="A1862" s="20">
        <v>1860</v>
      </c>
      <c r="B1862" s="20">
        <v>6215</v>
      </c>
      <c r="C1862" s="21">
        <v>45162</v>
      </c>
      <c r="D1862" s="20">
        <v>3291.84</v>
      </c>
      <c r="E1862" s="22" t="s">
        <v>10</v>
      </c>
      <c r="F1862" s="22" t="s">
        <v>18</v>
      </c>
      <c r="G1862" s="22" t="s">
        <v>15</v>
      </c>
    </row>
    <row r="1863" ht="15.15" spans="1:7">
      <c r="A1863" s="20">
        <v>1861</v>
      </c>
      <c r="B1863" s="20">
        <v>1044</v>
      </c>
      <c r="C1863" s="21">
        <v>45009</v>
      </c>
      <c r="D1863" s="20">
        <v>3291.84</v>
      </c>
      <c r="E1863" s="22" t="s">
        <v>10</v>
      </c>
      <c r="F1863" s="22" t="s">
        <v>18</v>
      </c>
      <c r="G1863" s="22" t="s">
        <v>15</v>
      </c>
    </row>
    <row r="1864" ht="15.15" spans="1:7">
      <c r="A1864" s="20">
        <v>1862</v>
      </c>
      <c r="B1864" s="20">
        <v>5914</v>
      </c>
      <c r="C1864" s="21">
        <v>45127</v>
      </c>
      <c r="D1864" s="20">
        <v>3291.84</v>
      </c>
      <c r="E1864" s="22" t="s">
        <v>10</v>
      </c>
      <c r="F1864" s="22" t="s">
        <v>16</v>
      </c>
      <c r="G1864" s="22" t="s">
        <v>17</v>
      </c>
    </row>
    <row r="1865" ht="15.15" spans="1:7">
      <c r="A1865" s="20">
        <v>1863</v>
      </c>
      <c r="B1865" s="20">
        <v>3468</v>
      </c>
      <c r="C1865" s="21">
        <v>44999</v>
      </c>
      <c r="D1865" s="20">
        <v>3291.84</v>
      </c>
      <c r="E1865" s="22" t="s">
        <v>10</v>
      </c>
      <c r="F1865" s="22" t="s">
        <v>18</v>
      </c>
      <c r="G1865" s="22" t="s">
        <v>12</v>
      </c>
    </row>
    <row r="1866" ht="15.15" spans="1:7">
      <c r="A1866" s="20">
        <v>1864</v>
      </c>
      <c r="B1866" s="20">
        <v>7722</v>
      </c>
      <c r="C1866" s="21">
        <v>45036</v>
      </c>
      <c r="D1866" s="20">
        <v>3291.84</v>
      </c>
      <c r="E1866" s="22" t="s">
        <v>10</v>
      </c>
      <c r="F1866" s="22" t="s">
        <v>11</v>
      </c>
      <c r="G1866" s="22" t="s">
        <v>20</v>
      </c>
    </row>
    <row r="1867" ht="15.15" spans="1:7">
      <c r="A1867" s="20">
        <v>1865</v>
      </c>
      <c r="B1867" s="20">
        <v>4313</v>
      </c>
      <c r="C1867" s="21">
        <v>45046</v>
      </c>
      <c r="D1867" s="20">
        <v>3291.84</v>
      </c>
      <c r="E1867" s="22" t="s">
        <v>10</v>
      </c>
      <c r="F1867" s="22" t="s">
        <v>18</v>
      </c>
      <c r="G1867" s="22" t="s">
        <v>17</v>
      </c>
    </row>
    <row r="1868" ht="15.15" spans="1:7">
      <c r="A1868" s="20">
        <v>1866</v>
      </c>
      <c r="B1868" s="20">
        <v>3678</v>
      </c>
      <c r="C1868" s="21">
        <v>45003</v>
      </c>
      <c r="D1868" s="20">
        <v>3291.84</v>
      </c>
      <c r="E1868" s="22" t="s">
        <v>10</v>
      </c>
      <c r="F1868" s="22" t="s">
        <v>11</v>
      </c>
      <c r="G1868" s="22" t="s">
        <v>17</v>
      </c>
    </row>
    <row r="1869" ht="15.15" spans="1:7">
      <c r="A1869" s="20">
        <v>1867</v>
      </c>
      <c r="B1869" s="20">
        <v>4794</v>
      </c>
      <c r="C1869" s="21">
        <v>45281</v>
      </c>
      <c r="D1869" s="20">
        <v>3291.84</v>
      </c>
      <c r="E1869" s="22" t="s">
        <v>10</v>
      </c>
      <c r="F1869" s="22" t="s">
        <v>18</v>
      </c>
      <c r="G1869" s="22" t="s">
        <v>17</v>
      </c>
    </row>
    <row r="1870" ht="15.15" spans="1:7">
      <c r="A1870" s="20">
        <v>1868</v>
      </c>
      <c r="B1870" s="20">
        <v>3916</v>
      </c>
      <c r="C1870" s="21">
        <v>44962</v>
      </c>
      <c r="D1870" s="20">
        <v>3291.84</v>
      </c>
      <c r="E1870" s="22" t="s">
        <v>10</v>
      </c>
      <c r="F1870" s="22" t="s">
        <v>13</v>
      </c>
      <c r="G1870" s="22" t="s">
        <v>20</v>
      </c>
    </row>
    <row r="1871" ht="15.15" spans="1:7">
      <c r="A1871" s="20">
        <v>1869</v>
      </c>
      <c r="B1871" s="20">
        <v>6425</v>
      </c>
      <c r="C1871" s="21">
        <v>45024</v>
      </c>
      <c r="D1871" s="20">
        <v>3291.84</v>
      </c>
      <c r="E1871" s="22" t="s">
        <v>10</v>
      </c>
      <c r="F1871" s="22" t="s">
        <v>14</v>
      </c>
      <c r="G1871" s="22" t="s">
        <v>17</v>
      </c>
    </row>
    <row r="1872" ht="15.15" spans="1:7">
      <c r="A1872" s="20">
        <v>1870</v>
      </c>
      <c r="B1872" s="20">
        <v>2857</v>
      </c>
      <c r="C1872" s="21">
        <v>45119</v>
      </c>
      <c r="D1872" s="20">
        <v>3291.84</v>
      </c>
      <c r="E1872" s="22" t="s">
        <v>10</v>
      </c>
      <c r="F1872" s="22" t="s">
        <v>14</v>
      </c>
      <c r="G1872" s="22" t="s">
        <v>12</v>
      </c>
    </row>
    <row r="1873" ht="15.15" spans="1:7">
      <c r="A1873" s="20">
        <v>1871</v>
      </c>
      <c r="B1873" s="20">
        <v>5591</v>
      </c>
      <c r="C1873" s="21">
        <v>45284</v>
      </c>
      <c r="D1873" s="20">
        <v>3291.84</v>
      </c>
      <c r="E1873" s="22" t="s">
        <v>10</v>
      </c>
      <c r="F1873" s="22" t="s">
        <v>16</v>
      </c>
      <c r="G1873" s="22" t="s">
        <v>15</v>
      </c>
    </row>
    <row r="1874" ht="15.15" spans="1:7">
      <c r="A1874" s="20">
        <v>1872</v>
      </c>
      <c r="B1874" s="20">
        <v>4626</v>
      </c>
      <c r="C1874" s="21">
        <v>45169</v>
      </c>
      <c r="D1874" s="20">
        <v>3291.84</v>
      </c>
      <c r="E1874" s="22" t="s">
        <v>10</v>
      </c>
      <c r="F1874" s="22" t="s">
        <v>13</v>
      </c>
      <c r="G1874" s="22" t="s">
        <v>20</v>
      </c>
    </row>
    <row r="1875" ht="15.15" spans="1:7">
      <c r="A1875" s="20">
        <v>1873</v>
      </c>
      <c r="B1875" s="20">
        <v>3367</v>
      </c>
      <c r="C1875" s="21">
        <v>45140</v>
      </c>
      <c r="D1875" s="20">
        <v>3291.84</v>
      </c>
      <c r="E1875" s="22" t="s">
        <v>10</v>
      </c>
      <c r="F1875" s="22" t="s">
        <v>11</v>
      </c>
      <c r="G1875" s="22" t="s">
        <v>12</v>
      </c>
    </row>
    <row r="1876" ht="15.15" spans="1:7">
      <c r="A1876" s="20">
        <v>1874</v>
      </c>
      <c r="B1876" s="20">
        <v>5771</v>
      </c>
      <c r="C1876" s="21">
        <v>45290</v>
      </c>
      <c r="D1876" s="20">
        <v>3291.84</v>
      </c>
      <c r="E1876" s="22" t="s">
        <v>10</v>
      </c>
      <c r="F1876" s="22" t="s">
        <v>14</v>
      </c>
      <c r="G1876" s="22" t="s">
        <v>15</v>
      </c>
    </row>
    <row r="1877" ht="15.15" spans="1:7">
      <c r="A1877" s="20">
        <v>1875</v>
      </c>
      <c r="B1877" s="20">
        <v>7099</v>
      </c>
      <c r="C1877" s="21">
        <v>45257</v>
      </c>
      <c r="D1877" s="20">
        <v>3291.84</v>
      </c>
      <c r="E1877" s="22" t="s">
        <v>10</v>
      </c>
      <c r="F1877" s="22" t="s">
        <v>16</v>
      </c>
      <c r="G1877" s="22" t="s">
        <v>17</v>
      </c>
    </row>
    <row r="1878" ht="15.15" spans="1:7">
      <c r="A1878" s="20">
        <v>1876</v>
      </c>
      <c r="B1878" s="20">
        <v>3407</v>
      </c>
      <c r="C1878" s="21">
        <v>45217</v>
      </c>
      <c r="D1878" s="20">
        <v>3291.84</v>
      </c>
      <c r="E1878" s="22" t="s">
        <v>10</v>
      </c>
      <c r="F1878" s="22" t="s">
        <v>11</v>
      </c>
      <c r="G1878" s="22" t="s">
        <v>20</v>
      </c>
    </row>
    <row r="1879" ht="15.15" spans="1:7">
      <c r="A1879" s="20">
        <v>1877</v>
      </c>
      <c r="B1879" s="20">
        <v>7490</v>
      </c>
      <c r="C1879" s="21">
        <v>45239</v>
      </c>
      <c r="D1879" s="20">
        <v>3291.84</v>
      </c>
      <c r="E1879" s="22" t="s">
        <v>10</v>
      </c>
      <c r="F1879" s="22" t="s">
        <v>14</v>
      </c>
      <c r="G1879" s="22" t="s">
        <v>15</v>
      </c>
    </row>
    <row r="1880" ht="15.15" spans="1:7">
      <c r="A1880" s="20">
        <v>1878</v>
      </c>
      <c r="B1880" s="20">
        <v>8092</v>
      </c>
      <c r="C1880" s="21">
        <v>45287</v>
      </c>
      <c r="D1880" s="20">
        <v>3291.84</v>
      </c>
      <c r="E1880" s="22" t="s">
        <v>10</v>
      </c>
      <c r="F1880" s="22" t="s">
        <v>14</v>
      </c>
      <c r="G1880" s="22" t="s">
        <v>15</v>
      </c>
    </row>
    <row r="1881" ht="15.15" spans="1:7">
      <c r="A1881" s="20">
        <v>1879</v>
      </c>
      <c r="B1881" s="20">
        <v>6609</v>
      </c>
      <c r="C1881" s="21">
        <v>45283</v>
      </c>
      <c r="D1881" s="20">
        <v>3291.84</v>
      </c>
      <c r="E1881" s="22" t="s">
        <v>10</v>
      </c>
      <c r="F1881" s="22" t="s">
        <v>16</v>
      </c>
      <c r="G1881" s="22" t="s">
        <v>15</v>
      </c>
    </row>
    <row r="1882" ht="15.15" spans="1:7">
      <c r="A1882" s="20">
        <v>1880</v>
      </c>
      <c r="B1882" s="20">
        <v>4668</v>
      </c>
      <c r="C1882" s="21">
        <v>45231</v>
      </c>
      <c r="D1882" s="20">
        <v>3291.84</v>
      </c>
      <c r="E1882" s="22" t="s">
        <v>10</v>
      </c>
      <c r="F1882" s="22" t="s">
        <v>14</v>
      </c>
      <c r="G1882" s="22" t="s">
        <v>12</v>
      </c>
    </row>
    <row r="1883" ht="15.15" spans="1:7">
      <c r="A1883" s="20">
        <v>1881</v>
      </c>
      <c r="B1883" s="20">
        <v>2634</v>
      </c>
      <c r="C1883" s="21">
        <v>45140</v>
      </c>
      <c r="D1883" s="20">
        <v>3291.84</v>
      </c>
      <c r="E1883" s="22" t="s">
        <v>10</v>
      </c>
      <c r="F1883" s="22" t="s">
        <v>16</v>
      </c>
      <c r="G1883" s="22" t="s">
        <v>12</v>
      </c>
    </row>
    <row r="1884" ht="15.15" spans="1:7">
      <c r="A1884" s="20">
        <v>1882</v>
      </c>
      <c r="B1884" s="20">
        <v>5617</v>
      </c>
      <c r="C1884" s="21">
        <v>44956</v>
      </c>
      <c r="D1884" s="20">
        <v>3291.84</v>
      </c>
      <c r="E1884" s="22" t="s">
        <v>10</v>
      </c>
      <c r="F1884" s="22" t="s">
        <v>13</v>
      </c>
      <c r="G1884" s="22" t="s">
        <v>20</v>
      </c>
    </row>
    <row r="1885" ht="15.15" spans="1:7">
      <c r="A1885" s="20">
        <v>1883</v>
      </c>
      <c r="B1885" s="20">
        <v>5036</v>
      </c>
      <c r="C1885" s="21">
        <v>44945</v>
      </c>
      <c r="D1885" s="20">
        <v>3291.84</v>
      </c>
      <c r="E1885" s="22" t="s">
        <v>10</v>
      </c>
      <c r="F1885" s="22" t="s">
        <v>13</v>
      </c>
      <c r="G1885" s="22" t="s">
        <v>15</v>
      </c>
    </row>
    <row r="1886" ht="15.15" spans="1:7">
      <c r="A1886" s="20">
        <v>1884</v>
      </c>
      <c r="B1886" s="20">
        <v>3130</v>
      </c>
      <c r="C1886" s="21">
        <v>45193</v>
      </c>
      <c r="D1886" s="20">
        <v>3291.84</v>
      </c>
      <c r="E1886" s="22" t="s">
        <v>10</v>
      </c>
      <c r="F1886" s="22" t="s">
        <v>13</v>
      </c>
      <c r="G1886" s="22" t="s">
        <v>17</v>
      </c>
    </row>
    <row r="1887" ht="15.15" spans="1:7">
      <c r="A1887" s="20">
        <v>1885</v>
      </c>
      <c r="B1887" s="20">
        <v>4445</v>
      </c>
      <c r="C1887" s="21">
        <v>45127</v>
      </c>
      <c r="D1887" s="20">
        <v>3291.84</v>
      </c>
      <c r="E1887" s="22" t="s">
        <v>10</v>
      </c>
      <c r="F1887" s="22" t="s">
        <v>14</v>
      </c>
      <c r="G1887" s="22" t="s">
        <v>20</v>
      </c>
    </row>
    <row r="1888" ht="15.15" spans="1:7">
      <c r="A1888" s="20">
        <v>1886</v>
      </c>
      <c r="B1888" s="20">
        <v>8428</v>
      </c>
      <c r="C1888" s="21">
        <v>45240</v>
      </c>
      <c r="D1888" s="20">
        <v>3291.84</v>
      </c>
      <c r="E1888" s="22" t="s">
        <v>10</v>
      </c>
      <c r="F1888" s="22" t="s">
        <v>18</v>
      </c>
      <c r="G1888" s="22" t="s">
        <v>20</v>
      </c>
    </row>
    <row r="1889" ht="15.15" spans="1:7">
      <c r="A1889" s="20">
        <v>1887</v>
      </c>
      <c r="B1889" s="20">
        <v>8759</v>
      </c>
      <c r="C1889" s="21">
        <v>45096</v>
      </c>
      <c r="D1889" s="20">
        <v>3291.84</v>
      </c>
      <c r="E1889" s="22" t="s">
        <v>10</v>
      </c>
      <c r="F1889" s="22" t="s">
        <v>16</v>
      </c>
      <c r="G1889" s="22" t="s">
        <v>15</v>
      </c>
    </row>
    <row r="1890" ht="15.15" spans="1:7">
      <c r="A1890" s="20">
        <v>1888</v>
      </c>
      <c r="B1890" s="20">
        <v>8520</v>
      </c>
      <c r="C1890" s="21">
        <v>45250</v>
      </c>
      <c r="D1890" s="20">
        <v>3291.84</v>
      </c>
      <c r="E1890" s="22" t="s">
        <v>10</v>
      </c>
      <c r="F1890" s="22" t="s">
        <v>18</v>
      </c>
      <c r="G1890" s="22" t="s">
        <v>20</v>
      </c>
    </row>
    <row r="1891" ht="15.15" spans="1:7">
      <c r="A1891" s="20">
        <v>1889</v>
      </c>
      <c r="B1891" s="20">
        <v>8532</v>
      </c>
      <c r="C1891" s="21">
        <v>45003</v>
      </c>
      <c r="D1891" s="20">
        <v>3291.84</v>
      </c>
      <c r="E1891" s="22" t="s">
        <v>10</v>
      </c>
      <c r="F1891" s="22" t="s">
        <v>18</v>
      </c>
      <c r="G1891" s="22" t="s">
        <v>17</v>
      </c>
    </row>
    <row r="1892" ht="15.15" spans="1:7">
      <c r="A1892" s="20">
        <v>1890</v>
      </c>
      <c r="B1892" s="20">
        <v>6112</v>
      </c>
      <c r="C1892" s="21">
        <v>45122</v>
      </c>
      <c r="D1892" s="20">
        <v>3291.84</v>
      </c>
      <c r="E1892" s="22" t="s">
        <v>10</v>
      </c>
      <c r="F1892" s="22" t="s">
        <v>16</v>
      </c>
      <c r="G1892" s="22" t="s">
        <v>17</v>
      </c>
    </row>
    <row r="1893" ht="15.15" spans="1:7">
      <c r="A1893" s="20">
        <v>1891</v>
      </c>
      <c r="B1893" s="20">
        <v>1376</v>
      </c>
      <c r="C1893" s="21">
        <v>45031</v>
      </c>
      <c r="D1893" s="20">
        <v>3291.84</v>
      </c>
      <c r="E1893" s="22" t="s">
        <v>10</v>
      </c>
      <c r="F1893" s="22" t="s">
        <v>11</v>
      </c>
      <c r="G1893" s="22" t="s">
        <v>20</v>
      </c>
    </row>
    <row r="1894" ht="15.15" spans="1:7">
      <c r="A1894" s="20">
        <v>1892</v>
      </c>
      <c r="B1894" s="20">
        <v>2636</v>
      </c>
      <c r="C1894" s="21">
        <v>44939</v>
      </c>
      <c r="D1894" s="20">
        <v>3291.84</v>
      </c>
      <c r="E1894" s="22" t="s">
        <v>10</v>
      </c>
      <c r="F1894" s="22" t="s">
        <v>11</v>
      </c>
      <c r="G1894" s="22" t="s">
        <v>17</v>
      </c>
    </row>
    <row r="1895" ht="15.15" spans="1:7">
      <c r="A1895" s="20">
        <v>1893</v>
      </c>
      <c r="B1895" s="20">
        <v>1448</v>
      </c>
      <c r="C1895" s="21">
        <v>45042</v>
      </c>
      <c r="D1895" s="20">
        <v>3291.84</v>
      </c>
      <c r="E1895" s="22" t="s">
        <v>10</v>
      </c>
      <c r="F1895" s="22" t="s">
        <v>11</v>
      </c>
      <c r="G1895" s="22" t="s">
        <v>12</v>
      </c>
    </row>
    <row r="1896" ht="15.15" spans="1:7">
      <c r="A1896" s="20">
        <v>1894</v>
      </c>
      <c r="B1896" s="20">
        <v>7528</v>
      </c>
      <c r="C1896" s="21">
        <v>45033</v>
      </c>
      <c r="D1896" s="20">
        <v>3291.84</v>
      </c>
      <c r="E1896" s="22" t="s">
        <v>10</v>
      </c>
      <c r="F1896" s="22" t="s">
        <v>13</v>
      </c>
      <c r="G1896" s="22" t="s">
        <v>17</v>
      </c>
    </row>
    <row r="1897" ht="15.15" spans="1:7">
      <c r="A1897" s="20">
        <v>1895</v>
      </c>
      <c r="B1897" s="20">
        <v>7145</v>
      </c>
      <c r="C1897" s="21">
        <v>45021</v>
      </c>
      <c r="D1897" s="20">
        <v>3291.84</v>
      </c>
      <c r="E1897" s="22" t="s">
        <v>10</v>
      </c>
      <c r="F1897" s="22" t="s">
        <v>11</v>
      </c>
      <c r="G1897" s="22" t="s">
        <v>20</v>
      </c>
    </row>
    <row r="1898" ht="15.15" spans="1:7">
      <c r="A1898" s="20">
        <v>1896</v>
      </c>
      <c r="B1898" s="20">
        <v>9162</v>
      </c>
      <c r="C1898" s="21">
        <v>45046</v>
      </c>
      <c r="D1898" s="20">
        <v>3291.84</v>
      </c>
      <c r="E1898" s="22" t="s">
        <v>10</v>
      </c>
      <c r="F1898" s="22" t="s">
        <v>16</v>
      </c>
      <c r="G1898" s="22" t="s">
        <v>20</v>
      </c>
    </row>
    <row r="1899" ht="15.15" spans="1:7">
      <c r="A1899" s="20">
        <v>1897</v>
      </c>
      <c r="B1899" s="20">
        <v>4017</v>
      </c>
      <c r="C1899" s="21">
        <v>45171</v>
      </c>
      <c r="D1899" s="20">
        <v>3291.84</v>
      </c>
      <c r="E1899" s="22" t="s">
        <v>22</v>
      </c>
      <c r="F1899" s="22" t="s">
        <v>13</v>
      </c>
      <c r="G1899" s="22" t="s">
        <v>12</v>
      </c>
    </row>
    <row r="1900" ht="15.15" spans="1:7">
      <c r="A1900" s="20">
        <v>1898</v>
      </c>
      <c r="B1900" s="20">
        <v>9688</v>
      </c>
      <c r="C1900" s="21">
        <v>45042</v>
      </c>
      <c r="D1900" s="20">
        <v>3291.84</v>
      </c>
      <c r="E1900" s="22" t="s">
        <v>10</v>
      </c>
      <c r="F1900" s="22" t="s">
        <v>13</v>
      </c>
      <c r="G1900" s="22" t="s">
        <v>15</v>
      </c>
    </row>
    <row r="1901" ht="15.15" spans="1:7">
      <c r="A1901" s="20">
        <v>1899</v>
      </c>
      <c r="B1901" s="20">
        <v>7492</v>
      </c>
      <c r="C1901" s="21">
        <v>44943</v>
      </c>
      <c r="D1901" s="20">
        <v>3291.84</v>
      </c>
      <c r="E1901" s="22" t="s">
        <v>10</v>
      </c>
      <c r="F1901" s="22" t="s">
        <v>13</v>
      </c>
      <c r="G1901" s="22" t="s">
        <v>15</v>
      </c>
    </row>
    <row r="1902" ht="15.15" spans="1:7">
      <c r="A1902" s="20">
        <v>1900</v>
      </c>
      <c r="B1902" s="20">
        <v>6228</v>
      </c>
      <c r="C1902" s="21">
        <v>44953</v>
      </c>
      <c r="D1902" s="20">
        <v>3291.84</v>
      </c>
      <c r="E1902" s="22" t="s">
        <v>10</v>
      </c>
      <c r="F1902" s="22" t="s">
        <v>13</v>
      </c>
      <c r="G1902" s="22" t="s">
        <v>20</v>
      </c>
    </row>
    <row r="1903" ht="15.15" spans="1:7">
      <c r="A1903" s="20">
        <v>1901</v>
      </c>
      <c r="B1903" s="20">
        <v>1028</v>
      </c>
      <c r="C1903" s="21">
        <v>45037</v>
      </c>
      <c r="D1903" s="20">
        <v>3291.84</v>
      </c>
      <c r="E1903" s="22" t="s">
        <v>10</v>
      </c>
      <c r="F1903" s="22" t="s">
        <v>13</v>
      </c>
      <c r="G1903" s="22" t="s">
        <v>15</v>
      </c>
    </row>
    <row r="1904" ht="15.15" spans="1:7">
      <c r="A1904" s="20">
        <v>1902</v>
      </c>
      <c r="B1904" s="20">
        <v>514</v>
      </c>
      <c r="C1904" s="21">
        <v>45156</v>
      </c>
      <c r="D1904" s="20">
        <v>3291.84</v>
      </c>
      <c r="E1904" s="22" t="s">
        <v>10</v>
      </c>
      <c r="F1904" s="22" t="s">
        <v>16</v>
      </c>
      <c r="G1904" s="22" t="s">
        <v>20</v>
      </c>
    </row>
    <row r="1905" ht="15.15" spans="1:7">
      <c r="A1905" s="20">
        <v>1903</v>
      </c>
      <c r="B1905" s="20">
        <v>8474</v>
      </c>
      <c r="C1905" s="21">
        <v>45245</v>
      </c>
      <c r="D1905" s="20">
        <v>3291.84</v>
      </c>
      <c r="E1905" s="22" t="s">
        <v>10</v>
      </c>
      <c r="F1905" s="22" t="s">
        <v>14</v>
      </c>
      <c r="G1905" s="22" t="s">
        <v>15</v>
      </c>
    </row>
    <row r="1906" ht="15.15" spans="1:7">
      <c r="A1906" s="20">
        <v>1904</v>
      </c>
      <c r="B1906" s="20">
        <v>2878</v>
      </c>
      <c r="C1906" s="21">
        <v>45057</v>
      </c>
      <c r="D1906" s="20">
        <v>3291.84</v>
      </c>
      <c r="E1906" s="22" t="s">
        <v>10</v>
      </c>
      <c r="F1906" s="22" t="s">
        <v>13</v>
      </c>
      <c r="G1906" s="22" t="s">
        <v>15</v>
      </c>
    </row>
    <row r="1907" ht="15.15" spans="1:7">
      <c r="A1907" s="20">
        <v>1905</v>
      </c>
      <c r="B1907" s="20">
        <v>8692</v>
      </c>
      <c r="C1907" s="21">
        <v>45277</v>
      </c>
      <c r="D1907" s="20">
        <v>3291.84</v>
      </c>
      <c r="E1907" s="22" t="s">
        <v>10</v>
      </c>
      <c r="F1907" s="22" t="s">
        <v>16</v>
      </c>
      <c r="G1907" s="22" t="s">
        <v>17</v>
      </c>
    </row>
    <row r="1908" ht="15.15" spans="1:7">
      <c r="A1908" s="20">
        <v>1906</v>
      </c>
      <c r="B1908" s="20">
        <v>5513</v>
      </c>
      <c r="C1908" s="21">
        <v>45289</v>
      </c>
      <c r="D1908" s="20">
        <v>3291.84</v>
      </c>
      <c r="E1908" s="22" t="s">
        <v>10</v>
      </c>
      <c r="F1908" s="22" t="s">
        <v>11</v>
      </c>
      <c r="G1908" s="22" t="s">
        <v>12</v>
      </c>
    </row>
    <row r="1909" ht="15.15" spans="1:7">
      <c r="A1909" s="20">
        <v>1907</v>
      </c>
      <c r="B1909" s="20">
        <v>4694</v>
      </c>
      <c r="C1909" s="21">
        <v>44984</v>
      </c>
      <c r="D1909" s="20">
        <v>3291.84</v>
      </c>
      <c r="E1909" s="22" t="s">
        <v>10</v>
      </c>
      <c r="F1909" s="22" t="s">
        <v>13</v>
      </c>
      <c r="G1909" s="22" t="s">
        <v>15</v>
      </c>
    </row>
    <row r="1910" ht="15.15" spans="1:7">
      <c r="A1910" s="20">
        <v>1908</v>
      </c>
      <c r="B1910" s="20">
        <v>8116</v>
      </c>
      <c r="C1910" s="21">
        <v>45288</v>
      </c>
      <c r="D1910" s="20">
        <v>3291.84</v>
      </c>
      <c r="E1910" s="22" t="s">
        <v>10</v>
      </c>
      <c r="F1910" s="22" t="s">
        <v>16</v>
      </c>
      <c r="G1910" s="22" t="s">
        <v>17</v>
      </c>
    </row>
    <row r="1911" ht="15.15" spans="1:7">
      <c r="A1911" s="20">
        <v>1909</v>
      </c>
      <c r="B1911" s="20">
        <v>155</v>
      </c>
      <c r="C1911" s="21">
        <v>45157</v>
      </c>
      <c r="D1911" s="20">
        <v>3291.84</v>
      </c>
      <c r="E1911" s="22" t="s">
        <v>10</v>
      </c>
      <c r="F1911" s="22" t="s">
        <v>13</v>
      </c>
      <c r="G1911" s="22" t="s">
        <v>15</v>
      </c>
    </row>
    <row r="1912" ht="15.15" spans="1:7">
      <c r="A1912" s="20">
        <v>1910</v>
      </c>
      <c r="B1912" s="20">
        <v>4362</v>
      </c>
      <c r="C1912" s="21">
        <v>45268</v>
      </c>
      <c r="D1912" s="20">
        <v>3291.84</v>
      </c>
      <c r="E1912" s="22" t="s">
        <v>10</v>
      </c>
      <c r="F1912" s="22" t="s">
        <v>13</v>
      </c>
      <c r="G1912" s="22" t="s">
        <v>17</v>
      </c>
    </row>
    <row r="1913" ht="15.15" spans="1:7">
      <c r="A1913" s="20">
        <v>1911</v>
      </c>
      <c r="B1913" s="20">
        <v>1897</v>
      </c>
      <c r="C1913" s="21">
        <v>44969</v>
      </c>
      <c r="D1913" s="20">
        <v>3291.84</v>
      </c>
      <c r="E1913" s="22" t="s">
        <v>10</v>
      </c>
      <c r="F1913" s="22" t="s">
        <v>14</v>
      </c>
      <c r="G1913" s="22" t="s">
        <v>12</v>
      </c>
    </row>
    <row r="1914" ht="15.15" spans="1:7">
      <c r="A1914" s="20">
        <v>1912</v>
      </c>
      <c r="B1914" s="20">
        <v>6483</v>
      </c>
      <c r="C1914" s="21">
        <v>45136</v>
      </c>
      <c r="D1914" s="20">
        <v>3291.84</v>
      </c>
      <c r="E1914" s="22" t="s">
        <v>10</v>
      </c>
      <c r="F1914" s="22" t="s">
        <v>16</v>
      </c>
      <c r="G1914" s="22" t="s">
        <v>20</v>
      </c>
    </row>
    <row r="1915" ht="15.15" spans="1:7">
      <c r="A1915" s="20">
        <v>1913</v>
      </c>
      <c r="B1915" s="20">
        <v>2184</v>
      </c>
      <c r="C1915" s="21">
        <v>45188</v>
      </c>
      <c r="D1915" s="20">
        <v>3291.84</v>
      </c>
      <c r="E1915" s="22" t="s">
        <v>10</v>
      </c>
      <c r="F1915" s="22" t="s">
        <v>11</v>
      </c>
      <c r="G1915" s="22" t="s">
        <v>17</v>
      </c>
    </row>
    <row r="1916" ht="15.15" spans="1:7">
      <c r="A1916" s="20">
        <v>1914</v>
      </c>
      <c r="B1916" s="20">
        <v>3087</v>
      </c>
      <c r="C1916" s="21">
        <v>44942</v>
      </c>
      <c r="D1916" s="20">
        <v>3291.84</v>
      </c>
      <c r="E1916" s="22" t="s">
        <v>10</v>
      </c>
      <c r="F1916" s="22" t="s">
        <v>18</v>
      </c>
      <c r="G1916" s="22" t="s">
        <v>20</v>
      </c>
    </row>
    <row r="1917" ht="15.15" spans="1:7">
      <c r="A1917" s="20">
        <v>1915</v>
      </c>
      <c r="B1917" s="20">
        <v>4961</v>
      </c>
      <c r="C1917" s="21">
        <v>44950</v>
      </c>
      <c r="D1917" s="20">
        <v>3291.84</v>
      </c>
      <c r="E1917" s="22" t="s">
        <v>10</v>
      </c>
      <c r="F1917" s="22" t="s">
        <v>16</v>
      </c>
      <c r="G1917" s="22" t="s">
        <v>20</v>
      </c>
    </row>
    <row r="1918" ht="15.15" spans="1:7">
      <c r="A1918" s="20">
        <v>1916</v>
      </c>
      <c r="B1918" s="20">
        <v>9010</v>
      </c>
      <c r="C1918" s="21">
        <v>45254</v>
      </c>
      <c r="D1918" s="20">
        <v>3291.84</v>
      </c>
      <c r="E1918" s="22" t="s">
        <v>10</v>
      </c>
      <c r="F1918" s="22" t="s">
        <v>13</v>
      </c>
      <c r="G1918" s="22" t="s">
        <v>20</v>
      </c>
    </row>
    <row r="1919" ht="15.15" spans="1:7">
      <c r="A1919" s="20">
        <v>1917</v>
      </c>
      <c r="B1919" s="20">
        <v>3602</v>
      </c>
      <c r="C1919" s="21">
        <v>45053</v>
      </c>
      <c r="D1919" s="20">
        <v>3291.84</v>
      </c>
      <c r="E1919" s="22" t="s">
        <v>10</v>
      </c>
      <c r="F1919" s="22" t="s">
        <v>14</v>
      </c>
      <c r="G1919" s="22" t="s">
        <v>12</v>
      </c>
    </row>
    <row r="1920" ht="15.15" spans="1:7">
      <c r="A1920" s="20">
        <v>1918</v>
      </c>
      <c r="B1920" s="20">
        <v>5426</v>
      </c>
      <c r="C1920" s="21">
        <v>45026</v>
      </c>
      <c r="D1920" s="20">
        <v>3291.84</v>
      </c>
      <c r="E1920" s="22" t="s">
        <v>10</v>
      </c>
      <c r="F1920" s="22" t="s">
        <v>11</v>
      </c>
      <c r="G1920" s="22" t="s">
        <v>15</v>
      </c>
    </row>
    <row r="1921" ht="15.15" spans="1:7">
      <c r="A1921" s="20">
        <v>1919</v>
      </c>
      <c r="B1921" s="20">
        <v>4954</v>
      </c>
      <c r="C1921" s="21">
        <v>45209</v>
      </c>
      <c r="D1921" s="20">
        <v>3291.84</v>
      </c>
      <c r="E1921" s="22" t="s">
        <v>10</v>
      </c>
      <c r="F1921" s="22" t="s">
        <v>11</v>
      </c>
      <c r="G1921" s="22" t="s">
        <v>20</v>
      </c>
    </row>
    <row r="1922" ht="15.15" spans="1:7">
      <c r="A1922" s="20">
        <v>1920</v>
      </c>
      <c r="B1922" s="20">
        <v>641</v>
      </c>
      <c r="C1922" s="21">
        <v>44968</v>
      </c>
      <c r="D1922" s="20">
        <v>3291.84</v>
      </c>
      <c r="E1922" s="22" t="s">
        <v>10</v>
      </c>
      <c r="F1922" s="22" t="s">
        <v>14</v>
      </c>
      <c r="G1922" s="22" t="s">
        <v>17</v>
      </c>
    </row>
    <row r="1923" ht="15.15" spans="1:7">
      <c r="A1923" s="20">
        <v>1921</v>
      </c>
      <c r="B1923" s="20">
        <v>5199</v>
      </c>
      <c r="C1923" s="21">
        <v>45012</v>
      </c>
      <c r="D1923" s="20">
        <v>3291.84</v>
      </c>
      <c r="E1923" s="22" t="s">
        <v>10</v>
      </c>
      <c r="F1923" s="22" t="s">
        <v>11</v>
      </c>
      <c r="G1923" s="22" t="s">
        <v>17</v>
      </c>
    </row>
    <row r="1924" ht="15.15" spans="1:7">
      <c r="A1924" s="20">
        <v>1922</v>
      </c>
      <c r="B1924" s="20">
        <v>2816</v>
      </c>
      <c r="C1924" s="21">
        <v>45053</v>
      </c>
      <c r="D1924" s="20">
        <v>3291.84</v>
      </c>
      <c r="E1924" s="22" t="s">
        <v>10</v>
      </c>
      <c r="F1924" s="22" t="s">
        <v>14</v>
      </c>
      <c r="G1924" s="22" t="s">
        <v>15</v>
      </c>
    </row>
    <row r="1925" ht="15.15" spans="1:7">
      <c r="A1925" s="20">
        <v>1923</v>
      </c>
      <c r="B1925" s="20">
        <v>1211</v>
      </c>
      <c r="C1925" s="21">
        <v>45048</v>
      </c>
      <c r="D1925" s="20">
        <v>3291.84</v>
      </c>
      <c r="E1925" s="22" t="s">
        <v>10</v>
      </c>
      <c r="F1925" s="22" t="s">
        <v>16</v>
      </c>
      <c r="G1925" s="22" t="s">
        <v>20</v>
      </c>
    </row>
    <row r="1926" ht="15.15" spans="1:7">
      <c r="A1926" s="20">
        <v>1924</v>
      </c>
      <c r="B1926" s="20">
        <v>9528</v>
      </c>
      <c r="C1926" s="21">
        <v>44950</v>
      </c>
      <c r="D1926" s="20">
        <v>3291.84</v>
      </c>
      <c r="E1926" s="22" t="s">
        <v>10</v>
      </c>
      <c r="F1926" s="22" t="s">
        <v>11</v>
      </c>
      <c r="G1926" s="22" t="s">
        <v>12</v>
      </c>
    </row>
    <row r="1927" ht="15.15" spans="1:7">
      <c r="A1927" s="20">
        <v>1925</v>
      </c>
      <c r="B1927" s="20">
        <v>456</v>
      </c>
      <c r="C1927" s="21">
        <v>44980</v>
      </c>
      <c r="D1927" s="20">
        <v>3291.84</v>
      </c>
      <c r="E1927" s="22" t="s">
        <v>10</v>
      </c>
      <c r="F1927" s="22" t="s">
        <v>16</v>
      </c>
      <c r="G1927" s="22" t="s">
        <v>17</v>
      </c>
    </row>
    <row r="1928" ht="15.15" spans="1:7">
      <c r="A1928" s="20">
        <v>1926</v>
      </c>
      <c r="B1928" s="20">
        <v>9604</v>
      </c>
      <c r="C1928" s="21">
        <v>45032</v>
      </c>
      <c r="D1928" s="20">
        <v>3291.84</v>
      </c>
      <c r="E1928" s="22" t="s">
        <v>10</v>
      </c>
      <c r="F1928" s="22" t="s">
        <v>18</v>
      </c>
      <c r="G1928" s="22" t="s">
        <v>17</v>
      </c>
    </row>
    <row r="1929" ht="15.15" spans="1:7">
      <c r="A1929" s="20">
        <v>1927</v>
      </c>
      <c r="B1929" s="20">
        <v>9833</v>
      </c>
      <c r="C1929" s="21">
        <v>45120</v>
      </c>
      <c r="D1929" s="20">
        <v>3291.84</v>
      </c>
      <c r="E1929" s="22" t="s">
        <v>10</v>
      </c>
      <c r="F1929" s="22" t="s">
        <v>13</v>
      </c>
      <c r="G1929" s="22" t="s">
        <v>17</v>
      </c>
    </row>
    <row r="1930" ht="15.15" spans="1:7">
      <c r="A1930" s="20">
        <v>1928</v>
      </c>
      <c r="B1930" s="20">
        <v>5389</v>
      </c>
      <c r="C1930" s="21">
        <v>45030</v>
      </c>
      <c r="D1930" s="20">
        <v>3291.84</v>
      </c>
      <c r="E1930" s="22" t="s">
        <v>10</v>
      </c>
      <c r="F1930" s="22" t="s">
        <v>16</v>
      </c>
      <c r="G1930" s="22" t="s">
        <v>15</v>
      </c>
    </row>
    <row r="1931" ht="15.15" spans="1:7">
      <c r="A1931" s="20">
        <v>1929</v>
      </c>
      <c r="B1931" s="20">
        <v>1974</v>
      </c>
      <c r="C1931" s="21">
        <v>45246</v>
      </c>
      <c r="D1931" s="20">
        <v>3291.84</v>
      </c>
      <c r="E1931" s="22" t="s">
        <v>10</v>
      </c>
      <c r="F1931" s="22" t="s">
        <v>13</v>
      </c>
      <c r="G1931" s="22" t="s">
        <v>15</v>
      </c>
    </row>
    <row r="1932" ht="15.15" spans="1:7">
      <c r="A1932" s="20">
        <v>1930</v>
      </c>
      <c r="B1932" s="20">
        <v>6876</v>
      </c>
      <c r="C1932" s="21">
        <v>45209</v>
      </c>
      <c r="D1932" s="20">
        <v>3291.84</v>
      </c>
      <c r="E1932" s="22" t="s">
        <v>10</v>
      </c>
      <c r="F1932" s="22" t="s">
        <v>18</v>
      </c>
      <c r="G1932" s="22" t="s">
        <v>20</v>
      </c>
    </row>
    <row r="1933" ht="15.15" spans="1:7">
      <c r="A1933" s="20">
        <v>1931</v>
      </c>
      <c r="B1933" s="20">
        <v>956</v>
      </c>
      <c r="C1933" s="21">
        <v>45077</v>
      </c>
      <c r="D1933" s="20">
        <v>3291.84</v>
      </c>
      <c r="E1933" s="22" t="s">
        <v>10</v>
      </c>
      <c r="F1933" s="22" t="s">
        <v>11</v>
      </c>
      <c r="G1933" s="22" t="s">
        <v>15</v>
      </c>
    </row>
    <row r="1934" ht="15.15" spans="1:7">
      <c r="A1934" s="20">
        <v>1932</v>
      </c>
      <c r="B1934" s="20">
        <v>3263</v>
      </c>
      <c r="C1934" s="21">
        <v>45284</v>
      </c>
      <c r="D1934" s="20">
        <v>3291.84</v>
      </c>
      <c r="E1934" s="22" t="s">
        <v>10</v>
      </c>
      <c r="F1934" s="22" t="s">
        <v>11</v>
      </c>
      <c r="G1934" s="22" t="s">
        <v>15</v>
      </c>
    </row>
    <row r="1935" ht="15.15" spans="1:7">
      <c r="A1935" s="20">
        <v>1933</v>
      </c>
      <c r="B1935" s="20">
        <v>3351</v>
      </c>
      <c r="C1935" s="21">
        <v>45173</v>
      </c>
      <c r="D1935" s="20">
        <v>3291.84</v>
      </c>
      <c r="E1935" s="22" t="s">
        <v>10</v>
      </c>
      <c r="F1935" s="22" t="s">
        <v>13</v>
      </c>
      <c r="G1935" s="22" t="s">
        <v>20</v>
      </c>
    </row>
    <row r="1936" ht="15.15" spans="1:7">
      <c r="A1936" s="20">
        <v>1934</v>
      </c>
      <c r="B1936" s="20">
        <v>5344</v>
      </c>
      <c r="C1936" s="21">
        <v>45085</v>
      </c>
      <c r="D1936" s="20">
        <v>3291.84</v>
      </c>
      <c r="E1936" s="22" t="s">
        <v>10</v>
      </c>
      <c r="F1936" s="22" t="s">
        <v>18</v>
      </c>
      <c r="G1936" s="22" t="s">
        <v>17</v>
      </c>
    </row>
    <row r="1937" ht="15.15" spans="1:7">
      <c r="A1937" s="20">
        <v>1935</v>
      </c>
      <c r="B1937" s="20">
        <v>6242</v>
      </c>
      <c r="C1937" s="21">
        <v>45176</v>
      </c>
      <c r="D1937" s="20">
        <v>3291.84</v>
      </c>
      <c r="E1937" s="22" t="s">
        <v>10</v>
      </c>
      <c r="F1937" s="22" t="s">
        <v>16</v>
      </c>
      <c r="G1937" s="22" t="s">
        <v>20</v>
      </c>
    </row>
    <row r="1938" ht="15.15" spans="1:7">
      <c r="A1938" s="20">
        <v>1936</v>
      </c>
      <c r="B1938" s="20">
        <v>5108</v>
      </c>
      <c r="C1938" s="21">
        <v>44982</v>
      </c>
      <c r="D1938" s="20">
        <v>3291.84</v>
      </c>
      <c r="E1938" s="22" t="s">
        <v>10</v>
      </c>
      <c r="F1938" s="22" t="s">
        <v>13</v>
      </c>
      <c r="G1938" s="22" t="s">
        <v>17</v>
      </c>
    </row>
    <row r="1939" ht="15.15" spans="1:7">
      <c r="A1939" s="20">
        <v>1937</v>
      </c>
      <c r="B1939" s="20">
        <v>1842</v>
      </c>
      <c r="C1939" s="21">
        <v>45073</v>
      </c>
      <c r="D1939" s="20">
        <v>3291.84</v>
      </c>
      <c r="E1939" s="22" t="s">
        <v>10</v>
      </c>
      <c r="F1939" s="22" t="s">
        <v>16</v>
      </c>
      <c r="G1939" s="22" t="s">
        <v>20</v>
      </c>
    </row>
    <row r="1940" ht="15.15" spans="1:7">
      <c r="A1940" s="20">
        <v>1938</v>
      </c>
      <c r="B1940" s="20">
        <v>9928</v>
      </c>
      <c r="C1940" s="21">
        <v>44931</v>
      </c>
      <c r="D1940" s="20">
        <v>3291.84</v>
      </c>
      <c r="E1940" s="22" t="s">
        <v>10</v>
      </c>
      <c r="F1940" s="22" t="s">
        <v>18</v>
      </c>
      <c r="G1940" s="22" t="s">
        <v>20</v>
      </c>
    </row>
    <row r="1941" ht="15.15" spans="1:7">
      <c r="A1941" s="20">
        <v>1939</v>
      </c>
      <c r="B1941" s="20">
        <v>8345</v>
      </c>
      <c r="C1941" s="21">
        <v>45104</v>
      </c>
      <c r="D1941" s="20">
        <v>3291.84</v>
      </c>
      <c r="E1941" s="22" t="s">
        <v>10</v>
      </c>
      <c r="F1941" s="22" t="s">
        <v>13</v>
      </c>
      <c r="G1941" s="22" t="s">
        <v>17</v>
      </c>
    </row>
    <row r="1942" ht="15.15" spans="1:7">
      <c r="A1942" s="20">
        <v>1940</v>
      </c>
      <c r="B1942" s="20">
        <v>4084</v>
      </c>
      <c r="C1942" s="21">
        <v>45287</v>
      </c>
      <c r="D1942" s="20">
        <v>3291.84</v>
      </c>
      <c r="E1942" s="22" t="s">
        <v>10</v>
      </c>
      <c r="F1942" s="22" t="s">
        <v>11</v>
      </c>
      <c r="G1942" s="22" t="s">
        <v>20</v>
      </c>
    </row>
    <row r="1943" ht="15.15" spans="1:7">
      <c r="A1943" s="20">
        <v>1941</v>
      </c>
      <c r="B1943" s="20">
        <v>4484</v>
      </c>
      <c r="C1943" s="21">
        <v>45089</v>
      </c>
      <c r="D1943" s="20">
        <v>3291.84</v>
      </c>
      <c r="E1943" s="22" t="s">
        <v>10</v>
      </c>
      <c r="F1943" s="22" t="s">
        <v>14</v>
      </c>
      <c r="G1943" s="22" t="s">
        <v>17</v>
      </c>
    </row>
    <row r="1944" ht="15.15" spans="1:7">
      <c r="A1944" s="20">
        <v>1942</v>
      </c>
      <c r="B1944" s="20">
        <v>6854</v>
      </c>
      <c r="C1944" s="21">
        <v>45071</v>
      </c>
      <c r="D1944" s="20">
        <v>3291.84</v>
      </c>
      <c r="E1944" s="22" t="s">
        <v>10</v>
      </c>
      <c r="F1944" s="22" t="s">
        <v>16</v>
      </c>
      <c r="G1944" s="22" t="s">
        <v>17</v>
      </c>
    </row>
    <row r="1945" ht="15.15" spans="1:7">
      <c r="A1945" s="20">
        <v>1943</v>
      </c>
      <c r="B1945" s="20">
        <v>3547</v>
      </c>
      <c r="C1945" s="21">
        <v>45267</v>
      </c>
      <c r="D1945" s="20">
        <v>3291.84</v>
      </c>
      <c r="E1945" s="22" t="s">
        <v>10</v>
      </c>
      <c r="F1945" s="22" t="s">
        <v>16</v>
      </c>
      <c r="G1945" s="22" t="s">
        <v>12</v>
      </c>
    </row>
    <row r="1946" ht="15.15" spans="1:7">
      <c r="A1946" s="20">
        <v>1944</v>
      </c>
      <c r="B1946" s="20">
        <v>5644</v>
      </c>
      <c r="C1946" s="21">
        <v>45093</v>
      </c>
      <c r="D1946" s="20">
        <v>3291.84</v>
      </c>
      <c r="E1946" s="22" t="s">
        <v>10</v>
      </c>
      <c r="F1946" s="22" t="s">
        <v>18</v>
      </c>
      <c r="G1946" s="22" t="s">
        <v>12</v>
      </c>
    </row>
    <row r="1947" ht="15.15" spans="1:7">
      <c r="A1947" s="20">
        <v>1945</v>
      </c>
      <c r="B1947" s="20">
        <v>5817</v>
      </c>
      <c r="C1947" s="21">
        <v>45164</v>
      </c>
      <c r="D1947" s="20">
        <v>3291.84</v>
      </c>
      <c r="E1947" s="22" t="s">
        <v>10</v>
      </c>
      <c r="F1947" s="22" t="s">
        <v>11</v>
      </c>
      <c r="G1947" s="22" t="s">
        <v>15</v>
      </c>
    </row>
    <row r="1948" ht="15.15" spans="1:7">
      <c r="A1948" s="20">
        <v>1946</v>
      </c>
      <c r="B1948" s="20">
        <v>2684</v>
      </c>
      <c r="C1948" s="21">
        <v>45128</v>
      </c>
      <c r="D1948" s="20">
        <v>3291.84</v>
      </c>
      <c r="E1948" s="22" t="s">
        <v>10</v>
      </c>
      <c r="F1948" s="22" t="s">
        <v>13</v>
      </c>
      <c r="G1948" s="22" t="s">
        <v>20</v>
      </c>
    </row>
    <row r="1949" ht="15.15" spans="1:7">
      <c r="A1949" s="20">
        <v>1947</v>
      </c>
      <c r="B1949" s="20">
        <v>3510</v>
      </c>
      <c r="C1949" s="21">
        <v>44963</v>
      </c>
      <c r="D1949" s="20">
        <v>3291.84</v>
      </c>
      <c r="E1949" s="22" t="s">
        <v>10</v>
      </c>
      <c r="F1949" s="22" t="s">
        <v>16</v>
      </c>
      <c r="G1949" s="22" t="s">
        <v>17</v>
      </c>
    </row>
    <row r="1950" ht="15.15" spans="1:7">
      <c r="A1950" s="20">
        <v>1948</v>
      </c>
      <c r="B1950" s="20">
        <v>8838</v>
      </c>
      <c r="C1950" s="21">
        <v>45207</v>
      </c>
      <c r="D1950" s="20">
        <v>3291.84</v>
      </c>
      <c r="E1950" s="22" t="s">
        <v>10</v>
      </c>
      <c r="F1950" s="22" t="s">
        <v>11</v>
      </c>
      <c r="G1950" s="22" t="s">
        <v>15</v>
      </c>
    </row>
    <row r="1951" ht="15.15" spans="1:7">
      <c r="A1951" s="20">
        <v>1949</v>
      </c>
      <c r="B1951" s="20">
        <v>6921</v>
      </c>
      <c r="C1951" s="21">
        <v>45026</v>
      </c>
      <c r="D1951" s="20">
        <v>3291.84</v>
      </c>
      <c r="E1951" s="22" t="s">
        <v>10</v>
      </c>
      <c r="F1951" s="22" t="s">
        <v>16</v>
      </c>
      <c r="G1951" s="22" t="s">
        <v>17</v>
      </c>
    </row>
    <row r="1952" ht="15.15" spans="1:7">
      <c r="A1952" s="20">
        <v>1950</v>
      </c>
      <c r="B1952" s="20">
        <v>3050</v>
      </c>
      <c r="C1952" s="21">
        <v>45286</v>
      </c>
      <c r="D1952" s="20">
        <v>3291.84</v>
      </c>
      <c r="E1952" s="22" t="s">
        <v>10</v>
      </c>
      <c r="F1952" s="22" t="s">
        <v>11</v>
      </c>
      <c r="G1952" s="22" t="s">
        <v>12</v>
      </c>
    </row>
    <row r="1953" ht="15.15" spans="1:7">
      <c r="A1953" s="20">
        <v>1951</v>
      </c>
      <c r="B1953" s="20">
        <v>6193</v>
      </c>
      <c r="C1953" s="21">
        <v>45161</v>
      </c>
      <c r="D1953" s="20">
        <v>3291.84</v>
      </c>
      <c r="E1953" s="22" t="s">
        <v>10</v>
      </c>
      <c r="F1953" s="22" t="s">
        <v>16</v>
      </c>
      <c r="G1953" s="22" t="s">
        <v>15</v>
      </c>
    </row>
    <row r="1954" ht="15.15" spans="1:7">
      <c r="A1954" s="20">
        <v>1952</v>
      </c>
      <c r="B1954" s="20">
        <v>1434</v>
      </c>
      <c r="C1954" s="21">
        <v>45227</v>
      </c>
      <c r="D1954" s="20">
        <v>3291.84</v>
      </c>
      <c r="E1954" s="22" t="s">
        <v>10</v>
      </c>
      <c r="F1954" s="22" t="s">
        <v>16</v>
      </c>
      <c r="G1954" s="22" t="s">
        <v>17</v>
      </c>
    </row>
    <row r="1955" ht="15.15" spans="1:7">
      <c r="A1955" s="20">
        <v>1953</v>
      </c>
      <c r="B1955" s="20">
        <v>1988</v>
      </c>
      <c r="C1955" s="21">
        <v>44946</v>
      </c>
      <c r="D1955" s="20">
        <v>3291.84</v>
      </c>
      <c r="E1955" s="22" t="s">
        <v>10</v>
      </c>
      <c r="F1955" s="22" t="s">
        <v>14</v>
      </c>
      <c r="G1955" s="22" t="s">
        <v>20</v>
      </c>
    </row>
    <row r="1956" ht="15.15" spans="1:7">
      <c r="A1956" s="20">
        <v>1954</v>
      </c>
      <c r="B1956" s="20">
        <v>9176</v>
      </c>
      <c r="C1956" s="21">
        <v>45270</v>
      </c>
      <c r="D1956" s="20">
        <v>3291.84</v>
      </c>
      <c r="E1956" s="22" t="s">
        <v>10</v>
      </c>
      <c r="F1956" s="22" t="s">
        <v>11</v>
      </c>
      <c r="G1956" s="22" t="s">
        <v>20</v>
      </c>
    </row>
    <row r="1957" ht="15.15" spans="1:7">
      <c r="A1957" s="20">
        <v>1955</v>
      </c>
      <c r="B1957" s="20">
        <v>8989</v>
      </c>
      <c r="C1957" s="21">
        <v>45286</v>
      </c>
      <c r="D1957" s="20">
        <v>3291.84</v>
      </c>
      <c r="E1957" s="22" t="s">
        <v>10</v>
      </c>
      <c r="F1957" s="22" t="s">
        <v>16</v>
      </c>
      <c r="G1957" s="22" t="s">
        <v>20</v>
      </c>
    </row>
    <row r="1958" ht="15.15" spans="1:7">
      <c r="A1958" s="20">
        <v>1956</v>
      </c>
      <c r="B1958" s="20">
        <v>3736</v>
      </c>
      <c r="C1958" s="21">
        <v>45265</v>
      </c>
      <c r="D1958" s="20">
        <v>3291.84</v>
      </c>
      <c r="E1958" s="22" t="s">
        <v>10</v>
      </c>
      <c r="F1958" s="22" t="s">
        <v>11</v>
      </c>
      <c r="G1958" s="22" t="s">
        <v>17</v>
      </c>
    </row>
    <row r="1959" ht="15.15" spans="1:7">
      <c r="A1959" s="20">
        <v>1957</v>
      </c>
      <c r="B1959" s="20">
        <v>2796</v>
      </c>
      <c r="C1959" s="21">
        <v>45280</v>
      </c>
      <c r="D1959" s="20">
        <v>3291.84</v>
      </c>
      <c r="E1959" s="22" t="s">
        <v>10</v>
      </c>
      <c r="F1959" s="22" t="s">
        <v>13</v>
      </c>
      <c r="G1959" s="22" t="s">
        <v>20</v>
      </c>
    </row>
    <row r="1960" ht="15.15" spans="1:7">
      <c r="A1960" s="20">
        <v>1958</v>
      </c>
      <c r="B1960" s="20">
        <v>5467</v>
      </c>
      <c r="C1960" s="21">
        <v>45101</v>
      </c>
      <c r="D1960" s="20">
        <v>3291.84</v>
      </c>
      <c r="E1960" s="22" t="s">
        <v>10</v>
      </c>
      <c r="F1960" s="22" t="s">
        <v>14</v>
      </c>
      <c r="G1960" s="22" t="s">
        <v>15</v>
      </c>
    </row>
    <row r="1961" ht="15.15" spans="1:7">
      <c r="A1961" s="20">
        <v>1959</v>
      </c>
      <c r="B1961" s="20">
        <v>3515</v>
      </c>
      <c r="C1961" s="21">
        <v>45223</v>
      </c>
      <c r="D1961" s="20">
        <v>3291.84</v>
      </c>
      <c r="E1961" s="22" t="s">
        <v>10</v>
      </c>
      <c r="F1961" s="22" t="s">
        <v>13</v>
      </c>
      <c r="G1961" s="22" t="s">
        <v>15</v>
      </c>
    </row>
    <row r="1962" ht="15.15" spans="1:7">
      <c r="A1962" s="20">
        <v>1960</v>
      </c>
      <c r="B1962" s="20">
        <v>7391</v>
      </c>
      <c r="C1962" s="21">
        <v>45190</v>
      </c>
      <c r="D1962" s="20">
        <v>3291.84</v>
      </c>
      <c r="E1962" s="22" t="s">
        <v>10</v>
      </c>
      <c r="F1962" s="22" t="s">
        <v>14</v>
      </c>
      <c r="G1962" s="22" t="s">
        <v>12</v>
      </c>
    </row>
    <row r="1963" ht="15.15" spans="1:7">
      <c r="A1963" s="20">
        <v>1961</v>
      </c>
      <c r="B1963" s="20">
        <v>7488</v>
      </c>
      <c r="C1963" s="21">
        <v>44985</v>
      </c>
      <c r="D1963" s="20">
        <v>3291.84</v>
      </c>
      <c r="E1963" s="22" t="s">
        <v>10</v>
      </c>
      <c r="F1963" s="22" t="s">
        <v>18</v>
      </c>
      <c r="G1963" s="22" t="s">
        <v>15</v>
      </c>
    </row>
    <row r="1964" ht="15.15" spans="1:7">
      <c r="A1964" s="20">
        <v>1962</v>
      </c>
      <c r="B1964" s="20">
        <v>2574</v>
      </c>
      <c r="C1964" s="21">
        <v>45145</v>
      </c>
      <c r="D1964" s="20">
        <v>3291.84</v>
      </c>
      <c r="E1964" s="22" t="s">
        <v>10</v>
      </c>
      <c r="F1964" s="22" t="s">
        <v>11</v>
      </c>
      <c r="G1964" s="22" t="s">
        <v>17</v>
      </c>
    </row>
    <row r="1965" ht="15.15" spans="1:7">
      <c r="A1965" s="20">
        <v>1963</v>
      </c>
      <c r="B1965" s="20">
        <v>7337</v>
      </c>
      <c r="C1965" s="21">
        <v>45210</v>
      </c>
      <c r="D1965" s="20">
        <v>3291.84</v>
      </c>
      <c r="E1965" s="22" t="s">
        <v>10</v>
      </c>
      <c r="F1965" s="22" t="s">
        <v>11</v>
      </c>
      <c r="G1965" s="22" t="s">
        <v>20</v>
      </c>
    </row>
    <row r="1966" ht="15.15" spans="1:7">
      <c r="A1966" s="20">
        <v>1964</v>
      </c>
      <c r="B1966" s="20">
        <v>9569</v>
      </c>
      <c r="C1966" s="21">
        <v>44964</v>
      </c>
      <c r="D1966" s="20">
        <v>3291.84</v>
      </c>
      <c r="E1966" s="22" t="s">
        <v>10</v>
      </c>
      <c r="F1966" s="22" t="s">
        <v>16</v>
      </c>
      <c r="G1966" s="22" t="s">
        <v>12</v>
      </c>
    </row>
    <row r="1967" ht="15.15" spans="1:7">
      <c r="A1967" s="20">
        <v>1965</v>
      </c>
      <c r="B1967" s="20">
        <v>7540</v>
      </c>
      <c r="C1967" s="21">
        <v>45237</v>
      </c>
      <c r="D1967" s="20">
        <v>3291.84</v>
      </c>
      <c r="E1967" s="22" t="s">
        <v>10</v>
      </c>
      <c r="F1967" s="22" t="s">
        <v>16</v>
      </c>
      <c r="G1967" s="22" t="s">
        <v>20</v>
      </c>
    </row>
    <row r="1968" ht="15.15" spans="1:7">
      <c r="A1968" s="20">
        <v>1966</v>
      </c>
      <c r="B1968" s="20">
        <v>9899</v>
      </c>
      <c r="C1968" s="21">
        <v>44970</v>
      </c>
      <c r="D1968" s="20">
        <v>3291.84</v>
      </c>
      <c r="E1968" s="22" t="s">
        <v>10</v>
      </c>
      <c r="F1968" s="22" t="s">
        <v>18</v>
      </c>
      <c r="G1968" s="22" t="s">
        <v>15</v>
      </c>
    </row>
    <row r="1969" ht="15.15" spans="1:7">
      <c r="A1969" s="20">
        <v>1967</v>
      </c>
      <c r="B1969" s="20">
        <v>378</v>
      </c>
      <c r="C1969" s="21">
        <v>45183</v>
      </c>
      <c r="D1969" s="20">
        <v>3291.84</v>
      </c>
      <c r="E1969" s="22" t="s">
        <v>10</v>
      </c>
      <c r="F1969" s="22" t="s">
        <v>18</v>
      </c>
      <c r="G1969" s="22" t="s">
        <v>20</v>
      </c>
    </row>
    <row r="1970" ht="15.15" spans="1:7">
      <c r="A1970" s="20">
        <v>1968</v>
      </c>
      <c r="B1970" s="20">
        <v>9956</v>
      </c>
      <c r="C1970" s="21">
        <v>45160</v>
      </c>
      <c r="D1970" s="20">
        <v>3291.84</v>
      </c>
      <c r="E1970" s="22" t="s">
        <v>10</v>
      </c>
      <c r="F1970" s="22" t="s">
        <v>16</v>
      </c>
      <c r="G1970" s="22" t="s">
        <v>17</v>
      </c>
    </row>
    <row r="1971" ht="15.15" spans="1:7">
      <c r="A1971" s="20">
        <v>1969</v>
      </c>
      <c r="B1971" s="20">
        <v>3602</v>
      </c>
      <c r="C1971" s="21">
        <v>45239</v>
      </c>
      <c r="D1971" s="20">
        <v>3291.84</v>
      </c>
      <c r="E1971" s="22" t="s">
        <v>10</v>
      </c>
      <c r="F1971" s="22" t="s">
        <v>14</v>
      </c>
      <c r="G1971" s="22" t="s">
        <v>12</v>
      </c>
    </row>
    <row r="1972" ht="15.15" spans="1:7">
      <c r="A1972" s="20">
        <v>1970</v>
      </c>
      <c r="B1972" s="20">
        <v>3567</v>
      </c>
      <c r="C1972" s="21">
        <v>45239</v>
      </c>
      <c r="D1972" s="20">
        <v>3291.84</v>
      </c>
      <c r="E1972" s="22" t="s">
        <v>10</v>
      </c>
      <c r="F1972" s="22" t="s">
        <v>14</v>
      </c>
      <c r="G1972" s="22" t="s">
        <v>17</v>
      </c>
    </row>
    <row r="1973" ht="15.15" spans="1:7">
      <c r="A1973" s="20">
        <v>1971</v>
      </c>
      <c r="B1973" s="20">
        <v>5485</v>
      </c>
      <c r="C1973" s="21">
        <v>45235</v>
      </c>
      <c r="D1973" s="20">
        <v>3291.84</v>
      </c>
      <c r="E1973" s="22" t="s">
        <v>10</v>
      </c>
      <c r="F1973" s="22" t="s">
        <v>16</v>
      </c>
      <c r="G1973" s="22" t="s">
        <v>17</v>
      </c>
    </row>
    <row r="1974" ht="15.15" spans="1:7">
      <c r="A1974" s="20">
        <v>1972</v>
      </c>
      <c r="B1974" s="20">
        <v>2265</v>
      </c>
      <c r="C1974" s="21">
        <v>45149</v>
      </c>
      <c r="D1974" s="20">
        <v>3291.84</v>
      </c>
      <c r="E1974" s="22" t="s">
        <v>22</v>
      </c>
      <c r="F1974" s="22" t="s">
        <v>14</v>
      </c>
      <c r="G1974" s="22" t="s">
        <v>17</v>
      </c>
    </row>
    <row r="1975" ht="15.15" spans="1:7">
      <c r="A1975" s="20">
        <v>1973</v>
      </c>
      <c r="B1975" s="20">
        <v>8622</v>
      </c>
      <c r="C1975" s="21">
        <v>45281</v>
      </c>
      <c r="D1975" s="20">
        <v>3291.84</v>
      </c>
      <c r="E1975" s="22" t="s">
        <v>10</v>
      </c>
      <c r="F1975" s="22" t="s">
        <v>13</v>
      </c>
      <c r="G1975" s="22" t="s">
        <v>12</v>
      </c>
    </row>
    <row r="1976" ht="15.15" spans="1:7">
      <c r="A1976" s="20">
        <v>1974</v>
      </c>
      <c r="B1976" s="20">
        <v>5825</v>
      </c>
      <c r="C1976" s="21">
        <v>45207</v>
      </c>
      <c r="D1976" s="20">
        <v>3291.84</v>
      </c>
      <c r="E1976" s="22" t="s">
        <v>10</v>
      </c>
      <c r="F1976" s="22" t="s">
        <v>14</v>
      </c>
      <c r="G1976" s="22" t="s">
        <v>15</v>
      </c>
    </row>
    <row r="1977" ht="15.15" spans="1:7">
      <c r="A1977" s="20">
        <v>1975</v>
      </c>
      <c r="B1977" s="20">
        <v>9158</v>
      </c>
      <c r="C1977" s="21">
        <v>45192</v>
      </c>
      <c r="D1977" s="20">
        <v>3291.84</v>
      </c>
      <c r="E1977" s="22" t="s">
        <v>10</v>
      </c>
      <c r="F1977" s="22" t="s">
        <v>16</v>
      </c>
      <c r="G1977" s="22" t="s">
        <v>20</v>
      </c>
    </row>
    <row r="1978" ht="15.15" spans="1:7">
      <c r="A1978" s="20">
        <v>1976</v>
      </c>
      <c r="B1978" s="20">
        <v>2754</v>
      </c>
      <c r="C1978" s="21">
        <v>45159</v>
      </c>
      <c r="D1978" s="20">
        <v>3291.84</v>
      </c>
      <c r="E1978" s="22" t="s">
        <v>10</v>
      </c>
      <c r="F1978" s="22" t="s">
        <v>18</v>
      </c>
      <c r="G1978" s="22" t="s">
        <v>20</v>
      </c>
    </row>
    <row r="1979" ht="15.15" spans="1:7">
      <c r="A1979" s="20">
        <v>1977</v>
      </c>
      <c r="B1979" s="20">
        <v>1116</v>
      </c>
      <c r="C1979" s="21">
        <v>45228</v>
      </c>
      <c r="D1979" s="20">
        <v>3291.84</v>
      </c>
      <c r="E1979" s="22" t="s">
        <v>10</v>
      </c>
      <c r="F1979" s="22" t="s">
        <v>18</v>
      </c>
      <c r="G1979" s="22" t="s">
        <v>12</v>
      </c>
    </row>
    <row r="1980" ht="15.15" spans="1:7">
      <c r="A1980" s="20">
        <v>1978</v>
      </c>
      <c r="B1980" s="20">
        <v>4808</v>
      </c>
      <c r="C1980" s="21">
        <v>44964</v>
      </c>
      <c r="D1980" s="20">
        <v>3291.84</v>
      </c>
      <c r="E1980" s="22" t="s">
        <v>10</v>
      </c>
      <c r="F1980" s="22" t="s">
        <v>18</v>
      </c>
      <c r="G1980" s="22" t="s">
        <v>15</v>
      </c>
    </row>
    <row r="1981" ht="15.15" spans="1:7">
      <c r="A1981" s="20">
        <v>1979</v>
      </c>
      <c r="B1981" s="20">
        <v>3458</v>
      </c>
      <c r="C1981" s="21">
        <v>44997</v>
      </c>
      <c r="D1981" s="20">
        <v>3291.84</v>
      </c>
      <c r="E1981" s="22" t="s">
        <v>10</v>
      </c>
      <c r="F1981" s="22" t="s">
        <v>18</v>
      </c>
      <c r="G1981" s="22" t="s">
        <v>15</v>
      </c>
    </row>
    <row r="1982" ht="15.15" spans="1:7">
      <c r="A1982" s="20">
        <v>1980</v>
      </c>
      <c r="B1982" s="20">
        <v>9246</v>
      </c>
      <c r="C1982" s="21">
        <v>44937</v>
      </c>
      <c r="D1982" s="20">
        <v>3291.84</v>
      </c>
      <c r="E1982" s="22" t="s">
        <v>10</v>
      </c>
      <c r="F1982" s="22" t="s">
        <v>11</v>
      </c>
      <c r="G1982" s="22" t="s">
        <v>12</v>
      </c>
    </row>
    <row r="1983" ht="15.15" spans="1:7">
      <c r="A1983" s="20">
        <v>1981</v>
      </c>
      <c r="B1983" s="20">
        <v>3010</v>
      </c>
      <c r="C1983" s="21">
        <v>45025</v>
      </c>
      <c r="D1983" s="20">
        <v>3291.84</v>
      </c>
      <c r="E1983" s="22" t="s">
        <v>10</v>
      </c>
      <c r="F1983" s="22" t="s">
        <v>14</v>
      </c>
      <c r="G1983" s="22" t="s">
        <v>12</v>
      </c>
    </row>
    <row r="1984" ht="15.15" spans="1:7">
      <c r="A1984" s="20">
        <v>1982</v>
      </c>
      <c r="B1984" s="20">
        <v>2087</v>
      </c>
      <c r="C1984" s="21">
        <v>45193</v>
      </c>
      <c r="D1984" s="20">
        <v>3291.84</v>
      </c>
      <c r="E1984" s="22" t="s">
        <v>10</v>
      </c>
      <c r="F1984" s="22" t="s">
        <v>13</v>
      </c>
      <c r="G1984" s="22" t="s">
        <v>12</v>
      </c>
    </row>
    <row r="1985" ht="15.15" spans="1:7">
      <c r="A1985" s="20">
        <v>1983</v>
      </c>
      <c r="B1985" s="20">
        <v>6263</v>
      </c>
      <c r="C1985" s="21">
        <v>44940</v>
      </c>
      <c r="D1985" s="20">
        <v>3291.84</v>
      </c>
      <c r="E1985" s="22" t="s">
        <v>10</v>
      </c>
      <c r="F1985" s="22" t="s">
        <v>14</v>
      </c>
      <c r="G1985" s="22" t="s">
        <v>17</v>
      </c>
    </row>
    <row r="1986" ht="15.15" spans="1:7">
      <c r="A1986" s="20">
        <v>1984</v>
      </c>
      <c r="B1986" s="20">
        <v>6825</v>
      </c>
      <c r="C1986" s="21">
        <v>44968</v>
      </c>
      <c r="D1986" s="20">
        <v>3291.84</v>
      </c>
      <c r="E1986" s="22" t="s">
        <v>10</v>
      </c>
      <c r="F1986" s="22" t="s">
        <v>13</v>
      </c>
      <c r="G1986" s="22" t="s">
        <v>17</v>
      </c>
    </row>
    <row r="1987" ht="15.15" spans="1:7">
      <c r="A1987" s="20">
        <v>1985</v>
      </c>
      <c r="B1987" s="20">
        <v>7193</v>
      </c>
      <c r="C1987" s="21">
        <v>45238</v>
      </c>
      <c r="D1987" s="20">
        <v>3291.84</v>
      </c>
      <c r="E1987" s="22" t="s">
        <v>10</v>
      </c>
      <c r="F1987" s="22" t="s">
        <v>13</v>
      </c>
      <c r="G1987" s="22" t="s">
        <v>12</v>
      </c>
    </row>
    <row r="1988" ht="15.15" spans="1:7">
      <c r="A1988" s="20">
        <v>1986</v>
      </c>
      <c r="B1988" s="20">
        <v>8137</v>
      </c>
      <c r="C1988" s="21">
        <v>45036</v>
      </c>
      <c r="D1988" s="20">
        <v>3291.84</v>
      </c>
      <c r="E1988" s="22" t="s">
        <v>10</v>
      </c>
      <c r="F1988" s="22" t="s">
        <v>13</v>
      </c>
      <c r="G1988" s="22" t="s">
        <v>12</v>
      </c>
    </row>
    <row r="1989" ht="15.15" spans="1:7">
      <c r="A1989" s="20">
        <v>1987</v>
      </c>
      <c r="B1989" s="20">
        <v>7633</v>
      </c>
      <c r="C1989" s="21">
        <v>45166</v>
      </c>
      <c r="D1989" s="20">
        <v>3291.84</v>
      </c>
      <c r="E1989" s="22" t="s">
        <v>10</v>
      </c>
      <c r="F1989" s="22" t="s">
        <v>16</v>
      </c>
      <c r="G1989" s="22" t="s">
        <v>20</v>
      </c>
    </row>
    <row r="1990" ht="15.15" spans="1:7">
      <c r="A1990" s="20">
        <v>1988</v>
      </c>
      <c r="B1990" s="20">
        <v>6066</v>
      </c>
      <c r="C1990" s="21">
        <v>45191</v>
      </c>
      <c r="D1990" s="20">
        <v>3291.84</v>
      </c>
      <c r="E1990" s="22" t="s">
        <v>10</v>
      </c>
      <c r="F1990" s="22" t="s">
        <v>11</v>
      </c>
      <c r="G1990" s="22" t="s">
        <v>12</v>
      </c>
    </row>
    <row r="1991" ht="15.15" spans="1:7">
      <c r="A1991" s="20">
        <v>1989</v>
      </c>
      <c r="B1991" s="20">
        <v>3264</v>
      </c>
      <c r="C1991" s="21">
        <v>44986</v>
      </c>
      <c r="D1991" s="20">
        <v>3291.84</v>
      </c>
      <c r="E1991" s="22" t="s">
        <v>10</v>
      </c>
      <c r="F1991" s="22" t="s">
        <v>18</v>
      </c>
      <c r="G1991" s="22" t="s">
        <v>20</v>
      </c>
    </row>
    <row r="1992" ht="15.15" spans="1:7">
      <c r="A1992" s="20">
        <v>1990</v>
      </c>
      <c r="B1992" s="20">
        <v>9180</v>
      </c>
      <c r="C1992" s="21">
        <v>45181</v>
      </c>
      <c r="D1992" s="20">
        <v>3291.84</v>
      </c>
      <c r="E1992" s="22" t="s">
        <v>10</v>
      </c>
      <c r="F1992" s="22" t="s">
        <v>11</v>
      </c>
      <c r="G1992" s="22" t="s">
        <v>17</v>
      </c>
    </row>
    <row r="1993" ht="15.15" spans="1:7">
      <c r="A1993" s="20">
        <v>1991</v>
      </c>
      <c r="B1993" s="20">
        <v>6141</v>
      </c>
      <c r="C1993" s="21">
        <v>44947</v>
      </c>
      <c r="D1993" s="20">
        <v>3291.84</v>
      </c>
      <c r="E1993" s="22" t="s">
        <v>10</v>
      </c>
      <c r="F1993" s="22" t="s">
        <v>16</v>
      </c>
      <c r="G1993" s="22" t="s">
        <v>17</v>
      </c>
    </row>
    <row r="1994" ht="15.15" spans="1:7">
      <c r="A1994" s="20">
        <v>1992</v>
      </c>
      <c r="B1994" s="20">
        <v>5027</v>
      </c>
      <c r="C1994" s="21">
        <v>45227</v>
      </c>
      <c r="D1994" s="20">
        <v>3291.84</v>
      </c>
      <c r="E1994" s="22" t="s">
        <v>10</v>
      </c>
      <c r="F1994" s="22" t="s">
        <v>18</v>
      </c>
      <c r="G1994" s="22" t="s">
        <v>20</v>
      </c>
    </row>
    <row r="1995" ht="15.15" spans="1:7">
      <c r="A1995" s="20">
        <v>1993</v>
      </c>
      <c r="B1995" s="20">
        <v>6201</v>
      </c>
      <c r="C1995" s="21">
        <v>44974</v>
      </c>
      <c r="D1995" s="20">
        <v>3291.84</v>
      </c>
      <c r="E1995" s="22" t="s">
        <v>10</v>
      </c>
      <c r="F1995" s="22" t="s">
        <v>14</v>
      </c>
      <c r="G1995" s="22" t="s">
        <v>20</v>
      </c>
    </row>
    <row r="1996" ht="15.15" spans="1:7">
      <c r="A1996" s="20">
        <v>1994</v>
      </c>
      <c r="B1996" s="20">
        <v>1206</v>
      </c>
      <c r="C1996" s="21">
        <v>45033</v>
      </c>
      <c r="D1996" s="20">
        <v>3291.84</v>
      </c>
      <c r="E1996" s="22" t="s">
        <v>10</v>
      </c>
      <c r="F1996" s="22" t="s">
        <v>13</v>
      </c>
      <c r="G1996" s="22" t="s">
        <v>20</v>
      </c>
    </row>
    <row r="1997" ht="15.15" spans="1:7">
      <c r="A1997" s="20">
        <v>1995</v>
      </c>
      <c r="B1997" s="20">
        <v>4461</v>
      </c>
      <c r="C1997" s="21">
        <v>45226</v>
      </c>
      <c r="D1997" s="20">
        <v>3291.84</v>
      </c>
      <c r="E1997" s="22" t="s">
        <v>10</v>
      </c>
      <c r="F1997" s="22" t="s">
        <v>16</v>
      </c>
      <c r="G1997" s="22" t="s">
        <v>20</v>
      </c>
    </row>
    <row r="1998" ht="15.15" spans="1:7">
      <c r="A1998" s="20">
        <v>1996</v>
      </c>
      <c r="B1998" s="20">
        <v>532</v>
      </c>
      <c r="C1998" s="21">
        <v>45038</v>
      </c>
      <c r="D1998" s="20">
        <v>3291.84</v>
      </c>
      <c r="E1998" s="22" t="s">
        <v>10</v>
      </c>
      <c r="F1998" s="22" t="s">
        <v>14</v>
      </c>
      <c r="G1998" s="22" t="s">
        <v>15</v>
      </c>
    </row>
    <row r="1999" ht="15.15" spans="1:7">
      <c r="A1999" s="20">
        <v>1997</v>
      </c>
      <c r="B1999" s="20">
        <v>2184</v>
      </c>
      <c r="C1999" s="21">
        <v>45242</v>
      </c>
      <c r="D1999" s="20">
        <v>3291.84</v>
      </c>
      <c r="E1999" s="22" t="s">
        <v>10</v>
      </c>
      <c r="F1999" s="22" t="s">
        <v>11</v>
      </c>
      <c r="G1999" s="22" t="s">
        <v>20</v>
      </c>
    </row>
    <row r="2000" ht="15.15" spans="1:7">
      <c r="A2000" s="20">
        <v>1998</v>
      </c>
      <c r="B2000" s="20">
        <v>9673</v>
      </c>
      <c r="C2000" s="21">
        <v>45117</v>
      </c>
      <c r="D2000" s="20">
        <v>3291.84</v>
      </c>
      <c r="E2000" s="22" t="s">
        <v>10</v>
      </c>
      <c r="F2000" s="22" t="s">
        <v>14</v>
      </c>
      <c r="G2000" s="22" t="s">
        <v>17</v>
      </c>
    </row>
    <row r="2001" ht="15.15" spans="1:7">
      <c r="A2001" s="20">
        <v>1999</v>
      </c>
      <c r="B2001" s="20">
        <v>3848</v>
      </c>
      <c r="C2001" s="21">
        <v>45006</v>
      </c>
      <c r="D2001" s="20">
        <v>3291.84</v>
      </c>
      <c r="E2001" s="22" t="s">
        <v>10</v>
      </c>
      <c r="F2001" s="22" t="s">
        <v>18</v>
      </c>
      <c r="G2001" s="22" t="s">
        <v>15</v>
      </c>
    </row>
    <row r="2002" ht="15.15" spans="1:7">
      <c r="A2002" s="20">
        <v>2000</v>
      </c>
      <c r="B2002" s="20">
        <v>4869</v>
      </c>
      <c r="C2002" s="21">
        <v>45119</v>
      </c>
      <c r="D2002" s="20">
        <v>3291.84</v>
      </c>
      <c r="E2002" s="22" t="s">
        <v>10</v>
      </c>
      <c r="F2002" s="22" t="s">
        <v>16</v>
      </c>
      <c r="G2002" s="22" t="s">
        <v>17</v>
      </c>
    </row>
    <row r="2003" ht="15.15" spans="1:7">
      <c r="A2003" s="20">
        <v>2001</v>
      </c>
      <c r="B2003" s="20">
        <v>2445</v>
      </c>
      <c r="C2003" s="21">
        <v>45025</v>
      </c>
      <c r="D2003" s="20">
        <v>3291.84</v>
      </c>
      <c r="E2003" s="22" t="s">
        <v>10</v>
      </c>
      <c r="F2003" s="22" t="s">
        <v>16</v>
      </c>
      <c r="G2003" s="22" t="s">
        <v>17</v>
      </c>
    </row>
    <row r="2004" ht="15.15" spans="1:7">
      <c r="A2004" s="20">
        <v>2002</v>
      </c>
      <c r="B2004" s="20">
        <v>3919</v>
      </c>
      <c r="C2004" s="21">
        <v>44991</v>
      </c>
      <c r="D2004" s="20">
        <v>3291.84</v>
      </c>
      <c r="E2004" s="22" t="s">
        <v>10</v>
      </c>
      <c r="F2004" s="22" t="s">
        <v>11</v>
      </c>
      <c r="G2004" s="22" t="s">
        <v>12</v>
      </c>
    </row>
    <row r="2005" ht="15.15" spans="1:7">
      <c r="A2005" s="20">
        <v>2003</v>
      </c>
      <c r="B2005" s="20">
        <v>3995</v>
      </c>
      <c r="C2005" s="21">
        <v>45278</v>
      </c>
      <c r="D2005" s="20">
        <v>3291.84</v>
      </c>
      <c r="E2005" s="22" t="s">
        <v>10</v>
      </c>
      <c r="F2005" s="22" t="s">
        <v>18</v>
      </c>
      <c r="G2005" s="22" t="s">
        <v>17</v>
      </c>
    </row>
    <row r="2006" ht="15.15" spans="1:7">
      <c r="A2006" s="20">
        <v>2004</v>
      </c>
      <c r="B2006" s="20">
        <v>344</v>
      </c>
      <c r="C2006" s="21">
        <v>45216</v>
      </c>
      <c r="D2006" s="20">
        <v>3291.84</v>
      </c>
      <c r="E2006" s="22" t="s">
        <v>10</v>
      </c>
      <c r="F2006" s="22" t="s">
        <v>14</v>
      </c>
      <c r="G2006" s="22" t="s">
        <v>20</v>
      </c>
    </row>
    <row r="2007" ht="15.15" spans="1:7">
      <c r="A2007" s="20">
        <v>2005</v>
      </c>
      <c r="B2007" s="20">
        <v>1435</v>
      </c>
      <c r="C2007" s="21">
        <v>45150</v>
      </c>
      <c r="D2007" s="20">
        <v>3291.84</v>
      </c>
      <c r="E2007" s="22" t="s">
        <v>10</v>
      </c>
      <c r="F2007" s="22" t="s">
        <v>11</v>
      </c>
      <c r="G2007" s="22" t="s">
        <v>20</v>
      </c>
    </row>
    <row r="2008" ht="15.15" spans="1:7">
      <c r="A2008" s="20">
        <v>2006</v>
      </c>
      <c r="B2008" s="20">
        <v>1312</v>
      </c>
      <c r="C2008" s="21">
        <v>45051</v>
      </c>
      <c r="D2008" s="20">
        <v>3291.84</v>
      </c>
      <c r="E2008" s="22" t="s">
        <v>10</v>
      </c>
      <c r="F2008" s="22" t="s">
        <v>13</v>
      </c>
      <c r="G2008" s="22" t="s">
        <v>17</v>
      </c>
    </row>
    <row r="2009" ht="15.15" spans="1:7">
      <c r="A2009" s="20">
        <v>2007</v>
      </c>
      <c r="B2009" s="20">
        <v>9551</v>
      </c>
      <c r="C2009" s="21">
        <v>45251</v>
      </c>
      <c r="D2009" s="20">
        <v>3291.84</v>
      </c>
      <c r="E2009" s="22" t="s">
        <v>10</v>
      </c>
      <c r="F2009" s="22" t="s">
        <v>13</v>
      </c>
      <c r="G2009" s="22" t="s">
        <v>17</v>
      </c>
    </row>
    <row r="2010" ht="15.15" spans="1:7">
      <c r="A2010" s="20">
        <v>2008</v>
      </c>
      <c r="B2010" s="20">
        <v>599</v>
      </c>
      <c r="C2010" s="21">
        <v>45137</v>
      </c>
      <c r="D2010" s="20">
        <v>3291.84</v>
      </c>
      <c r="E2010" s="22" t="s">
        <v>10</v>
      </c>
      <c r="F2010" s="22" t="s">
        <v>13</v>
      </c>
      <c r="G2010" s="22" t="s">
        <v>15</v>
      </c>
    </row>
    <row r="2011" ht="15.15" spans="1:7">
      <c r="A2011" s="20">
        <v>2009</v>
      </c>
      <c r="B2011" s="20">
        <v>447</v>
      </c>
      <c r="C2011" s="21">
        <v>45132</v>
      </c>
      <c r="D2011" s="20">
        <v>3291.84</v>
      </c>
      <c r="E2011" s="22" t="s">
        <v>10</v>
      </c>
      <c r="F2011" s="22" t="s">
        <v>14</v>
      </c>
      <c r="G2011" s="22" t="s">
        <v>12</v>
      </c>
    </row>
    <row r="2012" ht="15.15" spans="1:7">
      <c r="A2012" s="20">
        <v>2010</v>
      </c>
      <c r="B2012" s="20">
        <v>59</v>
      </c>
      <c r="C2012" s="21">
        <v>45268</v>
      </c>
      <c r="D2012" s="20">
        <v>3291.84</v>
      </c>
      <c r="E2012" s="22" t="s">
        <v>10</v>
      </c>
      <c r="F2012" s="22" t="s">
        <v>16</v>
      </c>
      <c r="G2012" s="22" t="s">
        <v>20</v>
      </c>
    </row>
    <row r="2013" ht="15.15" spans="1:7">
      <c r="A2013" s="20">
        <v>2011</v>
      </c>
      <c r="B2013" s="20">
        <v>8551</v>
      </c>
      <c r="C2013" s="21">
        <v>45274</v>
      </c>
      <c r="D2013" s="20">
        <v>3291.84</v>
      </c>
      <c r="E2013" s="22" t="s">
        <v>10</v>
      </c>
      <c r="F2013" s="22" t="s">
        <v>18</v>
      </c>
      <c r="G2013" s="22" t="s">
        <v>20</v>
      </c>
    </row>
    <row r="2014" ht="15.15" spans="1:7">
      <c r="A2014" s="20">
        <v>2012</v>
      </c>
      <c r="B2014" s="20">
        <v>2243</v>
      </c>
      <c r="C2014" s="21">
        <v>45034</v>
      </c>
      <c r="D2014" s="20">
        <v>3291.84</v>
      </c>
      <c r="E2014" s="22" t="s">
        <v>10</v>
      </c>
      <c r="F2014" s="22" t="s">
        <v>16</v>
      </c>
      <c r="G2014" s="22" t="s">
        <v>17</v>
      </c>
    </row>
    <row r="2015" ht="15.15" spans="1:7">
      <c r="A2015" s="20">
        <v>2013</v>
      </c>
      <c r="B2015" s="20">
        <v>2679</v>
      </c>
      <c r="C2015" s="21">
        <v>44958</v>
      </c>
      <c r="D2015" s="20">
        <v>3291.84</v>
      </c>
      <c r="E2015" s="22" t="s">
        <v>10</v>
      </c>
      <c r="F2015" s="22" t="s">
        <v>13</v>
      </c>
      <c r="G2015" s="22" t="s">
        <v>15</v>
      </c>
    </row>
    <row r="2016" ht="15.15" spans="1:7">
      <c r="A2016" s="20">
        <v>2014</v>
      </c>
      <c r="B2016" s="20">
        <v>9138</v>
      </c>
      <c r="C2016" s="21">
        <v>45157</v>
      </c>
      <c r="D2016" s="20">
        <v>3291.84</v>
      </c>
      <c r="E2016" s="22" t="s">
        <v>10</v>
      </c>
      <c r="F2016" s="22" t="s">
        <v>16</v>
      </c>
      <c r="G2016" s="22" t="s">
        <v>15</v>
      </c>
    </row>
    <row r="2017" ht="15.15" spans="1:7">
      <c r="A2017" s="20">
        <v>2015</v>
      </c>
      <c r="B2017" s="20">
        <v>9959</v>
      </c>
      <c r="C2017" s="21">
        <v>44927</v>
      </c>
      <c r="D2017" s="20">
        <v>3291.84</v>
      </c>
      <c r="E2017" s="22" t="s">
        <v>10</v>
      </c>
      <c r="F2017" s="22" t="s">
        <v>13</v>
      </c>
      <c r="G2017" s="22" t="s">
        <v>17</v>
      </c>
    </row>
    <row r="2018" ht="15.15" spans="1:7">
      <c r="A2018" s="20">
        <v>2016</v>
      </c>
      <c r="B2018" s="20">
        <v>2628</v>
      </c>
      <c r="C2018" s="21">
        <v>44960</v>
      </c>
      <c r="D2018" s="20">
        <v>3291.84</v>
      </c>
      <c r="E2018" s="22" t="s">
        <v>10</v>
      </c>
      <c r="F2018" s="22" t="s">
        <v>16</v>
      </c>
      <c r="G2018" s="22" t="s">
        <v>12</v>
      </c>
    </row>
    <row r="2019" ht="15.15" spans="1:7">
      <c r="A2019" s="20">
        <v>2017</v>
      </c>
      <c r="B2019" s="20">
        <v>8789</v>
      </c>
      <c r="C2019" s="21">
        <v>45150</v>
      </c>
      <c r="D2019" s="20">
        <v>3291.84</v>
      </c>
      <c r="E2019" s="22" t="s">
        <v>10</v>
      </c>
      <c r="F2019" s="22" t="s">
        <v>11</v>
      </c>
      <c r="G2019" s="22" t="s">
        <v>12</v>
      </c>
    </row>
    <row r="2020" ht="15.15" spans="1:7">
      <c r="A2020" s="20">
        <v>2018</v>
      </c>
      <c r="B2020" s="20">
        <v>1508</v>
      </c>
      <c r="C2020" s="21">
        <v>45252</v>
      </c>
      <c r="D2020" s="20">
        <v>3291.84</v>
      </c>
      <c r="E2020" s="22" t="s">
        <v>10</v>
      </c>
      <c r="F2020" s="22" t="s">
        <v>11</v>
      </c>
      <c r="G2020" s="22" t="s">
        <v>15</v>
      </c>
    </row>
    <row r="2021" ht="15.15" spans="1:7">
      <c r="A2021" s="20">
        <v>2019</v>
      </c>
      <c r="B2021" s="20">
        <v>6006</v>
      </c>
      <c r="C2021" s="21">
        <v>45117</v>
      </c>
      <c r="D2021" s="20">
        <v>3291.84</v>
      </c>
      <c r="E2021" s="22" t="s">
        <v>10</v>
      </c>
      <c r="F2021" s="22" t="s">
        <v>13</v>
      </c>
      <c r="G2021" s="22" t="s">
        <v>12</v>
      </c>
    </row>
    <row r="2022" ht="15.15" spans="1:7">
      <c r="A2022" s="20">
        <v>2020</v>
      </c>
      <c r="B2022" s="20">
        <v>3304</v>
      </c>
      <c r="C2022" s="21">
        <v>45059</v>
      </c>
      <c r="D2022" s="20">
        <v>3291.84</v>
      </c>
      <c r="E2022" s="22" t="s">
        <v>10</v>
      </c>
      <c r="F2022" s="22" t="s">
        <v>14</v>
      </c>
      <c r="G2022" s="22" t="s">
        <v>12</v>
      </c>
    </row>
    <row r="2023" ht="15.15" spans="1:7">
      <c r="A2023" s="20">
        <v>2021</v>
      </c>
      <c r="B2023" s="20">
        <v>7197</v>
      </c>
      <c r="C2023" s="21">
        <v>45034</v>
      </c>
      <c r="D2023" s="20">
        <v>3291.84</v>
      </c>
      <c r="E2023" s="22" t="s">
        <v>10</v>
      </c>
      <c r="F2023" s="22" t="s">
        <v>16</v>
      </c>
      <c r="G2023" s="22" t="s">
        <v>17</v>
      </c>
    </row>
    <row r="2024" ht="15.15" spans="1:7">
      <c r="A2024" s="20">
        <v>2022</v>
      </c>
      <c r="B2024" s="20">
        <v>3030</v>
      </c>
      <c r="C2024" s="21">
        <v>45151</v>
      </c>
      <c r="D2024" s="20">
        <v>3291.84</v>
      </c>
      <c r="E2024" s="22" t="s">
        <v>10</v>
      </c>
      <c r="F2024" s="22" t="s">
        <v>18</v>
      </c>
      <c r="G2024" s="22" t="s">
        <v>20</v>
      </c>
    </row>
    <row r="2025" ht="15.15" spans="1:7">
      <c r="A2025" s="20">
        <v>2023</v>
      </c>
      <c r="B2025" s="20">
        <v>3517</v>
      </c>
      <c r="C2025" s="21">
        <v>44957</v>
      </c>
      <c r="D2025" s="20">
        <v>3291.84</v>
      </c>
      <c r="E2025" s="22" t="s">
        <v>10</v>
      </c>
      <c r="F2025" s="22" t="s">
        <v>14</v>
      </c>
      <c r="G2025" s="22" t="s">
        <v>15</v>
      </c>
    </row>
    <row r="2026" ht="15.15" spans="1:7">
      <c r="A2026" s="20">
        <v>2024</v>
      </c>
      <c r="B2026" s="20">
        <v>8385</v>
      </c>
      <c r="C2026" s="21">
        <v>45170</v>
      </c>
      <c r="D2026" s="20">
        <v>3291.84</v>
      </c>
      <c r="E2026" s="22" t="s">
        <v>10</v>
      </c>
      <c r="F2026" s="22" t="s">
        <v>14</v>
      </c>
      <c r="G2026" s="22" t="s">
        <v>15</v>
      </c>
    </row>
    <row r="2027" ht="15.15" spans="1:7">
      <c r="A2027" s="20">
        <v>2025</v>
      </c>
      <c r="B2027" s="20">
        <v>9482</v>
      </c>
      <c r="C2027" s="21">
        <v>45221</v>
      </c>
      <c r="D2027" s="20">
        <v>3291.84</v>
      </c>
      <c r="E2027" s="22" t="s">
        <v>10</v>
      </c>
      <c r="F2027" s="22" t="s">
        <v>11</v>
      </c>
      <c r="G2027" s="22" t="s">
        <v>15</v>
      </c>
    </row>
    <row r="2028" ht="15.15" spans="1:7">
      <c r="A2028" s="20">
        <v>2026</v>
      </c>
      <c r="B2028" s="20">
        <v>3357</v>
      </c>
      <c r="C2028" s="21">
        <v>45247</v>
      </c>
      <c r="D2028" s="20">
        <v>3291.84</v>
      </c>
      <c r="E2028" s="22" t="s">
        <v>10</v>
      </c>
      <c r="F2028" s="22" t="s">
        <v>14</v>
      </c>
      <c r="G2028" s="22" t="s">
        <v>12</v>
      </c>
    </row>
    <row r="2029" ht="15.15" spans="1:7">
      <c r="A2029" s="20">
        <v>2027</v>
      </c>
      <c r="B2029" s="20">
        <v>9146</v>
      </c>
      <c r="C2029" s="21">
        <v>45284</v>
      </c>
      <c r="D2029" s="20">
        <v>3291.84</v>
      </c>
      <c r="E2029" s="22" t="s">
        <v>10</v>
      </c>
      <c r="F2029" s="22" t="s">
        <v>14</v>
      </c>
      <c r="G2029" s="22" t="s">
        <v>17</v>
      </c>
    </row>
    <row r="2030" ht="15.15" spans="1:7">
      <c r="A2030" s="20">
        <v>2028</v>
      </c>
      <c r="B2030" s="20">
        <v>129</v>
      </c>
      <c r="C2030" s="21">
        <v>44965</v>
      </c>
      <c r="D2030" s="20">
        <v>3291.84</v>
      </c>
      <c r="E2030" s="22" t="s">
        <v>10</v>
      </c>
      <c r="F2030" s="22" t="s">
        <v>18</v>
      </c>
      <c r="G2030" s="22" t="s">
        <v>17</v>
      </c>
    </row>
    <row r="2031" ht="15.15" spans="1:7">
      <c r="A2031" s="20">
        <v>2029</v>
      </c>
      <c r="B2031" s="20">
        <v>5936</v>
      </c>
      <c r="C2031" s="21">
        <v>45154</v>
      </c>
      <c r="D2031" s="20">
        <v>3291.84</v>
      </c>
      <c r="E2031" s="22" t="s">
        <v>10</v>
      </c>
      <c r="F2031" s="22" t="s">
        <v>18</v>
      </c>
      <c r="G2031" s="22" t="s">
        <v>12</v>
      </c>
    </row>
    <row r="2032" ht="15.15" spans="1:7">
      <c r="A2032" s="20">
        <v>2030</v>
      </c>
      <c r="B2032" s="20">
        <v>7403</v>
      </c>
      <c r="C2032" s="21">
        <v>45260</v>
      </c>
      <c r="D2032" s="20">
        <v>3291.84</v>
      </c>
      <c r="E2032" s="22" t="s">
        <v>10</v>
      </c>
      <c r="F2032" s="22" t="s">
        <v>18</v>
      </c>
      <c r="G2032" s="22" t="s">
        <v>15</v>
      </c>
    </row>
    <row r="2033" ht="15.15" spans="1:7">
      <c r="A2033" s="20">
        <v>2031</v>
      </c>
      <c r="B2033" s="20">
        <v>2041</v>
      </c>
      <c r="C2033" s="21">
        <v>45229</v>
      </c>
      <c r="D2033" s="20">
        <v>3291.84</v>
      </c>
      <c r="E2033" s="22" t="s">
        <v>10</v>
      </c>
      <c r="F2033" s="22" t="s">
        <v>14</v>
      </c>
      <c r="G2033" s="22" t="s">
        <v>15</v>
      </c>
    </row>
    <row r="2034" ht="15.15" spans="1:7">
      <c r="A2034" s="20">
        <v>2032</v>
      </c>
      <c r="B2034" s="20">
        <v>9349</v>
      </c>
      <c r="C2034" s="21">
        <v>45056</v>
      </c>
      <c r="D2034" s="20">
        <v>3291.84</v>
      </c>
      <c r="E2034" s="22" t="s">
        <v>10</v>
      </c>
      <c r="F2034" s="22" t="s">
        <v>16</v>
      </c>
      <c r="G2034" s="22" t="s">
        <v>17</v>
      </c>
    </row>
    <row r="2035" ht="15.15" spans="1:7">
      <c r="A2035" s="20">
        <v>2033</v>
      </c>
      <c r="B2035" s="20">
        <v>2641</v>
      </c>
      <c r="C2035" s="21">
        <v>45257</v>
      </c>
      <c r="D2035" s="20">
        <v>3291.84</v>
      </c>
      <c r="E2035" s="22" t="s">
        <v>10</v>
      </c>
      <c r="F2035" s="22" t="s">
        <v>18</v>
      </c>
      <c r="G2035" s="22" t="s">
        <v>17</v>
      </c>
    </row>
    <row r="2036" ht="15.15" spans="1:7">
      <c r="A2036" s="20">
        <v>2034</v>
      </c>
      <c r="B2036" s="20">
        <v>4917</v>
      </c>
      <c r="C2036" s="21">
        <v>45024</v>
      </c>
      <c r="D2036" s="20">
        <v>3291.84</v>
      </c>
      <c r="E2036" s="22" t="s">
        <v>10</v>
      </c>
      <c r="F2036" s="22" t="s">
        <v>11</v>
      </c>
      <c r="G2036" s="22" t="s">
        <v>20</v>
      </c>
    </row>
    <row r="2037" ht="15.15" spans="1:7">
      <c r="A2037" s="20">
        <v>2035</v>
      </c>
      <c r="B2037" s="20">
        <v>9304</v>
      </c>
      <c r="C2037" s="21">
        <v>45205</v>
      </c>
      <c r="D2037" s="20">
        <v>3291.84</v>
      </c>
      <c r="E2037" s="22" t="s">
        <v>10</v>
      </c>
      <c r="F2037" s="22" t="s">
        <v>16</v>
      </c>
      <c r="G2037" s="22" t="s">
        <v>15</v>
      </c>
    </row>
    <row r="2038" ht="15.15" spans="1:7">
      <c r="A2038" s="20">
        <v>2036</v>
      </c>
      <c r="B2038" s="20">
        <v>7656</v>
      </c>
      <c r="C2038" s="21">
        <v>45257</v>
      </c>
      <c r="D2038" s="20">
        <v>3291.84</v>
      </c>
      <c r="E2038" s="22" t="s">
        <v>10</v>
      </c>
      <c r="F2038" s="22" t="s">
        <v>18</v>
      </c>
      <c r="G2038" s="22" t="s">
        <v>17</v>
      </c>
    </row>
    <row r="2039" ht="15.15" spans="1:7">
      <c r="A2039" s="20">
        <v>2037</v>
      </c>
      <c r="B2039" s="20">
        <v>4368</v>
      </c>
      <c r="C2039" s="21">
        <v>45220</v>
      </c>
      <c r="D2039" s="20">
        <v>3291.84</v>
      </c>
      <c r="E2039" s="22" t="s">
        <v>10</v>
      </c>
      <c r="F2039" s="22" t="s">
        <v>11</v>
      </c>
      <c r="G2039" s="22" t="s">
        <v>12</v>
      </c>
    </row>
    <row r="2040" ht="15.15" spans="1:7">
      <c r="A2040" s="20">
        <v>2038</v>
      </c>
      <c r="B2040" s="20">
        <v>8286</v>
      </c>
      <c r="C2040" s="21">
        <v>45043</v>
      </c>
      <c r="D2040" s="20">
        <v>3291.84</v>
      </c>
      <c r="E2040" s="22" t="s">
        <v>21</v>
      </c>
      <c r="F2040" s="22" t="s">
        <v>16</v>
      </c>
      <c r="G2040" s="22" t="s">
        <v>12</v>
      </c>
    </row>
    <row r="2041" ht="15.15" spans="1:7">
      <c r="A2041" s="20">
        <v>2039</v>
      </c>
      <c r="B2041" s="20">
        <v>4363</v>
      </c>
      <c r="C2041" s="21">
        <v>45163</v>
      </c>
      <c r="D2041" s="20">
        <v>3291.84</v>
      </c>
      <c r="E2041" s="22" t="s">
        <v>10</v>
      </c>
      <c r="F2041" s="22" t="s">
        <v>11</v>
      </c>
      <c r="G2041" s="22" t="s">
        <v>20</v>
      </c>
    </row>
    <row r="2042" ht="15.15" spans="1:7">
      <c r="A2042" s="20">
        <v>2040</v>
      </c>
      <c r="B2042" s="20">
        <v>7030</v>
      </c>
      <c r="C2042" s="21">
        <v>45160</v>
      </c>
      <c r="D2042" s="20">
        <v>3291.84</v>
      </c>
      <c r="E2042" s="22" t="s">
        <v>10</v>
      </c>
      <c r="F2042" s="22" t="s">
        <v>11</v>
      </c>
      <c r="G2042" s="22" t="s">
        <v>12</v>
      </c>
    </row>
    <row r="2043" ht="15.15" spans="1:7">
      <c r="A2043" s="20">
        <v>2041</v>
      </c>
      <c r="B2043" s="20">
        <v>8989</v>
      </c>
      <c r="C2043" s="21">
        <v>45159</v>
      </c>
      <c r="D2043" s="20">
        <v>3291.84</v>
      </c>
      <c r="E2043" s="22" t="s">
        <v>10</v>
      </c>
      <c r="F2043" s="22" t="s">
        <v>16</v>
      </c>
      <c r="G2043" s="22" t="s">
        <v>15</v>
      </c>
    </row>
    <row r="2044" ht="15.15" spans="1:7">
      <c r="A2044" s="20">
        <v>2042</v>
      </c>
      <c r="B2044" s="20">
        <v>6766</v>
      </c>
      <c r="C2044" s="21">
        <v>45253</v>
      </c>
      <c r="D2044" s="20">
        <v>3291.84</v>
      </c>
      <c r="E2044" s="22" t="s">
        <v>10</v>
      </c>
      <c r="F2044" s="22" t="s">
        <v>11</v>
      </c>
      <c r="G2044" s="22" t="s">
        <v>20</v>
      </c>
    </row>
    <row r="2045" ht="15.15" spans="1:7">
      <c r="A2045" s="20">
        <v>2043</v>
      </c>
      <c r="B2045" s="20">
        <v>3617</v>
      </c>
      <c r="C2045" s="21">
        <v>44960</v>
      </c>
      <c r="D2045" s="20">
        <v>3291.84</v>
      </c>
      <c r="E2045" s="22" t="s">
        <v>10</v>
      </c>
      <c r="F2045" s="22" t="s">
        <v>14</v>
      </c>
      <c r="G2045" s="22" t="s">
        <v>20</v>
      </c>
    </row>
    <row r="2046" ht="15.15" spans="1:7">
      <c r="A2046" s="20">
        <v>2044</v>
      </c>
      <c r="B2046" s="20">
        <v>843</v>
      </c>
      <c r="C2046" s="21">
        <v>45184</v>
      </c>
      <c r="D2046" s="20">
        <v>3291.84</v>
      </c>
      <c r="E2046" s="22" t="s">
        <v>10</v>
      </c>
      <c r="F2046" s="22" t="s">
        <v>16</v>
      </c>
      <c r="G2046" s="22" t="s">
        <v>15</v>
      </c>
    </row>
    <row r="2047" ht="15.15" spans="1:7">
      <c r="A2047" s="20">
        <v>2045</v>
      </c>
      <c r="B2047" s="20">
        <v>7091</v>
      </c>
      <c r="C2047" s="21">
        <v>45042</v>
      </c>
      <c r="D2047" s="20">
        <v>3291.84</v>
      </c>
      <c r="E2047" s="22" t="s">
        <v>10</v>
      </c>
      <c r="F2047" s="22" t="s">
        <v>16</v>
      </c>
      <c r="G2047" s="22" t="s">
        <v>20</v>
      </c>
    </row>
    <row r="2048" ht="15.15" spans="1:7">
      <c r="A2048" s="20">
        <v>2046</v>
      </c>
      <c r="B2048" s="20">
        <v>6648</v>
      </c>
      <c r="C2048" s="21">
        <v>44957</v>
      </c>
      <c r="D2048" s="20">
        <v>3291.84</v>
      </c>
      <c r="E2048" s="22" t="s">
        <v>10</v>
      </c>
      <c r="F2048" s="22" t="s">
        <v>18</v>
      </c>
      <c r="G2048" s="22" t="s">
        <v>17</v>
      </c>
    </row>
    <row r="2049" ht="15.15" spans="1:7">
      <c r="A2049" s="20">
        <v>2047</v>
      </c>
      <c r="B2049" s="20">
        <v>4493</v>
      </c>
      <c r="C2049" s="21">
        <v>45210</v>
      </c>
      <c r="D2049" s="20">
        <v>3291.84</v>
      </c>
      <c r="E2049" s="22" t="s">
        <v>10</v>
      </c>
      <c r="F2049" s="22" t="s">
        <v>19</v>
      </c>
      <c r="G2049" s="22" t="s">
        <v>15</v>
      </c>
    </row>
    <row r="2050" ht="15.15" spans="1:7">
      <c r="A2050" s="20">
        <v>2048</v>
      </c>
      <c r="B2050" s="20">
        <v>8030</v>
      </c>
      <c r="C2050" s="21">
        <v>44963</v>
      </c>
      <c r="D2050" s="20">
        <v>3291.84</v>
      </c>
      <c r="E2050" s="22" t="s">
        <v>10</v>
      </c>
      <c r="F2050" s="22" t="s">
        <v>11</v>
      </c>
      <c r="G2050" s="22" t="s">
        <v>12</v>
      </c>
    </row>
    <row r="2051" ht="15.15" spans="1:7">
      <c r="A2051" s="20">
        <v>2049</v>
      </c>
      <c r="B2051" s="20">
        <v>4291</v>
      </c>
      <c r="C2051" s="21">
        <v>45256</v>
      </c>
      <c r="D2051" s="20">
        <v>3291.84</v>
      </c>
      <c r="E2051" s="22" t="s">
        <v>10</v>
      </c>
      <c r="F2051" s="22" t="s">
        <v>11</v>
      </c>
      <c r="G2051" s="22" t="s">
        <v>12</v>
      </c>
    </row>
    <row r="2052" ht="15.15" spans="1:7">
      <c r="A2052" s="20">
        <v>2050</v>
      </c>
      <c r="B2052" s="20">
        <v>6670</v>
      </c>
      <c r="C2052" s="21">
        <v>44964</v>
      </c>
      <c r="D2052" s="20">
        <v>3291.84</v>
      </c>
      <c r="E2052" s="22" t="s">
        <v>10</v>
      </c>
      <c r="F2052" s="22" t="s">
        <v>16</v>
      </c>
      <c r="G2052" s="22" t="s">
        <v>20</v>
      </c>
    </row>
    <row r="2053" ht="15.15" spans="1:7">
      <c r="A2053" s="20">
        <v>2051</v>
      </c>
      <c r="B2053" s="20">
        <v>7903</v>
      </c>
      <c r="C2053" s="21">
        <v>45152</v>
      </c>
      <c r="D2053" s="20">
        <v>3291.84</v>
      </c>
      <c r="E2053" s="22" t="s">
        <v>10</v>
      </c>
      <c r="F2053" s="22" t="s">
        <v>16</v>
      </c>
      <c r="G2053" s="22" t="s">
        <v>17</v>
      </c>
    </row>
    <row r="2054" ht="15.15" spans="1:7">
      <c r="A2054" s="20">
        <v>2052</v>
      </c>
      <c r="B2054" s="20">
        <v>6744</v>
      </c>
      <c r="C2054" s="21">
        <v>44927</v>
      </c>
      <c r="D2054" s="20">
        <v>3291.84</v>
      </c>
      <c r="E2054" s="22" t="s">
        <v>10</v>
      </c>
      <c r="F2054" s="22" t="s">
        <v>13</v>
      </c>
      <c r="G2054" s="22" t="s">
        <v>12</v>
      </c>
    </row>
    <row r="2055" ht="15.15" spans="1:7">
      <c r="A2055" s="20">
        <v>2053</v>
      </c>
      <c r="B2055" s="20">
        <v>9268</v>
      </c>
      <c r="C2055" s="21">
        <v>45048</v>
      </c>
      <c r="D2055" s="20">
        <v>3291.84</v>
      </c>
      <c r="E2055" s="22" t="s">
        <v>10</v>
      </c>
      <c r="F2055" s="22" t="s">
        <v>13</v>
      </c>
      <c r="G2055" s="22" t="s">
        <v>15</v>
      </c>
    </row>
    <row r="2056" ht="15.15" spans="1:7">
      <c r="A2056" s="20">
        <v>2054</v>
      </c>
      <c r="B2056" s="20">
        <v>3517</v>
      </c>
      <c r="C2056" s="21">
        <v>44959</v>
      </c>
      <c r="D2056" s="20">
        <v>3291.84</v>
      </c>
      <c r="E2056" s="22" t="s">
        <v>10</v>
      </c>
      <c r="F2056" s="22" t="s">
        <v>14</v>
      </c>
      <c r="G2056" s="22" t="s">
        <v>17</v>
      </c>
    </row>
    <row r="2057" ht="15.15" spans="1:7">
      <c r="A2057" s="20">
        <v>2055</v>
      </c>
      <c r="B2057" s="20">
        <v>1119</v>
      </c>
      <c r="C2057" s="21">
        <v>45274</v>
      </c>
      <c r="D2057" s="20">
        <v>3291.84</v>
      </c>
      <c r="E2057" s="22" t="s">
        <v>10</v>
      </c>
      <c r="F2057" s="22" t="s">
        <v>13</v>
      </c>
      <c r="G2057" s="22" t="s">
        <v>12</v>
      </c>
    </row>
    <row r="2058" ht="15.15" spans="1:7">
      <c r="A2058" s="20">
        <v>2056</v>
      </c>
      <c r="B2058" s="20">
        <v>958</v>
      </c>
      <c r="C2058" s="21">
        <v>45245</v>
      </c>
      <c r="D2058" s="20">
        <v>3291.84</v>
      </c>
      <c r="E2058" s="22" t="s">
        <v>10</v>
      </c>
      <c r="F2058" s="22" t="s">
        <v>16</v>
      </c>
      <c r="G2058" s="22" t="s">
        <v>12</v>
      </c>
    </row>
    <row r="2059" ht="15.15" spans="1:7">
      <c r="A2059" s="20">
        <v>2057</v>
      </c>
      <c r="B2059" s="20">
        <v>8759</v>
      </c>
      <c r="C2059" s="21">
        <v>45264</v>
      </c>
      <c r="D2059" s="20">
        <v>3291.84</v>
      </c>
      <c r="E2059" s="22" t="s">
        <v>10</v>
      </c>
      <c r="F2059" s="22" t="s">
        <v>16</v>
      </c>
      <c r="G2059" s="22" t="s">
        <v>12</v>
      </c>
    </row>
    <row r="2060" ht="15.15" spans="1:7">
      <c r="A2060" s="20">
        <v>2058</v>
      </c>
      <c r="B2060" s="20">
        <v>4638</v>
      </c>
      <c r="C2060" s="21">
        <v>45233</v>
      </c>
      <c r="D2060" s="20">
        <v>3291.84</v>
      </c>
      <c r="E2060" s="22" t="s">
        <v>10</v>
      </c>
      <c r="F2060" s="22" t="s">
        <v>11</v>
      </c>
      <c r="G2060" s="22" t="s">
        <v>20</v>
      </c>
    </row>
    <row r="2061" ht="15.15" spans="1:7">
      <c r="A2061" s="20">
        <v>2059</v>
      </c>
      <c r="B2061" s="20">
        <v>4340</v>
      </c>
      <c r="C2061" s="21">
        <v>45055</v>
      </c>
      <c r="D2061" s="20">
        <v>3291.84</v>
      </c>
      <c r="E2061" s="22" t="s">
        <v>10</v>
      </c>
      <c r="F2061" s="22" t="s">
        <v>11</v>
      </c>
      <c r="G2061" s="22" t="s">
        <v>12</v>
      </c>
    </row>
    <row r="2062" ht="15.15" spans="1:7">
      <c r="A2062" s="20">
        <v>2060</v>
      </c>
      <c r="B2062" s="20">
        <v>3740</v>
      </c>
      <c r="C2062" s="21">
        <v>45254</v>
      </c>
      <c r="D2062" s="20">
        <v>3291.84</v>
      </c>
      <c r="E2062" s="22" t="s">
        <v>10</v>
      </c>
      <c r="F2062" s="22" t="s">
        <v>18</v>
      </c>
      <c r="G2062" s="22" t="s">
        <v>12</v>
      </c>
    </row>
    <row r="2063" ht="15.15" spans="1:7">
      <c r="A2063" s="20">
        <v>2061</v>
      </c>
      <c r="B2063" s="20">
        <v>3284</v>
      </c>
      <c r="C2063" s="21">
        <v>45060</v>
      </c>
      <c r="D2063" s="20">
        <v>3291.84</v>
      </c>
      <c r="E2063" s="22" t="s">
        <v>10</v>
      </c>
      <c r="F2063" s="22" t="s">
        <v>11</v>
      </c>
      <c r="G2063" s="22" t="s">
        <v>12</v>
      </c>
    </row>
    <row r="2064" ht="15.15" spans="1:7">
      <c r="A2064" s="20">
        <v>2062</v>
      </c>
      <c r="B2064" s="20">
        <v>8738</v>
      </c>
      <c r="C2064" s="21">
        <v>45037</v>
      </c>
      <c r="D2064" s="20">
        <v>3291.84</v>
      </c>
      <c r="E2064" s="22" t="s">
        <v>21</v>
      </c>
      <c r="F2064" s="22" t="s">
        <v>16</v>
      </c>
      <c r="G2064" s="22" t="s">
        <v>17</v>
      </c>
    </row>
    <row r="2065" ht="15.15" spans="1:7">
      <c r="A2065" s="20">
        <v>2063</v>
      </c>
      <c r="B2065" s="20">
        <v>3336</v>
      </c>
      <c r="C2065" s="21">
        <v>45045</v>
      </c>
      <c r="D2065" s="20">
        <v>3291.84</v>
      </c>
      <c r="E2065" s="22" t="s">
        <v>10</v>
      </c>
      <c r="F2065" s="22" t="s">
        <v>18</v>
      </c>
      <c r="G2065" s="22" t="s">
        <v>12</v>
      </c>
    </row>
    <row r="2066" ht="15.15" spans="1:7">
      <c r="A2066" s="20">
        <v>2064</v>
      </c>
      <c r="B2066" s="20">
        <v>8476</v>
      </c>
      <c r="C2066" s="21">
        <v>44989</v>
      </c>
      <c r="D2066" s="20">
        <v>3291.84</v>
      </c>
      <c r="E2066" s="22" t="s">
        <v>10</v>
      </c>
      <c r="F2066" s="22" t="s">
        <v>18</v>
      </c>
      <c r="G2066" s="22" t="s">
        <v>20</v>
      </c>
    </row>
    <row r="2067" ht="15.15" spans="1:7">
      <c r="A2067" s="20">
        <v>2065</v>
      </c>
      <c r="B2067" s="20">
        <v>6497</v>
      </c>
      <c r="C2067" s="21">
        <v>45051</v>
      </c>
      <c r="D2067" s="20">
        <v>3291.84</v>
      </c>
      <c r="E2067" s="22" t="s">
        <v>10</v>
      </c>
      <c r="F2067" s="22" t="s">
        <v>14</v>
      </c>
      <c r="G2067" s="22" t="s">
        <v>12</v>
      </c>
    </row>
    <row r="2068" ht="15.15" spans="1:7">
      <c r="A2068" s="20">
        <v>2066</v>
      </c>
      <c r="B2068" s="20">
        <v>6034</v>
      </c>
      <c r="C2068" s="21">
        <v>44993</v>
      </c>
      <c r="D2068" s="20">
        <v>3291.84</v>
      </c>
      <c r="E2068" s="22" t="s">
        <v>10</v>
      </c>
      <c r="F2068" s="22" t="s">
        <v>11</v>
      </c>
      <c r="G2068" s="22" t="s">
        <v>12</v>
      </c>
    </row>
    <row r="2069" ht="15.15" spans="1:7">
      <c r="A2069" s="20">
        <v>2067</v>
      </c>
      <c r="B2069" s="20">
        <v>6514</v>
      </c>
      <c r="C2069" s="21">
        <v>45072</v>
      </c>
      <c r="D2069" s="20">
        <v>3291.84</v>
      </c>
      <c r="E2069" s="22" t="s">
        <v>10</v>
      </c>
      <c r="F2069" s="22" t="s">
        <v>14</v>
      </c>
      <c r="G2069" s="22" t="s">
        <v>15</v>
      </c>
    </row>
    <row r="2070" ht="15.15" spans="1:7">
      <c r="A2070" s="20">
        <v>2068</v>
      </c>
      <c r="B2070" s="20">
        <v>6170</v>
      </c>
      <c r="C2070" s="21">
        <v>45098</v>
      </c>
      <c r="D2070" s="20">
        <v>3291.84</v>
      </c>
      <c r="E2070" s="22" t="s">
        <v>10</v>
      </c>
      <c r="F2070" s="22" t="s">
        <v>16</v>
      </c>
      <c r="G2070" s="22" t="s">
        <v>17</v>
      </c>
    </row>
    <row r="2071" ht="15.15" spans="1:7">
      <c r="A2071" s="20">
        <v>2069</v>
      </c>
      <c r="B2071" s="20">
        <v>15</v>
      </c>
      <c r="C2071" s="21">
        <v>45162</v>
      </c>
      <c r="D2071" s="20">
        <v>3291.84</v>
      </c>
      <c r="E2071" s="22" t="s">
        <v>10</v>
      </c>
      <c r="F2071" s="22" t="s">
        <v>18</v>
      </c>
      <c r="G2071" s="22" t="s">
        <v>15</v>
      </c>
    </row>
    <row r="2072" ht="15.15" spans="1:7">
      <c r="A2072" s="20">
        <v>2070</v>
      </c>
      <c r="B2072" s="20">
        <v>5056</v>
      </c>
      <c r="C2072" s="21">
        <v>45181</v>
      </c>
      <c r="D2072" s="20">
        <v>3291.84</v>
      </c>
      <c r="E2072" s="22" t="s">
        <v>10</v>
      </c>
      <c r="F2072" s="22" t="s">
        <v>14</v>
      </c>
      <c r="G2072" s="22" t="s">
        <v>15</v>
      </c>
    </row>
    <row r="2073" ht="15.15" spans="1:7">
      <c r="A2073" s="20">
        <v>2071</v>
      </c>
      <c r="B2073" s="20">
        <v>1829</v>
      </c>
      <c r="C2073" s="21">
        <v>45069</v>
      </c>
      <c r="D2073" s="20">
        <v>3291.84</v>
      </c>
      <c r="E2073" s="22" t="s">
        <v>10</v>
      </c>
      <c r="F2073" s="22" t="s">
        <v>11</v>
      </c>
      <c r="G2073" s="22" t="s">
        <v>15</v>
      </c>
    </row>
    <row r="2074" ht="15.15" spans="1:7">
      <c r="A2074" s="20">
        <v>2072</v>
      </c>
      <c r="B2074" s="20">
        <v>1893</v>
      </c>
      <c r="C2074" s="21">
        <v>45198</v>
      </c>
      <c r="D2074" s="20">
        <v>3291.84</v>
      </c>
      <c r="E2074" s="22" t="s">
        <v>10</v>
      </c>
      <c r="F2074" s="22" t="s">
        <v>14</v>
      </c>
      <c r="G2074" s="22" t="s">
        <v>17</v>
      </c>
    </row>
    <row r="2075" ht="15.15" spans="1:7">
      <c r="A2075" s="20">
        <v>2073</v>
      </c>
      <c r="B2075" s="20">
        <v>4676</v>
      </c>
      <c r="C2075" s="21">
        <v>45206</v>
      </c>
      <c r="D2075" s="20">
        <v>3291.84</v>
      </c>
      <c r="E2075" s="22" t="s">
        <v>10</v>
      </c>
      <c r="F2075" s="22" t="s">
        <v>18</v>
      </c>
      <c r="G2075" s="22" t="s">
        <v>17</v>
      </c>
    </row>
    <row r="2076" ht="15.15" spans="1:7">
      <c r="A2076" s="20">
        <v>2074</v>
      </c>
      <c r="B2076" s="20">
        <v>4032</v>
      </c>
      <c r="C2076" s="21">
        <v>45178</v>
      </c>
      <c r="D2076" s="20">
        <v>3291.84</v>
      </c>
      <c r="E2076" s="22" t="s">
        <v>10</v>
      </c>
      <c r="F2076" s="22" t="s">
        <v>11</v>
      </c>
      <c r="G2076" s="22" t="s">
        <v>15</v>
      </c>
    </row>
    <row r="2077" ht="15.15" spans="1:7">
      <c r="A2077" s="20">
        <v>2075</v>
      </c>
      <c r="B2077" s="20">
        <v>7726</v>
      </c>
      <c r="C2077" s="21">
        <v>45010</v>
      </c>
      <c r="D2077" s="20">
        <v>3291.84</v>
      </c>
      <c r="E2077" s="22" t="s">
        <v>10</v>
      </c>
      <c r="F2077" s="22" t="s">
        <v>11</v>
      </c>
      <c r="G2077" s="22" t="s">
        <v>17</v>
      </c>
    </row>
    <row r="2078" ht="15.15" spans="1:7">
      <c r="A2078" s="20">
        <v>2076</v>
      </c>
      <c r="B2078" s="20">
        <v>1666</v>
      </c>
      <c r="C2078" s="21">
        <v>45045</v>
      </c>
      <c r="D2078" s="20">
        <v>3291.84</v>
      </c>
      <c r="E2078" s="22" t="s">
        <v>10</v>
      </c>
      <c r="F2078" s="22" t="s">
        <v>14</v>
      </c>
      <c r="G2078" s="22" t="s">
        <v>12</v>
      </c>
    </row>
    <row r="2079" ht="15.15" spans="1:7">
      <c r="A2079" s="20">
        <v>2077</v>
      </c>
      <c r="B2079" s="20">
        <v>2608</v>
      </c>
      <c r="C2079" s="21">
        <v>45126</v>
      </c>
      <c r="D2079" s="20">
        <v>3291.84</v>
      </c>
      <c r="E2079" s="22" t="s">
        <v>10</v>
      </c>
      <c r="F2079" s="22" t="s">
        <v>13</v>
      </c>
      <c r="G2079" s="22" t="s">
        <v>15</v>
      </c>
    </row>
    <row r="2080" ht="15.15" spans="1:7">
      <c r="A2080" s="20">
        <v>2078</v>
      </c>
      <c r="B2080" s="20">
        <v>122</v>
      </c>
      <c r="C2080" s="21">
        <v>45126</v>
      </c>
      <c r="D2080" s="20">
        <v>3291.84</v>
      </c>
      <c r="E2080" s="22" t="s">
        <v>10</v>
      </c>
      <c r="F2080" s="22" t="s">
        <v>13</v>
      </c>
      <c r="G2080" s="22" t="s">
        <v>15</v>
      </c>
    </row>
    <row r="2081" ht="15.15" spans="1:7">
      <c r="A2081" s="20">
        <v>2079</v>
      </c>
      <c r="B2081" s="20">
        <v>7241</v>
      </c>
      <c r="C2081" s="21">
        <v>45102</v>
      </c>
      <c r="D2081" s="20">
        <v>3291.84</v>
      </c>
      <c r="E2081" s="22" t="s">
        <v>10</v>
      </c>
      <c r="F2081" s="22" t="s">
        <v>11</v>
      </c>
      <c r="G2081" s="22" t="s">
        <v>15</v>
      </c>
    </row>
    <row r="2082" ht="15.15" spans="1:7">
      <c r="A2082" s="20">
        <v>2080</v>
      </c>
      <c r="B2082" s="20">
        <v>7047</v>
      </c>
      <c r="C2082" s="21">
        <v>45263</v>
      </c>
      <c r="D2082" s="20">
        <v>3291.84</v>
      </c>
      <c r="E2082" s="22" t="s">
        <v>10</v>
      </c>
      <c r="F2082" s="22" t="s">
        <v>16</v>
      </c>
      <c r="G2082" s="22" t="s">
        <v>17</v>
      </c>
    </row>
    <row r="2083" ht="15.15" spans="1:7">
      <c r="A2083" s="20">
        <v>2081</v>
      </c>
      <c r="B2083" s="20">
        <v>8341</v>
      </c>
      <c r="C2083" s="21">
        <v>45118</v>
      </c>
      <c r="D2083" s="20">
        <v>3291.84</v>
      </c>
      <c r="E2083" s="22" t="s">
        <v>10</v>
      </c>
      <c r="F2083" s="22" t="s">
        <v>13</v>
      </c>
      <c r="G2083" s="22" t="s">
        <v>20</v>
      </c>
    </row>
    <row r="2084" ht="15.15" spans="1:7">
      <c r="A2084" s="20">
        <v>2082</v>
      </c>
      <c r="B2084" s="20">
        <v>5375</v>
      </c>
      <c r="C2084" s="21">
        <v>45048</v>
      </c>
      <c r="D2084" s="20">
        <v>3291.84</v>
      </c>
      <c r="E2084" s="22" t="s">
        <v>10</v>
      </c>
      <c r="F2084" s="22" t="s">
        <v>11</v>
      </c>
      <c r="G2084" s="22" t="s">
        <v>15</v>
      </c>
    </row>
    <row r="2085" ht="15.15" spans="1:7">
      <c r="A2085" s="20">
        <v>2083</v>
      </c>
      <c r="B2085" s="20">
        <v>7305</v>
      </c>
      <c r="C2085" s="21">
        <v>45178</v>
      </c>
      <c r="D2085" s="20">
        <v>3291.84</v>
      </c>
      <c r="E2085" s="22" t="s">
        <v>10</v>
      </c>
      <c r="F2085" s="22" t="s">
        <v>14</v>
      </c>
      <c r="G2085" s="22" t="s">
        <v>20</v>
      </c>
    </row>
    <row r="2086" ht="15.15" spans="1:7">
      <c r="A2086" s="20">
        <v>2084</v>
      </c>
      <c r="B2086" s="20">
        <v>96</v>
      </c>
      <c r="C2086" s="21">
        <v>44960</v>
      </c>
      <c r="D2086" s="20">
        <v>3291.84</v>
      </c>
      <c r="E2086" s="22" t="s">
        <v>10</v>
      </c>
      <c r="F2086" s="22" t="s">
        <v>18</v>
      </c>
      <c r="G2086" s="22" t="s">
        <v>20</v>
      </c>
    </row>
    <row r="2087" ht="15.15" spans="1:7">
      <c r="A2087" s="20">
        <v>2085</v>
      </c>
      <c r="B2087" s="20">
        <v>7957</v>
      </c>
      <c r="C2087" s="21">
        <v>45213</v>
      </c>
      <c r="D2087" s="20">
        <v>3291.84</v>
      </c>
      <c r="E2087" s="22" t="s">
        <v>10</v>
      </c>
      <c r="F2087" s="22" t="s">
        <v>14</v>
      </c>
      <c r="G2087" s="22" t="s">
        <v>15</v>
      </c>
    </row>
    <row r="2088" ht="15.15" spans="1:7">
      <c r="A2088" s="20">
        <v>2086</v>
      </c>
      <c r="B2088" s="20">
        <v>9906</v>
      </c>
      <c r="C2088" s="21">
        <v>45093</v>
      </c>
      <c r="D2088" s="20">
        <v>3291.84</v>
      </c>
      <c r="E2088" s="22" t="s">
        <v>10</v>
      </c>
      <c r="F2088" s="22" t="s">
        <v>11</v>
      </c>
      <c r="G2088" s="22" t="s">
        <v>20</v>
      </c>
    </row>
    <row r="2089" ht="15.15" spans="1:7">
      <c r="A2089" s="20">
        <v>2087</v>
      </c>
      <c r="B2089" s="20">
        <v>6319</v>
      </c>
      <c r="C2089" s="21">
        <v>45272</v>
      </c>
      <c r="D2089" s="20">
        <v>3291.84</v>
      </c>
      <c r="E2089" s="22" t="s">
        <v>10</v>
      </c>
      <c r="F2089" s="22" t="s">
        <v>14</v>
      </c>
      <c r="G2089" s="22" t="s">
        <v>12</v>
      </c>
    </row>
    <row r="2090" ht="15.15" spans="1:7">
      <c r="A2090" s="20">
        <v>2088</v>
      </c>
      <c r="B2090" s="20">
        <v>8215</v>
      </c>
      <c r="C2090" s="21">
        <v>45125</v>
      </c>
      <c r="D2090" s="20">
        <v>3291.84</v>
      </c>
      <c r="E2090" s="22" t="s">
        <v>10</v>
      </c>
      <c r="F2090" s="22" t="s">
        <v>13</v>
      </c>
      <c r="G2090" s="22" t="s">
        <v>17</v>
      </c>
    </row>
    <row r="2091" ht="15.15" spans="1:7">
      <c r="A2091" s="20">
        <v>2089</v>
      </c>
      <c r="B2091" s="20">
        <v>5259</v>
      </c>
      <c r="C2091" s="21">
        <v>45291</v>
      </c>
      <c r="D2091" s="20">
        <v>3291.84</v>
      </c>
      <c r="E2091" s="22" t="s">
        <v>10</v>
      </c>
      <c r="F2091" s="22" t="s">
        <v>16</v>
      </c>
      <c r="G2091" s="22" t="s">
        <v>15</v>
      </c>
    </row>
    <row r="2092" ht="15.15" spans="1:7">
      <c r="A2092" s="20">
        <v>2090</v>
      </c>
      <c r="B2092" s="20">
        <v>6800</v>
      </c>
      <c r="C2092" s="21">
        <v>45277</v>
      </c>
      <c r="D2092" s="20">
        <v>3291.84</v>
      </c>
      <c r="E2092" s="22" t="s">
        <v>21</v>
      </c>
      <c r="F2092" s="22" t="s">
        <v>14</v>
      </c>
      <c r="G2092" s="22" t="s">
        <v>12</v>
      </c>
    </row>
    <row r="2093" ht="15.15" spans="1:7">
      <c r="A2093" s="20">
        <v>2091</v>
      </c>
      <c r="B2093" s="20">
        <v>123</v>
      </c>
      <c r="C2093" s="21">
        <v>45031</v>
      </c>
      <c r="D2093" s="20">
        <v>3291.84</v>
      </c>
      <c r="E2093" s="22" t="s">
        <v>10</v>
      </c>
      <c r="F2093" s="22" t="s">
        <v>14</v>
      </c>
      <c r="G2093" s="22" t="s">
        <v>17</v>
      </c>
    </row>
    <row r="2094" ht="15.15" spans="1:7">
      <c r="A2094" s="20">
        <v>2092</v>
      </c>
      <c r="B2094" s="20">
        <v>1222</v>
      </c>
      <c r="C2094" s="21">
        <v>45028</v>
      </c>
      <c r="D2094" s="20">
        <v>3291.84</v>
      </c>
      <c r="E2094" s="22" t="s">
        <v>10</v>
      </c>
      <c r="F2094" s="22" t="s">
        <v>18</v>
      </c>
      <c r="G2094" s="22" t="s">
        <v>12</v>
      </c>
    </row>
    <row r="2095" ht="15.15" spans="1:7">
      <c r="A2095" s="20">
        <v>2093</v>
      </c>
      <c r="B2095" s="20">
        <v>2303</v>
      </c>
      <c r="C2095" s="21">
        <v>45247</v>
      </c>
      <c r="D2095" s="20">
        <v>3291.84</v>
      </c>
      <c r="E2095" s="22" t="s">
        <v>10</v>
      </c>
      <c r="F2095" s="22" t="s">
        <v>13</v>
      </c>
      <c r="G2095" s="22" t="s">
        <v>12</v>
      </c>
    </row>
    <row r="2096" ht="15.15" spans="1:7">
      <c r="A2096" s="20">
        <v>2094</v>
      </c>
      <c r="B2096" s="20">
        <v>1088</v>
      </c>
      <c r="C2096" s="21">
        <v>45193</v>
      </c>
      <c r="D2096" s="20">
        <v>3291.84</v>
      </c>
      <c r="E2096" s="22" t="s">
        <v>10</v>
      </c>
      <c r="F2096" s="22" t="s">
        <v>14</v>
      </c>
      <c r="G2096" s="22" t="s">
        <v>12</v>
      </c>
    </row>
    <row r="2097" ht="15.15" spans="1:7">
      <c r="A2097" s="20">
        <v>2095</v>
      </c>
      <c r="B2097" s="20">
        <v>3136</v>
      </c>
      <c r="C2097" s="21">
        <v>45219</v>
      </c>
      <c r="D2097" s="20">
        <v>3291.84</v>
      </c>
      <c r="E2097" s="22" t="s">
        <v>10</v>
      </c>
      <c r="F2097" s="22" t="s">
        <v>11</v>
      </c>
      <c r="G2097" s="22" t="s">
        <v>20</v>
      </c>
    </row>
    <row r="2098" ht="15.15" spans="1:7">
      <c r="A2098" s="20">
        <v>2096</v>
      </c>
      <c r="B2098" s="20">
        <v>8385</v>
      </c>
      <c r="C2098" s="21">
        <v>45186</v>
      </c>
      <c r="D2098" s="20">
        <v>3291.84</v>
      </c>
      <c r="E2098" s="22" t="s">
        <v>22</v>
      </c>
      <c r="F2098" s="22" t="s">
        <v>14</v>
      </c>
      <c r="G2098" s="22" t="s">
        <v>15</v>
      </c>
    </row>
    <row r="2099" ht="15.15" spans="1:7">
      <c r="A2099" s="20">
        <v>2097</v>
      </c>
      <c r="B2099" s="20">
        <v>3585</v>
      </c>
      <c r="C2099" s="21">
        <v>45131</v>
      </c>
      <c r="D2099" s="20">
        <v>3291.84</v>
      </c>
      <c r="E2099" s="22" t="s">
        <v>10</v>
      </c>
      <c r="F2099" s="22" t="s">
        <v>16</v>
      </c>
      <c r="G2099" s="22" t="s">
        <v>15</v>
      </c>
    </row>
    <row r="2100" ht="15.15" spans="1:7">
      <c r="A2100" s="20">
        <v>2098</v>
      </c>
      <c r="B2100" s="20">
        <v>2915</v>
      </c>
      <c r="C2100" s="21">
        <v>45040</v>
      </c>
      <c r="D2100" s="20">
        <v>3291.84</v>
      </c>
      <c r="E2100" s="22" t="s">
        <v>10</v>
      </c>
      <c r="F2100" s="22" t="s">
        <v>16</v>
      </c>
      <c r="G2100" s="22" t="s">
        <v>15</v>
      </c>
    </row>
    <row r="2101" ht="15.15" spans="1:7">
      <c r="A2101" s="20">
        <v>2099</v>
      </c>
      <c r="B2101" s="20">
        <v>1605</v>
      </c>
      <c r="C2101" s="21">
        <v>45265</v>
      </c>
      <c r="D2101" s="20">
        <v>3291.84</v>
      </c>
      <c r="E2101" s="22" t="s">
        <v>10</v>
      </c>
      <c r="F2101" s="22" t="s">
        <v>13</v>
      </c>
      <c r="G2101" s="22" t="s">
        <v>17</v>
      </c>
    </row>
    <row r="2102" ht="15.15" spans="1:7">
      <c r="A2102" s="20">
        <v>2100</v>
      </c>
      <c r="B2102" s="20">
        <v>4017</v>
      </c>
      <c r="C2102" s="21">
        <v>45090</v>
      </c>
      <c r="D2102" s="20">
        <v>3291.84</v>
      </c>
      <c r="E2102" s="22" t="s">
        <v>10</v>
      </c>
      <c r="F2102" s="22" t="s">
        <v>13</v>
      </c>
      <c r="G2102" s="22" t="s">
        <v>12</v>
      </c>
    </row>
    <row r="2103" ht="15.15" spans="1:7">
      <c r="A2103" s="20">
        <v>2101</v>
      </c>
      <c r="B2103" s="20">
        <v>9661</v>
      </c>
      <c r="C2103" s="21">
        <v>44977</v>
      </c>
      <c r="D2103" s="20">
        <v>3291.84</v>
      </c>
      <c r="E2103" s="22" t="s">
        <v>10</v>
      </c>
      <c r="F2103" s="22" t="s">
        <v>11</v>
      </c>
      <c r="G2103" s="22" t="s">
        <v>17</v>
      </c>
    </row>
    <row r="2104" ht="15.15" spans="1:7">
      <c r="A2104" s="20">
        <v>2102</v>
      </c>
      <c r="B2104" s="20">
        <v>8196</v>
      </c>
      <c r="C2104" s="21">
        <v>44959</v>
      </c>
      <c r="D2104" s="20">
        <v>3291.84</v>
      </c>
      <c r="E2104" s="22" t="s">
        <v>10</v>
      </c>
      <c r="F2104" s="22" t="s">
        <v>13</v>
      </c>
      <c r="G2104" s="22" t="s">
        <v>17</v>
      </c>
    </row>
    <row r="2105" ht="15.15" spans="1:7">
      <c r="A2105" s="20">
        <v>2103</v>
      </c>
      <c r="B2105" s="20">
        <v>6983</v>
      </c>
      <c r="C2105" s="21">
        <v>45195</v>
      </c>
      <c r="D2105" s="20">
        <v>3291.84</v>
      </c>
      <c r="E2105" s="22" t="s">
        <v>10</v>
      </c>
      <c r="F2105" s="22" t="s">
        <v>13</v>
      </c>
      <c r="G2105" s="22" t="s">
        <v>15</v>
      </c>
    </row>
    <row r="2106" ht="15.15" spans="1:7">
      <c r="A2106" s="20">
        <v>2104</v>
      </c>
      <c r="B2106" s="20">
        <v>3931</v>
      </c>
      <c r="C2106" s="21">
        <v>45264</v>
      </c>
      <c r="D2106" s="20">
        <v>3291.84</v>
      </c>
      <c r="E2106" s="22" t="s">
        <v>10</v>
      </c>
      <c r="F2106" s="22" t="s">
        <v>18</v>
      </c>
      <c r="G2106" s="22" t="s">
        <v>17</v>
      </c>
    </row>
    <row r="2107" ht="15.15" spans="1:7">
      <c r="A2107" s="20">
        <v>2105</v>
      </c>
      <c r="B2107" s="20">
        <v>2424</v>
      </c>
      <c r="C2107" s="21">
        <v>45259</v>
      </c>
      <c r="D2107" s="20">
        <v>3291.84</v>
      </c>
      <c r="E2107" s="22" t="s">
        <v>10</v>
      </c>
      <c r="F2107" s="22" t="s">
        <v>11</v>
      </c>
      <c r="G2107" s="22" t="s">
        <v>12</v>
      </c>
    </row>
    <row r="2108" ht="15.15" spans="1:7">
      <c r="A2108" s="20">
        <v>2106</v>
      </c>
      <c r="B2108" s="20">
        <v>6106</v>
      </c>
      <c r="C2108" s="21">
        <v>45059</v>
      </c>
      <c r="D2108" s="20">
        <v>3291.84</v>
      </c>
      <c r="E2108" s="22" t="s">
        <v>10</v>
      </c>
      <c r="F2108" s="22" t="s">
        <v>18</v>
      </c>
      <c r="G2108" s="22" t="s">
        <v>20</v>
      </c>
    </row>
    <row r="2109" ht="15.15" spans="1:7">
      <c r="A2109" s="20">
        <v>2107</v>
      </c>
      <c r="B2109" s="20">
        <v>2314</v>
      </c>
      <c r="C2109" s="21">
        <v>45275</v>
      </c>
      <c r="D2109" s="20">
        <v>3291.84</v>
      </c>
      <c r="E2109" s="22" t="s">
        <v>10</v>
      </c>
      <c r="F2109" s="22" t="s">
        <v>16</v>
      </c>
      <c r="G2109" s="22" t="s">
        <v>20</v>
      </c>
    </row>
    <row r="2110" ht="15.15" spans="1:7">
      <c r="A2110" s="20">
        <v>2108</v>
      </c>
      <c r="B2110" s="20">
        <v>3505</v>
      </c>
      <c r="C2110" s="21">
        <v>45283</v>
      </c>
      <c r="D2110" s="20">
        <v>3291.84</v>
      </c>
      <c r="E2110" s="22" t="s">
        <v>10</v>
      </c>
      <c r="F2110" s="22" t="s">
        <v>16</v>
      </c>
      <c r="G2110" s="22" t="s">
        <v>17</v>
      </c>
    </row>
    <row r="2111" ht="15.15" spans="1:7">
      <c r="A2111" s="20">
        <v>2109</v>
      </c>
      <c r="B2111" s="20">
        <v>7063</v>
      </c>
      <c r="C2111" s="21">
        <v>45169</v>
      </c>
      <c r="D2111" s="20">
        <v>3291.84</v>
      </c>
      <c r="E2111" s="22" t="s">
        <v>10</v>
      </c>
      <c r="F2111" s="22" t="s">
        <v>13</v>
      </c>
      <c r="G2111" s="22" t="s">
        <v>15</v>
      </c>
    </row>
    <row r="2112" ht="15.15" spans="1:7">
      <c r="A2112" s="20">
        <v>2110</v>
      </c>
      <c r="B2112" s="20">
        <v>716</v>
      </c>
      <c r="C2112" s="21">
        <v>45242</v>
      </c>
      <c r="D2112" s="20">
        <v>3291.84</v>
      </c>
      <c r="E2112" s="22" t="s">
        <v>10</v>
      </c>
      <c r="F2112" s="22" t="s">
        <v>11</v>
      </c>
      <c r="G2112" s="22" t="s">
        <v>12</v>
      </c>
    </row>
    <row r="2113" ht="15.15" spans="1:7">
      <c r="A2113" s="20">
        <v>2111</v>
      </c>
      <c r="B2113" s="20">
        <v>2971</v>
      </c>
      <c r="C2113" s="21">
        <v>44974</v>
      </c>
      <c r="D2113" s="20">
        <v>3291.84</v>
      </c>
      <c r="E2113" s="22" t="s">
        <v>10</v>
      </c>
      <c r="F2113" s="22" t="s">
        <v>14</v>
      </c>
      <c r="G2113" s="22" t="s">
        <v>15</v>
      </c>
    </row>
    <row r="2114" ht="15.15" spans="1:7">
      <c r="A2114" s="20">
        <v>2112</v>
      </c>
      <c r="B2114" s="20">
        <v>6392</v>
      </c>
      <c r="C2114" s="21">
        <v>45221</v>
      </c>
      <c r="D2114" s="20">
        <v>3291.84</v>
      </c>
      <c r="E2114" s="22" t="s">
        <v>10</v>
      </c>
      <c r="F2114" s="22" t="s">
        <v>13</v>
      </c>
      <c r="G2114" s="22" t="s">
        <v>20</v>
      </c>
    </row>
    <row r="2115" ht="15.15" spans="1:7">
      <c r="A2115" s="20">
        <v>2113</v>
      </c>
      <c r="B2115" s="20">
        <v>3783</v>
      </c>
      <c r="C2115" s="21">
        <v>45095</v>
      </c>
      <c r="D2115" s="20">
        <v>3291.84</v>
      </c>
      <c r="E2115" s="22" t="s">
        <v>10</v>
      </c>
      <c r="F2115" s="22" t="s">
        <v>19</v>
      </c>
      <c r="G2115" s="22" t="s">
        <v>17</v>
      </c>
    </row>
    <row r="2116" ht="15.15" spans="1:7">
      <c r="A2116" s="20">
        <v>2114</v>
      </c>
      <c r="B2116" s="20">
        <v>9409</v>
      </c>
      <c r="C2116" s="21">
        <v>45283</v>
      </c>
      <c r="D2116" s="20">
        <v>3291.84</v>
      </c>
      <c r="E2116" s="22" t="s">
        <v>10</v>
      </c>
      <c r="F2116" s="22" t="s">
        <v>18</v>
      </c>
      <c r="G2116" s="22" t="s">
        <v>20</v>
      </c>
    </row>
    <row r="2117" ht="15.15" spans="1:7">
      <c r="A2117" s="20">
        <v>2115</v>
      </c>
      <c r="B2117" s="20">
        <v>4901</v>
      </c>
      <c r="C2117" s="21">
        <v>45291</v>
      </c>
      <c r="D2117" s="20">
        <v>3291.84</v>
      </c>
      <c r="E2117" s="22" t="s">
        <v>10</v>
      </c>
      <c r="F2117" s="22" t="s">
        <v>18</v>
      </c>
      <c r="G2117" s="22" t="s">
        <v>20</v>
      </c>
    </row>
    <row r="2118" ht="15.15" spans="1:7">
      <c r="A2118" s="20">
        <v>2116</v>
      </c>
      <c r="B2118" s="20">
        <v>657</v>
      </c>
      <c r="C2118" s="21">
        <v>45290</v>
      </c>
      <c r="D2118" s="20">
        <v>3291.84</v>
      </c>
      <c r="E2118" s="22" t="s">
        <v>10</v>
      </c>
      <c r="F2118" s="22" t="s">
        <v>11</v>
      </c>
      <c r="G2118" s="22" t="s">
        <v>12</v>
      </c>
    </row>
    <row r="2119" ht="15.15" spans="1:7">
      <c r="A2119" s="20">
        <v>2117</v>
      </c>
      <c r="B2119" s="20">
        <v>2238</v>
      </c>
      <c r="C2119" s="21">
        <v>45133</v>
      </c>
      <c r="D2119" s="20">
        <v>3291.84</v>
      </c>
      <c r="E2119" s="22" t="s">
        <v>10</v>
      </c>
      <c r="F2119" s="22" t="s">
        <v>16</v>
      </c>
      <c r="G2119" s="22" t="s">
        <v>17</v>
      </c>
    </row>
    <row r="2120" ht="15.15" spans="1:7">
      <c r="A2120" s="20">
        <v>2118</v>
      </c>
      <c r="B2120" s="20">
        <v>1919</v>
      </c>
      <c r="C2120" s="21">
        <v>45172</v>
      </c>
      <c r="D2120" s="20">
        <v>3291.84</v>
      </c>
      <c r="E2120" s="22" t="s">
        <v>10</v>
      </c>
      <c r="F2120" s="22" t="s">
        <v>13</v>
      </c>
      <c r="G2120" s="22" t="s">
        <v>17</v>
      </c>
    </row>
    <row r="2121" ht="15.15" spans="1:7">
      <c r="A2121" s="20">
        <v>2119</v>
      </c>
      <c r="B2121" s="20">
        <v>2998</v>
      </c>
      <c r="C2121" s="21">
        <v>45271</v>
      </c>
      <c r="D2121" s="20">
        <v>3291.84</v>
      </c>
      <c r="E2121" s="22" t="s">
        <v>10</v>
      </c>
      <c r="F2121" s="22" t="s">
        <v>18</v>
      </c>
      <c r="G2121" s="22" t="s">
        <v>20</v>
      </c>
    </row>
    <row r="2122" ht="15.15" spans="1:7">
      <c r="A2122" s="20">
        <v>2120</v>
      </c>
      <c r="B2122" s="20">
        <v>2049</v>
      </c>
      <c r="C2122" s="21">
        <v>44952</v>
      </c>
      <c r="D2122" s="20">
        <v>3291.84</v>
      </c>
      <c r="E2122" s="22" t="s">
        <v>10</v>
      </c>
      <c r="F2122" s="22" t="s">
        <v>18</v>
      </c>
      <c r="G2122" s="22" t="s">
        <v>15</v>
      </c>
    </row>
    <row r="2123" ht="15.15" spans="1:7">
      <c r="A2123" s="20">
        <v>2121</v>
      </c>
      <c r="B2123" s="20">
        <v>2332</v>
      </c>
      <c r="C2123" s="21">
        <v>45238</v>
      </c>
      <c r="D2123" s="20">
        <v>3291.84</v>
      </c>
      <c r="E2123" s="22" t="s">
        <v>10</v>
      </c>
      <c r="F2123" s="22" t="s">
        <v>14</v>
      </c>
      <c r="G2123" s="22" t="s">
        <v>20</v>
      </c>
    </row>
    <row r="2124" ht="15.15" spans="1:7">
      <c r="A2124" s="20">
        <v>2122</v>
      </c>
      <c r="B2124" s="20">
        <v>3183</v>
      </c>
      <c r="C2124" s="21">
        <v>45243</v>
      </c>
      <c r="D2124" s="20">
        <v>3291.84</v>
      </c>
      <c r="E2124" s="22" t="s">
        <v>10</v>
      </c>
      <c r="F2124" s="22" t="s">
        <v>18</v>
      </c>
      <c r="G2124" s="22" t="s">
        <v>12</v>
      </c>
    </row>
    <row r="2125" ht="15.15" spans="1:7">
      <c r="A2125" s="20">
        <v>2123</v>
      </c>
      <c r="B2125" s="20">
        <v>5957</v>
      </c>
      <c r="C2125" s="21">
        <v>44980</v>
      </c>
      <c r="D2125" s="20">
        <v>3291.84</v>
      </c>
      <c r="E2125" s="22" t="s">
        <v>10</v>
      </c>
      <c r="F2125" s="22" t="s">
        <v>13</v>
      </c>
      <c r="G2125" s="22" t="s">
        <v>15</v>
      </c>
    </row>
    <row r="2126" ht="15.15" spans="1:7">
      <c r="A2126" s="20">
        <v>2124</v>
      </c>
      <c r="B2126" s="20">
        <v>4313</v>
      </c>
      <c r="C2126" s="21">
        <v>44940</v>
      </c>
      <c r="D2126" s="20">
        <v>3291.84</v>
      </c>
      <c r="E2126" s="22" t="s">
        <v>10</v>
      </c>
      <c r="F2126" s="22" t="s">
        <v>18</v>
      </c>
      <c r="G2126" s="22" t="s">
        <v>12</v>
      </c>
    </row>
    <row r="2127" ht="15.15" spans="1:7">
      <c r="A2127" s="20">
        <v>2125</v>
      </c>
      <c r="B2127" s="20">
        <v>1445</v>
      </c>
      <c r="C2127" s="21">
        <v>44998</v>
      </c>
      <c r="D2127" s="20">
        <v>3291.84</v>
      </c>
      <c r="E2127" s="22" t="s">
        <v>10</v>
      </c>
      <c r="F2127" s="22" t="s">
        <v>11</v>
      </c>
      <c r="G2127" s="22" t="s">
        <v>15</v>
      </c>
    </row>
    <row r="2128" ht="15.15" spans="1:7">
      <c r="A2128" s="20">
        <v>2126</v>
      </c>
      <c r="B2128" s="20">
        <v>3924</v>
      </c>
      <c r="C2128" s="21">
        <v>45279</v>
      </c>
      <c r="D2128" s="20">
        <v>3291.84</v>
      </c>
      <c r="E2128" s="22" t="s">
        <v>10</v>
      </c>
      <c r="F2128" s="22" t="s">
        <v>13</v>
      </c>
      <c r="G2128" s="22" t="s">
        <v>15</v>
      </c>
    </row>
    <row r="2129" ht="15.15" spans="1:7">
      <c r="A2129" s="20">
        <v>2127</v>
      </c>
      <c r="B2129" s="20">
        <v>5759</v>
      </c>
      <c r="C2129" s="21">
        <v>45124</v>
      </c>
      <c r="D2129" s="20">
        <v>3291.84</v>
      </c>
      <c r="E2129" s="22" t="s">
        <v>10</v>
      </c>
      <c r="F2129" s="22" t="s">
        <v>19</v>
      </c>
      <c r="G2129" s="22" t="s">
        <v>17</v>
      </c>
    </row>
    <row r="2130" ht="15.15" spans="1:7">
      <c r="A2130" s="20">
        <v>2128</v>
      </c>
      <c r="B2130" s="20">
        <v>2056</v>
      </c>
      <c r="C2130" s="21">
        <v>44980</v>
      </c>
      <c r="D2130" s="20">
        <v>3291.84</v>
      </c>
      <c r="E2130" s="22" t="s">
        <v>10</v>
      </c>
      <c r="F2130" s="22" t="s">
        <v>13</v>
      </c>
      <c r="G2130" s="22" t="s">
        <v>15</v>
      </c>
    </row>
    <row r="2131" ht="15.15" spans="1:7">
      <c r="A2131" s="20">
        <v>2129</v>
      </c>
      <c r="B2131" s="20">
        <v>7439</v>
      </c>
      <c r="C2131" s="21">
        <v>45274</v>
      </c>
      <c r="D2131" s="20">
        <v>3291.84</v>
      </c>
      <c r="E2131" s="22" t="s">
        <v>10</v>
      </c>
      <c r="F2131" s="22" t="s">
        <v>11</v>
      </c>
      <c r="G2131" s="22" t="s">
        <v>12</v>
      </c>
    </row>
    <row r="2132" ht="15.15" spans="1:7">
      <c r="A2132" s="20">
        <v>2130</v>
      </c>
      <c r="B2132" s="20">
        <v>5310</v>
      </c>
      <c r="C2132" s="21">
        <v>44966</v>
      </c>
      <c r="D2132" s="20">
        <v>3291.84</v>
      </c>
      <c r="E2132" s="22" t="s">
        <v>10</v>
      </c>
      <c r="F2132" s="22" t="s">
        <v>14</v>
      </c>
      <c r="G2132" s="22" t="s">
        <v>17</v>
      </c>
    </row>
    <row r="2133" ht="15.15" spans="1:7">
      <c r="A2133" s="20">
        <v>2131</v>
      </c>
      <c r="B2133" s="20">
        <v>182</v>
      </c>
      <c r="C2133" s="21">
        <v>45139</v>
      </c>
      <c r="D2133" s="20">
        <v>3291.84</v>
      </c>
      <c r="E2133" s="22" t="s">
        <v>10</v>
      </c>
      <c r="F2133" s="22" t="s">
        <v>11</v>
      </c>
      <c r="G2133" s="22" t="s">
        <v>17</v>
      </c>
    </row>
    <row r="2134" ht="15.15" spans="1:7">
      <c r="A2134" s="20">
        <v>2132</v>
      </c>
      <c r="B2134" s="20">
        <v>7292</v>
      </c>
      <c r="C2134" s="21">
        <v>44985</v>
      </c>
      <c r="D2134" s="20">
        <v>3291.84</v>
      </c>
      <c r="E2134" s="22" t="s">
        <v>10</v>
      </c>
      <c r="F2134" s="22" t="s">
        <v>11</v>
      </c>
      <c r="G2134" s="22" t="s">
        <v>20</v>
      </c>
    </row>
    <row r="2135" ht="15.15" spans="1:7">
      <c r="A2135" s="20">
        <v>2133</v>
      </c>
      <c r="B2135" s="20">
        <v>5360</v>
      </c>
      <c r="C2135" s="21">
        <v>44943</v>
      </c>
      <c r="D2135" s="20">
        <v>3291.84</v>
      </c>
      <c r="E2135" s="22" t="s">
        <v>10</v>
      </c>
      <c r="F2135" s="22" t="s">
        <v>18</v>
      </c>
      <c r="G2135" s="22" t="s">
        <v>15</v>
      </c>
    </row>
    <row r="2136" ht="15.15" spans="1:7">
      <c r="A2136" s="20">
        <v>2134</v>
      </c>
      <c r="B2136" s="20">
        <v>5771</v>
      </c>
      <c r="C2136" s="21">
        <v>45061</v>
      </c>
      <c r="D2136" s="20">
        <v>3291.84</v>
      </c>
      <c r="E2136" s="22" t="s">
        <v>10</v>
      </c>
      <c r="F2136" s="22" t="s">
        <v>14</v>
      </c>
      <c r="G2136" s="22" t="s">
        <v>15</v>
      </c>
    </row>
    <row r="2137" ht="15.15" spans="1:7">
      <c r="A2137" s="20">
        <v>2135</v>
      </c>
      <c r="B2137" s="20">
        <v>7101</v>
      </c>
      <c r="C2137" s="21">
        <v>45061</v>
      </c>
      <c r="D2137" s="20">
        <v>3291.84</v>
      </c>
      <c r="E2137" s="22" t="s">
        <v>10</v>
      </c>
      <c r="F2137" s="22" t="s">
        <v>16</v>
      </c>
      <c r="G2137" s="22" t="s">
        <v>20</v>
      </c>
    </row>
    <row r="2138" ht="15.15" spans="1:7">
      <c r="A2138" s="20">
        <v>2136</v>
      </c>
      <c r="B2138" s="20">
        <v>6880</v>
      </c>
      <c r="C2138" s="21">
        <v>45058</v>
      </c>
      <c r="D2138" s="20">
        <v>3291.84</v>
      </c>
      <c r="E2138" s="22" t="s">
        <v>10</v>
      </c>
      <c r="F2138" s="22" t="s">
        <v>18</v>
      </c>
      <c r="G2138" s="22" t="s">
        <v>17</v>
      </c>
    </row>
    <row r="2139" ht="15.15" spans="1:7">
      <c r="A2139" s="20">
        <v>2137</v>
      </c>
      <c r="B2139" s="20">
        <v>987</v>
      </c>
      <c r="C2139" s="21">
        <v>44955</v>
      </c>
      <c r="D2139" s="20">
        <v>3291.84</v>
      </c>
      <c r="E2139" s="22" t="s">
        <v>10</v>
      </c>
      <c r="F2139" s="22" t="s">
        <v>11</v>
      </c>
      <c r="G2139" s="22" t="s">
        <v>15</v>
      </c>
    </row>
    <row r="2140" ht="15.15" spans="1:7">
      <c r="A2140" s="20">
        <v>2138</v>
      </c>
      <c r="B2140" s="20">
        <v>8072</v>
      </c>
      <c r="C2140" s="21">
        <v>45282</v>
      </c>
      <c r="D2140" s="20">
        <v>3291.84</v>
      </c>
      <c r="E2140" s="22" t="s">
        <v>10</v>
      </c>
      <c r="F2140" s="22" t="s">
        <v>13</v>
      </c>
      <c r="G2140" s="22" t="s">
        <v>15</v>
      </c>
    </row>
    <row r="2141" ht="15.15" spans="1:7">
      <c r="A2141" s="20">
        <v>2139</v>
      </c>
      <c r="B2141" s="20">
        <v>1798</v>
      </c>
      <c r="C2141" s="21">
        <v>45282</v>
      </c>
      <c r="D2141" s="20">
        <v>3291.84</v>
      </c>
      <c r="E2141" s="22" t="s">
        <v>10</v>
      </c>
      <c r="F2141" s="22" t="s">
        <v>14</v>
      </c>
      <c r="G2141" s="22" t="s">
        <v>17</v>
      </c>
    </row>
    <row r="2142" ht="15.15" spans="1:7">
      <c r="A2142" s="20">
        <v>2140</v>
      </c>
      <c r="B2142" s="20">
        <v>6318</v>
      </c>
      <c r="C2142" s="21">
        <v>45231</v>
      </c>
      <c r="D2142" s="20">
        <v>3291.84</v>
      </c>
      <c r="E2142" s="22" t="s">
        <v>10</v>
      </c>
      <c r="F2142" s="22" t="s">
        <v>16</v>
      </c>
      <c r="G2142" s="22" t="s">
        <v>15</v>
      </c>
    </row>
    <row r="2143" ht="15.15" spans="1:7">
      <c r="A2143" s="20">
        <v>2141</v>
      </c>
      <c r="B2143" s="20">
        <v>8173</v>
      </c>
      <c r="C2143" s="21">
        <v>45195</v>
      </c>
      <c r="D2143" s="20">
        <v>3291.84</v>
      </c>
      <c r="E2143" s="22" t="s">
        <v>10</v>
      </c>
      <c r="F2143" s="22" t="s">
        <v>13</v>
      </c>
      <c r="G2143" s="22" t="s">
        <v>15</v>
      </c>
    </row>
    <row r="2144" ht="15.15" spans="1:7">
      <c r="A2144" s="20">
        <v>2142</v>
      </c>
      <c r="B2144" s="20">
        <v>9494</v>
      </c>
      <c r="C2144" s="21">
        <v>44990</v>
      </c>
      <c r="D2144" s="20">
        <v>3291.84</v>
      </c>
      <c r="E2144" s="22" t="s">
        <v>10</v>
      </c>
      <c r="F2144" s="22" t="s">
        <v>11</v>
      </c>
      <c r="G2144" s="22" t="s">
        <v>17</v>
      </c>
    </row>
    <row r="2145" ht="15.15" spans="1:7">
      <c r="A2145" s="20">
        <v>2143</v>
      </c>
      <c r="B2145" s="20">
        <v>4688</v>
      </c>
      <c r="C2145" s="21">
        <v>45135</v>
      </c>
      <c r="D2145" s="20">
        <v>3291.84</v>
      </c>
      <c r="E2145" s="22" t="s">
        <v>10</v>
      </c>
      <c r="F2145" s="22" t="s">
        <v>13</v>
      </c>
      <c r="G2145" s="22" t="s">
        <v>15</v>
      </c>
    </row>
    <row r="2146" ht="15.15" spans="1:7">
      <c r="A2146" s="20">
        <v>2144</v>
      </c>
      <c r="B2146" s="20">
        <v>2812</v>
      </c>
      <c r="C2146" s="21">
        <v>45013</v>
      </c>
      <c r="D2146" s="20">
        <v>3291.84</v>
      </c>
      <c r="E2146" s="22" t="s">
        <v>10</v>
      </c>
      <c r="F2146" s="22" t="s">
        <v>14</v>
      </c>
      <c r="G2146" s="22" t="s">
        <v>20</v>
      </c>
    </row>
    <row r="2147" ht="15.15" spans="1:7">
      <c r="A2147" s="20">
        <v>2145</v>
      </c>
      <c r="B2147" s="20">
        <v>3529</v>
      </c>
      <c r="C2147" s="21">
        <v>44960</v>
      </c>
      <c r="D2147" s="20">
        <v>3291.84</v>
      </c>
      <c r="E2147" s="22" t="s">
        <v>10</v>
      </c>
      <c r="F2147" s="22" t="s">
        <v>16</v>
      </c>
      <c r="G2147" s="22" t="s">
        <v>17</v>
      </c>
    </row>
    <row r="2148" ht="15.15" spans="1:7">
      <c r="A2148" s="20">
        <v>2146</v>
      </c>
      <c r="B2148" s="20">
        <v>5360</v>
      </c>
      <c r="C2148" s="21">
        <v>45059</v>
      </c>
      <c r="D2148" s="20">
        <v>3291.84</v>
      </c>
      <c r="E2148" s="22" t="s">
        <v>10</v>
      </c>
      <c r="F2148" s="22" t="s">
        <v>18</v>
      </c>
      <c r="G2148" s="22" t="s">
        <v>15</v>
      </c>
    </row>
    <row r="2149" ht="15.15" spans="1:7">
      <c r="A2149" s="20">
        <v>2147</v>
      </c>
      <c r="B2149" s="20">
        <v>7790</v>
      </c>
      <c r="C2149" s="21">
        <v>45264</v>
      </c>
      <c r="D2149" s="20">
        <v>3291.84</v>
      </c>
      <c r="E2149" s="22" t="s">
        <v>10</v>
      </c>
      <c r="F2149" s="22" t="s">
        <v>16</v>
      </c>
      <c r="G2149" s="22" t="s">
        <v>17</v>
      </c>
    </row>
    <row r="2150" ht="15.15" spans="1:7">
      <c r="A2150" s="20">
        <v>2148</v>
      </c>
      <c r="B2150" s="20">
        <v>1137</v>
      </c>
      <c r="C2150" s="21">
        <v>45259</v>
      </c>
      <c r="D2150" s="20">
        <v>3291.84</v>
      </c>
      <c r="E2150" s="22" t="s">
        <v>10</v>
      </c>
      <c r="F2150" s="22" t="s">
        <v>11</v>
      </c>
      <c r="G2150" s="22" t="s">
        <v>15</v>
      </c>
    </row>
    <row r="2151" ht="15.15" spans="1:7">
      <c r="A2151" s="20">
        <v>2149</v>
      </c>
      <c r="B2151" s="20">
        <v>9889</v>
      </c>
      <c r="C2151" s="21">
        <v>45043</v>
      </c>
      <c r="D2151" s="20">
        <v>3291.84</v>
      </c>
      <c r="E2151" s="22" t="s">
        <v>10</v>
      </c>
      <c r="F2151" s="22" t="s">
        <v>16</v>
      </c>
      <c r="G2151" s="22" t="s">
        <v>15</v>
      </c>
    </row>
    <row r="2152" ht="15.15" spans="1:7">
      <c r="A2152" s="20">
        <v>2150</v>
      </c>
      <c r="B2152" s="20">
        <v>9435</v>
      </c>
      <c r="C2152" s="21">
        <v>45284</v>
      </c>
      <c r="D2152" s="20">
        <v>3291.84</v>
      </c>
      <c r="E2152" s="22" t="s">
        <v>10</v>
      </c>
      <c r="F2152" s="22" t="s">
        <v>11</v>
      </c>
      <c r="G2152" s="22" t="s">
        <v>12</v>
      </c>
    </row>
    <row r="2153" ht="15.15" spans="1:7">
      <c r="A2153" s="20">
        <v>2151</v>
      </c>
      <c r="B2153" s="20">
        <v>9618</v>
      </c>
      <c r="C2153" s="21">
        <v>45116</v>
      </c>
      <c r="D2153" s="20">
        <v>3291.84</v>
      </c>
      <c r="E2153" s="22" t="s">
        <v>10</v>
      </c>
      <c r="F2153" s="22" t="s">
        <v>16</v>
      </c>
      <c r="G2153" s="22" t="s">
        <v>15</v>
      </c>
    </row>
    <row r="2154" ht="15.15" spans="1:7">
      <c r="A2154" s="20">
        <v>2152</v>
      </c>
      <c r="B2154" s="20">
        <v>1752</v>
      </c>
      <c r="C2154" s="21">
        <v>44932</v>
      </c>
      <c r="D2154" s="20">
        <v>3291.84</v>
      </c>
      <c r="E2154" s="22" t="s">
        <v>10</v>
      </c>
      <c r="F2154" s="22" t="s">
        <v>18</v>
      </c>
      <c r="G2154" s="22" t="s">
        <v>17</v>
      </c>
    </row>
    <row r="2155" ht="15.15" spans="1:7">
      <c r="A2155" s="20">
        <v>2153</v>
      </c>
      <c r="B2155" s="20">
        <v>3807</v>
      </c>
      <c r="C2155" s="21">
        <v>45251</v>
      </c>
      <c r="D2155" s="20">
        <v>3291.84</v>
      </c>
      <c r="E2155" s="22" t="s">
        <v>10</v>
      </c>
      <c r="F2155" s="22" t="s">
        <v>13</v>
      </c>
      <c r="G2155" s="22" t="s">
        <v>12</v>
      </c>
    </row>
    <row r="2156" ht="15.15" spans="1:7">
      <c r="A2156" s="20">
        <v>2154</v>
      </c>
      <c r="B2156" s="20">
        <v>6010</v>
      </c>
      <c r="C2156" s="21">
        <v>45252</v>
      </c>
      <c r="D2156" s="20">
        <v>3291.84</v>
      </c>
      <c r="E2156" s="22" t="s">
        <v>10</v>
      </c>
      <c r="F2156" s="22" t="s">
        <v>14</v>
      </c>
      <c r="G2156" s="22" t="s">
        <v>17</v>
      </c>
    </row>
    <row r="2157" ht="15.15" spans="1:7">
      <c r="A2157" s="20">
        <v>2155</v>
      </c>
      <c r="B2157" s="20">
        <v>6261</v>
      </c>
      <c r="C2157" s="21">
        <v>45062</v>
      </c>
      <c r="D2157" s="20">
        <v>3291.84</v>
      </c>
      <c r="E2157" s="22" t="s">
        <v>10</v>
      </c>
      <c r="F2157" s="22" t="s">
        <v>13</v>
      </c>
      <c r="G2157" s="22" t="s">
        <v>15</v>
      </c>
    </row>
    <row r="2158" ht="15.15" spans="1:7">
      <c r="A2158" s="20">
        <v>2156</v>
      </c>
      <c r="B2158" s="20">
        <v>1300</v>
      </c>
      <c r="C2158" s="21">
        <v>45279</v>
      </c>
      <c r="D2158" s="20">
        <v>3291.84</v>
      </c>
      <c r="E2158" s="22" t="s">
        <v>10</v>
      </c>
      <c r="F2158" s="22" t="s">
        <v>13</v>
      </c>
      <c r="G2158" s="22" t="s">
        <v>20</v>
      </c>
    </row>
    <row r="2159" ht="15.15" spans="1:7">
      <c r="A2159" s="20">
        <v>2157</v>
      </c>
      <c r="B2159" s="20">
        <v>1821</v>
      </c>
      <c r="C2159" s="21">
        <v>45267</v>
      </c>
      <c r="D2159" s="20">
        <v>3291.84</v>
      </c>
      <c r="E2159" s="22" t="s">
        <v>10</v>
      </c>
      <c r="F2159" s="22" t="s">
        <v>18</v>
      </c>
      <c r="G2159" s="22" t="s">
        <v>12</v>
      </c>
    </row>
    <row r="2160" ht="15.15" spans="1:7">
      <c r="A2160" s="20">
        <v>2158</v>
      </c>
      <c r="B2160" s="20">
        <v>2278</v>
      </c>
      <c r="C2160" s="21">
        <v>45157</v>
      </c>
      <c r="D2160" s="20">
        <v>3291.84</v>
      </c>
      <c r="E2160" s="22" t="s">
        <v>10</v>
      </c>
      <c r="F2160" s="22" t="s">
        <v>16</v>
      </c>
      <c r="G2160" s="22" t="s">
        <v>17</v>
      </c>
    </row>
    <row r="2161" ht="15.15" spans="1:7">
      <c r="A2161" s="20">
        <v>2159</v>
      </c>
      <c r="B2161" s="20">
        <v>1180</v>
      </c>
      <c r="C2161" s="21">
        <v>45150</v>
      </c>
      <c r="D2161" s="20">
        <v>3291.84</v>
      </c>
      <c r="E2161" s="22" t="s">
        <v>10</v>
      </c>
      <c r="F2161" s="22" t="s">
        <v>13</v>
      </c>
      <c r="G2161" s="22" t="s">
        <v>17</v>
      </c>
    </row>
    <row r="2162" ht="15.15" spans="1:7">
      <c r="A2162" s="20">
        <v>2160</v>
      </c>
      <c r="B2162" s="20">
        <v>2902</v>
      </c>
      <c r="C2162" s="21">
        <v>45120</v>
      </c>
      <c r="D2162" s="20">
        <v>3291.84</v>
      </c>
      <c r="E2162" s="22" t="s">
        <v>10</v>
      </c>
      <c r="F2162" s="22" t="s">
        <v>16</v>
      </c>
      <c r="G2162" s="22" t="s">
        <v>20</v>
      </c>
    </row>
    <row r="2163" ht="15.15" spans="1:7">
      <c r="A2163" s="20">
        <v>2161</v>
      </c>
      <c r="B2163" s="20">
        <v>7021</v>
      </c>
      <c r="C2163" s="21">
        <v>45172</v>
      </c>
      <c r="D2163" s="20">
        <v>3291.84</v>
      </c>
      <c r="E2163" s="22" t="s">
        <v>10</v>
      </c>
      <c r="F2163" s="22" t="s">
        <v>16</v>
      </c>
      <c r="G2163" s="22" t="s">
        <v>12</v>
      </c>
    </row>
    <row r="2164" ht="15.15" spans="1:7">
      <c r="A2164" s="20">
        <v>2162</v>
      </c>
      <c r="B2164" s="20">
        <v>9883</v>
      </c>
      <c r="C2164" s="21">
        <v>45221</v>
      </c>
      <c r="D2164" s="20">
        <v>3291.84</v>
      </c>
      <c r="E2164" s="22" t="s">
        <v>10</v>
      </c>
      <c r="F2164" s="22" t="s">
        <v>14</v>
      </c>
      <c r="G2164" s="22" t="s">
        <v>15</v>
      </c>
    </row>
    <row r="2165" ht="15.15" spans="1:7">
      <c r="A2165" s="20">
        <v>2163</v>
      </c>
      <c r="B2165" s="20">
        <v>8675</v>
      </c>
      <c r="C2165" s="21">
        <v>45156</v>
      </c>
      <c r="D2165" s="20">
        <v>3291.84</v>
      </c>
      <c r="E2165" s="22" t="s">
        <v>10</v>
      </c>
      <c r="F2165" s="22" t="s">
        <v>18</v>
      </c>
      <c r="G2165" s="22" t="s">
        <v>20</v>
      </c>
    </row>
    <row r="2166" ht="15.15" spans="1:7">
      <c r="A2166" s="20">
        <v>2164</v>
      </c>
      <c r="B2166" s="20">
        <v>4382</v>
      </c>
      <c r="C2166" s="21">
        <v>45005</v>
      </c>
      <c r="D2166" s="20">
        <v>3291.84</v>
      </c>
      <c r="E2166" s="22" t="s">
        <v>10</v>
      </c>
      <c r="F2166" s="22" t="s">
        <v>14</v>
      </c>
      <c r="G2166" s="22" t="s">
        <v>15</v>
      </c>
    </row>
    <row r="2167" ht="15.15" spans="1:7">
      <c r="A2167" s="20">
        <v>2165</v>
      </c>
      <c r="B2167" s="20">
        <v>1396</v>
      </c>
      <c r="C2167" s="21">
        <v>45258</v>
      </c>
      <c r="D2167" s="20">
        <v>3291.84</v>
      </c>
      <c r="E2167" s="22" t="s">
        <v>10</v>
      </c>
      <c r="F2167" s="22" t="s">
        <v>16</v>
      </c>
      <c r="G2167" s="22" t="s">
        <v>20</v>
      </c>
    </row>
    <row r="2168" ht="15.15" spans="1:7">
      <c r="A2168" s="20">
        <v>2166</v>
      </c>
      <c r="B2168" s="20">
        <v>2545</v>
      </c>
      <c r="C2168" s="21">
        <v>44954</v>
      </c>
      <c r="D2168" s="20">
        <v>3291.84</v>
      </c>
      <c r="E2168" s="22" t="s">
        <v>10</v>
      </c>
      <c r="F2168" s="22" t="s">
        <v>18</v>
      </c>
      <c r="G2168" s="22" t="s">
        <v>12</v>
      </c>
    </row>
    <row r="2169" ht="15.15" spans="1:7">
      <c r="A2169" s="20">
        <v>2167</v>
      </c>
      <c r="B2169" s="20">
        <v>9250</v>
      </c>
      <c r="C2169" s="21">
        <v>45116</v>
      </c>
      <c r="D2169" s="20">
        <v>3291.84</v>
      </c>
      <c r="E2169" s="22" t="s">
        <v>10</v>
      </c>
      <c r="F2169" s="22" t="s">
        <v>11</v>
      </c>
      <c r="G2169" s="22" t="s">
        <v>20</v>
      </c>
    </row>
    <row r="2170" ht="15.15" spans="1:7">
      <c r="A2170" s="20">
        <v>2168</v>
      </c>
      <c r="B2170" s="20">
        <v>499</v>
      </c>
      <c r="C2170" s="21">
        <v>45187</v>
      </c>
      <c r="D2170" s="20">
        <v>3291.84</v>
      </c>
      <c r="E2170" s="22" t="s">
        <v>10</v>
      </c>
      <c r="F2170" s="22" t="s">
        <v>16</v>
      </c>
      <c r="G2170" s="22" t="s">
        <v>12</v>
      </c>
    </row>
    <row r="2171" ht="15.15" spans="1:7">
      <c r="A2171" s="20">
        <v>2169</v>
      </c>
      <c r="B2171" s="20">
        <v>1349</v>
      </c>
      <c r="C2171" s="21">
        <v>44985</v>
      </c>
      <c r="D2171" s="20">
        <v>3291.84</v>
      </c>
      <c r="E2171" s="22" t="s">
        <v>10</v>
      </c>
      <c r="F2171" s="22" t="s">
        <v>14</v>
      </c>
      <c r="G2171" s="22" t="s">
        <v>15</v>
      </c>
    </row>
    <row r="2172" ht="15.15" spans="1:7">
      <c r="A2172" s="20">
        <v>2170</v>
      </c>
      <c r="B2172" s="20">
        <v>1256</v>
      </c>
      <c r="C2172" s="21">
        <v>45162</v>
      </c>
      <c r="D2172" s="20">
        <v>3291.84</v>
      </c>
      <c r="E2172" s="22" t="s">
        <v>10</v>
      </c>
      <c r="F2172" s="22" t="s">
        <v>18</v>
      </c>
      <c r="G2172" s="22" t="s">
        <v>15</v>
      </c>
    </row>
    <row r="2173" ht="15.15" spans="1:7">
      <c r="A2173" s="20">
        <v>2171</v>
      </c>
      <c r="B2173" s="20">
        <v>9871</v>
      </c>
      <c r="C2173" s="21">
        <v>45255</v>
      </c>
      <c r="D2173" s="20">
        <v>3291.84</v>
      </c>
      <c r="E2173" s="22" t="s">
        <v>10</v>
      </c>
      <c r="F2173" s="22" t="s">
        <v>16</v>
      </c>
      <c r="G2173" s="22" t="s">
        <v>15</v>
      </c>
    </row>
    <row r="2174" ht="15.15" spans="1:7">
      <c r="A2174" s="20">
        <v>2172</v>
      </c>
      <c r="B2174" s="20">
        <v>2140</v>
      </c>
      <c r="C2174" s="21">
        <v>44982</v>
      </c>
      <c r="D2174" s="20">
        <v>3291.84</v>
      </c>
      <c r="E2174" s="22" t="s">
        <v>10</v>
      </c>
      <c r="F2174" s="22" t="s">
        <v>11</v>
      </c>
      <c r="G2174" s="22" t="s">
        <v>17</v>
      </c>
    </row>
    <row r="2175" ht="15.15" spans="1:7">
      <c r="A2175" s="20">
        <v>2173</v>
      </c>
      <c r="B2175" s="20">
        <v>1097</v>
      </c>
      <c r="C2175" s="21">
        <v>45123</v>
      </c>
      <c r="D2175" s="20">
        <v>3291.84</v>
      </c>
      <c r="E2175" s="22" t="s">
        <v>10</v>
      </c>
      <c r="F2175" s="22" t="s">
        <v>13</v>
      </c>
      <c r="G2175" s="22" t="s">
        <v>15</v>
      </c>
    </row>
    <row r="2176" ht="15.15" spans="1:7">
      <c r="A2176" s="20">
        <v>2174</v>
      </c>
      <c r="B2176" s="20">
        <v>5821</v>
      </c>
      <c r="C2176" s="21">
        <v>44933</v>
      </c>
      <c r="D2176" s="20">
        <v>3291.84</v>
      </c>
      <c r="E2176" s="22" t="s">
        <v>10</v>
      </c>
      <c r="F2176" s="22" t="s">
        <v>14</v>
      </c>
      <c r="G2176" s="22" t="s">
        <v>15</v>
      </c>
    </row>
    <row r="2177" ht="15.15" spans="1:7">
      <c r="A2177" s="20">
        <v>2175</v>
      </c>
      <c r="B2177" s="20">
        <v>7820</v>
      </c>
      <c r="C2177" s="21">
        <v>45281</v>
      </c>
      <c r="D2177" s="20">
        <v>3291.84</v>
      </c>
      <c r="E2177" s="22" t="s">
        <v>10</v>
      </c>
      <c r="F2177" s="22" t="s">
        <v>13</v>
      </c>
      <c r="G2177" s="22" t="s">
        <v>17</v>
      </c>
    </row>
    <row r="2178" ht="15.15" spans="1:7">
      <c r="A2178" s="20">
        <v>2176</v>
      </c>
      <c r="B2178" s="20">
        <v>5644</v>
      </c>
      <c r="C2178" s="21">
        <v>45095</v>
      </c>
      <c r="D2178" s="20">
        <v>3291.84</v>
      </c>
      <c r="E2178" s="22" t="s">
        <v>10</v>
      </c>
      <c r="F2178" s="22" t="s">
        <v>18</v>
      </c>
      <c r="G2178" s="22" t="s">
        <v>20</v>
      </c>
    </row>
    <row r="2179" ht="15.15" spans="1:7">
      <c r="A2179" s="20">
        <v>2177</v>
      </c>
      <c r="B2179" s="20">
        <v>3443</v>
      </c>
      <c r="C2179" s="21">
        <v>44994</v>
      </c>
      <c r="D2179" s="20">
        <v>3291.84</v>
      </c>
      <c r="E2179" s="22" t="s">
        <v>10</v>
      </c>
      <c r="F2179" s="22" t="s">
        <v>13</v>
      </c>
      <c r="G2179" s="22" t="s">
        <v>12</v>
      </c>
    </row>
    <row r="2180" ht="15.15" spans="1:7">
      <c r="A2180" s="20">
        <v>2178</v>
      </c>
      <c r="B2180" s="20">
        <v>4437</v>
      </c>
      <c r="C2180" s="21">
        <v>45254</v>
      </c>
      <c r="D2180" s="20">
        <v>3291.84</v>
      </c>
      <c r="E2180" s="22" t="s">
        <v>10</v>
      </c>
      <c r="F2180" s="22" t="s">
        <v>13</v>
      </c>
      <c r="G2180" s="22" t="s">
        <v>12</v>
      </c>
    </row>
    <row r="2181" ht="15.15" spans="1:7">
      <c r="A2181" s="20">
        <v>2179</v>
      </c>
      <c r="B2181" s="20">
        <v>4169</v>
      </c>
      <c r="C2181" s="21">
        <v>45151</v>
      </c>
      <c r="D2181" s="20">
        <v>3291.84</v>
      </c>
      <c r="E2181" s="22" t="s">
        <v>10</v>
      </c>
      <c r="F2181" s="22" t="s">
        <v>16</v>
      </c>
      <c r="G2181" s="22" t="s">
        <v>20</v>
      </c>
    </row>
    <row r="2182" ht="15.15" spans="1:7">
      <c r="A2182" s="20">
        <v>2180</v>
      </c>
      <c r="B2182" s="20">
        <v>3232</v>
      </c>
      <c r="C2182" s="21">
        <v>44944</v>
      </c>
      <c r="D2182" s="20">
        <v>3291.84</v>
      </c>
      <c r="E2182" s="22" t="s">
        <v>10</v>
      </c>
      <c r="F2182" s="22" t="s">
        <v>16</v>
      </c>
      <c r="G2182" s="22" t="s">
        <v>20</v>
      </c>
    </row>
    <row r="2183" ht="15.15" spans="1:7">
      <c r="A2183" s="20">
        <v>2181</v>
      </c>
      <c r="B2183" s="20">
        <v>7846</v>
      </c>
      <c r="C2183" s="21">
        <v>45055</v>
      </c>
      <c r="D2183" s="20">
        <v>3291.84</v>
      </c>
      <c r="E2183" s="22" t="s">
        <v>10</v>
      </c>
      <c r="F2183" s="22" t="s">
        <v>16</v>
      </c>
      <c r="G2183" s="22" t="s">
        <v>17</v>
      </c>
    </row>
    <row r="2184" ht="15.15" spans="1:7">
      <c r="A2184" s="20">
        <v>2182</v>
      </c>
      <c r="B2184" s="20">
        <v>5944</v>
      </c>
      <c r="C2184" s="21">
        <v>45237</v>
      </c>
      <c r="D2184" s="20">
        <v>3291.84</v>
      </c>
      <c r="E2184" s="22" t="s">
        <v>10</v>
      </c>
      <c r="F2184" s="22" t="s">
        <v>11</v>
      </c>
      <c r="G2184" s="22" t="s">
        <v>15</v>
      </c>
    </row>
    <row r="2185" ht="15.15" spans="1:7">
      <c r="A2185" s="20">
        <v>2183</v>
      </c>
      <c r="B2185" s="20">
        <v>9669</v>
      </c>
      <c r="C2185" s="21">
        <v>45124</v>
      </c>
      <c r="D2185" s="20">
        <v>3291.84</v>
      </c>
      <c r="E2185" s="22" t="s">
        <v>10</v>
      </c>
      <c r="F2185" s="22" t="s">
        <v>16</v>
      </c>
      <c r="G2185" s="22" t="s">
        <v>20</v>
      </c>
    </row>
    <row r="2186" ht="15.15" spans="1:7">
      <c r="A2186" s="20">
        <v>2184</v>
      </c>
      <c r="B2186" s="20">
        <v>3991</v>
      </c>
      <c r="C2186" s="21">
        <v>45208</v>
      </c>
      <c r="D2186" s="20">
        <v>3291.84</v>
      </c>
      <c r="E2186" s="22" t="s">
        <v>21</v>
      </c>
      <c r="F2186" s="22" t="s">
        <v>18</v>
      </c>
      <c r="G2186" s="22" t="s">
        <v>20</v>
      </c>
    </row>
    <row r="2187" ht="15.15" spans="1:7">
      <c r="A2187" s="20">
        <v>2185</v>
      </c>
      <c r="B2187" s="20">
        <v>5208</v>
      </c>
      <c r="C2187" s="21">
        <v>45151</v>
      </c>
      <c r="D2187" s="20">
        <v>3291.84</v>
      </c>
      <c r="E2187" s="22" t="s">
        <v>10</v>
      </c>
      <c r="F2187" s="22" t="s">
        <v>14</v>
      </c>
      <c r="G2187" s="22" t="s">
        <v>17</v>
      </c>
    </row>
    <row r="2188" ht="15.15" spans="1:7">
      <c r="A2188" s="20">
        <v>2186</v>
      </c>
      <c r="B2188" s="20">
        <v>6970</v>
      </c>
      <c r="C2188" s="21">
        <v>44957</v>
      </c>
      <c r="D2188" s="20">
        <v>3291.84</v>
      </c>
      <c r="E2188" s="22" t="s">
        <v>10</v>
      </c>
      <c r="F2188" s="22" t="s">
        <v>13</v>
      </c>
      <c r="G2188" s="22" t="s">
        <v>15</v>
      </c>
    </row>
    <row r="2189" ht="15.15" spans="1:7">
      <c r="A2189" s="20">
        <v>2187</v>
      </c>
      <c r="B2189" s="20">
        <v>9966</v>
      </c>
      <c r="C2189" s="21">
        <v>45289</v>
      </c>
      <c r="D2189" s="20">
        <v>3291.84</v>
      </c>
      <c r="E2189" s="22" t="s">
        <v>10</v>
      </c>
      <c r="F2189" s="22" t="s">
        <v>14</v>
      </c>
      <c r="G2189" s="22" t="s">
        <v>17</v>
      </c>
    </row>
    <row r="2190" ht="15.15" spans="1:7">
      <c r="A2190" s="20">
        <v>2188</v>
      </c>
      <c r="B2190" s="20">
        <v>6920</v>
      </c>
      <c r="C2190" s="21">
        <v>45287</v>
      </c>
      <c r="D2190" s="20">
        <v>3291.84</v>
      </c>
      <c r="E2190" s="22" t="s">
        <v>10</v>
      </c>
      <c r="F2190" s="22" t="s">
        <v>13</v>
      </c>
      <c r="G2190" s="22" t="s">
        <v>12</v>
      </c>
    </row>
    <row r="2191" ht="15.15" spans="1:7">
      <c r="A2191" s="20">
        <v>2189</v>
      </c>
      <c r="B2191" s="20">
        <v>9531</v>
      </c>
      <c r="C2191" s="21">
        <v>44963</v>
      </c>
      <c r="D2191" s="20">
        <v>3291.84</v>
      </c>
      <c r="E2191" s="22" t="s">
        <v>10</v>
      </c>
      <c r="F2191" s="22" t="s">
        <v>18</v>
      </c>
      <c r="G2191" s="22" t="s">
        <v>20</v>
      </c>
    </row>
    <row r="2192" ht="15.15" spans="1:7">
      <c r="A2192" s="20">
        <v>2190</v>
      </c>
      <c r="B2192" s="20">
        <v>564</v>
      </c>
      <c r="C2192" s="21">
        <v>45192</v>
      </c>
      <c r="D2192" s="20">
        <v>3291.84</v>
      </c>
      <c r="E2192" s="22" t="s">
        <v>10</v>
      </c>
      <c r="F2192" s="22" t="s">
        <v>16</v>
      </c>
      <c r="G2192" s="22" t="s">
        <v>17</v>
      </c>
    </row>
    <row r="2193" ht="15.15" spans="1:7">
      <c r="A2193" s="20">
        <v>2191</v>
      </c>
      <c r="B2193" s="20">
        <v>1353</v>
      </c>
      <c r="C2193" s="21">
        <v>45224</v>
      </c>
      <c r="D2193" s="20">
        <v>3291.84</v>
      </c>
      <c r="E2193" s="22" t="s">
        <v>10</v>
      </c>
      <c r="F2193" s="22" t="s">
        <v>11</v>
      </c>
      <c r="G2193" s="22" t="s">
        <v>12</v>
      </c>
    </row>
    <row r="2194" ht="15.15" spans="1:7">
      <c r="A2194" s="20">
        <v>2192</v>
      </c>
      <c r="B2194" s="20">
        <v>716</v>
      </c>
      <c r="C2194" s="21">
        <v>45260</v>
      </c>
      <c r="D2194" s="20">
        <v>3291.84</v>
      </c>
      <c r="E2194" s="22" t="s">
        <v>10</v>
      </c>
      <c r="F2194" s="22" t="s">
        <v>11</v>
      </c>
      <c r="G2194" s="22" t="s">
        <v>12</v>
      </c>
    </row>
    <row r="2195" ht="15.15" spans="1:7">
      <c r="A2195" s="20">
        <v>2193</v>
      </c>
      <c r="B2195" s="20">
        <v>8200</v>
      </c>
      <c r="C2195" s="21">
        <v>45064</v>
      </c>
      <c r="D2195" s="20">
        <v>3291.84</v>
      </c>
      <c r="E2195" s="22" t="s">
        <v>10</v>
      </c>
      <c r="F2195" s="22" t="s">
        <v>18</v>
      </c>
      <c r="G2195" s="22" t="s">
        <v>15</v>
      </c>
    </row>
    <row r="2196" ht="15.15" spans="1:7">
      <c r="A2196" s="20">
        <v>2194</v>
      </c>
      <c r="B2196" s="20">
        <v>17</v>
      </c>
      <c r="C2196" s="21">
        <v>45182</v>
      </c>
      <c r="D2196" s="20">
        <v>3291.84</v>
      </c>
      <c r="E2196" s="22" t="s">
        <v>10</v>
      </c>
      <c r="F2196" s="22" t="s">
        <v>16</v>
      </c>
      <c r="G2196" s="22" t="s">
        <v>15</v>
      </c>
    </row>
    <row r="2197" ht="15.15" spans="1:7">
      <c r="A2197" s="20">
        <v>2195</v>
      </c>
      <c r="B2197" s="20">
        <v>9661</v>
      </c>
      <c r="C2197" s="21">
        <v>45156</v>
      </c>
      <c r="D2197" s="20">
        <v>3291.84</v>
      </c>
      <c r="E2197" s="22" t="s">
        <v>10</v>
      </c>
      <c r="F2197" s="22" t="s">
        <v>11</v>
      </c>
      <c r="G2197" s="22" t="s">
        <v>17</v>
      </c>
    </row>
    <row r="2198" ht="15.15" spans="1:7">
      <c r="A2198" s="20">
        <v>2196</v>
      </c>
      <c r="B2198" s="20">
        <v>3164</v>
      </c>
      <c r="C2198" s="21">
        <v>45074</v>
      </c>
      <c r="D2198" s="20">
        <v>3291.84</v>
      </c>
      <c r="E2198" s="22" t="s">
        <v>10</v>
      </c>
      <c r="F2198" s="22" t="s">
        <v>14</v>
      </c>
      <c r="G2198" s="22" t="s">
        <v>17</v>
      </c>
    </row>
    <row r="2199" ht="15.15" spans="1:7">
      <c r="A2199" s="20">
        <v>2197</v>
      </c>
      <c r="B2199" s="20">
        <v>5417</v>
      </c>
      <c r="C2199" s="21">
        <v>45242</v>
      </c>
      <c r="D2199" s="20">
        <v>3291.84</v>
      </c>
      <c r="E2199" s="22" t="s">
        <v>10</v>
      </c>
      <c r="F2199" s="22" t="s">
        <v>14</v>
      </c>
      <c r="G2199" s="22" t="s">
        <v>12</v>
      </c>
    </row>
    <row r="2200" ht="15.15" spans="1:7">
      <c r="A2200" s="20">
        <v>2198</v>
      </c>
      <c r="B2200" s="20">
        <v>9548</v>
      </c>
      <c r="C2200" s="21">
        <v>45291</v>
      </c>
      <c r="D2200" s="20">
        <v>3291.84</v>
      </c>
      <c r="E2200" s="22" t="s">
        <v>10</v>
      </c>
      <c r="F2200" s="22" t="s">
        <v>11</v>
      </c>
      <c r="G2200" s="22" t="s">
        <v>20</v>
      </c>
    </row>
    <row r="2201" ht="15.15" spans="1:7">
      <c r="A2201" s="20">
        <v>2199</v>
      </c>
      <c r="B2201" s="20">
        <v>1425</v>
      </c>
      <c r="C2201" s="21">
        <v>45251</v>
      </c>
      <c r="D2201" s="20">
        <v>3291.84</v>
      </c>
      <c r="E2201" s="22" t="s">
        <v>10</v>
      </c>
      <c r="F2201" s="22" t="s">
        <v>11</v>
      </c>
      <c r="G2201" s="22" t="s">
        <v>17</v>
      </c>
    </row>
    <row r="2202" ht="15.15" spans="1:7">
      <c r="A2202" s="20">
        <v>2200</v>
      </c>
      <c r="B2202" s="20">
        <v>5828</v>
      </c>
      <c r="C2202" s="21">
        <v>45107</v>
      </c>
      <c r="D2202" s="20">
        <v>3291.84</v>
      </c>
      <c r="E2202" s="22" t="s">
        <v>10</v>
      </c>
      <c r="F2202" s="22" t="s">
        <v>16</v>
      </c>
      <c r="G2202" s="22" t="s">
        <v>15</v>
      </c>
    </row>
    <row r="2203" ht="15.15" spans="1:7">
      <c r="A2203" s="20">
        <v>2201</v>
      </c>
      <c r="B2203" s="20">
        <v>7461</v>
      </c>
      <c r="C2203" s="21">
        <v>45120</v>
      </c>
      <c r="D2203" s="20">
        <v>3291.84</v>
      </c>
      <c r="E2203" s="22" t="s">
        <v>10</v>
      </c>
      <c r="F2203" s="22" t="s">
        <v>18</v>
      </c>
      <c r="G2203" s="22" t="s">
        <v>20</v>
      </c>
    </row>
    <row r="2204" ht="15.15" spans="1:7">
      <c r="A2204" s="20">
        <v>2202</v>
      </c>
      <c r="B2204" s="20">
        <v>574</v>
      </c>
      <c r="C2204" s="21">
        <v>45120</v>
      </c>
      <c r="D2204" s="20">
        <v>3291.84</v>
      </c>
      <c r="E2204" s="22" t="s">
        <v>10</v>
      </c>
      <c r="F2204" s="22" t="s">
        <v>16</v>
      </c>
      <c r="G2204" s="22" t="s">
        <v>20</v>
      </c>
    </row>
    <row r="2205" ht="15.15" spans="1:7">
      <c r="A2205" s="20">
        <v>2203</v>
      </c>
      <c r="B2205" s="20">
        <v>2926</v>
      </c>
      <c r="C2205" s="21">
        <v>45277</v>
      </c>
      <c r="D2205" s="20">
        <v>3291.84</v>
      </c>
      <c r="E2205" s="22" t="s">
        <v>10</v>
      </c>
      <c r="F2205" s="22" t="s">
        <v>16</v>
      </c>
      <c r="G2205" s="22" t="s">
        <v>15</v>
      </c>
    </row>
    <row r="2206" ht="15.15" spans="1:7">
      <c r="A2206" s="20">
        <v>2204</v>
      </c>
      <c r="B2206" s="20">
        <v>9100</v>
      </c>
      <c r="C2206" s="21">
        <v>45153</v>
      </c>
      <c r="D2206" s="20">
        <v>3291.84</v>
      </c>
      <c r="E2206" s="22" t="s">
        <v>21</v>
      </c>
      <c r="F2206" s="22" t="s">
        <v>14</v>
      </c>
      <c r="G2206" s="22" t="s">
        <v>15</v>
      </c>
    </row>
    <row r="2207" ht="15.15" spans="1:7">
      <c r="A2207" s="20">
        <v>2205</v>
      </c>
      <c r="B2207" s="20">
        <v>4691</v>
      </c>
      <c r="C2207" s="21">
        <v>45092</v>
      </c>
      <c r="D2207" s="20">
        <v>3291.84</v>
      </c>
      <c r="E2207" s="22" t="s">
        <v>10</v>
      </c>
      <c r="F2207" s="22" t="s">
        <v>11</v>
      </c>
      <c r="G2207" s="22" t="s">
        <v>20</v>
      </c>
    </row>
    <row r="2208" ht="15.15" spans="1:7">
      <c r="A2208" s="20">
        <v>2206</v>
      </c>
      <c r="B2208" s="20">
        <v>3288</v>
      </c>
      <c r="C2208" s="21">
        <v>44991</v>
      </c>
      <c r="D2208" s="20">
        <v>3291.84</v>
      </c>
      <c r="E2208" s="22" t="s">
        <v>10</v>
      </c>
      <c r="F2208" s="22" t="s">
        <v>11</v>
      </c>
      <c r="G2208" s="22" t="s">
        <v>17</v>
      </c>
    </row>
    <row r="2209" ht="15.15" spans="1:7">
      <c r="A2209" s="20">
        <v>2207</v>
      </c>
      <c r="B2209" s="20">
        <v>3672</v>
      </c>
      <c r="C2209" s="21">
        <v>44965</v>
      </c>
      <c r="D2209" s="20">
        <v>3291.84</v>
      </c>
      <c r="E2209" s="22" t="s">
        <v>10</v>
      </c>
      <c r="F2209" s="22" t="s">
        <v>18</v>
      </c>
      <c r="G2209" s="22" t="s">
        <v>12</v>
      </c>
    </row>
    <row r="2210" ht="15.15" spans="1:7">
      <c r="A2210" s="20">
        <v>2208</v>
      </c>
      <c r="B2210" s="20">
        <v>3406</v>
      </c>
      <c r="C2210" s="21">
        <v>45034</v>
      </c>
      <c r="D2210" s="20">
        <v>3291.84</v>
      </c>
      <c r="E2210" s="22" t="s">
        <v>10</v>
      </c>
      <c r="F2210" s="22" t="s">
        <v>13</v>
      </c>
      <c r="G2210" s="22" t="s">
        <v>20</v>
      </c>
    </row>
    <row r="2211" ht="15.15" spans="1:7">
      <c r="A2211" s="20">
        <v>2209</v>
      </c>
      <c r="B2211" s="20">
        <v>2811</v>
      </c>
      <c r="C2211" s="21">
        <v>44986</v>
      </c>
      <c r="D2211" s="20">
        <v>3291.84</v>
      </c>
      <c r="E2211" s="22" t="s">
        <v>10</v>
      </c>
      <c r="F2211" s="22" t="s">
        <v>11</v>
      </c>
      <c r="G2211" s="22" t="s">
        <v>15</v>
      </c>
    </row>
    <row r="2212" ht="15.15" spans="1:7">
      <c r="A2212" s="20">
        <v>2210</v>
      </c>
      <c r="B2212" s="20">
        <v>2455</v>
      </c>
      <c r="C2212" s="21">
        <v>45032</v>
      </c>
      <c r="D2212" s="20">
        <v>3291.84</v>
      </c>
      <c r="E2212" s="22" t="s">
        <v>22</v>
      </c>
      <c r="F2212" s="22" t="s">
        <v>16</v>
      </c>
      <c r="G2212" s="22" t="s">
        <v>20</v>
      </c>
    </row>
    <row r="2213" ht="15.15" spans="1:7">
      <c r="A2213" s="20">
        <v>2211</v>
      </c>
      <c r="B2213" s="20">
        <v>4347</v>
      </c>
      <c r="C2213" s="21">
        <v>45234</v>
      </c>
      <c r="D2213" s="20">
        <v>3291.84</v>
      </c>
      <c r="E2213" s="22" t="s">
        <v>10</v>
      </c>
      <c r="F2213" s="22" t="s">
        <v>11</v>
      </c>
      <c r="G2213" s="22" t="s">
        <v>17</v>
      </c>
    </row>
    <row r="2214" ht="15.15" spans="1:7">
      <c r="A2214" s="20">
        <v>2212</v>
      </c>
      <c r="B2214" s="20">
        <v>2795</v>
      </c>
      <c r="C2214" s="21">
        <v>44957</v>
      </c>
      <c r="D2214" s="20">
        <v>3291.84</v>
      </c>
      <c r="E2214" s="22" t="s">
        <v>10</v>
      </c>
      <c r="F2214" s="22" t="s">
        <v>14</v>
      </c>
      <c r="G2214" s="22" t="s">
        <v>20</v>
      </c>
    </row>
    <row r="2215" ht="15.15" spans="1:7">
      <c r="A2215" s="20">
        <v>2213</v>
      </c>
      <c r="B2215" s="20">
        <v>4917</v>
      </c>
      <c r="C2215" s="21">
        <v>45119</v>
      </c>
      <c r="D2215" s="20">
        <v>3291.84</v>
      </c>
      <c r="E2215" s="22" t="s">
        <v>10</v>
      </c>
      <c r="F2215" s="22" t="s">
        <v>11</v>
      </c>
      <c r="G2215" s="22" t="s">
        <v>17</v>
      </c>
    </row>
    <row r="2216" ht="15.15" spans="1:7">
      <c r="A2216" s="20">
        <v>2214</v>
      </c>
      <c r="B2216" s="20">
        <v>846</v>
      </c>
      <c r="C2216" s="21">
        <v>44993</v>
      </c>
      <c r="D2216" s="20">
        <v>3291.84</v>
      </c>
      <c r="E2216" s="22" t="s">
        <v>10</v>
      </c>
      <c r="F2216" s="22" t="s">
        <v>16</v>
      </c>
      <c r="G2216" s="22" t="s">
        <v>15</v>
      </c>
    </row>
    <row r="2217" ht="15.15" spans="1:7">
      <c r="A2217" s="20">
        <v>2215</v>
      </c>
      <c r="B2217" s="20">
        <v>8978</v>
      </c>
      <c r="C2217" s="21">
        <v>45267</v>
      </c>
      <c r="D2217" s="20">
        <v>3291.84</v>
      </c>
      <c r="E2217" s="22" t="s">
        <v>10</v>
      </c>
      <c r="F2217" s="22" t="s">
        <v>18</v>
      </c>
      <c r="G2217" s="22" t="s">
        <v>12</v>
      </c>
    </row>
    <row r="2218" ht="15.15" spans="1:7">
      <c r="A2218" s="20">
        <v>2216</v>
      </c>
      <c r="B2218" s="20">
        <v>8109</v>
      </c>
      <c r="C2218" s="21">
        <v>45235</v>
      </c>
      <c r="D2218" s="20">
        <v>3291.84</v>
      </c>
      <c r="E2218" s="22" t="s">
        <v>21</v>
      </c>
      <c r="F2218" s="22" t="s">
        <v>18</v>
      </c>
      <c r="G2218" s="22" t="s">
        <v>15</v>
      </c>
    </row>
    <row r="2219" ht="15.15" spans="1:7">
      <c r="A2219" s="20">
        <v>2217</v>
      </c>
      <c r="B2219" s="20">
        <v>2303</v>
      </c>
      <c r="C2219" s="21">
        <v>45276</v>
      </c>
      <c r="D2219" s="20">
        <v>3291.84</v>
      </c>
      <c r="E2219" s="22" t="s">
        <v>10</v>
      </c>
      <c r="F2219" s="22" t="s">
        <v>13</v>
      </c>
      <c r="G2219" s="22" t="s">
        <v>20</v>
      </c>
    </row>
    <row r="2220" ht="15.15" spans="1:7">
      <c r="A2220" s="20">
        <v>2218</v>
      </c>
      <c r="B2220" s="20">
        <v>1517</v>
      </c>
      <c r="C2220" s="21">
        <v>45025</v>
      </c>
      <c r="D2220" s="20">
        <v>3291.84</v>
      </c>
      <c r="E2220" s="22" t="s">
        <v>10</v>
      </c>
      <c r="F2220" s="22" t="s">
        <v>13</v>
      </c>
      <c r="G2220" s="22" t="s">
        <v>12</v>
      </c>
    </row>
    <row r="2221" ht="15.15" spans="1:7">
      <c r="A2221" s="20">
        <v>2219</v>
      </c>
      <c r="B2221" s="20">
        <v>9071</v>
      </c>
      <c r="C2221" s="21">
        <v>45168</v>
      </c>
      <c r="D2221" s="20">
        <v>3291.84</v>
      </c>
      <c r="E2221" s="22" t="s">
        <v>10</v>
      </c>
      <c r="F2221" s="22" t="s">
        <v>11</v>
      </c>
      <c r="G2221" s="22" t="s">
        <v>12</v>
      </c>
    </row>
    <row r="2222" ht="15.15" spans="1:7">
      <c r="A2222" s="20">
        <v>2220</v>
      </c>
      <c r="B2222" s="20">
        <v>1791</v>
      </c>
      <c r="C2222" s="21">
        <v>45100</v>
      </c>
      <c r="D2222" s="20">
        <v>3291.84</v>
      </c>
      <c r="E2222" s="22" t="s">
        <v>10</v>
      </c>
      <c r="F2222" s="22" t="s">
        <v>18</v>
      </c>
      <c r="G2222" s="22" t="s">
        <v>15</v>
      </c>
    </row>
    <row r="2223" ht="15.15" spans="1:7">
      <c r="A2223" s="20">
        <v>2221</v>
      </c>
      <c r="B2223" s="20">
        <v>4075</v>
      </c>
      <c r="C2223" s="21">
        <v>45085</v>
      </c>
      <c r="D2223" s="20">
        <v>3291.84</v>
      </c>
      <c r="E2223" s="22" t="s">
        <v>10</v>
      </c>
      <c r="F2223" s="22" t="s">
        <v>16</v>
      </c>
      <c r="G2223" s="22" t="s">
        <v>17</v>
      </c>
    </row>
    <row r="2224" ht="15.15" spans="1:7">
      <c r="A2224" s="20">
        <v>2222</v>
      </c>
      <c r="B2224" s="20">
        <v>7270</v>
      </c>
      <c r="C2224" s="21">
        <v>45257</v>
      </c>
      <c r="D2224" s="20">
        <v>3291.84</v>
      </c>
      <c r="E2224" s="22" t="s">
        <v>21</v>
      </c>
      <c r="F2224" s="22" t="s">
        <v>11</v>
      </c>
      <c r="G2224" s="22" t="s">
        <v>15</v>
      </c>
    </row>
    <row r="2225" ht="15.15" spans="1:7">
      <c r="A2225" s="20">
        <v>2223</v>
      </c>
      <c r="B2225" s="20">
        <v>1929</v>
      </c>
      <c r="C2225" s="21">
        <v>44992</v>
      </c>
      <c r="D2225" s="20">
        <v>3291.84</v>
      </c>
      <c r="E2225" s="22" t="s">
        <v>10</v>
      </c>
      <c r="F2225" s="22" t="s">
        <v>14</v>
      </c>
      <c r="G2225" s="22" t="s">
        <v>12</v>
      </c>
    </row>
    <row r="2226" ht="15.15" spans="1:7">
      <c r="A2226" s="20">
        <v>2224</v>
      </c>
      <c r="B2226" s="20">
        <v>1903</v>
      </c>
      <c r="C2226" s="21">
        <v>45038</v>
      </c>
      <c r="D2226" s="20">
        <v>3291.84</v>
      </c>
      <c r="E2226" s="22" t="s">
        <v>10</v>
      </c>
      <c r="F2226" s="22" t="s">
        <v>13</v>
      </c>
      <c r="G2226" s="22" t="s">
        <v>20</v>
      </c>
    </row>
    <row r="2227" ht="15.15" spans="1:7">
      <c r="A2227" s="20">
        <v>2225</v>
      </c>
      <c r="B2227" s="20">
        <v>3947</v>
      </c>
      <c r="C2227" s="21">
        <v>45220</v>
      </c>
      <c r="D2227" s="20">
        <v>3291.84</v>
      </c>
      <c r="E2227" s="22" t="s">
        <v>10</v>
      </c>
      <c r="F2227" s="22" t="s">
        <v>11</v>
      </c>
      <c r="G2227" s="22" t="s">
        <v>15</v>
      </c>
    </row>
    <row r="2228" ht="15.15" spans="1:7">
      <c r="A2228" s="20">
        <v>2226</v>
      </c>
      <c r="B2228" s="20">
        <v>3576</v>
      </c>
      <c r="C2228" s="21">
        <v>45180</v>
      </c>
      <c r="D2228" s="20">
        <v>3291.84</v>
      </c>
      <c r="E2228" s="22" t="s">
        <v>10</v>
      </c>
      <c r="F2228" s="22" t="s">
        <v>18</v>
      </c>
      <c r="G2228" s="22" t="s">
        <v>12</v>
      </c>
    </row>
    <row r="2229" ht="15.15" spans="1:7">
      <c r="A2229" s="20">
        <v>2227</v>
      </c>
      <c r="B2229" s="20">
        <v>7773</v>
      </c>
      <c r="C2229" s="21">
        <v>45272</v>
      </c>
      <c r="D2229" s="20">
        <v>3291.84</v>
      </c>
      <c r="E2229" s="22" t="s">
        <v>10</v>
      </c>
      <c r="F2229" s="22" t="s">
        <v>13</v>
      </c>
      <c r="G2229" s="22" t="s">
        <v>17</v>
      </c>
    </row>
    <row r="2230" ht="15.15" spans="1:7">
      <c r="A2230" s="20">
        <v>2228</v>
      </c>
      <c r="B2230" s="20">
        <v>3875</v>
      </c>
      <c r="C2230" s="21">
        <v>45265</v>
      </c>
      <c r="D2230" s="20">
        <v>3291.84</v>
      </c>
      <c r="E2230" s="22" t="s">
        <v>10</v>
      </c>
      <c r="F2230" s="22" t="s">
        <v>14</v>
      </c>
      <c r="G2230" s="22" t="s">
        <v>15</v>
      </c>
    </row>
    <row r="2231" ht="15.15" spans="1:7">
      <c r="A2231" s="20">
        <v>2229</v>
      </c>
      <c r="B2231" s="20">
        <v>9327</v>
      </c>
      <c r="C2231" s="21">
        <v>45084</v>
      </c>
      <c r="D2231" s="20">
        <v>3291.84</v>
      </c>
      <c r="E2231" s="22" t="s">
        <v>10</v>
      </c>
      <c r="F2231" s="22" t="s">
        <v>14</v>
      </c>
      <c r="G2231" s="22" t="s">
        <v>17</v>
      </c>
    </row>
    <row r="2232" ht="15.15" spans="1:7">
      <c r="A2232" s="20">
        <v>2230</v>
      </c>
      <c r="B2232" s="20">
        <v>846</v>
      </c>
      <c r="C2232" s="21">
        <v>44988</v>
      </c>
      <c r="D2232" s="20">
        <v>3291.84</v>
      </c>
      <c r="E2232" s="22" t="s">
        <v>10</v>
      </c>
      <c r="F2232" s="22" t="s">
        <v>16</v>
      </c>
      <c r="G2232" s="22" t="s">
        <v>15</v>
      </c>
    </row>
    <row r="2233" ht="15.15" spans="1:7">
      <c r="A2233" s="20">
        <v>2231</v>
      </c>
      <c r="B2233" s="20">
        <v>8146</v>
      </c>
      <c r="C2233" s="21">
        <v>45100</v>
      </c>
      <c r="D2233" s="20">
        <v>3291.84</v>
      </c>
      <c r="E2233" s="22" t="s">
        <v>10</v>
      </c>
      <c r="F2233" s="22" t="s">
        <v>14</v>
      </c>
      <c r="G2233" s="22" t="s">
        <v>20</v>
      </c>
    </row>
    <row r="2234" ht="15.15" spans="1:7">
      <c r="A2234" s="20">
        <v>2232</v>
      </c>
      <c r="B2234" s="20">
        <v>1566</v>
      </c>
      <c r="C2234" s="21">
        <v>44991</v>
      </c>
      <c r="D2234" s="20">
        <v>3291.84</v>
      </c>
      <c r="E2234" s="22" t="s">
        <v>21</v>
      </c>
      <c r="F2234" s="22" t="s">
        <v>11</v>
      </c>
      <c r="G2234" s="22" t="s">
        <v>12</v>
      </c>
    </row>
    <row r="2235" ht="15.15" spans="1:7">
      <c r="A2235" s="20">
        <v>2233</v>
      </c>
      <c r="B2235" s="20">
        <v>4917</v>
      </c>
      <c r="C2235" s="21">
        <v>45270</v>
      </c>
      <c r="D2235" s="20">
        <v>3291.84</v>
      </c>
      <c r="E2235" s="22" t="s">
        <v>10</v>
      </c>
      <c r="F2235" s="22" t="s">
        <v>11</v>
      </c>
      <c r="G2235" s="22" t="s">
        <v>17</v>
      </c>
    </row>
    <row r="2236" ht="15.15" spans="1:7">
      <c r="A2236" s="20">
        <v>2234</v>
      </c>
      <c r="B2236" s="20">
        <v>3405</v>
      </c>
      <c r="C2236" s="21">
        <v>44965</v>
      </c>
      <c r="D2236" s="20">
        <v>3291.84</v>
      </c>
      <c r="E2236" s="22" t="s">
        <v>10</v>
      </c>
      <c r="F2236" s="22" t="s">
        <v>14</v>
      </c>
      <c r="G2236" s="22" t="s">
        <v>17</v>
      </c>
    </row>
    <row r="2237" ht="15.15" spans="1:7">
      <c r="A2237" s="20">
        <v>2235</v>
      </c>
      <c r="B2237" s="20">
        <v>4796</v>
      </c>
      <c r="C2237" s="21">
        <v>45007</v>
      </c>
      <c r="D2237" s="20">
        <v>3291.84</v>
      </c>
      <c r="E2237" s="22" t="s">
        <v>22</v>
      </c>
      <c r="F2237" s="22" t="s">
        <v>18</v>
      </c>
      <c r="G2237" s="22" t="s">
        <v>15</v>
      </c>
    </row>
    <row r="2238" ht="15.15" spans="1:7">
      <c r="A2238" s="20">
        <v>2236</v>
      </c>
      <c r="B2238" s="20">
        <v>5467</v>
      </c>
      <c r="C2238" s="21">
        <v>45097</v>
      </c>
      <c r="D2238" s="20">
        <v>3291.84</v>
      </c>
      <c r="E2238" s="22" t="s">
        <v>10</v>
      </c>
      <c r="F2238" s="22" t="s">
        <v>14</v>
      </c>
      <c r="G2238" s="22" t="s">
        <v>20</v>
      </c>
    </row>
    <row r="2239" ht="15.15" spans="1:7">
      <c r="A2239" s="20">
        <v>2237</v>
      </c>
      <c r="B2239" s="20">
        <v>3960</v>
      </c>
      <c r="C2239" s="21">
        <v>45246</v>
      </c>
      <c r="D2239" s="20">
        <v>3291.84</v>
      </c>
      <c r="E2239" s="22" t="s">
        <v>10</v>
      </c>
      <c r="F2239" s="22" t="s">
        <v>11</v>
      </c>
      <c r="G2239" s="22" t="s">
        <v>15</v>
      </c>
    </row>
    <row r="2240" ht="15.15" spans="1:7">
      <c r="A2240" s="20">
        <v>2238</v>
      </c>
      <c r="B2240" s="20">
        <v>8956</v>
      </c>
      <c r="C2240" s="21">
        <v>45150</v>
      </c>
      <c r="D2240" s="20">
        <v>3291.84</v>
      </c>
      <c r="E2240" s="22" t="s">
        <v>10</v>
      </c>
      <c r="F2240" s="22" t="s">
        <v>18</v>
      </c>
      <c r="G2240" s="22" t="s">
        <v>15</v>
      </c>
    </row>
    <row r="2241" ht="15.15" spans="1:7">
      <c r="A2241" s="20">
        <v>2239</v>
      </c>
      <c r="B2241" s="20">
        <v>3440</v>
      </c>
      <c r="C2241" s="21">
        <v>45082</v>
      </c>
      <c r="D2241" s="20">
        <v>3291.84</v>
      </c>
      <c r="E2241" s="22" t="s">
        <v>10</v>
      </c>
      <c r="F2241" s="22" t="s">
        <v>16</v>
      </c>
      <c r="G2241" s="22" t="s">
        <v>20</v>
      </c>
    </row>
    <row r="2242" ht="15.15" spans="1:7">
      <c r="A2242" s="20">
        <v>2240</v>
      </c>
      <c r="B2242" s="20">
        <v>5990</v>
      </c>
      <c r="C2242" s="21">
        <v>44978</v>
      </c>
      <c r="D2242" s="20">
        <v>3291.84</v>
      </c>
      <c r="E2242" s="22" t="s">
        <v>10</v>
      </c>
      <c r="F2242" s="22" t="s">
        <v>16</v>
      </c>
      <c r="G2242" s="22" t="s">
        <v>17</v>
      </c>
    </row>
    <row r="2243" ht="15.15" spans="1:7">
      <c r="A2243" s="20">
        <v>2241</v>
      </c>
      <c r="B2243" s="20">
        <v>8325</v>
      </c>
      <c r="C2243" s="21">
        <v>45065</v>
      </c>
      <c r="D2243" s="20">
        <v>3291.84</v>
      </c>
      <c r="E2243" s="22" t="s">
        <v>10</v>
      </c>
      <c r="F2243" s="22" t="s">
        <v>18</v>
      </c>
      <c r="G2243" s="22" t="s">
        <v>12</v>
      </c>
    </row>
    <row r="2244" ht="15.15" spans="1:7">
      <c r="A2244" s="20">
        <v>2242</v>
      </c>
      <c r="B2244" s="20">
        <v>2196</v>
      </c>
      <c r="C2244" s="21">
        <v>45253</v>
      </c>
      <c r="D2244" s="20">
        <v>3291.84</v>
      </c>
      <c r="E2244" s="22" t="s">
        <v>10</v>
      </c>
      <c r="F2244" s="22" t="s">
        <v>16</v>
      </c>
      <c r="G2244" s="22" t="s">
        <v>15</v>
      </c>
    </row>
    <row r="2245" ht="15.15" spans="1:7">
      <c r="A2245" s="20">
        <v>2243</v>
      </c>
      <c r="B2245" s="20">
        <v>426</v>
      </c>
      <c r="C2245" s="21">
        <v>45289</v>
      </c>
      <c r="D2245" s="20">
        <v>3291.84</v>
      </c>
      <c r="E2245" s="22" t="s">
        <v>10</v>
      </c>
      <c r="F2245" s="22" t="s">
        <v>16</v>
      </c>
      <c r="G2245" s="22" t="s">
        <v>15</v>
      </c>
    </row>
    <row r="2246" ht="15.15" spans="1:7">
      <c r="A2246" s="20">
        <v>2244</v>
      </c>
      <c r="B2246" s="20">
        <v>6838</v>
      </c>
      <c r="C2246" s="21">
        <v>45270</v>
      </c>
      <c r="D2246" s="20">
        <v>3291.84</v>
      </c>
      <c r="E2246" s="22" t="s">
        <v>10</v>
      </c>
      <c r="F2246" s="22" t="s">
        <v>18</v>
      </c>
      <c r="G2246" s="22" t="s">
        <v>17</v>
      </c>
    </row>
    <row r="2247" ht="15.15" spans="1:7">
      <c r="A2247" s="20">
        <v>2245</v>
      </c>
      <c r="B2247" s="20">
        <v>3008</v>
      </c>
      <c r="C2247" s="21">
        <v>44985</v>
      </c>
      <c r="D2247" s="20">
        <v>3291.84</v>
      </c>
      <c r="E2247" s="22" t="s">
        <v>10</v>
      </c>
      <c r="F2247" s="22" t="s">
        <v>16</v>
      </c>
      <c r="G2247" s="22" t="s">
        <v>15</v>
      </c>
    </row>
    <row r="2248" ht="15.15" spans="1:7">
      <c r="A2248" s="20">
        <v>2246</v>
      </c>
      <c r="B2248" s="20">
        <v>1664</v>
      </c>
      <c r="C2248" s="21">
        <v>45230</v>
      </c>
      <c r="D2248" s="20">
        <v>3291.84</v>
      </c>
      <c r="E2248" s="22" t="s">
        <v>10</v>
      </c>
      <c r="F2248" s="22" t="s">
        <v>19</v>
      </c>
      <c r="G2248" s="22" t="s">
        <v>17</v>
      </c>
    </row>
    <row r="2249" ht="15.15" spans="1:7">
      <c r="A2249" s="20">
        <v>2247</v>
      </c>
      <c r="B2249" s="20">
        <v>620</v>
      </c>
      <c r="C2249" s="21">
        <v>45078</v>
      </c>
      <c r="D2249" s="20">
        <v>3291.84</v>
      </c>
      <c r="E2249" s="22" t="s">
        <v>10</v>
      </c>
      <c r="F2249" s="22" t="s">
        <v>13</v>
      </c>
      <c r="G2249" s="22" t="s">
        <v>12</v>
      </c>
    </row>
    <row r="2250" ht="15.15" spans="1:7">
      <c r="A2250" s="20">
        <v>2248</v>
      </c>
      <c r="B2250" s="20">
        <v>2107</v>
      </c>
      <c r="C2250" s="21">
        <v>45282</v>
      </c>
      <c r="D2250" s="20">
        <v>3291.84</v>
      </c>
      <c r="E2250" s="22" t="s">
        <v>10</v>
      </c>
      <c r="F2250" s="22" t="s">
        <v>11</v>
      </c>
      <c r="G2250" s="22" t="s">
        <v>20</v>
      </c>
    </row>
    <row r="2251" ht="15.15" spans="1:7">
      <c r="A2251" s="20">
        <v>2249</v>
      </c>
      <c r="B2251" s="20">
        <v>3558</v>
      </c>
      <c r="C2251" s="21">
        <v>45116</v>
      </c>
      <c r="D2251" s="20">
        <v>3291.84</v>
      </c>
      <c r="E2251" s="22" t="s">
        <v>10</v>
      </c>
      <c r="F2251" s="22" t="s">
        <v>18</v>
      </c>
      <c r="G2251" s="22" t="s">
        <v>12</v>
      </c>
    </row>
    <row r="2252" ht="15.15" spans="1:7">
      <c r="A2252" s="20">
        <v>2250</v>
      </c>
      <c r="B2252" s="20">
        <v>9367</v>
      </c>
      <c r="C2252" s="21">
        <v>45283</v>
      </c>
      <c r="D2252" s="20">
        <v>3291.84</v>
      </c>
      <c r="E2252" s="22" t="s">
        <v>10</v>
      </c>
      <c r="F2252" s="22" t="s">
        <v>14</v>
      </c>
      <c r="G2252" s="22" t="s">
        <v>20</v>
      </c>
    </row>
    <row r="2253" ht="15.15" spans="1:7">
      <c r="A2253" s="20">
        <v>2251</v>
      </c>
      <c r="B2253" s="20">
        <v>4386</v>
      </c>
      <c r="C2253" s="21">
        <v>45117</v>
      </c>
      <c r="D2253" s="20">
        <v>3291.84</v>
      </c>
      <c r="E2253" s="22" t="s">
        <v>10</v>
      </c>
      <c r="F2253" s="22" t="s">
        <v>13</v>
      </c>
      <c r="G2253" s="22" t="s">
        <v>20</v>
      </c>
    </row>
    <row r="2254" ht="15.15" spans="1:7">
      <c r="A2254" s="20">
        <v>2252</v>
      </c>
      <c r="B2254" s="20">
        <v>7021</v>
      </c>
      <c r="C2254" s="21">
        <v>45109</v>
      </c>
      <c r="D2254" s="20">
        <v>3291.84</v>
      </c>
      <c r="E2254" s="22" t="s">
        <v>10</v>
      </c>
      <c r="F2254" s="22" t="s">
        <v>16</v>
      </c>
      <c r="G2254" s="22" t="s">
        <v>20</v>
      </c>
    </row>
    <row r="2255" ht="15.15" spans="1:7">
      <c r="A2255" s="20">
        <v>2253</v>
      </c>
      <c r="B2255" s="20">
        <v>7084</v>
      </c>
      <c r="C2255" s="21">
        <v>45155</v>
      </c>
      <c r="D2255" s="20">
        <v>3291.84</v>
      </c>
      <c r="E2255" s="22" t="s">
        <v>10</v>
      </c>
      <c r="F2255" s="22" t="s">
        <v>18</v>
      </c>
      <c r="G2255" s="22" t="s">
        <v>15</v>
      </c>
    </row>
    <row r="2256" ht="15.15" spans="1:7">
      <c r="A2256" s="20">
        <v>2254</v>
      </c>
      <c r="B2256" s="20">
        <v>117</v>
      </c>
      <c r="C2256" s="21">
        <v>44977</v>
      </c>
      <c r="D2256" s="20">
        <v>3291.84</v>
      </c>
      <c r="E2256" s="22" t="s">
        <v>10</v>
      </c>
      <c r="F2256" s="22" t="s">
        <v>14</v>
      </c>
      <c r="G2256" s="22" t="s">
        <v>17</v>
      </c>
    </row>
    <row r="2257" ht="15.15" spans="1:7">
      <c r="A2257" s="20">
        <v>2255</v>
      </c>
      <c r="B2257" s="20">
        <v>3256</v>
      </c>
      <c r="C2257" s="21">
        <v>45280</v>
      </c>
      <c r="D2257" s="20">
        <v>3291.84</v>
      </c>
      <c r="E2257" s="22" t="s">
        <v>10</v>
      </c>
      <c r="F2257" s="22" t="s">
        <v>16</v>
      </c>
      <c r="G2257" s="22" t="s">
        <v>15</v>
      </c>
    </row>
    <row r="2258" ht="15.15" spans="1:7">
      <c r="A2258" s="20">
        <v>2256</v>
      </c>
      <c r="B2258" s="20">
        <v>1285</v>
      </c>
      <c r="C2258" s="21">
        <v>45156</v>
      </c>
      <c r="D2258" s="20">
        <v>3291.84</v>
      </c>
      <c r="E2258" s="22" t="s">
        <v>10</v>
      </c>
      <c r="F2258" s="22" t="s">
        <v>13</v>
      </c>
      <c r="G2258" s="22" t="s">
        <v>17</v>
      </c>
    </row>
    <row r="2259" ht="15.15" spans="1:7">
      <c r="A2259" s="20">
        <v>2257</v>
      </c>
      <c r="B2259" s="20">
        <v>6665</v>
      </c>
      <c r="C2259" s="21">
        <v>44981</v>
      </c>
      <c r="D2259" s="20">
        <v>3291.84</v>
      </c>
      <c r="E2259" s="22" t="s">
        <v>10</v>
      </c>
      <c r="F2259" s="22" t="s">
        <v>16</v>
      </c>
      <c r="G2259" s="22" t="s">
        <v>12</v>
      </c>
    </row>
    <row r="2260" ht="15.15" spans="1:7">
      <c r="A2260" s="20">
        <v>2258</v>
      </c>
      <c r="B2260" s="20">
        <v>3336</v>
      </c>
      <c r="C2260" s="21">
        <v>45163</v>
      </c>
      <c r="D2260" s="20">
        <v>3291.84</v>
      </c>
      <c r="E2260" s="22" t="s">
        <v>10</v>
      </c>
      <c r="F2260" s="22" t="s">
        <v>18</v>
      </c>
      <c r="G2260" s="22" t="s">
        <v>20</v>
      </c>
    </row>
    <row r="2261" ht="15.15" spans="1:7">
      <c r="A2261" s="20">
        <v>2259</v>
      </c>
      <c r="B2261" s="20">
        <v>4863</v>
      </c>
      <c r="C2261" s="21">
        <v>45219</v>
      </c>
      <c r="D2261" s="20">
        <v>3291.84</v>
      </c>
      <c r="E2261" s="22" t="s">
        <v>10</v>
      </c>
      <c r="F2261" s="22" t="s">
        <v>16</v>
      </c>
      <c r="G2261" s="22" t="s">
        <v>12</v>
      </c>
    </row>
    <row r="2262" ht="15.15" spans="1:7">
      <c r="A2262" s="20">
        <v>2260</v>
      </c>
      <c r="B2262" s="20">
        <v>3325</v>
      </c>
      <c r="C2262" s="21">
        <v>45085</v>
      </c>
      <c r="D2262" s="20">
        <v>3291.84</v>
      </c>
      <c r="E2262" s="22" t="s">
        <v>10</v>
      </c>
      <c r="F2262" s="22" t="s">
        <v>13</v>
      </c>
      <c r="G2262" s="22" t="s">
        <v>20</v>
      </c>
    </row>
    <row r="2263" ht="15.15" spans="1:7">
      <c r="A2263" s="20">
        <v>2261</v>
      </c>
      <c r="B2263" s="20">
        <v>1535</v>
      </c>
      <c r="C2263" s="21">
        <v>45260</v>
      </c>
      <c r="D2263" s="20">
        <v>3291.84</v>
      </c>
      <c r="E2263" s="22" t="s">
        <v>22</v>
      </c>
      <c r="F2263" s="22" t="s">
        <v>14</v>
      </c>
      <c r="G2263" s="22" t="s">
        <v>20</v>
      </c>
    </row>
    <row r="2264" ht="15.15" spans="1:7">
      <c r="A2264" s="20">
        <v>2262</v>
      </c>
      <c r="B2264" s="20">
        <v>3891</v>
      </c>
      <c r="C2264" s="21">
        <v>45231</v>
      </c>
      <c r="D2264" s="20">
        <v>3291.84</v>
      </c>
      <c r="E2264" s="22" t="s">
        <v>10</v>
      </c>
      <c r="F2264" s="22" t="s">
        <v>14</v>
      </c>
      <c r="G2264" s="22" t="s">
        <v>15</v>
      </c>
    </row>
    <row r="2265" ht="15.15" spans="1:7">
      <c r="A2265" s="20">
        <v>2263</v>
      </c>
      <c r="B2265" s="20">
        <v>9589</v>
      </c>
      <c r="C2265" s="21">
        <v>45146</v>
      </c>
      <c r="D2265" s="20">
        <v>3291.84</v>
      </c>
      <c r="E2265" s="22" t="s">
        <v>10</v>
      </c>
      <c r="F2265" s="22" t="s">
        <v>14</v>
      </c>
      <c r="G2265" s="22" t="s">
        <v>20</v>
      </c>
    </row>
    <row r="2266" ht="15.15" spans="1:7">
      <c r="A2266" s="20">
        <v>2264</v>
      </c>
      <c r="B2266" s="20">
        <v>5818</v>
      </c>
      <c r="C2266" s="21">
        <v>45147</v>
      </c>
      <c r="D2266" s="20">
        <v>3291.84</v>
      </c>
      <c r="E2266" s="22" t="s">
        <v>10</v>
      </c>
      <c r="F2266" s="22" t="s">
        <v>14</v>
      </c>
      <c r="G2266" s="22" t="s">
        <v>20</v>
      </c>
    </row>
    <row r="2267" ht="15.15" spans="1:7">
      <c r="A2267" s="20">
        <v>2265</v>
      </c>
      <c r="B2267" s="20">
        <v>2877</v>
      </c>
      <c r="C2267" s="21">
        <v>45159</v>
      </c>
      <c r="D2267" s="20">
        <v>3291.84</v>
      </c>
      <c r="E2267" s="22" t="s">
        <v>10</v>
      </c>
      <c r="F2267" s="22" t="s">
        <v>18</v>
      </c>
      <c r="G2267" s="22" t="s">
        <v>20</v>
      </c>
    </row>
    <row r="2268" ht="15.15" spans="1:7">
      <c r="A2268" s="20">
        <v>2266</v>
      </c>
      <c r="B2268" s="20">
        <v>7439</v>
      </c>
      <c r="C2268" s="21">
        <v>45125</v>
      </c>
      <c r="D2268" s="20">
        <v>3291.84</v>
      </c>
      <c r="E2268" s="22" t="s">
        <v>10</v>
      </c>
      <c r="F2268" s="22" t="s">
        <v>11</v>
      </c>
      <c r="G2268" s="22" t="s">
        <v>20</v>
      </c>
    </row>
    <row r="2269" ht="15.15" spans="1:7">
      <c r="A2269" s="20">
        <v>2267</v>
      </c>
      <c r="B2269" s="20">
        <v>6137</v>
      </c>
      <c r="C2269" s="21">
        <v>44947</v>
      </c>
      <c r="D2269" s="20">
        <v>3291.84</v>
      </c>
      <c r="E2269" s="22" t="s">
        <v>10</v>
      </c>
      <c r="F2269" s="22" t="s">
        <v>18</v>
      </c>
      <c r="G2269" s="22" t="s">
        <v>12</v>
      </c>
    </row>
    <row r="2270" ht="15.15" spans="1:7">
      <c r="A2270" s="20">
        <v>2268</v>
      </c>
      <c r="B2270" s="20">
        <v>255</v>
      </c>
      <c r="C2270" s="21">
        <v>45196</v>
      </c>
      <c r="D2270" s="20">
        <v>3291.84</v>
      </c>
      <c r="E2270" s="22" t="s">
        <v>10</v>
      </c>
      <c r="F2270" s="22" t="s">
        <v>18</v>
      </c>
      <c r="G2270" s="22" t="s">
        <v>17</v>
      </c>
    </row>
    <row r="2271" ht="15.15" spans="1:7">
      <c r="A2271" s="20">
        <v>2269</v>
      </c>
      <c r="B2271" s="20">
        <v>2134</v>
      </c>
      <c r="C2271" s="21">
        <v>44948</v>
      </c>
      <c r="D2271" s="20">
        <v>3291.84</v>
      </c>
      <c r="E2271" s="22" t="s">
        <v>10</v>
      </c>
      <c r="F2271" s="22" t="s">
        <v>16</v>
      </c>
      <c r="G2271" s="22" t="s">
        <v>15</v>
      </c>
    </row>
    <row r="2272" ht="15.15" spans="1:7">
      <c r="A2272" s="20">
        <v>2270</v>
      </c>
      <c r="B2272" s="20">
        <v>1901</v>
      </c>
      <c r="C2272" s="21">
        <v>45246</v>
      </c>
      <c r="D2272" s="20">
        <v>3291.84</v>
      </c>
      <c r="E2272" s="22" t="s">
        <v>10</v>
      </c>
      <c r="F2272" s="22" t="s">
        <v>18</v>
      </c>
      <c r="G2272" s="22" t="s">
        <v>20</v>
      </c>
    </row>
    <row r="2273" ht="15.15" spans="1:7">
      <c r="A2273" s="20">
        <v>2271</v>
      </c>
      <c r="B2273" s="20">
        <v>4055</v>
      </c>
      <c r="C2273" s="21">
        <v>45258</v>
      </c>
      <c r="D2273" s="20">
        <v>3291.84</v>
      </c>
      <c r="E2273" s="22" t="s">
        <v>10</v>
      </c>
      <c r="F2273" s="22" t="s">
        <v>11</v>
      </c>
      <c r="G2273" s="22" t="s">
        <v>20</v>
      </c>
    </row>
    <row r="2274" ht="15.15" spans="1:7">
      <c r="A2274" s="20">
        <v>2272</v>
      </c>
      <c r="B2274" s="20">
        <v>6817</v>
      </c>
      <c r="C2274" s="21">
        <v>45166</v>
      </c>
      <c r="D2274" s="20">
        <v>3291.84</v>
      </c>
      <c r="E2274" s="22" t="s">
        <v>10</v>
      </c>
      <c r="F2274" s="22" t="s">
        <v>14</v>
      </c>
      <c r="G2274" s="22" t="s">
        <v>15</v>
      </c>
    </row>
    <row r="2275" ht="15.15" spans="1:7">
      <c r="A2275" s="20">
        <v>2273</v>
      </c>
      <c r="B2275" s="20">
        <v>2575</v>
      </c>
      <c r="C2275" s="21">
        <v>45165</v>
      </c>
      <c r="D2275" s="20">
        <v>3291.84</v>
      </c>
      <c r="E2275" s="22" t="s">
        <v>10</v>
      </c>
      <c r="F2275" s="22" t="s">
        <v>18</v>
      </c>
      <c r="G2275" s="22" t="s">
        <v>15</v>
      </c>
    </row>
    <row r="2276" ht="15.15" spans="1:7">
      <c r="A2276" s="20">
        <v>2274</v>
      </c>
      <c r="B2276" s="20">
        <v>9444</v>
      </c>
      <c r="C2276" s="21">
        <v>45279</v>
      </c>
      <c r="D2276" s="20">
        <v>3291.84</v>
      </c>
      <c r="E2276" s="22" t="s">
        <v>10</v>
      </c>
      <c r="F2276" s="22" t="s">
        <v>11</v>
      </c>
      <c r="G2276" s="22" t="s">
        <v>12</v>
      </c>
    </row>
    <row r="2277" ht="15.15" spans="1:7">
      <c r="A2277" s="20">
        <v>2275</v>
      </c>
      <c r="B2277" s="20">
        <v>6086</v>
      </c>
      <c r="C2277" s="21">
        <v>45162</v>
      </c>
      <c r="D2277" s="20">
        <v>3291.84</v>
      </c>
      <c r="E2277" s="22" t="s">
        <v>21</v>
      </c>
      <c r="F2277" s="22" t="s">
        <v>13</v>
      </c>
      <c r="G2277" s="22" t="s">
        <v>15</v>
      </c>
    </row>
    <row r="2278" ht="15.15" spans="1:7">
      <c r="A2278" s="20">
        <v>2276</v>
      </c>
      <c r="B2278" s="20">
        <v>122</v>
      </c>
      <c r="C2278" s="21">
        <v>45127</v>
      </c>
      <c r="D2278" s="20">
        <v>3291.84</v>
      </c>
      <c r="E2278" s="22" t="s">
        <v>10</v>
      </c>
      <c r="F2278" s="22" t="s">
        <v>13</v>
      </c>
      <c r="G2278" s="22" t="s">
        <v>20</v>
      </c>
    </row>
    <row r="2279" ht="15.15" spans="1:7">
      <c r="A2279" s="20">
        <v>2277</v>
      </c>
      <c r="B2279" s="20">
        <v>127</v>
      </c>
      <c r="C2279" s="21">
        <v>45168</v>
      </c>
      <c r="D2279" s="20">
        <v>3291.84</v>
      </c>
      <c r="E2279" s="22" t="s">
        <v>10</v>
      </c>
      <c r="F2279" s="22" t="s">
        <v>14</v>
      </c>
      <c r="G2279" s="22" t="s">
        <v>15</v>
      </c>
    </row>
    <row r="2280" ht="15.15" spans="1:7">
      <c r="A2280" s="20">
        <v>2278</v>
      </c>
      <c r="B2280" s="20">
        <v>5490</v>
      </c>
      <c r="C2280" s="21">
        <v>45187</v>
      </c>
      <c r="D2280" s="20">
        <v>3291.84</v>
      </c>
      <c r="E2280" s="22" t="s">
        <v>10</v>
      </c>
      <c r="F2280" s="22" t="s">
        <v>18</v>
      </c>
      <c r="G2280" s="22" t="s">
        <v>20</v>
      </c>
    </row>
    <row r="2281" ht="15.15" spans="1:7">
      <c r="A2281" s="20">
        <v>2279</v>
      </c>
      <c r="B2281" s="20">
        <v>3682</v>
      </c>
      <c r="C2281" s="21">
        <v>45049</v>
      </c>
      <c r="D2281" s="20">
        <v>3291.84</v>
      </c>
      <c r="E2281" s="22" t="s">
        <v>10</v>
      </c>
      <c r="F2281" s="22" t="s">
        <v>14</v>
      </c>
      <c r="G2281" s="22" t="s">
        <v>17</v>
      </c>
    </row>
    <row r="2282" ht="15.15" spans="1:7">
      <c r="A2282" s="20">
        <v>2280</v>
      </c>
      <c r="B2282" s="20">
        <v>9008</v>
      </c>
      <c r="C2282" s="21">
        <v>45205</v>
      </c>
      <c r="D2282" s="20">
        <v>3291.84</v>
      </c>
      <c r="E2282" s="22" t="s">
        <v>10</v>
      </c>
      <c r="F2282" s="22" t="s">
        <v>11</v>
      </c>
      <c r="G2282" s="22" t="s">
        <v>15</v>
      </c>
    </row>
    <row r="2283" ht="15.15" spans="1:7">
      <c r="A2283" s="20">
        <v>2281</v>
      </c>
      <c r="B2283" s="20">
        <v>6812</v>
      </c>
      <c r="C2283" s="21">
        <v>44955</v>
      </c>
      <c r="D2283" s="20">
        <v>3291.84</v>
      </c>
      <c r="E2283" s="22" t="s">
        <v>10</v>
      </c>
      <c r="F2283" s="22" t="s">
        <v>14</v>
      </c>
      <c r="G2283" s="22" t="s">
        <v>12</v>
      </c>
    </row>
    <row r="2284" ht="15.15" spans="1:7">
      <c r="A2284" s="20">
        <v>2282</v>
      </c>
      <c r="B2284" s="20">
        <v>6690</v>
      </c>
      <c r="C2284" s="21">
        <v>45168</v>
      </c>
      <c r="D2284" s="20">
        <v>3291.84</v>
      </c>
      <c r="E2284" s="22" t="s">
        <v>10</v>
      </c>
      <c r="F2284" s="22" t="s">
        <v>18</v>
      </c>
      <c r="G2284" s="22" t="s">
        <v>20</v>
      </c>
    </row>
    <row r="2285" ht="15.15" spans="1:7">
      <c r="A2285" s="20">
        <v>2283</v>
      </c>
      <c r="B2285" s="20">
        <v>7177</v>
      </c>
      <c r="C2285" s="21">
        <v>45258</v>
      </c>
      <c r="D2285" s="20">
        <v>3291.84</v>
      </c>
      <c r="E2285" s="22" t="s">
        <v>10</v>
      </c>
      <c r="F2285" s="22" t="s">
        <v>11</v>
      </c>
      <c r="G2285" s="22" t="s">
        <v>17</v>
      </c>
    </row>
    <row r="2286" ht="15.15" spans="1:7">
      <c r="A2286" s="20">
        <v>2284</v>
      </c>
      <c r="B2286" s="20">
        <v>8684</v>
      </c>
      <c r="C2286" s="21">
        <v>44976</v>
      </c>
      <c r="D2286" s="20">
        <v>3291.84</v>
      </c>
      <c r="E2286" s="22" t="s">
        <v>10</v>
      </c>
      <c r="F2286" s="22" t="s">
        <v>16</v>
      </c>
      <c r="G2286" s="22" t="s">
        <v>17</v>
      </c>
    </row>
    <row r="2287" ht="15.15" spans="1:7">
      <c r="A2287" s="20">
        <v>2285</v>
      </c>
      <c r="B2287" s="20">
        <v>6837</v>
      </c>
      <c r="C2287" s="21">
        <v>45025</v>
      </c>
      <c r="D2287" s="20">
        <v>3291.84</v>
      </c>
      <c r="E2287" s="22" t="s">
        <v>10</v>
      </c>
      <c r="F2287" s="22" t="s">
        <v>13</v>
      </c>
      <c r="G2287" s="22" t="s">
        <v>15</v>
      </c>
    </row>
    <row r="2288" ht="15.15" spans="1:7">
      <c r="A2288" s="20">
        <v>2286</v>
      </c>
      <c r="B2288" s="20">
        <v>834</v>
      </c>
      <c r="C2288" s="21">
        <v>45112</v>
      </c>
      <c r="D2288" s="20">
        <v>3291.84</v>
      </c>
      <c r="E2288" s="22" t="s">
        <v>10</v>
      </c>
      <c r="F2288" s="22" t="s">
        <v>18</v>
      </c>
      <c r="G2288" s="22" t="s">
        <v>17</v>
      </c>
    </row>
    <row r="2289" ht="15.15" spans="1:7">
      <c r="A2289" s="20">
        <v>2287</v>
      </c>
      <c r="B2289" s="20">
        <v>431</v>
      </c>
      <c r="C2289" s="21">
        <v>45002</v>
      </c>
      <c r="D2289" s="20">
        <v>3291.84</v>
      </c>
      <c r="E2289" s="22" t="s">
        <v>10</v>
      </c>
      <c r="F2289" s="22" t="s">
        <v>16</v>
      </c>
      <c r="G2289" s="22" t="s">
        <v>12</v>
      </c>
    </row>
    <row r="2290" ht="15.15" spans="1:7">
      <c r="A2290" s="20">
        <v>2288</v>
      </c>
      <c r="B2290" s="20">
        <v>655</v>
      </c>
      <c r="C2290" s="21">
        <v>45136</v>
      </c>
      <c r="D2290" s="20">
        <v>3291.84</v>
      </c>
      <c r="E2290" s="22" t="s">
        <v>10</v>
      </c>
      <c r="F2290" s="22" t="s">
        <v>18</v>
      </c>
      <c r="G2290" s="22" t="s">
        <v>12</v>
      </c>
    </row>
    <row r="2291" ht="15.15" spans="1:7">
      <c r="A2291" s="20">
        <v>2289</v>
      </c>
      <c r="B2291" s="20">
        <v>6110</v>
      </c>
      <c r="C2291" s="21">
        <v>45013</v>
      </c>
      <c r="D2291" s="20">
        <v>3291.84</v>
      </c>
      <c r="E2291" s="22" t="s">
        <v>10</v>
      </c>
      <c r="F2291" s="22" t="s">
        <v>16</v>
      </c>
      <c r="G2291" s="22" t="s">
        <v>15</v>
      </c>
    </row>
    <row r="2292" ht="15.15" spans="1:7">
      <c r="A2292" s="20">
        <v>2290</v>
      </c>
      <c r="B2292" s="20">
        <v>1845</v>
      </c>
      <c r="C2292" s="21">
        <v>45216</v>
      </c>
      <c r="D2292" s="20">
        <v>3291.84</v>
      </c>
      <c r="E2292" s="22" t="s">
        <v>10</v>
      </c>
      <c r="F2292" s="22" t="s">
        <v>13</v>
      </c>
      <c r="G2292" s="22" t="s">
        <v>15</v>
      </c>
    </row>
    <row r="2293" ht="15.15" spans="1:7">
      <c r="A2293" s="20">
        <v>2291</v>
      </c>
      <c r="B2293" s="20">
        <v>306</v>
      </c>
      <c r="C2293" s="21">
        <v>45058</v>
      </c>
      <c r="D2293" s="20">
        <v>3291.84</v>
      </c>
      <c r="E2293" s="22" t="s">
        <v>10</v>
      </c>
      <c r="F2293" s="22" t="s">
        <v>13</v>
      </c>
      <c r="G2293" s="22" t="s">
        <v>20</v>
      </c>
    </row>
    <row r="2294" ht="15.15" spans="1:7">
      <c r="A2294" s="20">
        <v>2292</v>
      </c>
      <c r="B2294" s="20">
        <v>7748</v>
      </c>
      <c r="C2294" s="21">
        <v>45124</v>
      </c>
      <c r="D2294" s="20">
        <v>3291.84</v>
      </c>
      <c r="E2294" s="22" t="s">
        <v>10</v>
      </c>
      <c r="F2294" s="22" t="s">
        <v>16</v>
      </c>
      <c r="G2294" s="22" t="s">
        <v>12</v>
      </c>
    </row>
    <row r="2295" ht="15.15" spans="1:7">
      <c r="A2295" s="20">
        <v>2293</v>
      </c>
      <c r="B2295" s="20">
        <v>2274</v>
      </c>
      <c r="C2295" s="21">
        <v>45002</v>
      </c>
      <c r="D2295" s="20">
        <v>3291.84</v>
      </c>
      <c r="E2295" s="22" t="s">
        <v>10</v>
      </c>
      <c r="F2295" s="22" t="s">
        <v>13</v>
      </c>
      <c r="G2295" s="22" t="s">
        <v>20</v>
      </c>
    </row>
    <row r="2296" ht="15.15" spans="1:7">
      <c r="A2296" s="20">
        <v>2294</v>
      </c>
      <c r="B2296" s="20">
        <v>64</v>
      </c>
      <c r="C2296" s="21">
        <v>45203</v>
      </c>
      <c r="D2296" s="20">
        <v>3291.84</v>
      </c>
      <c r="E2296" s="22" t="s">
        <v>10</v>
      </c>
      <c r="F2296" s="22" t="s">
        <v>18</v>
      </c>
      <c r="G2296" s="22" t="s">
        <v>17</v>
      </c>
    </row>
    <row r="2297" ht="15.15" spans="1:7">
      <c r="A2297" s="20">
        <v>2295</v>
      </c>
      <c r="B2297" s="20">
        <v>7837</v>
      </c>
      <c r="C2297" s="21">
        <v>44935</v>
      </c>
      <c r="D2297" s="20">
        <v>3291.84</v>
      </c>
      <c r="E2297" s="22" t="s">
        <v>10</v>
      </c>
      <c r="F2297" s="22" t="s">
        <v>16</v>
      </c>
      <c r="G2297" s="22" t="s">
        <v>17</v>
      </c>
    </row>
    <row r="2298" ht="15.15" spans="1:7">
      <c r="A2298" s="20">
        <v>2296</v>
      </c>
      <c r="B2298" s="20">
        <v>7842</v>
      </c>
      <c r="C2298" s="21">
        <v>45274</v>
      </c>
      <c r="D2298" s="20">
        <v>3291.84</v>
      </c>
      <c r="E2298" s="22" t="s">
        <v>10</v>
      </c>
      <c r="F2298" s="22" t="s">
        <v>16</v>
      </c>
      <c r="G2298" s="22" t="s">
        <v>15</v>
      </c>
    </row>
    <row r="2299" ht="15.15" spans="1:7">
      <c r="A2299" s="20">
        <v>2297</v>
      </c>
      <c r="B2299" s="20">
        <v>8262</v>
      </c>
      <c r="C2299" s="21">
        <v>45139</v>
      </c>
      <c r="D2299" s="20">
        <v>3291.84</v>
      </c>
      <c r="E2299" s="22" t="s">
        <v>10</v>
      </c>
      <c r="F2299" s="22" t="s">
        <v>16</v>
      </c>
      <c r="G2299" s="22" t="s">
        <v>15</v>
      </c>
    </row>
    <row r="2300" ht="15.15" spans="1:7">
      <c r="A2300" s="20">
        <v>2298</v>
      </c>
      <c r="B2300" s="20">
        <v>7155</v>
      </c>
      <c r="C2300" s="21">
        <v>45223</v>
      </c>
      <c r="D2300" s="20">
        <v>3291.84</v>
      </c>
      <c r="E2300" s="22" t="s">
        <v>10</v>
      </c>
      <c r="F2300" s="22" t="s">
        <v>16</v>
      </c>
      <c r="G2300" s="22" t="s">
        <v>17</v>
      </c>
    </row>
    <row r="2301" ht="15.15" spans="1:7">
      <c r="A2301" s="20">
        <v>2299</v>
      </c>
      <c r="B2301" s="20">
        <v>5443</v>
      </c>
      <c r="C2301" s="21">
        <v>44974</v>
      </c>
      <c r="D2301" s="20">
        <v>3291.84</v>
      </c>
      <c r="E2301" s="22" t="s">
        <v>10</v>
      </c>
      <c r="F2301" s="22" t="s">
        <v>19</v>
      </c>
      <c r="G2301" s="22" t="s">
        <v>20</v>
      </c>
    </row>
    <row r="2302" ht="15.15" spans="1:7">
      <c r="A2302" s="20">
        <v>2300</v>
      </c>
      <c r="B2302" s="20">
        <v>1826</v>
      </c>
      <c r="C2302" s="21">
        <v>45073</v>
      </c>
      <c r="D2302" s="20">
        <v>3291.84</v>
      </c>
      <c r="E2302" s="22" t="s">
        <v>10</v>
      </c>
      <c r="F2302" s="22" t="s">
        <v>19</v>
      </c>
      <c r="G2302" s="22" t="s">
        <v>15</v>
      </c>
    </row>
    <row r="2303" ht="15.15" spans="1:7">
      <c r="A2303" s="20">
        <v>2301</v>
      </c>
      <c r="B2303" s="20">
        <v>5828</v>
      </c>
      <c r="C2303" s="21">
        <v>45245</v>
      </c>
      <c r="D2303" s="20">
        <v>3291.84</v>
      </c>
      <c r="E2303" s="22" t="s">
        <v>10</v>
      </c>
      <c r="F2303" s="22" t="s">
        <v>16</v>
      </c>
      <c r="G2303" s="22" t="s">
        <v>20</v>
      </c>
    </row>
    <row r="2304" ht="15.15" spans="1:7">
      <c r="A2304" s="20">
        <v>2302</v>
      </c>
      <c r="B2304" s="20">
        <v>7339</v>
      </c>
      <c r="C2304" s="21">
        <v>45249</v>
      </c>
      <c r="D2304" s="20">
        <v>3291.84</v>
      </c>
      <c r="E2304" s="22" t="s">
        <v>10</v>
      </c>
      <c r="F2304" s="22" t="s">
        <v>16</v>
      </c>
      <c r="G2304" s="22" t="s">
        <v>15</v>
      </c>
    </row>
    <row r="2305" ht="15.15" spans="1:7">
      <c r="A2305" s="20">
        <v>2303</v>
      </c>
      <c r="B2305" s="20">
        <v>352</v>
      </c>
      <c r="C2305" s="21">
        <v>44970</v>
      </c>
      <c r="D2305" s="20">
        <v>3291.84</v>
      </c>
      <c r="E2305" s="22" t="s">
        <v>10</v>
      </c>
      <c r="F2305" s="22" t="s">
        <v>14</v>
      </c>
      <c r="G2305" s="22" t="s">
        <v>20</v>
      </c>
    </row>
    <row r="2306" ht="15.15" spans="1:7">
      <c r="A2306" s="20">
        <v>2304</v>
      </c>
      <c r="B2306" s="20">
        <v>4363</v>
      </c>
      <c r="C2306" s="21">
        <v>45218</v>
      </c>
      <c r="D2306" s="20">
        <v>3291.84</v>
      </c>
      <c r="E2306" s="22" t="s">
        <v>10</v>
      </c>
      <c r="F2306" s="22" t="s">
        <v>11</v>
      </c>
      <c r="G2306" s="22" t="s">
        <v>12</v>
      </c>
    </row>
    <row r="2307" ht="15.15" spans="1:7">
      <c r="A2307" s="20">
        <v>2305</v>
      </c>
      <c r="B2307" s="20">
        <v>2530</v>
      </c>
      <c r="C2307" s="21">
        <v>45214</v>
      </c>
      <c r="D2307" s="20">
        <v>3291.84</v>
      </c>
      <c r="E2307" s="22" t="s">
        <v>10</v>
      </c>
      <c r="F2307" s="22" t="s">
        <v>18</v>
      </c>
      <c r="G2307" s="22" t="s">
        <v>20</v>
      </c>
    </row>
    <row r="2308" ht="15.15" spans="1:7">
      <c r="A2308" s="20">
        <v>2306</v>
      </c>
      <c r="B2308" s="20">
        <v>4358</v>
      </c>
      <c r="C2308" s="21">
        <v>45152</v>
      </c>
      <c r="D2308" s="20">
        <v>3291.84</v>
      </c>
      <c r="E2308" s="22" t="s">
        <v>22</v>
      </c>
      <c r="F2308" s="22" t="s">
        <v>16</v>
      </c>
      <c r="G2308" s="22" t="s">
        <v>15</v>
      </c>
    </row>
    <row r="2309" ht="15.15" spans="1:7">
      <c r="A2309" s="20">
        <v>2307</v>
      </c>
      <c r="B2309" s="20">
        <v>6562</v>
      </c>
      <c r="C2309" s="21">
        <v>45096</v>
      </c>
      <c r="D2309" s="20">
        <v>3291.84</v>
      </c>
      <c r="E2309" s="22" t="s">
        <v>10</v>
      </c>
      <c r="F2309" s="22" t="s">
        <v>14</v>
      </c>
      <c r="G2309" s="22" t="s">
        <v>20</v>
      </c>
    </row>
    <row r="2310" ht="15.15" spans="1:7">
      <c r="A2310" s="20">
        <v>2308</v>
      </c>
      <c r="B2310" s="20">
        <v>839</v>
      </c>
      <c r="C2310" s="21">
        <v>45225</v>
      </c>
      <c r="D2310" s="20">
        <v>3291.84</v>
      </c>
      <c r="E2310" s="22" t="s">
        <v>10</v>
      </c>
      <c r="F2310" s="22" t="s">
        <v>16</v>
      </c>
      <c r="G2310" s="22" t="s">
        <v>17</v>
      </c>
    </row>
    <row r="2311" ht="15.15" spans="1:7">
      <c r="A2311" s="20">
        <v>2309</v>
      </c>
      <c r="B2311" s="20">
        <v>3732</v>
      </c>
      <c r="C2311" s="21">
        <v>45004</v>
      </c>
      <c r="D2311" s="20">
        <v>3291.84</v>
      </c>
      <c r="E2311" s="22" t="s">
        <v>10</v>
      </c>
      <c r="F2311" s="22" t="s">
        <v>13</v>
      </c>
      <c r="G2311" s="22" t="s">
        <v>20</v>
      </c>
    </row>
    <row r="2312" ht="15.15" spans="1:7">
      <c r="A2312" s="20">
        <v>2310</v>
      </c>
      <c r="B2312" s="20">
        <v>4084</v>
      </c>
      <c r="C2312" s="21">
        <v>45227</v>
      </c>
      <c r="D2312" s="20">
        <v>3291.84</v>
      </c>
      <c r="E2312" s="22" t="s">
        <v>10</v>
      </c>
      <c r="F2312" s="22" t="s">
        <v>11</v>
      </c>
      <c r="G2312" s="22" t="s">
        <v>17</v>
      </c>
    </row>
    <row r="2313" ht="15.15" spans="1:7">
      <c r="A2313" s="20">
        <v>2311</v>
      </c>
      <c r="B2313" s="20">
        <v>5802</v>
      </c>
      <c r="C2313" s="21">
        <v>44933</v>
      </c>
      <c r="D2313" s="20">
        <v>3291.84</v>
      </c>
      <c r="E2313" s="22" t="s">
        <v>21</v>
      </c>
      <c r="F2313" s="22" t="s">
        <v>18</v>
      </c>
      <c r="G2313" s="22" t="s">
        <v>12</v>
      </c>
    </row>
    <row r="2314" ht="15.15" spans="1:7">
      <c r="A2314" s="20">
        <v>2312</v>
      </c>
      <c r="B2314" s="20">
        <v>1108</v>
      </c>
      <c r="C2314" s="21">
        <v>45235</v>
      </c>
      <c r="D2314" s="20">
        <v>3291.84</v>
      </c>
      <c r="E2314" s="22" t="s">
        <v>10</v>
      </c>
      <c r="F2314" s="22" t="s">
        <v>16</v>
      </c>
      <c r="G2314" s="22" t="s">
        <v>12</v>
      </c>
    </row>
    <row r="2315" ht="15.15" spans="1:7">
      <c r="A2315" s="20">
        <v>2313</v>
      </c>
      <c r="B2315" s="20">
        <v>7784</v>
      </c>
      <c r="C2315" s="21">
        <v>45178</v>
      </c>
      <c r="D2315" s="20">
        <v>3291.84</v>
      </c>
      <c r="E2315" s="22" t="s">
        <v>10</v>
      </c>
      <c r="F2315" s="22" t="s">
        <v>18</v>
      </c>
      <c r="G2315" s="22" t="s">
        <v>17</v>
      </c>
    </row>
    <row r="2316" ht="15.15" spans="1:7">
      <c r="A2316" s="20">
        <v>2314</v>
      </c>
      <c r="B2316" s="20">
        <v>810</v>
      </c>
      <c r="C2316" s="21">
        <v>45245</v>
      </c>
      <c r="D2316" s="20">
        <v>3291.84</v>
      </c>
      <c r="E2316" s="22" t="s">
        <v>10</v>
      </c>
      <c r="F2316" s="22" t="s">
        <v>18</v>
      </c>
      <c r="G2316" s="22" t="s">
        <v>12</v>
      </c>
    </row>
    <row r="2317" ht="15.15" spans="1:7">
      <c r="A2317" s="20">
        <v>2315</v>
      </c>
      <c r="B2317" s="20">
        <v>8966</v>
      </c>
      <c r="C2317" s="21">
        <v>45251</v>
      </c>
      <c r="D2317" s="20">
        <v>3291.84</v>
      </c>
      <c r="E2317" s="22" t="s">
        <v>10</v>
      </c>
      <c r="F2317" s="22" t="s">
        <v>14</v>
      </c>
      <c r="G2317" s="22" t="s">
        <v>12</v>
      </c>
    </row>
    <row r="2318" ht="15.15" spans="1:7">
      <c r="A2318" s="20">
        <v>2316</v>
      </c>
      <c r="B2318" s="20">
        <v>2932</v>
      </c>
      <c r="C2318" s="21">
        <v>45182</v>
      </c>
      <c r="D2318" s="20">
        <v>3291.84</v>
      </c>
      <c r="E2318" s="22" t="s">
        <v>10</v>
      </c>
      <c r="F2318" s="22" t="s">
        <v>16</v>
      </c>
      <c r="G2318" s="22" t="s">
        <v>12</v>
      </c>
    </row>
    <row r="2319" ht="15.15" spans="1:7">
      <c r="A2319" s="20">
        <v>2317</v>
      </c>
      <c r="B2319" s="20">
        <v>287</v>
      </c>
      <c r="C2319" s="21">
        <v>45220</v>
      </c>
      <c r="D2319" s="20">
        <v>3291.84</v>
      </c>
      <c r="E2319" s="22" t="s">
        <v>10</v>
      </c>
      <c r="F2319" s="22" t="s">
        <v>13</v>
      </c>
      <c r="G2319" s="22" t="s">
        <v>15</v>
      </c>
    </row>
    <row r="2320" ht="15.15" spans="1:7">
      <c r="A2320" s="20">
        <v>2318</v>
      </c>
      <c r="B2320" s="20">
        <v>5464</v>
      </c>
      <c r="C2320" s="21">
        <v>45276</v>
      </c>
      <c r="D2320" s="20">
        <v>3291.84</v>
      </c>
      <c r="E2320" s="22" t="s">
        <v>10</v>
      </c>
      <c r="F2320" s="22" t="s">
        <v>16</v>
      </c>
      <c r="G2320" s="22" t="s">
        <v>17</v>
      </c>
    </row>
    <row r="2321" ht="15.15" spans="1:7">
      <c r="A2321" s="20">
        <v>2319</v>
      </c>
      <c r="B2321" s="20">
        <v>7155</v>
      </c>
      <c r="C2321" s="21">
        <v>45227</v>
      </c>
      <c r="D2321" s="20">
        <v>3291.84</v>
      </c>
      <c r="E2321" s="22" t="s">
        <v>10</v>
      </c>
      <c r="F2321" s="22" t="s">
        <v>16</v>
      </c>
      <c r="G2321" s="22" t="s">
        <v>15</v>
      </c>
    </row>
    <row r="2322" ht="15.15" spans="1:7">
      <c r="A2322" s="20">
        <v>2320</v>
      </c>
      <c r="B2322" s="20">
        <v>5418</v>
      </c>
      <c r="C2322" s="21">
        <v>45261</v>
      </c>
      <c r="D2322" s="20">
        <v>3291.84</v>
      </c>
      <c r="E2322" s="22" t="s">
        <v>10</v>
      </c>
      <c r="F2322" s="22" t="s">
        <v>11</v>
      </c>
      <c r="G2322" s="22" t="s">
        <v>12</v>
      </c>
    </row>
    <row r="2323" ht="15.15" spans="1:7">
      <c r="A2323" s="20">
        <v>2321</v>
      </c>
      <c r="B2323" s="20">
        <v>3087</v>
      </c>
      <c r="C2323" s="21">
        <v>45289</v>
      </c>
      <c r="D2323" s="20">
        <v>3291.84</v>
      </c>
      <c r="E2323" s="22" t="s">
        <v>10</v>
      </c>
      <c r="F2323" s="22" t="s">
        <v>18</v>
      </c>
      <c r="G2323" s="22" t="s">
        <v>17</v>
      </c>
    </row>
    <row r="2324" ht="15.15" spans="1:7">
      <c r="A2324" s="20">
        <v>2322</v>
      </c>
      <c r="B2324" s="20">
        <v>4693</v>
      </c>
      <c r="C2324" s="21">
        <v>45291</v>
      </c>
      <c r="D2324" s="20">
        <v>3291.84</v>
      </c>
      <c r="E2324" s="22" t="s">
        <v>22</v>
      </c>
      <c r="F2324" s="22" t="s">
        <v>18</v>
      </c>
      <c r="G2324" s="22" t="s">
        <v>12</v>
      </c>
    </row>
    <row r="2325" ht="15.15" spans="1:7">
      <c r="A2325" s="20">
        <v>2323</v>
      </c>
      <c r="B2325" s="20">
        <v>5630</v>
      </c>
      <c r="C2325" s="21">
        <v>45223</v>
      </c>
      <c r="D2325" s="20">
        <v>3291.84</v>
      </c>
      <c r="E2325" s="22" t="s">
        <v>10</v>
      </c>
      <c r="F2325" s="22" t="s">
        <v>11</v>
      </c>
      <c r="G2325" s="22" t="s">
        <v>12</v>
      </c>
    </row>
    <row r="2326" ht="15.15" spans="1:7">
      <c r="A2326" s="20">
        <v>2324</v>
      </c>
      <c r="B2326" s="20">
        <v>4589</v>
      </c>
      <c r="C2326" s="21">
        <v>45236</v>
      </c>
      <c r="D2326" s="20">
        <v>3291.84</v>
      </c>
      <c r="E2326" s="22" t="s">
        <v>10</v>
      </c>
      <c r="F2326" s="22" t="s">
        <v>14</v>
      </c>
      <c r="G2326" s="22" t="s">
        <v>12</v>
      </c>
    </row>
    <row r="2327" ht="15.15" spans="1:7">
      <c r="A2327" s="20">
        <v>2325</v>
      </c>
      <c r="B2327" s="20">
        <v>7349</v>
      </c>
      <c r="C2327" s="21">
        <v>45146</v>
      </c>
      <c r="D2327" s="20">
        <v>3291.84</v>
      </c>
      <c r="E2327" s="22" t="s">
        <v>10</v>
      </c>
      <c r="F2327" s="22" t="s">
        <v>16</v>
      </c>
      <c r="G2327" s="22" t="s">
        <v>15</v>
      </c>
    </row>
    <row r="2328" ht="15.15" spans="1:7">
      <c r="A2328" s="20">
        <v>2326</v>
      </c>
      <c r="B2328" s="20">
        <v>218</v>
      </c>
      <c r="C2328" s="21">
        <v>45035</v>
      </c>
      <c r="D2328" s="20">
        <v>3291.84</v>
      </c>
      <c r="E2328" s="22" t="s">
        <v>22</v>
      </c>
      <c r="F2328" s="22" t="s">
        <v>14</v>
      </c>
      <c r="G2328" s="22" t="s">
        <v>15</v>
      </c>
    </row>
    <row r="2329" ht="15.15" spans="1:7">
      <c r="A2329" s="20">
        <v>2327</v>
      </c>
      <c r="B2329" s="20">
        <v>8932</v>
      </c>
      <c r="C2329" s="21">
        <v>45216</v>
      </c>
      <c r="D2329" s="20">
        <v>3291.84</v>
      </c>
      <c r="E2329" s="22" t="s">
        <v>10</v>
      </c>
      <c r="F2329" s="22" t="s">
        <v>18</v>
      </c>
      <c r="G2329" s="22" t="s">
        <v>15</v>
      </c>
    </row>
    <row r="2330" ht="15.15" spans="1:7">
      <c r="A2330" s="20">
        <v>2328</v>
      </c>
      <c r="B2330" s="20">
        <v>211</v>
      </c>
      <c r="C2330" s="21">
        <v>45187</v>
      </c>
      <c r="D2330" s="20">
        <v>3291.84</v>
      </c>
      <c r="E2330" s="22" t="s">
        <v>10</v>
      </c>
      <c r="F2330" s="22" t="s">
        <v>13</v>
      </c>
      <c r="G2330" s="22" t="s">
        <v>12</v>
      </c>
    </row>
    <row r="2331" ht="15.15" spans="1:7">
      <c r="A2331" s="20">
        <v>2329</v>
      </c>
      <c r="B2331" s="20">
        <v>5496</v>
      </c>
      <c r="C2331" s="21">
        <v>45210</v>
      </c>
      <c r="D2331" s="20">
        <v>3291.84</v>
      </c>
      <c r="E2331" s="22" t="s">
        <v>10</v>
      </c>
      <c r="F2331" s="22" t="s">
        <v>16</v>
      </c>
      <c r="G2331" s="22" t="s">
        <v>20</v>
      </c>
    </row>
    <row r="2332" ht="15.15" spans="1:7">
      <c r="A2332" s="20">
        <v>2330</v>
      </c>
      <c r="B2332" s="20">
        <v>2133</v>
      </c>
      <c r="C2332" s="21">
        <v>44977</v>
      </c>
      <c r="D2332" s="20">
        <v>3291.84</v>
      </c>
      <c r="E2332" s="22" t="s">
        <v>10</v>
      </c>
      <c r="F2332" s="22" t="s">
        <v>18</v>
      </c>
      <c r="G2332" s="22" t="s">
        <v>15</v>
      </c>
    </row>
    <row r="2333" ht="15.15" spans="1:7">
      <c r="A2333" s="20">
        <v>2331</v>
      </c>
      <c r="B2333" s="20">
        <v>683</v>
      </c>
      <c r="C2333" s="21">
        <v>44982</v>
      </c>
      <c r="D2333" s="20">
        <v>3291.84</v>
      </c>
      <c r="E2333" s="22" t="s">
        <v>10</v>
      </c>
      <c r="F2333" s="22" t="s">
        <v>13</v>
      </c>
      <c r="G2333" s="22" t="s">
        <v>17</v>
      </c>
    </row>
    <row r="2334" ht="15.15" spans="1:7">
      <c r="A2334" s="20">
        <v>2332</v>
      </c>
      <c r="B2334" s="20">
        <v>1848</v>
      </c>
      <c r="C2334" s="21">
        <v>45264</v>
      </c>
      <c r="D2334" s="20">
        <v>3291.84</v>
      </c>
      <c r="E2334" s="22" t="s">
        <v>10</v>
      </c>
      <c r="F2334" s="22" t="s">
        <v>14</v>
      </c>
      <c r="G2334" s="22" t="s">
        <v>15</v>
      </c>
    </row>
    <row r="2335" ht="15.15" spans="1:7">
      <c r="A2335" s="20">
        <v>2333</v>
      </c>
      <c r="B2335" s="20">
        <v>8801</v>
      </c>
      <c r="C2335" s="21">
        <v>45027</v>
      </c>
      <c r="D2335" s="20">
        <v>3291.84</v>
      </c>
      <c r="E2335" s="22" t="s">
        <v>10</v>
      </c>
      <c r="F2335" s="22" t="s">
        <v>16</v>
      </c>
      <c r="G2335" s="22" t="s">
        <v>12</v>
      </c>
    </row>
    <row r="2336" ht="15.15" spans="1:7">
      <c r="A2336" s="20">
        <v>2334</v>
      </c>
      <c r="B2336" s="20">
        <v>9630</v>
      </c>
      <c r="C2336" s="21">
        <v>45070</v>
      </c>
      <c r="D2336" s="20">
        <v>3291.84</v>
      </c>
      <c r="E2336" s="22" t="s">
        <v>10</v>
      </c>
      <c r="F2336" s="22" t="s">
        <v>16</v>
      </c>
      <c r="G2336" s="22" t="s">
        <v>20</v>
      </c>
    </row>
    <row r="2337" ht="15.15" spans="1:7">
      <c r="A2337" s="20">
        <v>2335</v>
      </c>
      <c r="B2337" s="20">
        <v>2720</v>
      </c>
      <c r="C2337" s="21">
        <v>45090</v>
      </c>
      <c r="D2337" s="20">
        <v>3291.84</v>
      </c>
      <c r="E2337" s="22" t="s">
        <v>10</v>
      </c>
      <c r="F2337" s="22" t="s">
        <v>16</v>
      </c>
      <c r="G2337" s="22" t="s">
        <v>12</v>
      </c>
    </row>
    <row r="2338" ht="15.15" spans="1:7">
      <c r="A2338" s="20">
        <v>2336</v>
      </c>
      <c r="B2338" s="20">
        <v>8036</v>
      </c>
      <c r="C2338" s="21">
        <v>45027</v>
      </c>
      <c r="D2338" s="20">
        <v>3291.84</v>
      </c>
      <c r="E2338" s="22" t="s">
        <v>10</v>
      </c>
      <c r="F2338" s="22" t="s">
        <v>18</v>
      </c>
      <c r="G2338" s="22" t="s">
        <v>17</v>
      </c>
    </row>
    <row r="2339" ht="15.15" spans="1:7">
      <c r="A2339" s="20">
        <v>2337</v>
      </c>
      <c r="B2339" s="20">
        <v>5302</v>
      </c>
      <c r="C2339" s="21">
        <v>45266</v>
      </c>
      <c r="D2339" s="20">
        <v>3291.84</v>
      </c>
      <c r="E2339" s="22" t="s">
        <v>10</v>
      </c>
      <c r="F2339" s="22" t="s">
        <v>11</v>
      </c>
      <c r="G2339" s="22" t="s">
        <v>12</v>
      </c>
    </row>
    <row r="2340" ht="15.15" spans="1:7">
      <c r="A2340" s="20">
        <v>2338</v>
      </c>
      <c r="B2340" s="20">
        <v>9633</v>
      </c>
      <c r="C2340" s="21">
        <v>45177</v>
      </c>
      <c r="D2340" s="20">
        <v>3291.84</v>
      </c>
      <c r="E2340" s="22" t="s">
        <v>21</v>
      </c>
      <c r="F2340" s="22" t="s">
        <v>11</v>
      </c>
      <c r="G2340" s="22" t="s">
        <v>15</v>
      </c>
    </row>
    <row r="2341" ht="15.15" spans="1:7">
      <c r="A2341" s="20">
        <v>2339</v>
      </c>
      <c r="B2341" s="20">
        <v>9307</v>
      </c>
      <c r="C2341" s="21">
        <v>45220</v>
      </c>
      <c r="D2341" s="20">
        <v>3291.84</v>
      </c>
      <c r="E2341" s="22" t="s">
        <v>10</v>
      </c>
      <c r="F2341" s="22" t="s">
        <v>11</v>
      </c>
      <c r="G2341" s="22" t="s">
        <v>12</v>
      </c>
    </row>
    <row r="2342" ht="15.15" spans="1:7">
      <c r="A2342" s="20">
        <v>2340</v>
      </c>
      <c r="B2342" s="20">
        <v>8294</v>
      </c>
      <c r="C2342" s="21">
        <v>45038</v>
      </c>
      <c r="D2342" s="20">
        <v>3291.84</v>
      </c>
      <c r="E2342" s="22" t="s">
        <v>10</v>
      </c>
      <c r="F2342" s="22" t="s">
        <v>11</v>
      </c>
      <c r="G2342" s="22" t="s">
        <v>20</v>
      </c>
    </row>
    <row r="2343" ht="15.15" spans="1:7">
      <c r="A2343" s="20">
        <v>2341</v>
      </c>
      <c r="B2343" s="20">
        <v>6324</v>
      </c>
      <c r="C2343" s="21">
        <v>45095</v>
      </c>
      <c r="D2343" s="20">
        <v>3291.84</v>
      </c>
      <c r="E2343" s="22" t="s">
        <v>10</v>
      </c>
      <c r="F2343" s="22" t="s">
        <v>18</v>
      </c>
      <c r="G2343" s="22" t="s">
        <v>12</v>
      </c>
    </row>
    <row r="2344" ht="15.15" spans="1:7">
      <c r="A2344" s="20">
        <v>2342</v>
      </c>
      <c r="B2344" s="20">
        <v>3208</v>
      </c>
      <c r="C2344" s="21">
        <v>45173</v>
      </c>
      <c r="D2344" s="20">
        <v>3291.84</v>
      </c>
      <c r="E2344" s="22" t="s">
        <v>10</v>
      </c>
      <c r="F2344" s="22" t="s">
        <v>19</v>
      </c>
      <c r="G2344" s="22" t="s">
        <v>15</v>
      </c>
    </row>
    <row r="2345" ht="15.15" spans="1:7">
      <c r="A2345" s="20">
        <v>2343</v>
      </c>
      <c r="B2345" s="20">
        <v>5057</v>
      </c>
      <c r="C2345" s="21">
        <v>45020</v>
      </c>
      <c r="D2345" s="20">
        <v>3291.84</v>
      </c>
      <c r="E2345" s="22" t="s">
        <v>10</v>
      </c>
      <c r="F2345" s="22" t="s">
        <v>14</v>
      </c>
      <c r="G2345" s="22" t="s">
        <v>12</v>
      </c>
    </row>
    <row r="2346" ht="15.15" spans="1:7">
      <c r="A2346" s="20">
        <v>2344</v>
      </c>
      <c r="B2346" s="20">
        <v>3300</v>
      </c>
      <c r="C2346" s="21">
        <v>45224</v>
      </c>
      <c r="D2346" s="20">
        <v>3291.84</v>
      </c>
      <c r="E2346" s="22" t="s">
        <v>10</v>
      </c>
      <c r="F2346" s="22" t="s">
        <v>18</v>
      </c>
      <c r="G2346" s="22" t="s">
        <v>15</v>
      </c>
    </row>
    <row r="2347" ht="15.15" spans="1:7">
      <c r="A2347" s="20">
        <v>2345</v>
      </c>
      <c r="B2347" s="20">
        <v>9201</v>
      </c>
      <c r="C2347" s="21">
        <v>45159</v>
      </c>
      <c r="D2347" s="20">
        <v>3291.84</v>
      </c>
      <c r="E2347" s="22" t="s">
        <v>10</v>
      </c>
      <c r="F2347" s="22" t="s">
        <v>16</v>
      </c>
      <c r="G2347" s="22" t="s">
        <v>20</v>
      </c>
    </row>
    <row r="2348" ht="15.15" spans="1:7">
      <c r="A2348" s="20">
        <v>2346</v>
      </c>
      <c r="B2348" s="20">
        <v>8745</v>
      </c>
      <c r="C2348" s="21">
        <v>45166</v>
      </c>
      <c r="D2348" s="20">
        <v>3291.84</v>
      </c>
      <c r="E2348" s="22" t="s">
        <v>10</v>
      </c>
      <c r="F2348" s="22" t="s">
        <v>13</v>
      </c>
      <c r="G2348" s="22" t="s">
        <v>15</v>
      </c>
    </row>
    <row r="2349" ht="15.15" spans="1:7">
      <c r="A2349" s="20">
        <v>2347</v>
      </c>
      <c r="B2349" s="20">
        <v>6460</v>
      </c>
      <c r="C2349" s="21">
        <v>45182</v>
      </c>
      <c r="D2349" s="20">
        <v>3291.84</v>
      </c>
      <c r="E2349" s="22" t="s">
        <v>10</v>
      </c>
      <c r="F2349" s="22" t="s">
        <v>13</v>
      </c>
      <c r="G2349" s="22" t="s">
        <v>17</v>
      </c>
    </row>
    <row r="2350" ht="15.15" spans="1:7">
      <c r="A2350" s="20">
        <v>2348</v>
      </c>
      <c r="B2350" s="20">
        <v>2816</v>
      </c>
      <c r="C2350" s="21">
        <v>45280</v>
      </c>
      <c r="D2350" s="20">
        <v>3291.84</v>
      </c>
      <c r="E2350" s="22" t="s">
        <v>10</v>
      </c>
      <c r="F2350" s="22" t="s">
        <v>14</v>
      </c>
      <c r="G2350" s="22" t="s">
        <v>20</v>
      </c>
    </row>
    <row r="2351" ht="15.15" spans="1:7">
      <c r="A2351" s="20">
        <v>2349</v>
      </c>
      <c r="B2351" s="20">
        <v>9666</v>
      </c>
      <c r="C2351" s="21">
        <v>45164</v>
      </c>
      <c r="D2351" s="20">
        <v>3291.84</v>
      </c>
      <c r="E2351" s="22" t="s">
        <v>21</v>
      </c>
      <c r="F2351" s="22" t="s">
        <v>18</v>
      </c>
      <c r="G2351" s="22" t="s">
        <v>12</v>
      </c>
    </row>
    <row r="2352" ht="15.15" spans="1:7">
      <c r="A2352" s="20">
        <v>2350</v>
      </c>
      <c r="B2352" s="20">
        <v>923</v>
      </c>
      <c r="C2352" s="21">
        <v>45288</v>
      </c>
      <c r="D2352" s="20">
        <v>3291.84</v>
      </c>
      <c r="E2352" s="22" t="s">
        <v>10</v>
      </c>
      <c r="F2352" s="22" t="s">
        <v>13</v>
      </c>
      <c r="G2352" s="22" t="s">
        <v>20</v>
      </c>
    </row>
    <row r="2353" ht="15.15" spans="1:7">
      <c r="A2353" s="20">
        <v>2351</v>
      </c>
      <c r="B2353" s="20">
        <v>1328</v>
      </c>
      <c r="C2353" s="21">
        <v>45188</v>
      </c>
      <c r="D2353" s="20">
        <v>3291.84</v>
      </c>
      <c r="E2353" s="22" t="s">
        <v>10</v>
      </c>
      <c r="F2353" s="22" t="s">
        <v>11</v>
      </c>
      <c r="G2353" s="22" t="s">
        <v>17</v>
      </c>
    </row>
    <row r="2354" ht="15.15" spans="1:7">
      <c r="A2354" s="20">
        <v>2352</v>
      </c>
      <c r="B2354" s="20">
        <v>7828</v>
      </c>
      <c r="C2354" s="21">
        <v>45058</v>
      </c>
      <c r="D2354" s="20">
        <v>3291.84</v>
      </c>
      <c r="E2354" s="22" t="s">
        <v>10</v>
      </c>
      <c r="F2354" s="22" t="s">
        <v>18</v>
      </c>
      <c r="G2354" s="22" t="s">
        <v>17</v>
      </c>
    </row>
    <row r="2355" ht="15.15" spans="1:7">
      <c r="A2355" s="20">
        <v>2353</v>
      </c>
      <c r="B2355" s="20">
        <v>6265</v>
      </c>
      <c r="C2355" s="21">
        <v>45036</v>
      </c>
      <c r="D2355" s="20">
        <v>3291.84</v>
      </c>
      <c r="E2355" s="22" t="s">
        <v>10</v>
      </c>
      <c r="F2355" s="22" t="s">
        <v>18</v>
      </c>
      <c r="G2355" s="22" t="s">
        <v>20</v>
      </c>
    </row>
    <row r="2356" ht="15.15" spans="1:7">
      <c r="A2356" s="20">
        <v>2354</v>
      </c>
      <c r="B2356" s="20">
        <v>1127</v>
      </c>
      <c r="C2356" s="21">
        <v>45251</v>
      </c>
      <c r="D2356" s="20">
        <v>3291.84</v>
      </c>
      <c r="E2356" s="22" t="s">
        <v>10</v>
      </c>
      <c r="F2356" s="22" t="s">
        <v>18</v>
      </c>
      <c r="G2356" s="22" t="s">
        <v>17</v>
      </c>
    </row>
    <row r="2357" ht="15.15" spans="1:7">
      <c r="A2357" s="20">
        <v>2355</v>
      </c>
      <c r="B2357" s="20">
        <v>6672</v>
      </c>
      <c r="C2357" s="21">
        <v>44975</v>
      </c>
      <c r="D2357" s="20">
        <v>3291.84</v>
      </c>
      <c r="E2357" s="22" t="s">
        <v>22</v>
      </c>
      <c r="F2357" s="22" t="s">
        <v>16</v>
      </c>
      <c r="G2357" s="22" t="s">
        <v>20</v>
      </c>
    </row>
    <row r="2358" ht="15.15" spans="1:7">
      <c r="A2358" s="20">
        <v>2356</v>
      </c>
      <c r="B2358" s="20">
        <v>6106</v>
      </c>
      <c r="C2358" s="21">
        <v>45193</v>
      </c>
      <c r="D2358" s="20">
        <v>3291.84</v>
      </c>
      <c r="E2358" s="22" t="s">
        <v>10</v>
      </c>
      <c r="F2358" s="22" t="s">
        <v>18</v>
      </c>
      <c r="G2358" s="22" t="s">
        <v>12</v>
      </c>
    </row>
    <row r="2359" ht="15.15" spans="1:7">
      <c r="A2359" s="20">
        <v>2357</v>
      </c>
      <c r="B2359" s="20">
        <v>1634</v>
      </c>
      <c r="C2359" s="21">
        <v>45088</v>
      </c>
      <c r="D2359" s="20">
        <v>3291.84</v>
      </c>
      <c r="E2359" s="22" t="s">
        <v>10</v>
      </c>
      <c r="F2359" s="22" t="s">
        <v>14</v>
      </c>
      <c r="G2359" s="22" t="s">
        <v>15</v>
      </c>
    </row>
    <row r="2360" ht="15.15" spans="1:7">
      <c r="A2360" s="20">
        <v>2358</v>
      </c>
      <c r="B2360" s="20">
        <v>9035</v>
      </c>
      <c r="C2360" s="21">
        <v>45168</v>
      </c>
      <c r="D2360" s="20">
        <v>3291.84</v>
      </c>
      <c r="E2360" s="22" t="s">
        <v>10</v>
      </c>
      <c r="F2360" s="22" t="s">
        <v>14</v>
      </c>
      <c r="G2360" s="22" t="s">
        <v>12</v>
      </c>
    </row>
    <row r="2361" ht="15.15" spans="1:7">
      <c r="A2361" s="20">
        <v>2359</v>
      </c>
      <c r="B2361" s="20">
        <v>673</v>
      </c>
      <c r="C2361" s="21">
        <v>45229</v>
      </c>
      <c r="D2361" s="20">
        <v>3291.84</v>
      </c>
      <c r="E2361" s="22" t="s">
        <v>10</v>
      </c>
      <c r="F2361" s="22" t="s">
        <v>13</v>
      </c>
      <c r="G2361" s="22" t="s">
        <v>12</v>
      </c>
    </row>
    <row r="2362" ht="15.15" spans="1:7">
      <c r="A2362" s="20">
        <v>2360</v>
      </c>
      <c r="B2362" s="20">
        <v>7568</v>
      </c>
      <c r="C2362" s="21">
        <v>44953</v>
      </c>
      <c r="D2362" s="20">
        <v>3291.84</v>
      </c>
      <c r="E2362" s="22" t="s">
        <v>10</v>
      </c>
      <c r="F2362" s="22" t="s">
        <v>16</v>
      </c>
      <c r="G2362" s="22" t="s">
        <v>20</v>
      </c>
    </row>
    <row r="2363" ht="15.15" spans="1:7">
      <c r="A2363" s="20">
        <v>2361</v>
      </c>
      <c r="B2363" s="20">
        <v>828</v>
      </c>
      <c r="C2363" s="21">
        <v>45117</v>
      </c>
      <c r="D2363" s="20">
        <v>3291.84</v>
      </c>
      <c r="E2363" s="22" t="s">
        <v>10</v>
      </c>
      <c r="F2363" s="22" t="s">
        <v>11</v>
      </c>
      <c r="G2363" s="22" t="s">
        <v>17</v>
      </c>
    </row>
    <row r="2364" ht="15.15" spans="1:7">
      <c r="A2364" s="20">
        <v>2362</v>
      </c>
      <c r="B2364" s="20">
        <v>1074</v>
      </c>
      <c r="C2364" s="21">
        <v>45139</v>
      </c>
      <c r="D2364" s="20">
        <v>3291.84</v>
      </c>
      <c r="E2364" s="22" t="s">
        <v>10</v>
      </c>
      <c r="F2364" s="22" t="s">
        <v>13</v>
      </c>
      <c r="G2364" s="22" t="s">
        <v>20</v>
      </c>
    </row>
    <row r="2365" ht="15.15" spans="1:7">
      <c r="A2365" s="20">
        <v>2363</v>
      </c>
      <c r="B2365" s="20">
        <v>4081</v>
      </c>
      <c r="C2365" s="21">
        <v>44985</v>
      </c>
      <c r="D2365" s="20">
        <v>3291.84</v>
      </c>
      <c r="E2365" s="22" t="s">
        <v>21</v>
      </c>
      <c r="F2365" s="22" t="s">
        <v>13</v>
      </c>
      <c r="G2365" s="22" t="s">
        <v>12</v>
      </c>
    </row>
    <row r="2366" ht="15.15" spans="1:7">
      <c r="A2366" s="20">
        <v>2364</v>
      </c>
      <c r="B2366" s="20">
        <v>1425</v>
      </c>
      <c r="C2366" s="21">
        <v>45161</v>
      </c>
      <c r="D2366" s="20">
        <v>3291.84</v>
      </c>
      <c r="E2366" s="22" t="s">
        <v>10</v>
      </c>
      <c r="F2366" s="22" t="s">
        <v>11</v>
      </c>
      <c r="G2366" s="22" t="s">
        <v>17</v>
      </c>
    </row>
    <row r="2367" ht="15.15" spans="1:7">
      <c r="A2367" s="20">
        <v>2365</v>
      </c>
      <c r="B2367" s="20">
        <v>6335</v>
      </c>
      <c r="C2367" s="21">
        <v>45117</v>
      </c>
      <c r="D2367" s="20">
        <v>3291.84</v>
      </c>
      <c r="E2367" s="22" t="s">
        <v>10</v>
      </c>
      <c r="F2367" s="22" t="s">
        <v>11</v>
      </c>
      <c r="G2367" s="22" t="s">
        <v>17</v>
      </c>
    </row>
    <row r="2368" ht="15.15" spans="1:7">
      <c r="A2368" s="20">
        <v>2366</v>
      </c>
      <c r="B2368" s="20">
        <v>4713</v>
      </c>
      <c r="C2368" s="21">
        <v>45081</v>
      </c>
      <c r="D2368" s="20">
        <v>3291.84</v>
      </c>
      <c r="E2368" s="22" t="s">
        <v>10</v>
      </c>
      <c r="F2368" s="22" t="s">
        <v>18</v>
      </c>
      <c r="G2368" s="22" t="s">
        <v>12</v>
      </c>
    </row>
    <row r="2369" ht="15.15" spans="1:7">
      <c r="A2369" s="20">
        <v>2367</v>
      </c>
      <c r="B2369" s="20">
        <v>439</v>
      </c>
      <c r="C2369" s="21">
        <v>45114</v>
      </c>
      <c r="D2369" s="20">
        <v>3291.84</v>
      </c>
      <c r="E2369" s="22" t="s">
        <v>10</v>
      </c>
      <c r="F2369" s="22" t="s">
        <v>14</v>
      </c>
      <c r="G2369" s="22" t="s">
        <v>12</v>
      </c>
    </row>
    <row r="2370" ht="15.15" spans="1:7">
      <c r="A2370" s="20">
        <v>2368</v>
      </c>
      <c r="B2370" s="20">
        <v>6893</v>
      </c>
      <c r="C2370" s="21">
        <v>44972</v>
      </c>
      <c r="D2370" s="20">
        <v>3291.84</v>
      </c>
      <c r="E2370" s="22" t="s">
        <v>10</v>
      </c>
      <c r="F2370" s="22" t="s">
        <v>18</v>
      </c>
      <c r="G2370" s="22" t="s">
        <v>20</v>
      </c>
    </row>
    <row r="2371" ht="15.15" spans="1:7">
      <c r="A2371" s="20">
        <v>2369</v>
      </c>
      <c r="B2371" s="20">
        <v>835</v>
      </c>
      <c r="C2371" s="21">
        <v>45267</v>
      </c>
      <c r="D2371" s="20">
        <v>3291.84</v>
      </c>
      <c r="E2371" s="22" t="s">
        <v>10</v>
      </c>
      <c r="F2371" s="22" t="s">
        <v>13</v>
      </c>
      <c r="G2371" s="22" t="s">
        <v>17</v>
      </c>
    </row>
    <row r="2372" ht="15.15" spans="1:7">
      <c r="A2372" s="20">
        <v>2370</v>
      </c>
      <c r="B2372" s="20">
        <v>5484</v>
      </c>
      <c r="C2372" s="21">
        <v>45229</v>
      </c>
      <c r="D2372" s="20">
        <v>3291.84</v>
      </c>
      <c r="E2372" s="22" t="s">
        <v>10</v>
      </c>
      <c r="F2372" s="22" t="s">
        <v>14</v>
      </c>
      <c r="G2372" s="22" t="s">
        <v>12</v>
      </c>
    </row>
    <row r="2373" ht="15.15" spans="1:7">
      <c r="A2373" s="20">
        <v>2371</v>
      </c>
      <c r="B2373" s="20">
        <v>252</v>
      </c>
      <c r="C2373" s="21">
        <v>45096</v>
      </c>
      <c r="D2373" s="20">
        <v>3291.84</v>
      </c>
      <c r="E2373" s="22" t="s">
        <v>10</v>
      </c>
      <c r="F2373" s="22" t="s">
        <v>11</v>
      </c>
      <c r="G2373" s="22" t="s">
        <v>12</v>
      </c>
    </row>
    <row r="2374" ht="15.15" spans="1:7">
      <c r="A2374" s="20">
        <v>2372</v>
      </c>
      <c r="B2374" s="20">
        <v>7101</v>
      </c>
      <c r="C2374" s="21">
        <v>44961</v>
      </c>
      <c r="D2374" s="20">
        <v>3291.84</v>
      </c>
      <c r="E2374" s="22" t="s">
        <v>21</v>
      </c>
      <c r="F2374" s="22" t="s">
        <v>16</v>
      </c>
      <c r="G2374" s="22" t="s">
        <v>17</v>
      </c>
    </row>
    <row r="2375" ht="15.15" spans="1:7">
      <c r="A2375" s="20">
        <v>2373</v>
      </c>
      <c r="B2375" s="20">
        <v>817</v>
      </c>
      <c r="C2375" s="21">
        <v>45286</v>
      </c>
      <c r="D2375" s="20">
        <v>3291.84</v>
      </c>
      <c r="E2375" s="22" t="s">
        <v>10</v>
      </c>
      <c r="F2375" s="22" t="s">
        <v>18</v>
      </c>
      <c r="G2375" s="22" t="s">
        <v>12</v>
      </c>
    </row>
    <row r="2376" ht="15.15" spans="1:7">
      <c r="A2376" s="20">
        <v>2374</v>
      </c>
      <c r="B2376" s="20">
        <v>1232</v>
      </c>
      <c r="C2376" s="21">
        <v>45201</v>
      </c>
      <c r="D2376" s="20">
        <v>3291.84</v>
      </c>
      <c r="E2376" s="22" t="s">
        <v>10</v>
      </c>
      <c r="F2376" s="22" t="s">
        <v>11</v>
      </c>
      <c r="G2376" s="22" t="s">
        <v>20</v>
      </c>
    </row>
    <row r="2377" ht="15.15" spans="1:7">
      <c r="A2377" s="20">
        <v>2375</v>
      </c>
      <c r="B2377" s="20">
        <v>7305</v>
      </c>
      <c r="C2377" s="21">
        <v>45112</v>
      </c>
      <c r="D2377" s="20">
        <v>3291.84</v>
      </c>
      <c r="E2377" s="22" t="s">
        <v>10</v>
      </c>
      <c r="F2377" s="22" t="s">
        <v>14</v>
      </c>
      <c r="G2377" s="22" t="s">
        <v>15</v>
      </c>
    </row>
    <row r="2378" ht="15.15" spans="1:7">
      <c r="A2378" s="20">
        <v>2376</v>
      </c>
      <c r="B2378" s="20">
        <v>2643</v>
      </c>
      <c r="C2378" s="21">
        <v>45022</v>
      </c>
      <c r="D2378" s="20">
        <v>3291.84</v>
      </c>
      <c r="E2378" s="22" t="s">
        <v>10</v>
      </c>
      <c r="F2378" s="22" t="s">
        <v>16</v>
      </c>
      <c r="G2378" s="22" t="s">
        <v>17</v>
      </c>
    </row>
    <row r="2379" ht="15.15" spans="1:7">
      <c r="A2379" s="20">
        <v>2377</v>
      </c>
      <c r="B2379" s="20">
        <v>1408</v>
      </c>
      <c r="C2379" s="21">
        <v>45198</v>
      </c>
      <c r="D2379" s="20">
        <v>3291.84</v>
      </c>
      <c r="E2379" s="22" t="s">
        <v>10</v>
      </c>
      <c r="F2379" s="22" t="s">
        <v>18</v>
      </c>
      <c r="G2379" s="22" t="s">
        <v>15</v>
      </c>
    </row>
    <row r="2380" ht="15.15" spans="1:7">
      <c r="A2380" s="20">
        <v>2378</v>
      </c>
      <c r="B2380" s="20">
        <v>3394</v>
      </c>
      <c r="C2380" s="21">
        <v>45222</v>
      </c>
      <c r="D2380" s="20">
        <v>3291.84</v>
      </c>
      <c r="E2380" s="22" t="s">
        <v>10</v>
      </c>
      <c r="F2380" s="22" t="s">
        <v>13</v>
      </c>
      <c r="G2380" s="22" t="s">
        <v>17</v>
      </c>
    </row>
    <row r="2381" ht="15.15" spans="1:7">
      <c r="A2381" s="20">
        <v>2379</v>
      </c>
      <c r="B2381" s="20">
        <v>6283</v>
      </c>
      <c r="C2381" s="21">
        <v>45149</v>
      </c>
      <c r="D2381" s="20">
        <v>3291.84</v>
      </c>
      <c r="E2381" s="22" t="s">
        <v>10</v>
      </c>
      <c r="F2381" s="22" t="s">
        <v>16</v>
      </c>
      <c r="G2381" s="22" t="s">
        <v>15</v>
      </c>
    </row>
    <row r="2382" ht="15.15" spans="1:7">
      <c r="A2382" s="20">
        <v>2380</v>
      </c>
      <c r="B2382" s="20">
        <v>7732</v>
      </c>
      <c r="C2382" s="21">
        <v>45187</v>
      </c>
      <c r="D2382" s="20">
        <v>3291.84</v>
      </c>
      <c r="E2382" s="22" t="s">
        <v>10</v>
      </c>
      <c r="F2382" s="22" t="s">
        <v>14</v>
      </c>
      <c r="G2382" s="22" t="s">
        <v>20</v>
      </c>
    </row>
    <row r="2383" ht="15.15" spans="1:7">
      <c r="A2383" s="20">
        <v>2381</v>
      </c>
      <c r="B2383" s="20">
        <v>4211</v>
      </c>
      <c r="C2383" s="21">
        <v>45083</v>
      </c>
      <c r="D2383" s="20">
        <v>3291.84</v>
      </c>
      <c r="E2383" s="22" t="s">
        <v>10</v>
      </c>
      <c r="F2383" s="22" t="s">
        <v>14</v>
      </c>
      <c r="G2383" s="22" t="s">
        <v>15</v>
      </c>
    </row>
    <row r="2384" ht="15.15" spans="1:7">
      <c r="A2384" s="20">
        <v>2382</v>
      </c>
      <c r="B2384" s="20">
        <v>960</v>
      </c>
      <c r="C2384" s="21">
        <v>45089</v>
      </c>
      <c r="D2384" s="20">
        <v>3291.84</v>
      </c>
      <c r="E2384" s="22" t="s">
        <v>10</v>
      </c>
      <c r="F2384" s="22" t="s">
        <v>14</v>
      </c>
      <c r="G2384" s="22" t="s">
        <v>15</v>
      </c>
    </row>
    <row r="2385" ht="15.15" spans="1:7">
      <c r="A2385" s="20">
        <v>2383</v>
      </c>
      <c r="B2385" s="20">
        <v>1190</v>
      </c>
      <c r="C2385" s="21">
        <v>45244</v>
      </c>
      <c r="D2385" s="20">
        <v>3291.84</v>
      </c>
      <c r="E2385" s="22" t="s">
        <v>10</v>
      </c>
      <c r="F2385" s="22" t="s">
        <v>11</v>
      </c>
      <c r="G2385" s="22" t="s">
        <v>12</v>
      </c>
    </row>
    <row r="2386" ht="15.15" spans="1:7">
      <c r="A2386" s="20">
        <v>2384</v>
      </c>
      <c r="B2386" s="20">
        <v>6688</v>
      </c>
      <c r="C2386" s="21">
        <v>45257</v>
      </c>
      <c r="D2386" s="20">
        <v>3291.84</v>
      </c>
      <c r="E2386" s="22" t="s">
        <v>10</v>
      </c>
      <c r="F2386" s="22" t="s">
        <v>14</v>
      </c>
      <c r="G2386" s="22" t="s">
        <v>15</v>
      </c>
    </row>
    <row r="2387" ht="15.15" spans="1:7">
      <c r="A2387" s="20">
        <v>2385</v>
      </c>
      <c r="B2387" s="20">
        <v>251</v>
      </c>
      <c r="C2387" s="21">
        <v>45156</v>
      </c>
      <c r="D2387" s="20">
        <v>3291.84</v>
      </c>
      <c r="E2387" s="22" t="s">
        <v>10</v>
      </c>
      <c r="F2387" s="22" t="s">
        <v>16</v>
      </c>
      <c r="G2387" s="22" t="s">
        <v>12</v>
      </c>
    </row>
    <row r="2388" ht="15.15" spans="1:7">
      <c r="A2388" s="20">
        <v>2386</v>
      </c>
      <c r="B2388" s="20">
        <v>5804</v>
      </c>
      <c r="C2388" s="21">
        <v>45137</v>
      </c>
      <c r="D2388" s="20">
        <v>3291.84</v>
      </c>
      <c r="E2388" s="22" t="s">
        <v>10</v>
      </c>
      <c r="F2388" s="22" t="s">
        <v>11</v>
      </c>
      <c r="G2388" s="22" t="s">
        <v>20</v>
      </c>
    </row>
    <row r="2389" ht="15.15" spans="1:7">
      <c r="A2389" s="20">
        <v>2387</v>
      </c>
      <c r="B2389" s="20">
        <v>8963</v>
      </c>
      <c r="C2389" s="21">
        <v>45226</v>
      </c>
      <c r="D2389" s="20">
        <v>3291.84</v>
      </c>
      <c r="E2389" s="22" t="s">
        <v>10</v>
      </c>
      <c r="F2389" s="22" t="s">
        <v>18</v>
      </c>
      <c r="G2389" s="22" t="s">
        <v>20</v>
      </c>
    </row>
    <row r="2390" ht="15.15" spans="1:7">
      <c r="A2390" s="20">
        <v>2388</v>
      </c>
      <c r="B2390" s="20">
        <v>3522</v>
      </c>
      <c r="C2390" s="21">
        <v>45232</v>
      </c>
      <c r="D2390" s="20">
        <v>3291.84</v>
      </c>
      <c r="E2390" s="22" t="s">
        <v>10</v>
      </c>
      <c r="F2390" s="22" t="s">
        <v>16</v>
      </c>
      <c r="G2390" s="22" t="s">
        <v>12</v>
      </c>
    </row>
    <row r="2391" ht="15.15" spans="1:7">
      <c r="A2391" s="20">
        <v>2389</v>
      </c>
      <c r="B2391" s="20">
        <v>9954</v>
      </c>
      <c r="C2391" s="21">
        <v>45209</v>
      </c>
      <c r="D2391" s="20">
        <v>3291.84</v>
      </c>
      <c r="E2391" s="22" t="s">
        <v>10</v>
      </c>
      <c r="F2391" s="22" t="s">
        <v>16</v>
      </c>
      <c r="G2391" s="22" t="s">
        <v>15</v>
      </c>
    </row>
    <row r="2392" ht="15.15" spans="1:7">
      <c r="A2392" s="20">
        <v>2390</v>
      </c>
      <c r="B2392" s="20">
        <v>1882</v>
      </c>
      <c r="C2392" s="21">
        <v>45199</v>
      </c>
      <c r="D2392" s="20">
        <v>3291.84</v>
      </c>
      <c r="E2392" s="22" t="s">
        <v>10</v>
      </c>
      <c r="F2392" s="22" t="s">
        <v>14</v>
      </c>
      <c r="G2392" s="22" t="s">
        <v>20</v>
      </c>
    </row>
    <row r="2393" ht="15.15" spans="1:7">
      <c r="A2393" s="20">
        <v>2391</v>
      </c>
      <c r="B2393" s="20">
        <v>3736</v>
      </c>
      <c r="C2393" s="21">
        <v>45068</v>
      </c>
      <c r="D2393" s="20">
        <v>3291.84</v>
      </c>
      <c r="E2393" s="22" t="s">
        <v>22</v>
      </c>
      <c r="F2393" s="22" t="s">
        <v>11</v>
      </c>
      <c r="G2393" s="22" t="s">
        <v>20</v>
      </c>
    </row>
    <row r="2394" ht="15.15" spans="1:7">
      <c r="A2394" s="20">
        <v>2392</v>
      </c>
      <c r="B2394" s="20">
        <v>9270</v>
      </c>
      <c r="C2394" s="21">
        <v>45261</v>
      </c>
      <c r="D2394" s="20">
        <v>3291.84</v>
      </c>
      <c r="E2394" s="22" t="s">
        <v>10</v>
      </c>
      <c r="F2394" s="22" t="s">
        <v>11</v>
      </c>
      <c r="G2394" s="22" t="s">
        <v>20</v>
      </c>
    </row>
    <row r="2395" ht="15.15" spans="1:7">
      <c r="A2395" s="20">
        <v>2393</v>
      </c>
      <c r="B2395" s="20">
        <v>3286</v>
      </c>
      <c r="C2395" s="21">
        <v>45057</v>
      </c>
      <c r="D2395" s="20">
        <v>3291.84</v>
      </c>
      <c r="E2395" s="22" t="s">
        <v>10</v>
      </c>
      <c r="F2395" s="22" t="s">
        <v>14</v>
      </c>
      <c r="G2395" s="22" t="s">
        <v>20</v>
      </c>
    </row>
    <row r="2396" ht="15.15" spans="1:7">
      <c r="A2396" s="20">
        <v>2394</v>
      </c>
      <c r="B2396" s="20">
        <v>9589</v>
      </c>
      <c r="C2396" s="21">
        <v>45243</v>
      </c>
      <c r="D2396" s="20">
        <v>3291.84</v>
      </c>
      <c r="E2396" s="22" t="s">
        <v>10</v>
      </c>
      <c r="F2396" s="22" t="s">
        <v>14</v>
      </c>
      <c r="G2396" s="22" t="s">
        <v>17</v>
      </c>
    </row>
    <row r="2397" ht="15.15" spans="1:7">
      <c r="A2397" s="20">
        <v>2395</v>
      </c>
      <c r="B2397" s="20">
        <v>768</v>
      </c>
      <c r="C2397" s="21">
        <v>45286</v>
      </c>
      <c r="D2397" s="20">
        <v>3291.84</v>
      </c>
      <c r="E2397" s="22" t="s">
        <v>10</v>
      </c>
      <c r="F2397" s="22" t="s">
        <v>11</v>
      </c>
      <c r="G2397" s="22" t="s">
        <v>12</v>
      </c>
    </row>
    <row r="2398" ht="15.15" spans="1:7">
      <c r="A2398" s="20">
        <v>2396</v>
      </c>
      <c r="B2398" s="20">
        <v>2606</v>
      </c>
      <c r="C2398" s="21">
        <v>45291</v>
      </c>
      <c r="D2398" s="20">
        <v>3291.84</v>
      </c>
      <c r="E2398" s="22" t="s">
        <v>22</v>
      </c>
      <c r="F2398" s="22" t="s">
        <v>14</v>
      </c>
      <c r="G2398" s="22" t="s">
        <v>20</v>
      </c>
    </row>
    <row r="2399" ht="15.15" spans="1:7">
      <c r="A2399" s="20">
        <v>2397</v>
      </c>
      <c r="B2399" s="20">
        <v>2232</v>
      </c>
      <c r="C2399" s="21">
        <v>45114</v>
      </c>
      <c r="D2399" s="20">
        <v>3291.84</v>
      </c>
      <c r="E2399" s="22" t="s">
        <v>10</v>
      </c>
      <c r="F2399" s="22" t="s">
        <v>11</v>
      </c>
      <c r="G2399" s="22" t="s">
        <v>17</v>
      </c>
    </row>
    <row r="2400" ht="15.15" spans="1:7">
      <c r="A2400" s="20">
        <v>2398</v>
      </c>
      <c r="B2400" s="20">
        <v>6736</v>
      </c>
      <c r="C2400" s="21">
        <v>45115</v>
      </c>
      <c r="D2400" s="20">
        <v>3291.84</v>
      </c>
      <c r="E2400" s="22" t="s">
        <v>10</v>
      </c>
      <c r="F2400" s="22" t="s">
        <v>16</v>
      </c>
      <c r="G2400" s="22" t="s">
        <v>12</v>
      </c>
    </row>
    <row r="2401" ht="15.15" spans="1:7">
      <c r="A2401" s="20">
        <v>2399</v>
      </c>
      <c r="B2401" s="20">
        <v>2816</v>
      </c>
      <c r="C2401" s="21">
        <v>45086</v>
      </c>
      <c r="D2401" s="20">
        <v>3291.84</v>
      </c>
      <c r="E2401" s="22" t="s">
        <v>10</v>
      </c>
      <c r="F2401" s="22" t="s">
        <v>14</v>
      </c>
      <c r="G2401" s="22" t="s">
        <v>17</v>
      </c>
    </row>
    <row r="2402" ht="15.15" spans="1:7">
      <c r="A2402" s="20">
        <v>2400</v>
      </c>
      <c r="B2402" s="20">
        <v>6696</v>
      </c>
      <c r="C2402" s="21">
        <v>45268</v>
      </c>
      <c r="D2402" s="20">
        <v>3291.84</v>
      </c>
      <c r="E2402" s="22" t="s">
        <v>10</v>
      </c>
      <c r="F2402" s="22" t="s">
        <v>11</v>
      </c>
      <c r="G2402" s="22" t="s">
        <v>12</v>
      </c>
    </row>
    <row r="2403" ht="15.15" spans="1:7">
      <c r="A2403" s="20">
        <v>2401</v>
      </c>
      <c r="B2403" s="20">
        <v>3287</v>
      </c>
      <c r="C2403" s="21">
        <v>45153</v>
      </c>
      <c r="D2403" s="20">
        <v>3291.84</v>
      </c>
      <c r="E2403" s="22" t="s">
        <v>10</v>
      </c>
      <c r="F2403" s="22" t="s">
        <v>14</v>
      </c>
      <c r="G2403" s="22" t="s">
        <v>17</v>
      </c>
    </row>
    <row r="2404" ht="15.15" spans="1:7">
      <c r="A2404" s="20">
        <v>2402</v>
      </c>
      <c r="B2404" s="20">
        <v>2156</v>
      </c>
      <c r="C2404" s="21">
        <v>45230</v>
      </c>
      <c r="D2404" s="20">
        <v>3291.84</v>
      </c>
      <c r="E2404" s="22" t="s">
        <v>10</v>
      </c>
      <c r="F2404" s="22" t="s">
        <v>14</v>
      </c>
      <c r="G2404" s="22" t="s">
        <v>20</v>
      </c>
    </row>
    <row r="2405" ht="15.15" spans="1:7">
      <c r="A2405" s="20">
        <v>2403</v>
      </c>
      <c r="B2405" s="20">
        <v>9518</v>
      </c>
      <c r="C2405" s="21">
        <v>45211</v>
      </c>
      <c r="D2405" s="20">
        <v>3291.84</v>
      </c>
      <c r="E2405" s="22" t="s">
        <v>10</v>
      </c>
      <c r="F2405" s="22" t="s">
        <v>16</v>
      </c>
      <c r="G2405" s="22" t="s">
        <v>20</v>
      </c>
    </row>
    <row r="2406" ht="15.15" spans="1:7">
      <c r="A2406" s="20">
        <v>2404</v>
      </c>
      <c r="B2406" s="20">
        <v>8431</v>
      </c>
      <c r="C2406" s="21">
        <v>44961</v>
      </c>
      <c r="D2406" s="20">
        <v>3291.84</v>
      </c>
      <c r="E2406" s="22" t="s">
        <v>10</v>
      </c>
      <c r="F2406" s="22" t="s">
        <v>18</v>
      </c>
      <c r="G2406" s="22" t="s">
        <v>15</v>
      </c>
    </row>
    <row r="2407" ht="15.15" spans="1:7">
      <c r="A2407" s="20">
        <v>2405</v>
      </c>
      <c r="B2407" s="20">
        <v>549</v>
      </c>
      <c r="C2407" s="21">
        <v>45094</v>
      </c>
      <c r="D2407" s="20">
        <v>3291.84</v>
      </c>
      <c r="E2407" s="22" t="s">
        <v>10</v>
      </c>
      <c r="F2407" s="22" t="s">
        <v>13</v>
      </c>
      <c r="G2407" s="22" t="s">
        <v>17</v>
      </c>
    </row>
    <row r="2408" ht="15.15" spans="1:7">
      <c r="A2408" s="20">
        <v>2406</v>
      </c>
      <c r="B2408" s="20">
        <v>5346</v>
      </c>
      <c r="C2408" s="21">
        <v>45225</v>
      </c>
      <c r="D2408" s="20">
        <v>3291.84</v>
      </c>
      <c r="E2408" s="22" t="s">
        <v>10</v>
      </c>
      <c r="F2408" s="22" t="s">
        <v>14</v>
      </c>
      <c r="G2408" s="22" t="s">
        <v>15</v>
      </c>
    </row>
    <row r="2409" ht="15.15" spans="1:7">
      <c r="A2409" s="20">
        <v>2407</v>
      </c>
      <c r="B2409" s="20">
        <v>1122</v>
      </c>
      <c r="C2409" s="21">
        <v>45242</v>
      </c>
      <c r="D2409" s="20">
        <v>3291.84</v>
      </c>
      <c r="E2409" s="22" t="s">
        <v>10</v>
      </c>
      <c r="F2409" s="22" t="s">
        <v>16</v>
      </c>
      <c r="G2409" s="22" t="s">
        <v>15</v>
      </c>
    </row>
    <row r="2410" ht="15.15" spans="1:7">
      <c r="A2410" s="20">
        <v>2408</v>
      </c>
      <c r="B2410" s="20">
        <v>65</v>
      </c>
      <c r="C2410" s="21">
        <v>45110</v>
      </c>
      <c r="D2410" s="20">
        <v>3291.84</v>
      </c>
      <c r="E2410" s="22" t="s">
        <v>10</v>
      </c>
      <c r="F2410" s="22" t="s">
        <v>13</v>
      </c>
      <c r="G2410" s="22" t="s">
        <v>12</v>
      </c>
    </row>
    <row r="2411" ht="15.15" spans="1:7">
      <c r="A2411" s="20">
        <v>2409</v>
      </c>
      <c r="B2411" s="20">
        <v>1445</v>
      </c>
      <c r="C2411" s="21">
        <v>45016</v>
      </c>
      <c r="D2411" s="20">
        <v>3291.84</v>
      </c>
      <c r="E2411" s="22" t="s">
        <v>10</v>
      </c>
      <c r="F2411" s="22" t="s">
        <v>11</v>
      </c>
      <c r="G2411" s="22" t="s">
        <v>15</v>
      </c>
    </row>
    <row r="2412" ht="15.15" spans="1:7">
      <c r="A2412" s="20">
        <v>2410</v>
      </c>
      <c r="B2412" s="20">
        <v>9595</v>
      </c>
      <c r="C2412" s="21">
        <v>44931</v>
      </c>
      <c r="D2412" s="20">
        <v>3291.84</v>
      </c>
      <c r="E2412" s="22" t="s">
        <v>10</v>
      </c>
      <c r="F2412" s="22" t="s">
        <v>14</v>
      </c>
      <c r="G2412" s="22" t="s">
        <v>20</v>
      </c>
    </row>
    <row r="2413" ht="15.15" spans="1:7">
      <c r="A2413" s="20">
        <v>2411</v>
      </c>
      <c r="B2413" s="20">
        <v>9242</v>
      </c>
      <c r="C2413" s="21">
        <v>45233</v>
      </c>
      <c r="D2413" s="20">
        <v>3291.84</v>
      </c>
      <c r="E2413" s="22" t="s">
        <v>10</v>
      </c>
      <c r="F2413" s="22" t="s">
        <v>13</v>
      </c>
      <c r="G2413" s="22" t="s">
        <v>12</v>
      </c>
    </row>
    <row r="2414" ht="15.15" spans="1:7">
      <c r="A2414" s="20">
        <v>2412</v>
      </c>
      <c r="B2414" s="20">
        <v>6727</v>
      </c>
      <c r="C2414" s="21">
        <v>45113</v>
      </c>
      <c r="D2414" s="20">
        <v>3291.84</v>
      </c>
      <c r="E2414" s="22" t="s">
        <v>10</v>
      </c>
      <c r="F2414" s="22" t="s">
        <v>11</v>
      </c>
      <c r="G2414" s="22" t="s">
        <v>12</v>
      </c>
    </row>
    <row r="2415" ht="15.15" spans="1:7">
      <c r="A2415" s="20">
        <v>2413</v>
      </c>
      <c r="B2415" s="20">
        <v>4419</v>
      </c>
      <c r="C2415" s="21">
        <v>45179</v>
      </c>
      <c r="D2415" s="20">
        <v>3291.84</v>
      </c>
      <c r="E2415" s="22" t="s">
        <v>10</v>
      </c>
      <c r="F2415" s="22" t="s">
        <v>16</v>
      </c>
      <c r="G2415" s="22" t="s">
        <v>12</v>
      </c>
    </row>
    <row r="2416" ht="15.15" spans="1:7">
      <c r="A2416" s="20">
        <v>2414</v>
      </c>
      <c r="B2416" s="20">
        <v>3741</v>
      </c>
      <c r="C2416" s="21">
        <v>44954</v>
      </c>
      <c r="D2416" s="20">
        <v>3291.84</v>
      </c>
      <c r="E2416" s="22" t="s">
        <v>10</v>
      </c>
      <c r="F2416" s="22" t="s">
        <v>16</v>
      </c>
      <c r="G2416" s="22" t="s">
        <v>20</v>
      </c>
    </row>
    <row r="2417" ht="15.15" spans="1:7">
      <c r="A2417" s="20">
        <v>2415</v>
      </c>
      <c r="B2417" s="20">
        <v>2434</v>
      </c>
      <c r="C2417" s="21">
        <v>44947</v>
      </c>
      <c r="D2417" s="20">
        <v>3291.84</v>
      </c>
      <c r="E2417" s="22" t="s">
        <v>10</v>
      </c>
      <c r="F2417" s="22" t="s">
        <v>14</v>
      </c>
      <c r="G2417" s="22" t="s">
        <v>17</v>
      </c>
    </row>
    <row r="2418" ht="15.15" spans="1:7">
      <c r="A2418" s="20">
        <v>2416</v>
      </c>
      <c r="B2418" s="20">
        <v>690</v>
      </c>
      <c r="C2418" s="21">
        <v>45169</v>
      </c>
      <c r="D2418" s="20">
        <v>3291.84</v>
      </c>
      <c r="E2418" s="22" t="s">
        <v>10</v>
      </c>
      <c r="F2418" s="22" t="s">
        <v>16</v>
      </c>
      <c r="G2418" s="22" t="s">
        <v>17</v>
      </c>
    </row>
    <row r="2419" ht="15.15" spans="1:7">
      <c r="A2419" s="20">
        <v>2417</v>
      </c>
      <c r="B2419" s="20">
        <v>9000</v>
      </c>
      <c r="C2419" s="21">
        <v>45067</v>
      </c>
      <c r="D2419" s="20">
        <v>3291.84</v>
      </c>
      <c r="E2419" s="22" t="s">
        <v>10</v>
      </c>
      <c r="F2419" s="22" t="s">
        <v>18</v>
      </c>
      <c r="G2419" s="22" t="s">
        <v>17</v>
      </c>
    </row>
    <row r="2420" ht="15.15" spans="1:7">
      <c r="A2420" s="20">
        <v>2418</v>
      </c>
      <c r="B2420" s="20">
        <v>9106</v>
      </c>
      <c r="C2420" s="21">
        <v>45251</v>
      </c>
      <c r="D2420" s="20">
        <v>3291.84</v>
      </c>
      <c r="E2420" s="22" t="s">
        <v>10</v>
      </c>
      <c r="F2420" s="22" t="s">
        <v>11</v>
      </c>
      <c r="G2420" s="22" t="s">
        <v>15</v>
      </c>
    </row>
    <row r="2421" ht="15.15" spans="1:7">
      <c r="A2421" s="20">
        <v>2419</v>
      </c>
      <c r="B2421" s="20">
        <v>4789</v>
      </c>
      <c r="C2421" s="21">
        <v>45196</v>
      </c>
      <c r="D2421" s="20">
        <v>3291.84</v>
      </c>
      <c r="E2421" s="22" t="s">
        <v>10</v>
      </c>
      <c r="F2421" s="22" t="s">
        <v>11</v>
      </c>
      <c r="G2421" s="22" t="s">
        <v>12</v>
      </c>
    </row>
    <row r="2422" ht="15.15" spans="1:7">
      <c r="A2422" s="20">
        <v>2420</v>
      </c>
      <c r="B2422" s="20">
        <v>4087</v>
      </c>
      <c r="C2422" s="21">
        <v>45056</v>
      </c>
      <c r="D2422" s="20">
        <v>3291.84</v>
      </c>
      <c r="E2422" s="22" t="s">
        <v>10</v>
      </c>
      <c r="F2422" s="22" t="s">
        <v>16</v>
      </c>
      <c r="G2422" s="22" t="s">
        <v>12</v>
      </c>
    </row>
    <row r="2423" ht="15.15" spans="1:7">
      <c r="A2423" s="20">
        <v>2421</v>
      </c>
      <c r="B2423" s="20">
        <v>3742</v>
      </c>
      <c r="C2423" s="21">
        <v>44995</v>
      </c>
      <c r="D2423" s="20">
        <v>3291.84</v>
      </c>
      <c r="E2423" s="22" t="s">
        <v>21</v>
      </c>
      <c r="F2423" s="22" t="s">
        <v>13</v>
      </c>
      <c r="G2423" s="22" t="s">
        <v>20</v>
      </c>
    </row>
    <row r="2424" ht="15.15" spans="1:7">
      <c r="A2424" s="20">
        <v>2422</v>
      </c>
      <c r="B2424" s="20">
        <v>1718</v>
      </c>
      <c r="C2424" s="21">
        <v>44981</v>
      </c>
      <c r="D2424" s="20">
        <v>3291.84</v>
      </c>
      <c r="E2424" s="22" t="s">
        <v>10</v>
      </c>
      <c r="F2424" s="22" t="s">
        <v>18</v>
      </c>
      <c r="G2424" s="22" t="s">
        <v>17</v>
      </c>
    </row>
    <row r="2425" ht="15.15" spans="1:7">
      <c r="A2425" s="20">
        <v>2423</v>
      </c>
      <c r="B2425" s="20">
        <v>5769</v>
      </c>
      <c r="C2425" s="21">
        <v>45217</v>
      </c>
      <c r="D2425" s="20">
        <v>3291.84</v>
      </c>
      <c r="E2425" s="22" t="s">
        <v>10</v>
      </c>
      <c r="F2425" s="22" t="s">
        <v>11</v>
      </c>
      <c r="G2425" s="22" t="s">
        <v>12</v>
      </c>
    </row>
    <row r="2426" ht="15.15" spans="1:7">
      <c r="A2426" s="20">
        <v>2424</v>
      </c>
      <c r="B2426" s="20">
        <v>3407</v>
      </c>
      <c r="C2426" s="21">
        <v>45221</v>
      </c>
      <c r="D2426" s="20">
        <v>3291.84</v>
      </c>
      <c r="E2426" s="22" t="s">
        <v>10</v>
      </c>
      <c r="F2426" s="22" t="s">
        <v>11</v>
      </c>
      <c r="G2426" s="22" t="s">
        <v>20</v>
      </c>
    </row>
    <row r="2427" ht="15.15" spans="1:7">
      <c r="A2427" s="20">
        <v>2425</v>
      </c>
      <c r="B2427" s="20">
        <v>5976</v>
      </c>
      <c r="C2427" s="21">
        <v>45006</v>
      </c>
      <c r="D2427" s="20">
        <v>3291.84</v>
      </c>
      <c r="E2427" s="22" t="s">
        <v>10</v>
      </c>
      <c r="F2427" s="22" t="s">
        <v>11</v>
      </c>
      <c r="G2427" s="22" t="s">
        <v>15</v>
      </c>
    </row>
    <row r="2428" ht="15.15" spans="1:7">
      <c r="A2428" s="20">
        <v>2426</v>
      </c>
      <c r="B2428" s="20">
        <v>7773</v>
      </c>
      <c r="C2428" s="21">
        <v>45000</v>
      </c>
      <c r="D2428" s="20">
        <v>3291.84</v>
      </c>
      <c r="E2428" s="22" t="s">
        <v>10</v>
      </c>
      <c r="F2428" s="22" t="s">
        <v>13</v>
      </c>
      <c r="G2428" s="22" t="s">
        <v>17</v>
      </c>
    </row>
    <row r="2429" ht="15.15" spans="1:7">
      <c r="A2429" s="20">
        <v>2427</v>
      </c>
      <c r="B2429" s="20">
        <v>7305</v>
      </c>
      <c r="C2429" s="21">
        <v>45221</v>
      </c>
      <c r="D2429" s="20">
        <v>3291.84</v>
      </c>
      <c r="E2429" s="22" t="s">
        <v>10</v>
      </c>
      <c r="F2429" s="22" t="s">
        <v>14</v>
      </c>
      <c r="G2429" s="22" t="s">
        <v>20</v>
      </c>
    </row>
    <row r="2430" ht="15.15" spans="1:7">
      <c r="A2430" s="20">
        <v>2428</v>
      </c>
      <c r="B2430" s="20">
        <v>5177</v>
      </c>
      <c r="C2430" s="21">
        <v>44948</v>
      </c>
      <c r="D2430" s="20">
        <v>3291.84</v>
      </c>
      <c r="E2430" s="22" t="s">
        <v>10</v>
      </c>
      <c r="F2430" s="22" t="s">
        <v>11</v>
      </c>
      <c r="G2430" s="22" t="s">
        <v>15</v>
      </c>
    </row>
    <row r="2431" ht="15.15" spans="1:7">
      <c r="A2431" s="20">
        <v>2429</v>
      </c>
      <c r="B2431" s="20">
        <v>9749</v>
      </c>
      <c r="C2431" s="21">
        <v>45038</v>
      </c>
      <c r="D2431" s="20">
        <v>3291.84</v>
      </c>
      <c r="E2431" s="22" t="s">
        <v>10</v>
      </c>
      <c r="F2431" s="22" t="s">
        <v>16</v>
      </c>
      <c r="G2431" s="22" t="s">
        <v>20</v>
      </c>
    </row>
    <row r="2432" ht="15.15" spans="1:7">
      <c r="A2432" s="20">
        <v>2430</v>
      </c>
      <c r="B2432" s="20">
        <v>6873</v>
      </c>
      <c r="C2432" s="21">
        <v>45089</v>
      </c>
      <c r="D2432" s="20">
        <v>3291.84</v>
      </c>
      <c r="E2432" s="22" t="s">
        <v>10</v>
      </c>
      <c r="F2432" s="22" t="s">
        <v>16</v>
      </c>
      <c r="G2432" s="22" t="s">
        <v>17</v>
      </c>
    </row>
    <row r="2433" ht="15.15" spans="1:7">
      <c r="A2433" s="20">
        <v>2431</v>
      </c>
      <c r="B2433" s="20">
        <v>5125</v>
      </c>
      <c r="C2433" s="21">
        <v>45282</v>
      </c>
      <c r="D2433" s="20">
        <v>3291.84</v>
      </c>
      <c r="E2433" s="22" t="s">
        <v>10</v>
      </c>
      <c r="F2433" s="22" t="s">
        <v>14</v>
      </c>
      <c r="G2433" s="22" t="s">
        <v>17</v>
      </c>
    </row>
    <row r="2434" ht="15.15" spans="1:7">
      <c r="A2434" s="20">
        <v>2432</v>
      </c>
      <c r="B2434" s="20">
        <v>8740</v>
      </c>
      <c r="C2434" s="21">
        <v>45089</v>
      </c>
      <c r="D2434" s="20">
        <v>3291.84</v>
      </c>
      <c r="E2434" s="22" t="s">
        <v>10</v>
      </c>
      <c r="F2434" s="22" t="s">
        <v>16</v>
      </c>
      <c r="G2434" s="22" t="s">
        <v>17</v>
      </c>
    </row>
    <row r="2435" ht="15.15" spans="1:7">
      <c r="A2435" s="20">
        <v>2433</v>
      </c>
      <c r="B2435" s="20">
        <v>1892</v>
      </c>
      <c r="C2435" s="21">
        <v>45037</v>
      </c>
      <c r="D2435" s="20">
        <v>3291.84</v>
      </c>
      <c r="E2435" s="22" t="s">
        <v>10</v>
      </c>
      <c r="F2435" s="22" t="s">
        <v>16</v>
      </c>
      <c r="G2435" s="22" t="s">
        <v>15</v>
      </c>
    </row>
    <row r="2436" ht="15.15" spans="1:7">
      <c r="A2436" s="20">
        <v>2434</v>
      </c>
      <c r="B2436" s="20">
        <v>349</v>
      </c>
      <c r="C2436" s="21">
        <v>45053</v>
      </c>
      <c r="D2436" s="20">
        <v>3291.84</v>
      </c>
      <c r="E2436" s="22" t="s">
        <v>10</v>
      </c>
      <c r="F2436" s="22" t="s">
        <v>11</v>
      </c>
      <c r="G2436" s="22" t="s">
        <v>15</v>
      </c>
    </row>
    <row r="2437" ht="15.15" spans="1:7">
      <c r="A2437" s="20">
        <v>2435</v>
      </c>
      <c r="B2437" s="20">
        <v>2296</v>
      </c>
      <c r="C2437" s="21">
        <v>44968</v>
      </c>
      <c r="D2437" s="20">
        <v>3291.84</v>
      </c>
      <c r="E2437" s="22" t="s">
        <v>10</v>
      </c>
      <c r="F2437" s="22" t="s">
        <v>13</v>
      </c>
      <c r="G2437" s="22" t="s">
        <v>17</v>
      </c>
    </row>
    <row r="2438" ht="15.15" spans="1:7">
      <c r="A2438" s="20">
        <v>2436</v>
      </c>
      <c r="B2438" s="20">
        <v>4220</v>
      </c>
      <c r="C2438" s="21">
        <v>44955</v>
      </c>
      <c r="D2438" s="20">
        <v>3291.84</v>
      </c>
      <c r="E2438" s="22" t="s">
        <v>22</v>
      </c>
      <c r="F2438" s="22" t="s">
        <v>13</v>
      </c>
      <c r="G2438" s="22" t="s">
        <v>12</v>
      </c>
    </row>
    <row r="2439" ht="15.15" spans="1:7">
      <c r="A2439" s="20">
        <v>2437</v>
      </c>
      <c r="B2439" s="20">
        <v>6980</v>
      </c>
      <c r="C2439" s="21">
        <v>45164</v>
      </c>
      <c r="D2439" s="20">
        <v>3291.84</v>
      </c>
      <c r="E2439" s="22" t="s">
        <v>10</v>
      </c>
      <c r="F2439" s="22" t="s">
        <v>13</v>
      </c>
      <c r="G2439" s="22" t="s">
        <v>12</v>
      </c>
    </row>
    <row r="2440" ht="15.15" spans="1:7">
      <c r="A2440" s="20">
        <v>2438</v>
      </c>
      <c r="B2440" s="20">
        <v>9679</v>
      </c>
      <c r="C2440" s="21">
        <v>45103</v>
      </c>
      <c r="D2440" s="20">
        <v>3291.84</v>
      </c>
      <c r="E2440" s="22" t="s">
        <v>10</v>
      </c>
      <c r="F2440" s="22" t="s">
        <v>16</v>
      </c>
      <c r="G2440" s="22" t="s">
        <v>17</v>
      </c>
    </row>
    <row r="2441" ht="15.15" spans="1:7">
      <c r="A2441" s="20">
        <v>2439</v>
      </c>
      <c r="B2441" s="20">
        <v>2712</v>
      </c>
      <c r="C2441" s="21">
        <v>44955</v>
      </c>
      <c r="D2441" s="20">
        <v>3291.84</v>
      </c>
      <c r="E2441" s="22" t="s">
        <v>10</v>
      </c>
      <c r="F2441" s="22" t="s">
        <v>18</v>
      </c>
      <c r="G2441" s="22" t="s">
        <v>15</v>
      </c>
    </row>
    <row r="2442" ht="15.15" spans="1:7">
      <c r="A2442" s="20">
        <v>2440</v>
      </c>
      <c r="B2442" s="20">
        <v>594</v>
      </c>
      <c r="C2442" s="21">
        <v>45286</v>
      </c>
      <c r="D2442" s="20">
        <v>3291.84</v>
      </c>
      <c r="E2442" s="22" t="s">
        <v>10</v>
      </c>
      <c r="F2442" s="22" t="s">
        <v>18</v>
      </c>
      <c r="G2442" s="22" t="s">
        <v>15</v>
      </c>
    </row>
    <row r="2443" ht="15.15" spans="1:7">
      <c r="A2443" s="20">
        <v>2441</v>
      </c>
      <c r="B2443" s="20">
        <v>4220</v>
      </c>
      <c r="C2443" s="21">
        <v>45205</v>
      </c>
      <c r="D2443" s="20">
        <v>3291.84</v>
      </c>
      <c r="E2443" s="22" t="s">
        <v>10</v>
      </c>
      <c r="F2443" s="22" t="s">
        <v>13</v>
      </c>
      <c r="G2443" s="22" t="s">
        <v>12</v>
      </c>
    </row>
    <row r="2444" ht="15.15" spans="1:7">
      <c r="A2444" s="20">
        <v>2442</v>
      </c>
      <c r="B2444" s="20">
        <v>9072</v>
      </c>
      <c r="C2444" s="21">
        <v>45072</v>
      </c>
      <c r="D2444" s="20">
        <v>3291.84</v>
      </c>
      <c r="E2444" s="22" t="s">
        <v>22</v>
      </c>
      <c r="F2444" s="22" t="s">
        <v>18</v>
      </c>
      <c r="G2444" s="22" t="s">
        <v>20</v>
      </c>
    </row>
    <row r="2445" ht="15.15" spans="1:7">
      <c r="A2445" s="20">
        <v>2443</v>
      </c>
      <c r="B2445" s="20">
        <v>8239</v>
      </c>
      <c r="C2445" s="21">
        <v>45172</v>
      </c>
      <c r="D2445" s="20">
        <v>3291.84</v>
      </c>
      <c r="E2445" s="22" t="s">
        <v>10</v>
      </c>
      <c r="F2445" s="22" t="s">
        <v>18</v>
      </c>
      <c r="G2445" s="22" t="s">
        <v>15</v>
      </c>
    </row>
    <row r="2446" ht="15.15" spans="1:7">
      <c r="A2446" s="20">
        <v>2444</v>
      </c>
      <c r="B2446" s="20">
        <v>6716</v>
      </c>
      <c r="C2446" s="21">
        <v>45035</v>
      </c>
      <c r="D2446" s="20">
        <v>3291.84</v>
      </c>
      <c r="E2446" s="22" t="s">
        <v>10</v>
      </c>
      <c r="F2446" s="22" t="s">
        <v>13</v>
      </c>
      <c r="G2446" s="22" t="s">
        <v>15</v>
      </c>
    </row>
    <row r="2447" ht="15.15" spans="1:7">
      <c r="A2447" s="20">
        <v>2445</v>
      </c>
      <c r="B2447" s="20">
        <v>4247</v>
      </c>
      <c r="C2447" s="21">
        <v>45264</v>
      </c>
      <c r="D2447" s="20">
        <v>3291.84</v>
      </c>
      <c r="E2447" s="22" t="s">
        <v>10</v>
      </c>
      <c r="F2447" s="22" t="s">
        <v>18</v>
      </c>
      <c r="G2447" s="22" t="s">
        <v>20</v>
      </c>
    </row>
    <row r="2448" ht="15.15" spans="1:7">
      <c r="A2448" s="20">
        <v>2446</v>
      </c>
      <c r="B2448" s="20">
        <v>1211</v>
      </c>
      <c r="C2448" s="21">
        <v>44990</v>
      </c>
      <c r="D2448" s="20">
        <v>3291.84</v>
      </c>
      <c r="E2448" s="22" t="s">
        <v>10</v>
      </c>
      <c r="F2448" s="22" t="s">
        <v>16</v>
      </c>
      <c r="G2448" s="22" t="s">
        <v>20</v>
      </c>
    </row>
    <row r="2449" ht="15.15" spans="1:7">
      <c r="A2449" s="20">
        <v>2447</v>
      </c>
      <c r="B2449" s="20">
        <v>5417</v>
      </c>
      <c r="C2449" s="21">
        <v>45010</v>
      </c>
      <c r="D2449" s="20">
        <v>3291.84</v>
      </c>
      <c r="E2449" s="22" t="s">
        <v>10</v>
      </c>
      <c r="F2449" s="22" t="s">
        <v>14</v>
      </c>
      <c r="G2449" s="22" t="s">
        <v>17</v>
      </c>
    </row>
    <row r="2450" ht="15.15" spans="1:7">
      <c r="A2450" s="20">
        <v>2448</v>
      </c>
      <c r="B2450" s="20">
        <v>7748</v>
      </c>
      <c r="C2450" s="21">
        <v>45245</v>
      </c>
      <c r="D2450" s="20">
        <v>3291.84</v>
      </c>
      <c r="E2450" s="22" t="s">
        <v>10</v>
      </c>
      <c r="F2450" s="22" t="s">
        <v>16</v>
      </c>
      <c r="G2450" s="22" t="s">
        <v>17</v>
      </c>
    </row>
    <row r="2451" ht="15.15" spans="1:7">
      <c r="A2451" s="20">
        <v>2449</v>
      </c>
      <c r="B2451" s="20">
        <v>4538</v>
      </c>
      <c r="C2451" s="21">
        <v>45216</v>
      </c>
      <c r="D2451" s="20">
        <v>3291.84</v>
      </c>
      <c r="E2451" s="22" t="s">
        <v>10</v>
      </c>
      <c r="F2451" s="22" t="s">
        <v>14</v>
      </c>
      <c r="G2451" s="22" t="s">
        <v>20</v>
      </c>
    </row>
    <row r="2452" ht="15.15" spans="1:7">
      <c r="A2452" s="20">
        <v>2450</v>
      </c>
      <c r="B2452" s="20">
        <v>9442</v>
      </c>
      <c r="C2452" s="21">
        <v>45004</v>
      </c>
      <c r="D2452" s="20">
        <v>3291.84</v>
      </c>
      <c r="E2452" s="22" t="s">
        <v>10</v>
      </c>
      <c r="F2452" s="22" t="s">
        <v>14</v>
      </c>
      <c r="G2452" s="22" t="s">
        <v>12</v>
      </c>
    </row>
    <row r="2453" ht="15.15" spans="1:7">
      <c r="A2453" s="20">
        <v>2451</v>
      </c>
      <c r="B2453" s="20">
        <v>9012</v>
      </c>
      <c r="C2453" s="21">
        <v>45098</v>
      </c>
      <c r="D2453" s="20">
        <v>3291.84</v>
      </c>
      <c r="E2453" s="22" t="s">
        <v>10</v>
      </c>
      <c r="F2453" s="22" t="s">
        <v>13</v>
      </c>
      <c r="G2453" s="22" t="s">
        <v>17</v>
      </c>
    </row>
    <row r="2454" ht="15.15" spans="1:7">
      <c r="A2454" s="20">
        <v>2452</v>
      </c>
      <c r="B2454" s="20">
        <v>7326</v>
      </c>
      <c r="C2454" s="21">
        <v>45063</v>
      </c>
      <c r="D2454" s="20">
        <v>3291.84</v>
      </c>
      <c r="E2454" s="22" t="s">
        <v>10</v>
      </c>
      <c r="F2454" s="22" t="s">
        <v>11</v>
      </c>
      <c r="G2454" s="22" t="s">
        <v>12</v>
      </c>
    </row>
    <row r="2455" ht="15.15" spans="1:7">
      <c r="A2455" s="20">
        <v>2453</v>
      </c>
      <c r="B2455" s="20">
        <v>4493</v>
      </c>
      <c r="C2455" s="21">
        <v>45269</v>
      </c>
      <c r="D2455" s="20">
        <v>3291.84</v>
      </c>
      <c r="E2455" s="22" t="s">
        <v>10</v>
      </c>
      <c r="F2455" s="22" t="s">
        <v>18</v>
      </c>
      <c r="G2455" s="22" t="s">
        <v>17</v>
      </c>
    </row>
    <row r="2456" ht="15.15" spans="1:7">
      <c r="A2456" s="20">
        <v>2454</v>
      </c>
      <c r="B2456" s="20">
        <v>1326</v>
      </c>
      <c r="C2456" s="21">
        <v>45193</v>
      </c>
      <c r="D2456" s="20">
        <v>3291.84</v>
      </c>
      <c r="E2456" s="22" t="s">
        <v>10</v>
      </c>
      <c r="F2456" s="22" t="s">
        <v>16</v>
      </c>
      <c r="G2456" s="22" t="s">
        <v>12</v>
      </c>
    </row>
    <row r="2457" ht="15.15" spans="1:7">
      <c r="A2457" s="20">
        <v>2455</v>
      </c>
      <c r="B2457" s="20">
        <v>284</v>
      </c>
      <c r="C2457" s="21">
        <v>45125</v>
      </c>
      <c r="D2457" s="20">
        <v>3291.84</v>
      </c>
      <c r="E2457" s="22" t="s">
        <v>10</v>
      </c>
      <c r="F2457" s="22" t="s">
        <v>14</v>
      </c>
      <c r="G2457" s="22" t="s">
        <v>20</v>
      </c>
    </row>
    <row r="2458" ht="15.15" spans="1:7">
      <c r="A2458" s="20">
        <v>2456</v>
      </c>
      <c r="B2458" s="20">
        <v>731</v>
      </c>
      <c r="C2458" s="21">
        <v>45262</v>
      </c>
      <c r="D2458" s="20">
        <v>3291.84</v>
      </c>
      <c r="E2458" s="22" t="s">
        <v>10</v>
      </c>
      <c r="F2458" s="22" t="s">
        <v>11</v>
      </c>
      <c r="G2458" s="22" t="s">
        <v>17</v>
      </c>
    </row>
    <row r="2459" ht="15.15" spans="1:7">
      <c r="A2459" s="20">
        <v>2457</v>
      </c>
      <c r="B2459" s="20">
        <v>5297</v>
      </c>
      <c r="C2459" s="21">
        <v>45266</v>
      </c>
      <c r="D2459" s="20">
        <v>3291.84</v>
      </c>
      <c r="E2459" s="22" t="s">
        <v>10</v>
      </c>
      <c r="F2459" s="22" t="s">
        <v>18</v>
      </c>
      <c r="G2459" s="22" t="s">
        <v>20</v>
      </c>
    </row>
    <row r="2460" ht="15.15" spans="1:7">
      <c r="A2460" s="20">
        <v>2458</v>
      </c>
      <c r="B2460" s="20">
        <v>6052</v>
      </c>
      <c r="C2460" s="21">
        <v>45239</v>
      </c>
      <c r="D2460" s="20">
        <v>3291.84</v>
      </c>
      <c r="E2460" s="22" t="s">
        <v>10</v>
      </c>
      <c r="F2460" s="22" t="s">
        <v>13</v>
      </c>
      <c r="G2460" s="22" t="s">
        <v>20</v>
      </c>
    </row>
    <row r="2461" ht="15.15" spans="1:7">
      <c r="A2461" s="20">
        <v>2459</v>
      </c>
      <c r="B2461" s="20">
        <v>707</v>
      </c>
      <c r="C2461" s="21">
        <v>45256</v>
      </c>
      <c r="D2461" s="20">
        <v>3291.84</v>
      </c>
      <c r="E2461" s="22" t="s">
        <v>10</v>
      </c>
      <c r="F2461" s="22" t="s">
        <v>13</v>
      </c>
      <c r="G2461" s="22" t="s">
        <v>12</v>
      </c>
    </row>
    <row r="2462" ht="15.15" spans="1:7">
      <c r="A2462" s="20">
        <v>2460</v>
      </c>
      <c r="B2462" s="20">
        <v>2056</v>
      </c>
      <c r="C2462" s="21">
        <v>45194</v>
      </c>
      <c r="D2462" s="20">
        <v>3291.84</v>
      </c>
      <c r="E2462" s="22" t="s">
        <v>10</v>
      </c>
      <c r="F2462" s="22" t="s">
        <v>13</v>
      </c>
      <c r="G2462" s="22" t="s">
        <v>17</v>
      </c>
    </row>
    <row r="2463" ht="15.15" spans="1:7">
      <c r="A2463" s="20">
        <v>2461</v>
      </c>
      <c r="B2463" s="20">
        <v>4109</v>
      </c>
      <c r="C2463" s="21">
        <v>44968</v>
      </c>
      <c r="D2463" s="20">
        <v>3291.84</v>
      </c>
      <c r="E2463" s="22" t="s">
        <v>10</v>
      </c>
      <c r="F2463" s="22" t="s">
        <v>11</v>
      </c>
      <c r="G2463" s="22" t="s">
        <v>12</v>
      </c>
    </row>
    <row r="2464" ht="15.15" spans="1:7">
      <c r="A2464" s="20">
        <v>2462</v>
      </c>
      <c r="B2464" s="20">
        <v>7825</v>
      </c>
      <c r="C2464" s="21">
        <v>44947</v>
      </c>
      <c r="D2464" s="20">
        <v>3291.84</v>
      </c>
      <c r="E2464" s="22" t="s">
        <v>10</v>
      </c>
      <c r="F2464" s="22" t="s">
        <v>18</v>
      </c>
      <c r="G2464" s="22" t="s">
        <v>15</v>
      </c>
    </row>
    <row r="2465" ht="15.15" spans="1:7">
      <c r="A2465" s="20">
        <v>2463</v>
      </c>
      <c r="B2465" s="20">
        <v>8952</v>
      </c>
      <c r="C2465" s="21">
        <v>45284</v>
      </c>
      <c r="D2465" s="20">
        <v>3291.84</v>
      </c>
      <c r="E2465" s="22" t="s">
        <v>10</v>
      </c>
      <c r="F2465" s="22" t="s">
        <v>18</v>
      </c>
      <c r="G2465" s="22" t="s">
        <v>20</v>
      </c>
    </row>
    <row r="2466" ht="15.15" spans="1:7">
      <c r="A2466" s="20">
        <v>2464</v>
      </c>
      <c r="B2466" s="20">
        <v>6854</v>
      </c>
      <c r="C2466" s="21">
        <v>45248</v>
      </c>
      <c r="D2466" s="20">
        <v>3291.84</v>
      </c>
      <c r="E2466" s="22" t="s">
        <v>10</v>
      </c>
      <c r="F2466" s="22" t="s">
        <v>16</v>
      </c>
      <c r="G2466" s="22" t="s">
        <v>15</v>
      </c>
    </row>
    <row r="2467" ht="15.15" spans="1:7">
      <c r="A2467" s="20">
        <v>2465</v>
      </c>
      <c r="B2467" s="20">
        <v>2432</v>
      </c>
      <c r="C2467" s="21">
        <v>45192</v>
      </c>
      <c r="D2467" s="20">
        <v>3291.84</v>
      </c>
      <c r="E2467" s="22" t="s">
        <v>22</v>
      </c>
      <c r="F2467" s="22" t="s">
        <v>14</v>
      </c>
      <c r="G2467" s="22" t="s">
        <v>17</v>
      </c>
    </row>
    <row r="2468" ht="15.15" spans="1:7">
      <c r="A2468" s="20">
        <v>2466</v>
      </c>
      <c r="B2468" s="20">
        <v>1936</v>
      </c>
      <c r="C2468" s="21">
        <v>44941</v>
      </c>
      <c r="D2468" s="20">
        <v>3291.84</v>
      </c>
      <c r="E2468" s="22" t="s">
        <v>10</v>
      </c>
      <c r="F2468" s="22" t="s">
        <v>14</v>
      </c>
      <c r="G2468" s="22" t="s">
        <v>12</v>
      </c>
    </row>
    <row r="2469" ht="15.15" spans="1:7">
      <c r="A2469" s="20">
        <v>2467</v>
      </c>
      <c r="B2469" s="20">
        <v>976</v>
      </c>
      <c r="C2469" s="21">
        <v>45260</v>
      </c>
      <c r="D2469" s="20">
        <v>3291.84</v>
      </c>
      <c r="E2469" s="22" t="s">
        <v>10</v>
      </c>
      <c r="F2469" s="22" t="s">
        <v>14</v>
      </c>
      <c r="G2469" s="22" t="s">
        <v>12</v>
      </c>
    </row>
    <row r="2470" ht="15.15" spans="1:7">
      <c r="A2470" s="20">
        <v>2468</v>
      </c>
      <c r="B2470" s="20">
        <v>1433</v>
      </c>
      <c r="C2470" s="21">
        <v>45026</v>
      </c>
      <c r="D2470" s="20">
        <v>3291.84</v>
      </c>
      <c r="E2470" s="22" t="s">
        <v>10</v>
      </c>
      <c r="F2470" s="22" t="s">
        <v>11</v>
      </c>
      <c r="G2470" s="22" t="s">
        <v>12</v>
      </c>
    </row>
    <row r="2471" ht="15.15" spans="1:7">
      <c r="A2471" s="20">
        <v>2469</v>
      </c>
      <c r="B2471" s="20">
        <v>8422</v>
      </c>
      <c r="C2471" s="21">
        <v>45270</v>
      </c>
      <c r="D2471" s="20">
        <v>3291.84</v>
      </c>
      <c r="E2471" s="22" t="s">
        <v>22</v>
      </c>
      <c r="F2471" s="22" t="s">
        <v>16</v>
      </c>
      <c r="G2471" s="22" t="s">
        <v>15</v>
      </c>
    </row>
    <row r="2472" ht="15.15" spans="1:7">
      <c r="A2472" s="20">
        <v>2470</v>
      </c>
      <c r="B2472" s="20">
        <v>532</v>
      </c>
      <c r="C2472" s="21">
        <v>45215</v>
      </c>
      <c r="D2472" s="20">
        <v>3291.84</v>
      </c>
      <c r="E2472" s="22" t="s">
        <v>10</v>
      </c>
      <c r="F2472" s="22" t="s">
        <v>14</v>
      </c>
      <c r="G2472" s="22" t="s">
        <v>17</v>
      </c>
    </row>
    <row r="2473" ht="15.15" spans="1:7">
      <c r="A2473" s="20">
        <v>2471</v>
      </c>
      <c r="B2473" s="20">
        <v>370</v>
      </c>
      <c r="C2473" s="21">
        <v>45000</v>
      </c>
      <c r="D2473" s="20">
        <v>3291.84</v>
      </c>
      <c r="E2473" s="22" t="s">
        <v>10</v>
      </c>
      <c r="F2473" s="22" t="s">
        <v>11</v>
      </c>
      <c r="G2473" s="22" t="s">
        <v>12</v>
      </c>
    </row>
    <row r="2474" ht="15.15" spans="1:7">
      <c r="A2474" s="20">
        <v>2472</v>
      </c>
      <c r="B2474" s="20">
        <v>9331</v>
      </c>
      <c r="C2474" s="21">
        <v>45144</v>
      </c>
      <c r="D2474" s="20">
        <v>3291.84</v>
      </c>
      <c r="E2474" s="22" t="s">
        <v>10</v>
      </c>
      <c r="F2474" s="22" t="s">
        <v>14</v>
      </c>
      <c r="G2474" s="22" t="s">
        <v>15</v>
      </c>
    </row>
    <row r="2475" ht="15.15" spans="1:7">
      <c r="A2475" s="20">
        <v>2473</v>
      </c>
      <c r="B2475" s="20">
        <v>5572</v>
      </c>
      <c r="C2475" s="21">
        <v>45243</v>
      </c>
      <c r="D2475" s="20">
        <v>3291.84</v>
      </c>
      <c r="E2475" s="22" t="s">
        <v>10</v>
      </c>
      <c r="F2475" s="22" t="s">
        <v>11</v>
      </c>
      <c r="G2475" s="22" t="s">
        <v>17</v>
      </c>
    </row>
    <row r="2476" ht="15.15" spans="1:7">
      <c r="A2476" s="20">
        <v>2474</v>
      </c>
      <c r="B2476" s="20">
        <v>8808</v>
      </c>
      <c r="C2476" s="21">
        <v>44978</v>
      </c>
      <c r="D2476" s="20">
        <v>3291.84</v>
      </c>
      <c r="E2476" s="22" t="s">
        <v>10</v>
      </c>
      <c r="F2476" s="22" t="s">
        <v>16</v>
      </c>
      <c r="G2476" s="22" t="s">
        <v>17</v>
      </c>
    </row>
    <row r="2477" ht="15.15" spans="1:7">
      <c r="A2477" s="20">
        <v>2475</v>
      </c>
      <c r="B2477" s="20">
        <v>258</v>
      </c>
      <c r="C2477" s="21">
        <v>45207</v>
      </c>
      <c r="D2477" s="20">
        <v>3291.84</v>
      </c>
      <c r="E2477" s="22" t="s">
        <v>10</v>
      </c>
      <c r="F2477" s="22" t="s">
        <v>16</v>
      </c>
      <c r="G2477" s="22" t="s">
        <v>17</v>
      </c>
    </row>
    <row r="2478" ht="15.15" spans="1:7">
      <c r="A2478" s="20">
        <v>2476</v>
      </c>
      <c r="B2478" s="20">
        <v>3927</v>
      </c>
      <c r="C2478" s="21">
        <v>45109</v>
      </c>
      <c r="D2478" s="20">
        <v>3291.84</v>
      </c>
      <c r="E2478" s="22" t="s">
        <v>10</v>
      </c>
      <c r="F2478" s="22" t="s">
        <v>18</v>
      </c>
      <c r="G2478" s="22" t="s">
        <v>17</v>
      </c>
    </row>
    <row r="2479" ht="15.15" spans="1:7">
      <c r="A2479" s="20">
        <v>2477</v>
      </c>
      <c r="B2479" s="20">
        <v>5220</v>
      </c>
      <c r="C2479" s="21">
        <v>45167</v>
      </c>
      <c r="D2479" s="20">
        <v>3291.84</v>
      </c>
      <c r="E2479" s="22" t="s">
        <v>10</v>
      </c>
      <c r="F2479" s="22" t="s">
        <v>16</v>
      </c>
      <c r="G2479" s="22" t="s">
        <v>20</v>
      </c>
    </row>
    <row r="2480" ht="15.15" spans="1:7">
      <c r="A2480" s="20">
        <v>2478</v>
      </c>
      <c r="B2480" s="20">
        <v>9644</v>
      </c>
      <c r="C2480" s="21">
        <v>45257</v>
      </c>
      <c r="D2480" s="20">
        <v>3291.84</v>
      </c>
      <c r="E2480" s="22" t="s">
        <v>10</v>
      </c>
      <c r="F2480" s="22" t="s">
        <v>13</v>
      </c>
      <c r="G2480" s="22" t="s">
        <v>20</v>
      </c>
    </row>
    <row r="2481" ht="15.15" spans="1:7">
      <c r="A2481" s="20">
        <v>2479</v>
      </c>
      <c r="B2481" s="20">
        <v>2274</v>
      </c>
      <c r="C2481" s="21">
        <v>45116</v>
      </c>
      <c r="D2481" s="20">
        <v>3291.84</v>
      </c>
      <c r="E2481" s="22" t="s">
        <v>10</v>
      </c>
      <c r="F2481" s="22" t="s">
        <v>13</v>
      </c>
      <c r="G2481" s="22" t="s">
        <v>12</v>
      </c>
    </row>
    <row r="2482" ht="15.15" spans="1:7">
      <c r="A2482" s="20">
        <v>2480</v>
      </c>
      <c r="B2482" s="20">
        <v>3826</v>
      </c>
      <c r="C2482" s="21">
        <v>45242</v>
      </c>
      <c r="D2482" s="20">
        <v>3291.84</v>
      </c>
      <c r="E2482" s="22" t="s">
        <v>10</v>
      </c>
      <c r="F2482" s="22" t="s">
        <v>19</v>
      </c>
      <c r="G2482" s="22" t="s">
        <v>17</v>
      </c>
    </row>
    <row r="2483" ht="15.15" spans="1:7">
      <c r="A2483" s="20">
        <v>2481</v>
      </c>
      <c r="B2483" s="20">
        <v>9945</v>
      </c>
      <c r="C2483" s="21">
        <v>45045</v>
      </c>
      <c r="D2483" s="20">
        <v>3291.84</v>
      </c>
      <c r="E2483" s="22" t="s">
        <v>21</v>
      </c>
      <c r="F2483" s="22" t="s">
        <v>13</v>
      </c>
      <c r="G2483" s="22" t="s">
        <v>20</v>
      </c>
    </row>
    <row r="2484" ht="15.15" spans="1:7">
      <c r="A2484" s="20">
        <v>2482</v>
      </c>
      <c r="B2484" s="20">
        <v>3796</v>
      </c>
      <c r="C2484" s="21">
        <v>45249</v>
      </c>
      <c r="D2484" s="20">
        <v>3291.84</v>
      </c>
      <c r="E2484" s="22" t="s">
        <v>10</v>
      </c>
      <c r="F2484" s="22" t="s">
        <v>14</v>
      </c>
      <c r="G2484" s="22" t="s">
        <v>20</v>
      </c>
    </row>
    <row r="2485" ht="15.15" spans="1:7">
      <c r="A2485" s="20">
        <v>2483</v>
      </c>
      <c r="B2485" s="20">
        <v>2454</v>
      </c>
      <c r="C2485" s="21">
        <v>45180</v>
      </c>
      <c r="D2485" s="20">
        <v>3291.84</v>
      </c>
      <c r="E2485" s="22" t="s">
        <v>10</v>
      </c>
      <c r="F2485" s="22" t="s">
        <v>18</v>
      </c>
      <c r="G2485" s="22" t="s">
        <v>12</v>
      </c>
    </row>
    <row r="2486" ht="15.15" spans="1:7">
      <c r="A2486" s="20">
        <v>2484</v>
      </c>
      <c r="B2486" s="20">
        <v>9679</v>
      </c>
      <c r="C2486" s="21">
        <v>45109</v>
      </c>
      <c r="D2486" s="20">
        <v>3291.84</v>
      </c>
      <c r="E2486" s="22" t="s">
        <v>10</v>
      </c>
      <c r="F2486" s="22" t="s">
        <v>16</v>
      </c>
      <c r="G2486" s="22" t="s">
        <v>12</v>
      </c>
    </row>
    <row r="2487" ht="15.15" spans="1:7">
      <c r="A2487" s="20">
        <v>2485</v>
      </c>
      <c r="B2487" s="20">
        <v>7070</v>
      </c>
      <c r="C2487" s="21">
        <v>44952</v>
      </c>
      <c r="D2487" s="20">
        <v>3291.84</v>
      </c>
      <c r="E2487" s="22" t="s">
        <v>10</v>
      </c>
      <c r="F2487" s="22" t="s">
        <v>16</v>
      </c>
      <c r="G2487" s="22" t="s">
        <v>17</v>
      </c>
    </row>
    <row r="2488" ht="15.15" spans="1:7">
      <c r="A2488" s="20">
        <v>2486</v>
      </c>
      <c r="B2488" s="20">
        <v>1519</v>
      </c>
      <c r="C2488" s="21">
        <v>45009</v>
      </c>
      <c r="D2488" s="20">
        <v>3291.84</v>
      </c>
      <c r="E2488" s="22" t="s">
        <v>10</v>
      </c>
      <c r="F2488" s="22" t="s">
        <v>13</v>
      </c>
      <c r="G2488" s="22" t="s">
        <v>20</v>
      </c>
    </row>
    <row r="2489" ht="15.15" spans="1:7">
      <c r="A2489" s="20">
        <v>2487</v>
      </c>
      <c r="B2489" s="20">
        <v>3300</v>
      </c>
      <c r="C2489" s="21">
        <v>45043</v>
      </c>
      <c r="D2489" s="20">
        <v>3291.84</v>
      </c>
      <c r="E2489" s="22" t="s">
        <v>10</v>
      </c>
      <c r="F2489" s="22" t="s">
        <v>18</v>
      </c>
      <c r="G2489" s="22" t="s">
        <v>20</v>
      </c>
    </row>
    <row r="2490" ht="15.15" spans="1:7">
      <c r="A2490" s="20">
        <v>2488</v>
      </c>
      <c r="B2490" s="20">
        <v>8325</v>
      </c>
      <c r="C2490" s="21">
        <v>45246</v>
      </c>
      <c r="D2490" s="20">
        <v>3291.84</v>
      </c>
      <c r="E2490" s="22" t="s">
        <v>10</v>
      </c>
      <c r="F2490" s="22" t="s">
        <v>18</v>
      </c>
      <c r="G2490" s="22" t="s">
        <v>17</v>
      </c>
    </row>
    <row r="2491" ht="15.15" spans="1:7">
      <c r="A2491" s="20">
        <v>2489</v>
      </c>
      <c r="B2491" s="20">
        <v>9005</v>
      </c>
      <c r="C2491" s="21">
        <v>45152</v>
      </c>
      <c r="D2491" s="20">
        <v>3291.84</v>
      </c>
      <c r="E2491" s="22" t="s">
        <v>10</v>
      </c>
      <c r="F2491" s="22" t="s">
        <v>13</v>
      </c>
      <c r="G2491" s="22" t="s">
        <v>17</v>
      </c>
    </row>
    <row r="2492" ht="15.15" spans="1:7">
      <c r="A2492" s="20">
        <v>2490</v>
      </c>
      <c r="B2492" s="20">
        <v>4639</v>
      </c>
      <c r="C2492" s="21">
        <v>45278</v>
      </c>
      <c r="D2492" s="20">
        <v>3291.84</v>
      </c>
      <c r="E2492" s="22" t="s">
        <v>10</v>
      </c>
      <c r="F2492" s="22" t="s">
        <v>14</v>
      </c>
      <c r="G2492" s="22" t="s">
        <v>15</v>
      </c>
    </row>
    <row r="2493" ht="15.15" spans="1:7">
      <c r="A2493" s="20">
        <v>2491</v>
      </c>
      <c r="B2493" s="20">
        <v>7718</v>
      </c>
      <c r="C2493" s="21">
        <v>45272</v>
      </c>
      <c r="D2493" s="20">
        <v>3291.84</v>
      </c>
      <c r="E2493" s="22" t="s">
        <v>10</v>
      </c>
      <c r="F2493" s="22" t="s">
        <v>11</v>
      </c>
      <c r="G2493" s="22" t="s">
        <v>12</v>
      </c>
    </row>
    <row r="2494" ht="15.15" spans="1:7">
      <c r="A2494" s="20">
        <v>2492</v>
      </c>
      <c r="B2494" s="20">
        <v>653</v>
      </c>
      <c r="C2494" s="21">
        <v>45092</v>
      </c>
      <c r="D2494" s="20">
        <v>3291.84</v>
      </c>
      <c r="E2494" s="22" t="s">
        <v>10</v>
      </c>
      <c r="F2494" s="22" t="s">
        <v>18</v>
      </c>
      <c r="G2494" s="22" t="s">
        <v>15</v>
      </c>
    </row>
    <row r="2495" ht="15.15" spans="1:7">
      <c r="A2495" s="20">
        <v>2493</v>
      </c>
      <c r="B2495" s="20">
        <v>6906</v>
      </c>
      <c r="C2495" s="21">
        <v>45183</v>
      </c>
      <c r="D2495" s="20">
        <v>3291.84</v>
      </c>
      <c r="E2495" s="22" t="s">
        <v>10</v>
      </c>
      <c r="F2495" s="22" t="s">
        <v>16</v>
      </c>
      <c r="G2495" s="22" t="s">
        <v>12</v>
      </c>
    </row>
    <row r="2496" ht="15.15" spans="1:7">
      <c r="A2496" s="20">
        <v>2494</v>
      </c>
      <c r="B2496" s="20">
        <v>1417</v>
      </c>
      <c r="C2496" s="21">
        <v>45025</v>
      </c>
      <c r="D2496" s="20">
        <v>3291.84</v>
      </c>
      <c r="E2496" s="22" t="s">
        <v>10</v>
      </c>
      <c r="F2496" s="22" t="s">
        <v>11</v>
      </c>
      <c r="G2496" s="22" t="s">
        <v>15</v>
      </c>
    </row>
    <row r="2497" ht="15.15" spans="1:7">
      <c r="A2497" s="20">
        <v>2495</v>
      </c>
      <c r="B2497" s="20">
        <v>1759</v>
      </c>
      <c r="C2497" s="21">
        <v>45254</v>
      </c>
      <c r="D2497" s="20">
        <v>3291.84</v>
      </c>
      <c r="E2497" s="22" t="s">
        <v>10</v>
      </c>
      <c r="F2497" s="22" t="s">
        <v>16</v>
      </c>
      <c r="G2497" s="22" t="s">
        <v>20</v>
      </c>
    </row>
    <row r="2498" ht="15.15" spans="1:7">
      <c r="A2498" s="20">
        <v>2496</v>
      </c>
      <c r="B2498" s="20">
        <v>7079</v>
      </c>
      <c r="C2498" s="21">
        <v>44964</v>
      </c>
      <c r="D2498" s="20">
        <v>3291.84</v>
      </c>
      <c r="E2498" s="22" t="s">
        <v>10</v>
      </c>
      <c r="F2498" s="22" t="s">
        <v>13</v>
      </c>
      <c r="G2498" s="22" t="s">
        <v>17</v>
      </c>
    </row>
    <row r="2499" ht="15.15" spans="1:7">
      <c r="A2499" s="20">
        <v>2497</v>
      </c>
      <c r="B2499" s="20">
        <v>595</v>
      </c>
      <c r="C2499" s="21">
        <v>45124</v>
      </c>
      <c r="D2499" s="20">
        <v>3291.84</v>
      </c>
      <c r="E2499" s="22" t="s">
        <v>10</v>
      </c>
      <c r="F2499" s="22" t="s">
        <v>14</v>
      </c>
      <c r="G2499" s="22" t="s">
        <v>17</v>
      </c>
    </row>
    <row r="2500" ht="15.15" spans="1:7">
      <c r="A2500" s="20">
        <v>2498</v>
      </c>
      <c r="B2500" s="20">
        <v>5663</v>
      </c>
      <c r="C2500" s="21">
        <v>44982</v>
      </c>
      <c r="D2500" s="20">
        <v>3291.84</v>
      </c>
      <c r="E2500" s="22" t="s">
        <v>10</v>
      </c>
      <c r="F2500" s="22" t="s">
        <v>11</v>
      </c>
      <c r="G2500" s="22" t="s">
        <v>17</v>
      </c>
    </row>
    <row r="2501" ht="15.15" spans="1:7">
      <c r="A2501" s="20">
        <v>2499</v>
      </c>
      <c r="B2501" s="20">
        <v>3256</v>
      </c>
      <c r="C2501" s="21">
        <v>44935</v>
      </c>
      <c r="D2501" s="20">
        <v>3291.84</v>
      </c>
      <c r="E2501" s="22" t="s">
        <v>10</v>
      </c>
      <c r="F2501" s="22" t="s">
        <v>16</v>
      </c>
      <c r="G2501" s="22" t="s">
        <v>12</v>
      </c>
    </row>
    <row r="2502" ht="15.15" spans="1:7">
      <c r="A2502" s="20">
        <v>2500</v>
      </c>
      <c r="B2502" s="20">
        <v>9376</v>
      </c>
      <c r="C2502" s="21">
        <v>45115</v>
      </c>
      <c r="D2502" s="20">
        <v>3291.84</v>
      </c>
      <c r="E2502" s="22" t="s">
        <v>10</v>
      </c>
      <c r="F2502" s="22" t="s">
        <v>18</v>
      </c>
      <c r="G2502" s="22" t="s">
        <v>17</v>
      </c>
    </row>
    <row r="2503" ht="15.15" spans="1:7">
      <c r="A2503" s="20">
        <v>2501</v>
      </c>
      <c r="B2503" s="20">
        <v>579</v>
      </c>
      <c r="C2503" s="21">
        <v>45120</v>
      </c>
      <c r="D2503" s="20">
        <v>3291.84</v>
      </c>
      <c r="E2503" s="22" t="s">
        <v>10</v>
      </c>
      <c r="F2503" s="22" t="s">
        <v>18</v>
      </c>
      <c r="G2503" s="22" t="s">
        <v>20</v>
      </c>
    </row>
    <row r="2504" ht="15.15" spans="1:7">
      <c r="A2504" s="20">
        <v>2502</v>
      </c>
      <c r="B2504" s="20">
        <v>567</v>
      </c>
      <c r="C2504" s="21">
        <v>45187</v>
      </c>
      <c r="D2504" s="20">
        <v>3291.84</v>
      </c>
      <c r="E2504" s="22" t="s">
        <v>10</v>
      </c>
      <c r="F2504" s="22" t="s">
        <v>14</v>
      </c>
      <c r="G2504" s="22" t="s">
        <v>15</v>
      </c>
    </row>
    <row r="2505" ht="15.15" spans="1:7">
      <c r="A2505" s="20">
        <v>2503</v>
      </c>
      <c r="B2505" s="20">
        <v>2231</v>
      </c>
      <c r="C2505" s="21">
        <v>45072</v>
      </c>
      <c r="D2505" s="20">
        <v>3291.84</v>
      </c>
      <c r="E2505" s="22" t="s">
        <v>10</v>
      </c>
      <c r="F2505" s="22" t="s">
        <v>18</v>
      </c>
      <c r="G2505" s="22" t="s">
        <v>15</v>
      </c>
    </row>
    <row r="2506" ht="15.15" spans="1:7">
      <c r="A2506" s="20">
        <v>2504</v>
      </c>
      <c r="B2506" s="20">
        <v>4644</v>
      </c>
      <c r="C2506" s="21">
        <v>45162</v>
      </c>
      <c r="D2506" s="20">
        <v>3291.84</v>
      </c>
      <c r="E2506" s="22" t="s">
        <v>10</v>
      </c>
      <c r="F2506" s="22" t="s">
        <v>13</v>
      </c>
      <c r="G2506" s="22" t="s">
        <v>17</v>
      </c>
    </row>
    <row r="2507" ht="15.15" spans="1:7">
      <c r="A2507" s="20">
        <v>2505</v>
      </c>
      <c r="B2507" s="20">
        <v>1425</v>
      </c>
      <c r="C2507" s="21">
        <v>45239</v>
      </c>
      <c r="D2507" s="20">
        <v>3291.84</v>
      </c>
      <c r="E2507" s="22" t="s">
        <v>10</v>
      </c>
      <c r="F2507" s="22" t="s">
        <v>11</v>
      </c>
      <c r="G2507" s="22" t="s">
        <v>20</v>
      </c>
    </row>
    <row r="2508" ht="15.15" spans="1:7">
      <c r="A2508" s="20">
        <v>2506</v>
      </c>
      <c r="B2508" s="20">
        <v>334</v>
      </c>
      <c r="C2508" s="21">
        <v>45234</v>
      </c>
      <c r="D2508" s="20">
        <v>3291.84</v>
      </c>
      <c r="E2508" s="22" t="s">
        <v>10</v>
      </c>
      <c r="F2508" s="22" t="s">
        <v>18</v>
      </c>
      <c r="G2508" s="22" t="s">
        <v>20</v>
      </c>
    </row>
    <row r="2509" ht="15.15" spans="1:7">
      <c r="A2509" s="20">
        <v>2507</v>
      </c>
      <c r="B2509" s="20">
        <v>6027</v>
      </c>
      <c r="C2509" s="21">
        <v>45214</v>
      </c>
      <c r="D2509" s="20">
        <v>3291.84</v>
      </c>
      <c r="E2509" s="22" t="s">
        <v>10</v>
      </c>
      <c r="F2509" s="22" t="s">
        <v>14</v>
      </c>
      <c r="G2509" s="22" t="s">
        <v>12</v>
      </c>
    </row>
    <row r="2510" ht="15.15" spans="1:7">
      <c r="A2510" s="20">
        <v>2508</v>
      </c>
      <c r="B2510" s="20">
        <v>6655</v>
      </c>
      <c r="C2510" s="21">
        <v>45060</v>
      </c>
      <c r="D2510" s="20">
        <v>3291.84</v>
      </c>
      <c r="E2510" s="22" t="s">
        <v>10</v>
      </c>
      <c r="F2510" s="22" t="s">
        <v>14</v>
      </c>
      <c r="G2510" s="22" t="s">
        <v>20</v>
      </c>
    </row>
    <row r="2511" ht="15.15" spans="1:7">
      <c r="A2511" s="20">
        <v>2509</v>
      </c>
      <c r="B2511" s="20">
        <v>1250</v>
      </c>
      <c r="C2511" s="21">
        <v>45258</v>
      </c>
      <c r="D2511" s="20">
        <v>3291.84</v>
      </c>
      <c r="E2511" s="22" t="s">
        <v>10</v>
      </c>
      <c r="F2511" s="22" t="s">
        <v>16</v>
      </c>
      <c r="G2511" s="22" t="s">
        <v>20</v>
      </c>
    </row>
    <row r="2512" ht="15.15" spans="1:7">
      <c r="A2512" s="20">
        <v>2510</v>
      </c>
      <c r="B2512" s="20">
        <v>7707</v>
      </c>
      <c r="C2512" s="21">
        <v>45024</v>
      </c>
      <c r="D2512" s="20">
        <v>3291.84</v>
      </c>
      <c r="E2512" s="22" t="s">
        <v>10</v>
      </c>
      <c r="F2512" s="22" t="s">
        <v>13</v>
      </c>
      <c r="G2512" s="22" t="s">
        <v>20</v>
      </c>
    </row>
    <row r="2513" ht="15.15" spans="1:7">
      <c r="A2513" s="20">
        <v>2511</v>
      </c>
      <c r="B2513" s="20">
        <v>7680</v>
      </c>
      <c r="C2513" s="21">
        <v>45226</v>
      </c>
      <c r="D2513" s="20">
        <v>3291.84</v>
      </c>
      <c r="E2513" s="22" t="s">
        <v>10</v>
      </c>
      <c r="F2513" s="22" t="s">
        <v>13</v>
      </c>
      <c r="G2513" s="22" t="s">
        <v>12</v>
      </c>
    </row>
    <row r="2514" ht="15.15" spans="1:7">
      <c r="A2514" s="20">
        <v>2512</v>
      </c>
      <c r="B2514" s="20">
        <v>2424</v>
      </c>
      <c r="C2514" s="21">
        <v>44992</v>
      </c>
      <c r="D2514" s="20">
        <v>3291.84</v>
      </c>
      <c r="E2514" s="22" t="s">
        <v>10</v>
      </c>
      <c r="F2514" s="22" t="s">
        <v>11</v>
      </c>
      <c r="G2514" s="22" t="s">
        <v>12</v>
      </c>
    </row>
    <row r="2515" ht="15.15" spans="1:7">
      <c r="A2515" s="20">
        <v>2513</v>
      </c>
      <c r="B2515" s="20">
        <v>6712</v>
      </c>
      <c r="C2515" s="21">
        <v>45230</v>
      </c>
      <c r="D2515" s="20">
        <v>3291.84</v>
      </c>
      <c r="E2515" s="22" t="s">
        <v>10</v>
      </c>
      <c r="F2515" s="22" t="s">
        <v>13</v>
      </c>
      <c r="G2515" s="22" t="s">
        <v>20</v>
      </c>
    </row>
    <row r="2516" ht="15.15" spans="1:7">
      <c r="A2516" s="20">
        <v>2514</v>
      </c>
      <c r="B2516" s="20">
        <v>3217</v>
      </c>
      <c r="C2516" s="21">
        <v>45174</v>
      </c>
      <c r="D2516" s="20">
        <v>3291.84</v>
      </c>
      <c r="E2516" s="22" t="s">
        <v>10</v>
      </c>
      <c r="F2516" s="22" t="s">
        <v>16</v>
      </c>
      <c r="G2516" s="22" t="s">
        <v>15</v>
      </c>
    </row>
    <row r="2517" ht="15.15" spans="1:7">
      <c r="A2517" s="20">
        <v>2515</v>
      </c>
      <c r="B2517" s="20">
        <v>5220</v>
      </c>
      <c r="C2517" s="21">
        <v>45237</v>
      </c>
      <c r="D2517" s="20">
        <v>3291.84</v>
      </c>
      <c r="E2517" s="22" t="s">
        <v>10</v>
      </c>
      <c r="F2517" s="22" t="s">
        <v>16</v>
      </c>
      <c r="G2517" s="22" t="s">
        <v>15</v>
      </c>
    </row>
    <row r="2518" ht="15.15" spans="1:7">
      <c r="A2518" s="20">
        <v>2516</v>
      </c>
      <c r="B2518" s="20">
        <v>6304</v>
      </c>
      <c r="C2518" s="21">
        <v>45114</v>
      </c>
      <c r="D2518" s="20">
        <v>3291.84</v>
      </c>
      <c r="E2518" s="22" t="s">
        <v>10</v>
      </c>
      <c r="F2518" s="22" t="s">
        <v>13</v>
      </c>
      <c r="G2518" s="22" t="s">
        <v>17</v>
      </c>
    </row>
    <row r="2519" ht="15.15" spans="1:7">
      <c r="A2519" s="20">
        <v>2517</v>
      </c>
      <c r="B2519" s="20">
        <v>4055</v>
      </c>
      <c r="C2519" s="21">
        <v>45225</v>
      </c>
      <c r="D2519" s="20">
        <v>3291.84</v>
      </c>
      <c r="E2519" s="22" t="s">
        <v>21</v>
      </c>
      <c r="F2519" s="22" t="s">
        <v>11</v>
      </c>
      <c r="G2519" s="22" t="s">
        <v>12</v>
      </c>
    </row>
    <row r="2520" ht="15.15" spans="1:7">
      <c r="A2520" s="20">
        <v>2518</v>
      </c>
      <c r="B2520" s="20">
        <v>7062</v>
      </c>
      <c r="C2520" s="21">
        <v>45190</v>
      </c>
      <c r="D2520" s="20">
        <v>3291.84</v>
      </c>
      <c r="E2520" s="22" t="s">
        <v>10</v>
      </c>
      <c r="F2520" s="22" t="s">
        <v>18</v>
      </c>
      <c r="G2520" s="22" t="s">
        <v>20</v>
      </c>
    </row>
    <row r="2521" ht="15.15" spans="1:7">
      <c r="A2521" s="20">
        <v>2519</v>
      </c>
      <c r="B2521" s="20">
        <v>4169</v>
      </c>
      <c r="C2521" s="21">
        <v>45269</v>
      </c>
      <c r="D2521" s="20">
        <v>3291.84</v>
      </c>
      <c r="E2521" s="22" t="s">
        <v>10</v>
      </c>
      <c r="F2521" s="22" t="s">
        <v>16</v>
      </c>
      <c r="G2521" s="22" t="s">
        <v>12</v>
      </c>
    </row>
    <row r="2522" ht="15.15" spans="1:7">
      <c r="A2522" s="20">
        <v>2520</v>
      </c>
      <c r="B2522" s="20">
        <v>1026</v>
      </c>
      <c r="C2522" s="21">
        <v>45201</v>
      </c>
      <c r="D2522" s="20">
        <v>3291.84</v>
      </c>
      <c r="E2522" s="22" t="s">
        <v>10</v>
      </c>
      <c r="F2522" s="22" t="s">
        <v>16</v>
      </c>
      <c r="G2522" s="22" t="s">
        <v>12</v>
      </c>
    </row>
    <row r="2523" ht="15.15" spans="1:7">
      <c r="A2523" s="20">
        <v>2521</v>
      </c>
      <c r="B2523" s="20">
        <v>6423</v>
      </c>
      <c r="C2523" s="21">
        <v>45081</v>
      </c>
      <c r="D2523" s="20">
        <v>3291.84</v>
      </c>
      <c r="E2523" s="22" t="s">
        <v>10</v>
      </c>
      <c r="F2523" s="22" t="s">
        <v>18</v>
      </c>
      <c r="G2523" s="22" t="s">
        <v>20</v>
      </c>
    </row>
    <row r="2524" ht="15.15" spans="1:7">
      <c r="A2524" s="20">
        <v>2522</v>
      </c>
      <c r="B2524" s="20">
        <v>4021</v>
      </c>
      <c r="C2524" s="21">
        <v>44973</v>
      </c>
      <c r="D2524" s="20">
        <v>3291.84</v>
      </c>
      <c r="E2524" s="22" t="s">
        <v>10</v>
      </c>
      <c r="F2524" s="22" t="s">
        <v>16</v>
      </c>
      <c r="G2524" s="22" t="s">
        <v>20</v>
      </c>
    </row>
    <row r="2525" ht="15.15" spans="1:7">
      <c r="A2525" s="20">
        <v>2523</v>
      </c>
      <c r="B2525" s="20">
        <v>1263</v>
      </c>
      <c r="C2525" s="21">
        <v>45242</v>
      </c>
      <c r="D2525" s="20">
        <v>3291.84</v>
      </c>
      <c r="E2525" s="22" t="s">
        <v>10</v>
      </c>
      <c r="F2525" s="22" t="s">
        <v>11</v>
      </c>
      <c r="G2525" s="22" t="s">
        <v>20</v>
      </c>
    </row>
    <row r="2526" ht="15.15" spans="1:7">
      <c r="A2526" s="20">
        <v>2524</v>
      </c>
      <c r="B2526" s="20">
        <v>6834</v>
      </c>
      <c r="C2526" s="21">
        <v>45088</v>
      </c>
      <c r="D2526" s="20">
        <v>3291.84</v>
      </c>
      <c r="E2526" s="22" t="s">
        <v>10</v>
      </c>
      <c r="F2526" s="22" t="s">
        <v>13</v>
      </c>
      <c r="G2526" s="22" t="s">
        <v>15</v>
      </c>
    </row>
    <row r="2527" ht="15.15" spans="1:7">
      <c r="A2527" s="20">
        <v>2525</v>
      </c>
      <c r="B2527" s="20">
        <v>78</v>
      </c>
      <c r="C2527" s="21">
        <v>45271</v>
      </c>
      <c r="D2527" s="20">
        <v>3291.84</v>
      </c>
      <c r="E2527" s="22" t="s">
        <v>10</v>
      </c>
      <c r="F2527" s="22" t="s">
        <v>11</v>
      </c>
      <c r="G2527" s="22" t="s">
        <v>20</v>
      </c>
    </row>
    <row r="2528" ht="15.15" spans="1:7">
      <c r="A2528" s="20">
        <v>2526</v>
      </c>
      <c r="B2528" s="20">
        <v>3316</v>
      </c>
      <c r="C2528" s="21">
        <v>45143</v>
      </c>
      <c r="D2528" s="20">
        <v>3291.84</v>
      </c>
      <c r="E2528" s="22" t="s">
        <v>10</v>
      </c>
      <c r="F2528" s="22" t="s">
        <v>11</v>
      </c>
      <c r="G2528" s="22" t="s">
        <v>12</v>
      </c>
    </row>
    <row r="2529" ht="15.15" spans="1:7">
      <c r="A2529" s="20">
        <v>2527</v>
      </c>
      <c r="B2529" s="20">
        <v>5621</v>
      </c>
      <c r="C2529" s="21">
        <v>45270</v>
      </c>
      <c r="D2529" s="20">
        <v>3291.84</v>
      </c>
      <c r="E2529" s="22" t="s">
        <v>10</v>
      </c>
      <c r="F2529" s="22" t="s">
        <v>13</v>
      </c>
      <c r="G2529" s="22" t="s">
        <v>15</v>
      </c>
    </row>
    <row r="2530" ht="15.15" spans="1:7">
      <c r="A2530" s="20">
        <v>2528</v>
      </c>
      <c r="B2530" s="20">
        <v>6122</v>
      </c>
      <c r="C2530" s="21">
        <v>44950</v>
      </c>
      <c r="D2530" s="20">
        <v>3291.84</v>
      </c>
      <c r="E2530" s="22" t="s">
        <v>10</v>
      </c>
      <c r="F2530" s="22" t="s">
        <v>11</v>
      </c>
      <c r="G2530" s="22" t="s">
        <v>12</v>
      </c>
    </row>
    <row r="2531" ht="15.15" spans="1:7">
      <c r="A2531" s="20">
        <v>2529</v>
      </c>
      <c r="B2531" s="20">
        <v>5901</v>
      </c>
      <c r="C2531" s="21">
        <v>44980</v>
      </c>
      <c r="D2531" s="20">
        <v>3291.84</v>
      </c>
      <c r="E2531" s="22" t="s">
        <v>10</v>
      </c>
      <c r="F2531" s="22" t="s">
        <v>11</v>
      </c>
      <c r="G2531" s="22" t="s">
        <v>20</v>
      </c>
    </row>
    <row r="2532" ht="15.15" spans="1:7">
      <c r="A2532" s="20">
        <v>2530</v>
      </c>
      <c r="B2532" s="20">
        <v>2252</v>
      </c>
      <c r="C2532" s="21">
        <v>45193</v>
      </c>
      <c r="D2532" s="20">
        <v>3291.84</v>
      </c>
      <c r="E2532" s="22" t="s">
        <v>10</v>
      </c>
      <c r="F2532" s="22" t="s">
        <v>11</v>
      </c>
      <c r="G2532" s="22" t="s">
        <v>12</v>
      </c>
    </row>
    <row r="2533" ht="15.15" spans="1:7">
      <c r="A2533" s="20">
        <v>2531</v>
      </c>
      <c r="B2533" s="20">
        <v>8463</v>
      </c>
      <c r="C2533" s="21">
        <v>45053</v>
      </c>
      <c r="D2533" s="20">
        <v>3291.84</v>
      </c>
      <c r="E2533" s="22" t="s">
        <v>10</v>
      </c>
      <c r="F2533" s="22" t="s">
        <v>14</v>
      </c>
      <c r="G2533" s="22" t="s">
        <v>12</v>
      </c>
    </row>
    <row r="2534" ht="15.15" spans="1:7">
      <c r="A2534" s="20">
        <v>2532</v>
      </c>
      <c r="B2534" s="20">
        <v>8121</v>
      </c>
      <c r="C2534" s="21">
        <v>45212</v>
      </c>
      <c r="D2534" s="20">
        <v>3291.84</v>
      </c>
      <c r="E2534" s="22" t="s">
        <v>10</v>
      </c>
      <c r="F2534" s="22" t="s">
        <v>18</v>
      </c>
      <c r="G2534" s="22" t="s">
        <v>15</v>
      </c>
    </row>
    <row r="2535" ht="15.15" spans="1:7">
      <c r="A2535" s="20">
        <v>2533</v>
      </c>
      <c r="B2535" s="20">
        <v>4998</v>
      </c>
      <c r="C2535" s="21">
        <v>45216</v>
      </c>
      <c r="D2535" s="20">
        <v>3291.84</v>
      </c>
      <c r="E2535" s="22" t="s">
        <v>10</v>
      </c>
      <c r="F2535" s="22" t="s">
        <v>16</v>
      </c>
      <c r="G2535" s="22" t="s">
        <v>15</v>
      </c>
    </row>
    <row r="2536" ht="15.15" spans="1:7">
      <c r="A2536" s="20">
        <v>2534</v>
      </c>
      <c r="B2536" s="20">
        <v>8905</v>
      </c>
      <c r="C2536" s="21">
        <v>45130</v>
      </c>
      <c r="D2536" s="20">
        <v>3291.84</v>
      </c>
      <c r="E2536" s="22" t="s">
        <v>10</v>
      </c>
      <c r="F2536" s="22" t="s">
        <v>14</v>
      </c>
      <c r="G2536" s="22" t="s">
        <v>17</v>
      </c>
    </row>
    <row r="2537" ht="15.15" spans="1:7">
      <c r="A2537" s="20">
        <v>2535</v>
      </c>
      <c r="B2537" s="20">
        <v>1746</v>
      </c>
      <c r="C2537" s="21">
        <v>45003</v>
      </c>
      <c r="D2537" s="20">
        <v>3291.84</v>
      </c>
      <c r="E2537" s="22" t="s">
        <v>10</v>
      </c>
      <c r="F2537" s="22" t="s">
        <v>16</v>
      </c>
      <c r="G2537" s="22" t="s">
        <v>12</v>
      </c>
    </row>
    <row r="2538" ht="15.15" spans="1:7">
      <c r="A2538" s="20">
        <v>2536</v>
      </c>
      <c r="B2538" s="20">
        <v>7021</v>
      </c>
      <c r="C2538" s="21">
        <v>44948</v>
      </c>
      <c r="D2538" s="20">
        <v>3291.84</v>
      </c>
      <c r="E2538" s="22" t="s">
        <v>10</v>
      </c>
      <c r="F2538" s="22" t="s">
        <v>16</v>
      </c>
      <c r="G2538" s="22" t="s">
        <v>12</v>
      </c>
    </row>
    <row r="2539" ht="15.15" spans="1:7">
      <c r="A2539" s="20">
        <v>2537</v>
      </c>
      <c r="B2539" s="20">
        <v>5015</v>
      </c>
      <c r="C2539" s="21">
        <v>45108</v>
      </c>
      <c r="D2539" s="20">
        <v>3291.84</v>
      </c>
      <c r="E2539" s="22" t="s">
        <v>10</v>
      </c>
      <c r="F2539" s="22" t="s">
        <v>16</v>
      </c>
      <c r="G2539" s="22" t="s">
        <v>12</v>
      </c>
    </row>
    <row r="2540" ht="15.15" spans="1:7">
      <c r="A2540" s="20">
        <v>2538</v>
      </c>
      <c r="B2540" s="20">
        <v>4163</v>
      </c>
      <c r="C2540" s="21">
        <v>45250</v>
      </c>
      <c r="D2540" s="20">
        <v>3291.84</v>
      </c>
      <c r="E2540" s="22" t="s">
        <v>10</v>
      </c>
      <c r="F2540" s="22" t="s">
        <v>13</v>
      </c>
      <c r="G2540" s="22" t="s">
        <v>17</v>
      </c>
    </row>
    <row r="2541" ht="15.15" spans="1:7">
      <c r="A2541" s="20">
        <v>2539</v>
      </c>
      <c r="B2541" s="20">
        <v>5617</v>
      </c>
      <c r="C2541" s="21">
        <v>45224</v>
      </c>
      <c r="D2541" s="20">
        <v>3291.84</v>
      </c>
      <c r="E2541" s="22" t="s">
        <v>10</v>
      </c>
      <c r="F2541" s="22" t="s">
        <v>13</v>
      </c>
      <c r="G2541" s="22" t="s">
        <v>15</v>
      </c>
    </row>
    <row r="2542" ht="15.15" spans="1:7">
      <c r="A2542" s="20">
        <v>2540</v>
      </c>
      <c r="B2542" s="20">
        <v>9847</v>
      </c>
      <c r="C2542" s="21">
        <v>45280</v>
      </c>
      <c r="D2542" s="20">
        <v>3291.84</v>
      </c>
      <c r="E2542" s="22" t="s">
        <v>10</v>
      </c>
      <c r="F2542" s="22" t="s">
        <v>18</v>
      </c>
      <c r="G2542" s="22" t="s">
        <v>12</v>
      </c>
    </row>
    <row r="2543" ht="15.15" spans="1:7">
      <c r="A2543" s="20">
        <v>2541</v>
      </c>
      <c r="B2543" s="20">
        <v>8166</v>
      </c>
      <c r="C2543" s="21">
        <v>45017</v>
      </c>
      <c r="D2543" s="20">
        <v>3291.84</v>
      </c>
      <c r="E2543" s="22" t="s">
        <v>10</v>
      </c>
      <c r="F2543" s="22" t="s">
        <v>16</v>
      </c>
      <c r="G2543" s="22" t="s">
        <v>15</v>
      </c>
    </row>
    <row r="2544" ht="15.15" spans="1:7">
      <c r="A2544" s="20">
        <v>2542</v>
      </c>
      <c r="B2544" s="20">
        <v>8045</v>
      </c>
      <c r="C2544" s="21">
        <v>45222</v>
      </c>
      <c r="D2544" s="20">
        <v>3291.84</v>
      </c>
      <c r="E2544" s="22" t="s">
        <v>10</v>
      </c>
      <c r="F2544" s="22" t="s">
        <v>11</v>
      </c>
      <c r="G2544" s="22" t="s">
        <v>20</v>
      </c>
    </row>
    <row r="2545" ht="15.15" spans="1:7">
      <c r="A2545" s="20">
        <v>2543</v>
      </c>
      <c r="B2545" s="20">
        <v>1861</v>
      </c>
      <c r="C2545" s="21">
        <v>45039</v>
      </c>
      <c r="D2545" s="20">
        <v>3291.84</v>
      </c>
      <c r="E2545" s="22" t="s">
        <v>10</v>
      </c>
      <c r="F2545" s="22" t="s">
        <v>14</v>
      </c>
      <c r="G2545" s="22" t="s">
        <v>17</v>
      </c>
    </row>
    <row r="2546" ht="15.15" spans="1:7">
      <c r="A2546" s="20">
        <v>2544</v>
      </c>
      <c r="B2546" s="20">
        <v>5815</v>
      </c>
      <c r="C2546" s="21">
        <v>44944</v>
      </c>
      <c r="D2546" s="20">
        <v>3291.84</v>
      </c>
      <c r="E2546" s="22" t="s">
        <v>10</v>
      </c>
      <c r="F2546" s="22" t="s">
        <v>14</v>
      </c>
      <c r="G2546" s="22" t="s">
        <v>17</v>
      </c>
    </row>
    <row r="2547" ht="15.15" spans="1:7">
      <c r="A2547" s="20">
        <v>2545</v>
      </c>
      <c r="B2547" s="20">
        <v>5793</v>
      </c>
      <c r="C2547" s="21">
        <v>45243</v>
      </c>
      <c r="D2547" s="20">
        <v>3291.84</v>
      </c>
      <c r="E2547" s="22" t="s">
        <v>10</v>
      </c>
      <c r="F2547" s="22" t="s">
        <v>18</v>
      </c>
      <c r="G2547" s="22" t="s">
        <v>15</v>
      </c>
    </row>
    <row r="2548" ht="15.15" spans="1:7">
      <c r="A2548" s="20">
        <v>2546</v>
      </c>
      <c r="B2548" s="20">
        <v>9200</v>
      </c>
      <c r="C2548" s="21">
        <v>45136</v>
      </c>
      <c r="D2548" s="20">
        <v>3291.84</v>
      </c>
      <c r="E2548" s="22" t="s">
        <v>10</v>
      </c>
      <c r="F2548" s="22" t="s">
        <v>13</v>
      </c>
      <c r="G2548" s="22" t="s">
        <v>15</v>
      </c>
    </row>
    <row r="2549" ht="15.15" spans="1:7">
      <c r="A2549" s="20">
        <v>2547</v>
      </c>
      <c r="B2549" s="20">
        <v>3155</v>
      </c>
      <c r="C2549" s="21">
        <v>45111</v>
      </c>
      <c r="D2549" s="20">
        <v>3291.84</v>
      </c>
      <c r="E2549" s="22" t="s">
        <v>10</v>
      </c>
      <c r="F2549" s="22" t="s">
        <v>19</v>
      </c>
      <c r="G2549" s="22" t="s">
        <v>15</v>
      </c>
    </row>
    <row r="2550" ht="15.15" spans="1:7">
      <c r="A2550" s="20">
        <v>2548</v>
      </c>
      <c r="B2550" s="20">
        <v>8713</v>
      </c>
      <c r="C2550" s="21">
        <v>44981</v>
      </c>
      <c r="D2550" s="20">
        <v>3291.84</v>
      </c>
      <c r="E2550" s="22" t="s">
        <v>10</v>
      </c>
      <c r="F2550" s="22" t="s">
        <v>11</v>
      </c>
      <c r="G2550" s="22" t="s">
        <v>15</v>
      </c>
    </row>
    <row r="2551" ht="15.15" spans="1:7">
      <c r="A2551" s="20">
        <v>2549</v>
      </c>
      <c r="B2551" s="20">
        <v>1538</v>
      </c>
      <c r="C2551" s="21">
        <v>44965</v>
      </c>
      <c r="D2551" s="20">
        <v>3291.84</v>
      </c>
      <c r="E2551" s="22" t="s">
        <v>10</v>
      </c>
      <c r="F2551" s="22" t="s">
        <v>16</v>
      </c>
      <c r="G2551" s="22" t="s">
        <v>12</v>
      </c>
    </row>
    <row r="2552" ht="15.15" spans="1:7">
      <c r="A2552" s="20">
        <v>2550</v>
      </c>
      <c r="B2552" s="20">
        <v>8881</v>
      </c>
      <c r="C2552" s="21">
        <v>45147</v>
      </c>
      <c r="D2552" s="20">
        <v>3291.84</v>
      </c>
      <c r="E2552" s="22" t="s">
        <v>10</v>
      </c>
      <c r="F2552" s="22" t="s">
        <v>18</v>
      </c>
      <c r="G2552" s="22" t="s">
        <v>15</v>
      </c>
    </row>
    <row r="2553" ht="15.15" spans="1:7">
      <c r="A2553" s="20">
        <v>2551</v>
      </c>
      <c r="B2553" s="20">
        <v>6812</v>
      </c>
      <c r="C2553" s="21">
        <v>44969</v>
      </c>
      <c r="D2553" s="20">
        <v>3291.84</v>
      </c>
      <c r="E2553" s="22" t="s">
        <v>10</v>
      </c>
      <c r="F2553" s="22" t="s">
        <v>14</v>
      </c>
      <c r="G2553" s="22" t="s">
        <v>20</v>
      </c>
    </row>
    <row r="2554" ht="15.15" spans="1:7">
      <c r="A2554" s="20">
        <v>2552</v>
      </c>
      <c r="B2554" s="20">
        <v>9161</v>
      </c>
      <c r="C2554" s="21">
        <v>45200</v>
      </c>
      <c r="D2554" s="20">
        <v>3291.84</v>
      </c>
      <c r="E2554" s="22" t="s">
        <v>10</v>
      </c>
      <c r="F2554" s="22" t="s">
        <v>11</v>
      </c>
      <c r="G2554" s="22" t="s">
        <v>20</v>
      </c>
    </row>
    <row r="2555" ht="15.15" spans="1:7">
      <c r="A2555" s="20">
        <v>2553</v>
      </c>
      <c r="B2555" s="20">
        <v>5724</v>
      </c>
      <c r="C2555" s="21">
        <v>45231</v>
      </c>
      <c r="D2555" s="20">
        <v>3291.84</v>
      </c>
      <c r="E2555" s="22" t="s">
        <v>10</v>
      </c>
      <c r="F2555" s="22" t="s">
        <v>13</v>
      </c>
      <c r="G2555" s="22" t="s">
        <v>20</v>
      </c>
    </row>
    <row r="2556" ht="15.15" spans="1:7">
      <c r="A2556" s="20">
        <v>2554</v>
      </c>
      <c r="B2556" s="20">
        <v>7</v>
      </c>
      <c r="C2556" s="21">
        <v>45291</v>
      </c>
      <c r="D2556" s="20">
        <v>3291.84</v>
      </c>
      <c r="E2556" s="22" t="s">
        <v>10</v>
      </c>
      <c r="F2556" s="22" t="s">
        <v>14</v>
      </c>
      <c r="G2556" s="22" t="s">
        <v>20</v>
      </c>
    </row>
    <row r="2557" ht="15.15" spans="1:7">
      <c r="A2557" s="20">
        <v>2555</v>
      </c>
      <c r="B2557" s="20">
        <v>625</v>
      </c>
      <c r="C2557" s="21">
        <v>45239</v>
      </c>
      <c r="D2557" s="20">
        <v>3291.84</v>
      </c>
      <c r="E2557" s="22" t="s">
        <v>10</v>
      </c>
      <c r="F2557" s="22" t="s">
        <v>18</v>
      </c>
      <c r="G2557" s="22" t="s">
        <v>12</v>
      </c>
    </row>
    <row r="2558" ht="15.15" spans="1:7">
      <c r="A2558" s="20">
        <v>2556</v>
      </c>
      <c r="B2558" s="20">
        <v>1064</v>
      </c>
      <c r="C2558" s="21">
        <v>44961</v>
      </c>
      <c r="D2558" s="20">
        <v>3291.84</v>
      </c>
      <c r="E2558" s="22" t="s">
        <v>10</v>
      </c>
      <c r="F2558" s="22" t="s">
        <v>13</v>
      </c>
      <c r="G2558" s="22" t="s">
        <v>17</v>
      </c>
    </row>
    <row r="2559" ht="15.15" spans="1:7">
      <c r="A2559" s="20">
        <v>2557</v>
      </c>
      <c r="B2559" s="20">
        <v>7798</v>
      </c>
      <c r="C2559" s="21">
        <v>45019</v>
      </c>
      <c r="D2559" s="20">
        <v>3291.84</v>
      </c>
      <c r="E2559" s="22" t="s">
        <v>21</v>
      </c>
      <c r="F2559" s="22" t="s">
        <v>13</v>
      </c>
      <c r="G2559" s="22" t="s">
        <v>12</v>
      </c>
    </row>
    <row r="2560" ht="15.15" spans="1:7">
      <c r="A2560" s="20">
        <v>2558</v>
      </c>
      <c r="B2560" s="20">
        <v>7599</v>
      </c>
      <c r="C2560" s="21">
        <v>45012</v>
      </c>
      <c r="D2560" s="20">
        <v>3291.84</v>
      </c>
      <c r="E2560" s="22" t="s">
        <v>10</v>
      </c>
      <c r="F2560" s="22" t="s">
        <v>16</v>
      </c>
      <c r="G2560" s="22" t="s">
        <v>17</v>
      </c>
    </row>
    <row r="2561" ht="15.15" spans="1:7">
      <c r="A2561" s="20">
        <v>2559</v>
      </c>
      <c r="B2561" s="20">
        <v>5613</v>
      </c>
      <c r="C2561" s="21">
        <v>45254</v>
      </c>
      <c r="D2561" s="20">
        <v>3291.84</v>
      </c>
      <c r="E2561" s="22" t="s">
        <v>10</v>
      </c>
      <c r="F2561" s="22" t="s">
        <v>13</v>
      </c>
      <c r="G2561" s="22" t="s">
        <v>15</v>
      </c>
    </row>
    <row r="2562" ht="15.15" spans="1:7">
      <c r="A2562" s="20">
        <v>2560</v>
      </c>
      <c r="B2562" s="20">
        <v>3960</v>
      </c>
      <c r="C2562" s="21">
        <v>44941</v>
      </c>
      <c r="D2562" s="20">
        <v>3291.84</v>
      </c>
      <c r="E2562" s="22" t="s">
        <v>10</v>
      </c>
      <c r="F2562" s="22" t="s">
        <v>11</v>
      </c>
      <c r="G2562" s="22" t="s">
        <v>20</v>
      </c>
    </row>
    <row r="2563" ht="15.15" spans="1:7">
      <c r="A2563" s="20">
        <v>2561</v>
      </c>
      <c r="B2563" s="20">
        <v>7269</v>
      </c>
      <c r="C2563" s="21">
        <v>45113</v>
      </c>
      <c r="D2563" s="20">
        <v>3291.84</v>
      </c>
      <c r="E2563" s="22" t="s">
        <v>10</v>
      </c>
      <c r="F2563" s="22" t="s">
        <v>14</v>
      </c>
      <c r="G2563" s="22" t="s">
        <v>20</v>
      </c>
    </row>
    <row r="2564" ht="15.15" spans="1:7">
      <c r="A2564" s="20">
        <v>2562</v>
      </c>
      <c r="B2564" s="20">
        <v>6329</v>
      </c>
      <c r="C2564" s="21">
        <v>45049</v>
      </c>
      <c r="D2564" s="20">
        <v>3291.84</v>
      </c>
      <c r="E2564" s="22" t="s">
        <v>22</v>
      </c>
      <c r="F2564" s="22" t="s">
        <v>13</v>
      </c>
      <c r="G2564" s="22" t="s">
        <v>15</v>
      </c>
    </row>
    <row r="2565" ht="15.15" spans="1:7">
      <c r="A2565" s="20">
        <v>2563</v>
      </c>
      <c r="B2565" s="20">
        <v>4894</v>
      </c>
      <c r="C2565" s="21">
        <v>45285</v>
      </c>
      <c r="D2565" s="20">
        <v>3291.84</v>
      </c>
      <c r="E2565" s="22" t="s">
        <v>22</v>
      </c>
      <c r="F2565" s="22" t="s">
        <v>16</v>
      </c>
      <c r="G2565" s="22" t="s">
        <v>12</v>
      </c>
    </row>
    <row r="2566" ht="15.15" spans="1:7">
      <c r="A2566" s="20">
        <v>2564</v>
      </c>
      <c r="B2566" s="20">
        <v>786</v>
      </c>
      <c r="C2566" s="21">
        <v>45099</v>
      </c>
      <c r="D2566" s="20">
        <v>3291.84</v>
      </c>
      <c r="E2566" s="22" t="s">
        <v>10</v>
      </c>
      <c r="F2566" s="22" t="s">
        <v>11</v>
      </c>
      <c r="G2566" s="22" t="s">
        <v>20</v>
      </c>
    </row>
    <row r="2567" ht="15.15" spans="1:7">
      <c r="A2567" s="20">
        <v>2565</v>
      </c>
      <c r="B2567" s="20">
        <v>188</v>
      </c>
      <c r="C2567" s="21">
        <v>45192</v>
      </c>
      <c r="D2567" s="20">
        <v>3291.84</v>
      </c>
      <c r="E2567" s="22" t="s">
        <v>10</v>
      </c>
      <c r="F2567" s="22" t="s">
        <v>11</v>
      </c>
      <c r="G2567" s="22" t="s">
        <v>12</v>
      </c>
    </row>
    <row r="2568" ht="15.15" spans="1:7">
      <c r="A2568" s="20">
        <v>2566</v>
      </c>
      <c r="B2568" s="20">
        <v>7450</v>
      </c>
      <c r="C2568" s="21">
        <v>45274</v>
      </c>
      <c r="D2568" s="20">
        <v>3291.84</v>
      </c>
      <c r="E2568" s="22" t="s">
        <v>10</v>
      </c>
      <c r="F2568" s="22" t="s">
        <v>11</v>
      </c>
      <c r="G2568" s="22" t="s">
        <v>20</v>
      </c>
    </row>
    <row r="2569" ht="15.15" spans="1:7">
      <c r="A2569" s="20">
        <v>2567</v>
      </c>
      <c r="B2569" s="20">
        <v>6609</v>
      </c>
      <c r="C2569" s="21">
        <v>45191</v>
      </c>
      <c r="D2569" s="20">
        <v>3291.84</v>
      </c>
      <c r="E2569" s="22" t="s">
        <v>10</v>
      </c>
      <c r="F2569" s="22" t="s">
        <v>19</v>
      </c>
      <c r="G2569" s="22" t="s">
        <v>15</v>
      </c>
    </row>
    <row r="2570" ht="15.15" spans="1:7">
      <c r="A2570" s="20">
        <v>2568</v>
      </c>
      <c r="B2570" s="20">
        <v>5182</v>
      </c>
      <c r="C2570" s="21">
        <v>44959</v>
      </c>
      <c r="D2570" s="20">
        <v>3291.84</v>
      </c>
      <c r="E2570" s="22" t="s">
        <v>10</v>
      </c>
      <c r="F2570" s="22" t="s">
        <v>11</v>
      </c>
      <c r="G2570" s="22" t="s">
        <v>15</v>
      </c>
    </row>
    <row r="2571" ht="15.15" spans="1:7">
      <c r="A2571" s="20">
        <v>2569</v>
      </c>
      <c r="B2571" s="20">
        <v>298</v>
      </c>
      <c r="C2571" s="21">
        <v>45173</v>
      </c>
      <c r="D2571" s="20">
        <v>3291.84</v>
      </c>
      <c r="E2571" s="22" t="s">
        <v>10</v>
      </c>
      <c r="F2571" s="22" t="s">
        <v>16</v>
      </c>
      <c r="G2571" s="22" t="s">
        <v>17</v>
      </c>
    </row>
    <row r="2572" ht="15.15" spans="1:7">
      <c r="A2572" s="20">
        <v>2570</v>
      </c>
      <c r="B2572" s="20">
        <v>6878</v>
      </c>
      <c r="C2572" s="21">
        <v>45020</v>
      </c>
      <c r="D2572" s="20">
        <v>3291.84</v>
      </c>
      <c r="E2572" s="22" t="s">
        <v>10</v>
      </c>
      <c r="F2572" s="22" t="s">
        <v>16</v>
      </c>
      <c r="G2572" s="22" t="s">
        <v>20</v>
      </c>
    </row>
    <row r="2573" ht="15.15" spans="1:7">
      <c r="A2573" s="20">
        <v>2571</v>
      </c>
      <c r="B2573" s="20">
        <v>5216</v>
      </c>
      <c r="C2573" s="21">
        <v>45218</v>
      </c>
      <c r="D2573" s="20">
        <v>3291.84</v>
      </c>
      <c r="E2573" s="22" t="s">
        <v>10</v>
      </c>
      <c r="F2573" s="22" t="s">
        <v>16</v>
      </c>
      <c r="G2573" s="22" t="s">
        <v>20</v>
      </c>
    </row>
    <row r="2574" ht="15.15" spans="1:7">
      <c r="A2574" s="20">
        <v>2572</v>
      </c>
      <c r="B2574" s="20">
        <v>3264</v>
      </c>
      <c r="C2574" s="21">
        <v>45162</v>
      </c>
      <c r="D2574" s="20">
        <v>3291.84</v>
      </c>
      <c r="E2574" s="22" t="s">
        <v>10</v>
      </c>
      <c r="F2574" s="22" t="s">
        <v>18</v>
      </c>
      <c r="G2574" s="22" t="s">
        <v>15</v>
      </c>
    </row>
    <row r="2575" ht="15.15" spans="1:7">
      <c r="A2575" s="20">
        <v>2573</v>
      </c>
      <c r="B2575" s="20">
        <v>9369</v>
      </c>
      <c r="C2575" s="21">
        <v>45132</v>
      </c>
      <c r="D2575" s="20">
        <v>3291.84</v>
      </c>
      <c r="E2575" s="22" t="s">
        <v>10</v>
      </c>
      <c r="F2575" s="22" t="s">
        <v>16</v>
      </c>
      <c r="G2575" s="22" t="s">
        <v>12</v>
      </c>
    </row>
    <row r="2576" ht="15.15" spans="1:7">
      <c r="A2576" s="20">
        <v>2574</v>
      </c>
      <c r="B2576" s="20">
        <v>7320</v>
      </c>
      <c r="C2576" s="21">
        <v>45157</v>
      </c>
      <c r="D2576" s="20">
        <v>3291.84</v>
      </c>
      <c r="E2576" s="22" t="s">
        <v>10</v>
      </c>
      <c r="F2576" s="22" t="s">
        <v>14</v>
      </c>
      <c r="G2576" s="22" t="s">
        <v>17</v>
      </c>
    </row>
    <row r="2577" ht="15.15" spans="1:7">
      <c r="A2577" s="20">
        <v>2575</v>
      </c>
      <c r="B2577" s="20">
        <v>9994</v>
      </c>
      <c r="C2577" s="21">
        <v>45286</v>
      </c>
      <c r="D2577" s="20">
        <v>3291.84</v>
      </c>
      <c r="E2577" s="22" t="s">
        <v>10</v>
      </c>
      <c r="F2577" s="22" t="s">
        <v>11</v>
      </c>
      <c r="G2577" s="22" t="s">
        <v>15</v>
      </c>
    </row>
    <row r="2578" ht="15.15" spans="1:7">
      <c r="A2578" s="20">
        <v>2576</v>
      </c>
      <c r="B2578" s="20">
        <v>2864</v>
      </c>
      <c r="C2578" s="21">
        <v>45273</v>
      </c>
      <c r="D2578" s="20">
        <v>3291.84</v>
      </c>
      <c r="E2578" s="22" t="s">
        <v>10</v>
      </c>
      <c r="F2578" s="22" t="s">
        <v>18</v>
      </c>
      <c r="G2578" s="22" t="s">
        <v>15</v>
      </c>
    </row>
    <row r="2579" ht="15.15" spans="1:7">
      <c r="A2579" s="20">
        <v>2577</v>
      </c>
      <c r="B2579" s="20">
        <v>2686</v>
      </c>
      <c r="C2579" s="21">
        <v>45052</v>
      </c>
      <c r="D2579" s="20">
        <v>3291.84</v>
      </c>
      <c r="E2579" s="22" t="s">
        <v>10</v>
      </c>
      <c r="F2579" s="22" t="s">
        <v>16</v>
      </c>
      <c r="G2579" s="22" t="s">
        <v>20</v>
      </c>
    </row>
    <row r="2580" ht="15.15" spans="1:7">
      <c r="A2580" s="20">
        <v>2578</v>
      </c>
      <c r="B2580" s="20">
        <v>9442</v>
      </c>
      <c r="C2580" s="21">
        <v>45165</v>
      </c>
      <c r="D2580" s="20">
        <v>3291.84</v>
      </c>
      <c r="E2580" s="22" t="s">
        <v>10</v>
      </c>
      <c r="F2580" s="22" t="s">
        <v>14</v>
      </c>
      <c r="G2580" s="22" t="s">
        <v>17</v>
      </c>
    </row>
    <row r="2581" ht="15.15" spans="1:7">
      <c r="A2581" s="20">
        <v>2579</v>
      </c>
      <c r="B2581" s="20">
        <v>8087</v>
      </c>
      <c r="C2581" s="21">
        <v>45280</v>
      </c>
      <c r="D2581" s="20">
        <v>3291.84</v>
      </c>
      <c r="E2581" s="22" t="s">
        <v>10</v>
      </c>
      <c r="F2581" s="22" t="s">
        <v>11</v>
      </c>
      <c r="G2581" s="22" t="s">
        <v>15</v>
      </c>
    </row>
    <row r="2582" ht="15.15" spans="1:7">
      <c r="A2582" s="20">
        <v>2580</v>
      </c>
      <c r="B2582" s="20">
        <v>8284</v>
      </c>
      <c r="C2582" s="21">
        <v>45278</v>
      </c>
      <c r="D2582" s="20">
        <v>3291.84</v>
      </c>
      <c r="E2582" s="22" t="s">
        <v>10</v>
      </c>
      <c r="F2582" s="22" t="s">
        <v>11</v>
      </c>
      <c r="G2582" s="22" t="s">
        <v>15</v>
      </c>
    </row>
    <row r="2583" ht="15.15" spans="1:7">
      <c r="A2583" s="20">
        <v>2581</v>
      </c>
      <c r="B2583" s="20">
        <v>4171</v>
      </c>
      <c r="C2583" s="21">
        <v>45284</v>
      </c>
      <c r="D2583" s="20">
        <v>3291.84</v>
      </c>
      <c r="E2583" s="22" t="s">
        <v>10</v>
      </c>
      <c r="F2583" s="22" t="s">
        <v>11</v>
      </c>
      <c r="G2583" s="22" t="s">
        <v>20</v>
      </c>
    </row>
    <row r="2584" ht="15.15" spans="1:7">
      <c r="A2584" s="20">
        <v>2582</v>
      </c>
      <c r="B2584" s="20">
        <v>4793</v>
      </c>
      <c r="C2584" s="21">
        <v>44944</v>
      </c>
      <c r="D2584" s="20">
        <v>3291.84</v>
      </c>
      <c r="E2584" s="22" t="s">
        <v>10</v>
      </c>
      <c r="F2584" s="22" t="s">
        <v>16</v>
      </c>
      <c r="G2584" s="22" t="s">
        <v>17</v>
      </c>
    </row>
    <row r="2585" ht="15.15" spans="1:7">
      <c r="A2585" s="20">
        <v>2583</v>
      </c>
      <c r="B2585" s="20">
        <v>2236</v>
      </c>
      <c r="C2585" s="21">
        <v>44949</v>
      </c>
      <c r="D2585" s="20">
        <v>3291.84</v>
      </c>
      <c r="E2585" s="22" t="s">
        <v>10</v>
      </c>
      <c r="F2585" s="22" t="s">
        <v>14</v>
      </c>
      <c r="G2585" s="22" t="s">
        <v>20</v>
      </c>
    </row>
    <row r="2586" ht="15.15" spans="1:7">
      <c r="A2586" s="20">
        <v>2584</v>
      </c>
      <c r="B2586" s="20">
        <v>5927</v>
      </c>
      <c r="C2586" s="21">
        <v>45163</v>
      </c>
      <c r="D2586" s="20">
        <v>3291.84</v>
      </c>
      <c r="E2586" s="22" t="s">
        <v>10</v>
      </c>
      <c r="F2586" s="22" t="s">
        <v>11</v>
      </c>
      <c r="G2586" s="22" t="s">
        <v>15</v>
      </c>
    </row>
    <row r="2587" ht="15.15" spans="1:7">
      <c r="A2587" s="20">
        <v>2585</v>
      </c>
      <c r="B2587" s="20">
        <v>1292</v>
      </c>
      <c r="C2587" s="21">
        <v>45000</v>
      </c>
      <c r="D2587" s="20">
        <v>3291.84</v>
      </c>
      <c r="E2587" s="22" t="s">
        <v>10</v>
      </c>
      <c r="F2587" s="22" t="s">
        <v>16</v>
      </c>
      <c r="G2587" s="22" t="s">
        <v>20</v>
      </c>
    </row>
    <row r="2588" ht="15.15" spans="1:7">
      <c r="A2588" s="20">
        <v>2586</v>
      </c>
      <c r="B2588" s="20">
        <v>255</v>
      </c>
      <c r="C2588" s="21">
        <v>45199</v>
      </c>
      <c r="D2588" s="20">
        <v>3291.84</v>
      </c>
      <c r="E2588" s="22" t="s">
        <v>10</v>
      </c>
      <c r="F2588" s="22" t="s">
        <v>18</v>
      </c>
      <c r="G2588" s="22" t="s">
        <v>15</v>
      </c>
    </row>
    <row r="2589" ht="15.15" spans="1:7">
      <c r="A2589" s="20">
        <v>2587</v>
      </c>
      <c r="B2589" s="20">
        <v>5355</v>
      </c>
      <c r="C2589" s="21">
        <v>45062</v>
      </c>
      <c r="D2589" s="20">
        <v>3291.84</v>
      </c>
      <c r="E2589" s="22" t="s">
        <v>10</v>
      </c>
      <c r="F2589" s="22" t="s">
        <v>11</v>
      </c>
      <c r="G2589" s="22" t="s">
        <v>15</v>
      </c>
    </row>
    <row r="2590" ht="15.15" spans="1:7">
      <c r="A2590" s="20">
        <v>2588</v>
      </c>
      <c r="B2590" s="20">
        <v>4569</v>
      </c>
      <c r="C2590" s="21">
        <v>45229</v>
      </c>
      <c r="D2590" s="20">
        <v>3291.84</v>
      </c>
      <c r="E2590" s="22" t="s">
        <v>10</v>
      </c>
      <c r="F2590" s="22" t="s">
        <v>18</v>
      </c>
      <c r="G2590" s="22" t="s">
        <v>20</v>
      </c>
    </row>
    <row r="2591" ht="15.15" spans="1:7">
      <c r="A2591" s="20">
        <v>2589</v>
      </c>
      <c r="B2591" s="20">
        <v>7253</v>
      </c>
      <c r="C2591" s="21">
        <v>44956</v>
      </c>
      <c r="D2591" s="20">
        <v>3291.84</v>
      </c>
      <c r="E2591" s="22" t="s">
        <v>10</v>
      </c>
      <c r="F2591" s="22" t="s">
        <v>13</v>
      </c>
      <c r="G2591" s="22" t="s">
        <v>17</v>
      </c>
    </row>
    <row r="2592" ht="15.15" spans="1:7">
      <c r="A2592" s="20">
        <v>2590</v>
      </c>
      <c r="B2592" s="20">
        <v>8274</v>
      </c>
      <c r="C2592" s="21">
        <v>44999</v>
      </c>
      <c r="D2592" s="20">
        <v>3291.84</v>
      </c>
      <c r="E2592" s="22" t="s">
        <v>10</v>
      </c>
      <c r="F2592" s="22" t="s">
        <v>13</v>
      </c>
      <c r="G2592" s="22" t="s">
        <v>12</v>
      </c>
    </row>
    <row r="2593" ht="15.15" spans="1:7">
      <c r="A2593" s="20">
        <v>2591</v>
      </c>
      <c r="B2593" s="20">
        <v>4370</v>
      </c>
      <c r="C2593" s="21">
        <v>45214</v>
      </c>
      <c r="D2593" s="20">
        <v>3291.84</v>
      </c>
      <c r="E2593" s="22" t="s">
        <v>10</v>
      </c>
      <c r="F2593" s="22" t="s">
        <v>14</v>
      </c>
      <c r="G2593" s="22" t="s">
        <v>20</v>
      </c>
    </row>
    <row r="2594" ht="15.15" spans="1:7">
      <c r="A2594" s="20">
        <v>2592</v>
      </c>
      <c r="B2594" s="20">
        <v>5070</v>
      </c>
      <c r="C2594" s="21">
        <v>44946</v>
      </c>
      <c r="D2594" s="20">
        <v>3291.84</v>
      </c>
      <c r="E2594" s="22" t="s">
        <v>10</v>
      </c>
      <c r="F2594" s="22" t="s">
        <v>11</v>
      </c>
      <c r="G2594" s="22" t="s">
        <v>15</v>
      </c>
    </row>
    <row r="2595" ht="15.15" spans="1:7">
      <c r="A2595" s="20">
        <v>2593</v>
      </c>
      <c r="B2595" s="20">
        <v>5242</v>
      </c>
      <c r="C2595" s="21">
        <v>45199</v>
      </c>
      <c r="D2595" s="20">
        <v>3291.84</v>
      </c>
      <c r="E2595" s="22" t="s">
        <v>10</v>
      </c>
      <c r="F2595" s="22" t="s">
        <v>18</v>
      </c>
      <c r="G2595" s="22" t="s">
        <v>15</v>
      </c>
    </row>
    <row r="2596" ht="15.15" spans="1:7">
      <c r="A2596" s="20">
        <v>2594</v>
      </c>
      <c r="B2596" s="20">
        <v>445</v>
      </c>
      <c r="C2596" s="21">
        <v>45015</v>
      </c>
      <c r="D2596" s="20">
        <v>3291.84</v>
      </c>
      <c r="E2596" s="22" t="s">
        <v>10</v>
      </c>
      <c r="F2596" s="22" t="s">
        <v>16</v>
      </c>
      <c r="G2596" s="22" t="s">
        <v>20</v>
      </c>
    </row>
    <row r="2597" ht="15.15" spans="1:7">
      <c r="A2597" s="20">
        <v>2595</v>
      </c>
      <c r="B2597" s="20">
        <v>8781</v>
      </c>
      <c r="C2597" s="21">
        <v>45057</v>
      </c>
      <c r="D2597" s="20">
        <v>3291.84</v>
      </c>
      <c r="E2597" s="22" t="s">
        <v>10</v>
      </c>
      <c r="F2597" s="22" t="s">
        <v>13</v>
      </c>
      <c r="G2597" s="22" t="s">
        <v>12</v>
      </c>
    </row>
    <row r="2598" ht="15.15" spans="1:7">
      <c r="A2598" s="20">
        <v>2596</v>
      </c>
      <c r="B2598" s="20">
        <v>8953</v>
      </c>
      <c r="C2598" s="21">
        <v>45210</v>
      </c>
      <c r="D2598" s="20">
        <v>3291.84</v>
      </c>
      <c r="E2598" s="22" t="s">
        <v>10</v>
      </c>
      <c r="F2598" s="22" t="s">
        <v>16</v>
      </c>
      <c r="G2598" s="22" t="s">
        <v>15</v>
      </c>
    </row>
    <row r="2599" ht="15.15" spans="1:7">
      <c r="A2599" s="20">
        <v>2597</v>
      </c>
      <c r="B2599" s="20">
        <v>7517</v>
      </c>
      <c r="C2599" s="21">
        <v>45078</v>
      </c>
      <c r="D2599" s="20">
        <v>3291.84</v>
      </c>
      <c r="E2599" s="22" t="s">
        <v>10</v>
      </c>
      <c r="F2599" s="22" t="s">
        <v>14</v>
      </c>
      <c r="G2599" s="22" t="s">
        <v>12</v>
      </c>
    </row>
    <row r="2600" ht="15.15" spans="1:7">
      <c r="A2600" s="20">
        <v>2598</v>
      </c>
      <c r="B2600" s="20">
        <v>8902</v>
      </c>
      <c r="C2600" s="21">
        <v>45089</v>
      </c>
      <c r="D2600" s="20">
        <v>3291.84</v>
      </c>
      <c r="E2600" s="22" t="s">
        <v>10</v>
      </c>
      <c r="F2600" s="22" t="s">
        <v>13</v>
      </c>
      <c r="G2600" s="22" t="s">
        <v>12</v>
      </c>
    </row>
    <row r="2601" ht="15.15" spans="1:7">
      <c r="A2601" s="20">
        <v>2599</v>
      </c>
      <c r="B2601" s="20">
        <v>5978</v>
      </c>
      <c r="C2601" s="21">
        <v>45284</v>
      </c>
      <c r="D2601" s="20">
        <v>3291.84</v>
      </c>
      <c r="E2601" s="22" t="s">
        <v>10</v>
      </c>
      <c r="F2601" s="22" t="s">
        <v>14</v>
      </c>
      <c r="G2601" s="22" t="s">
        <v>12</v>
      </c>
    </row>
    <row r="2602" ht="15.15" spans="1:7">
      <c r="A2602" s="20">
        <v>2600</v>
      </c>
      <c r="B2602" s="20">
        <v>2255</v>
      </c>
      <c r="C2602" s="21">
        <v>45233</v>
      </c>
      <c r="D2602" s="20">
        <v>3291.84</v>
      </c>
      <c r="E2602" s="22" t="s">
        <v>10</v>
      </c>
      <c r="F2602" s="22" t="s">
        <v>18</v>
      </c>
      <c r="G2602" s="22" t="s">
        <v>20</v>
      </c>
    </row>
    <row r="2603" ht="15.15" spans="1:7">
      <c r="A2603" s="20">
        <v>2601</v>
      </c>
      <c r="B2603" s="20">
        <v>4292</v>
      </c>
      <c r="C2603" s="21">
        <v>45269</v>
      </c>
      <c r="D2603" s="20">
        <v>3291.84</v>
      </c>
      <c r="E2603" s="22" t="s">
        <v>10</v>
      </c>
      <c r="F2603" s="22" t="s">
        <v>18</v>
      </c>
      <c r="G2603" s="22" t="s">
        <v>20</v>
      </c>
    </row>
    <row r="2604" ht="15.15" spans="1:7">
      <c r="A2604" s="20">
        <v>2602</v>
      </c>
      <c r="B2604" s="20">
        <v>3873</v>
      </c>
      <c r="C2604" s="21">
        <v>45013</v>
      </c>
      <c r="D2604" s="20">
        <v>3291.84</v>
      </c>
      <c r="E2604" s="22" t="s">
        <v>10</v>
      </c>
      <c r="F2604" s="22" t="s">
        <v>14</v>
      </c>
      <c r="G2604" s="22" t="s">
        <v>20</v>
      </c>
    </row>
    <row r="2605" ht="15.15" spans="1:7">
      <c r="A2605" s="20">
        <v>2603</v>
      </c>
      <c r="B2605" s="20">
        <v>9658</v>
      </c>
      <c r="C2605" s="21">
        <v>45018</v>
      </c>
      <c r="D2605" s="20">
        <v>3291.84</v>
      </c>
      <c r="E2605" s="22" t="s">
        <v>10</v>
      </c>
      <c r="F2605" s="22" t="s">
        <v>18</v>
      </c>
      <c r="G2605" s="22" t="s">
        <v>20</v>
      </c>
    </row>
    <row r="2606" ht="15.15" spans="1:7">
      <c r="A2606" s="20">
        <v>2604</v>
      </c>
      <c r="B2606" s="20">
        <v>824</v>
      </c>
      <c r="C2606" s="21">
        <v>45119</v>
      </c>
      <c r="D2606" s="20">
        <v>3291.84</v>
      </c>
      <c r="E2606" s="22" t="s">
        <v>10</v>
      </c>
      <c r="F2606" s="22" t="s">
        <v>14</v>
      </c>
      <c r="G2606" s="22" t="s">
        <v>15</v>
      </c>
    </row>
    <row r="2607" ht="15.15" spans="1:7">
      <c r="A2607" s="20">
        <v>2605</v>
      </c>
      <c r="B2607" s="20">
        <v>8750</v>
      </c>
      <c r="C2607" s="21">
        <v>45245</v>
      </c>
      <c r="D2607" s="20">
        <v>3291.84</v>
      </c>
      <c r="E2607" s="22" t="s">
        <v>10</v>
      </c>
      <c r="F2607" s="22" t="s">
        <v>11</v>
      </c>
      <c r="G2607" s="22" t="s">
        <v>15</v>
      </c>
    </row>
    <row r="2608" ht="15.15" spans="1:7">
      <c r="A2608" s="20">
        <v>2606</v>
      </c>
      <c r="B2608" s="20">
        <v>2388</v>
      </c>
      <c r="C2608" s="21">
        <v>45204</v>
      </c>
      <c r="D2608" s="20">
        <v>3291.84</v>
      </c>
      <c r="E2608" s="22" t="s">
        <v>10</v>
      </c>
      <c r="F2608" s="22" t="s">
        <v>11</v>
      </c>
      <c r="G2608" s="22" t="s">
        <v>17</v>
      </c>
    </row>
    <row r="2609" ht="15.15" spans="1:7">
      <c r="A2609" s="20">
        <v>2607</v>
      </c>
      <c r="B2609" s="20">
        <v>5422</v>
      </c>
      <c r="C2609" s="21">
        <v>45268</v>
      </c>
      <c r="D2609" s="20">
        <v>3291.84</v>
      </c>
      <c r="E2609" s="22" t="s">
        <v>10</v>
      </c>
      <c r="F2609" s="22" t="s">
        <v>18</v>
      </c>
      <c r="G2609" s="22" t="s">
        <v>12</v>
      </c>
    </row>
    <row r="2610" ht="15.15" spans="1:7">
      <c r="A2610" s="20">
        <v>2608</v>
      </c>
      <c r="B2610" s="20">
        <v>9982</v>
      </c>
      <c r="C2610" s="21">
        <v>45277</v>
      </c>
      <c r="D2610" s="20">
        <v>3291.84</v>
      </c>
      <c r="E2610" s="22" t="s">
        <v>10</v>
      </c>
      <c r="F2610" s="22" t="s">
        <v>14</v>
      </c>
      <c r="G2610" s="22" t="s">
        <v>17</v>
      </c>
    </row>
    <row r="2611" ht="15.15" spans="1:7">
      <c r="A2611" s="20">
        <v>2609</v>
      </c>
      <c r="B2611" s="20">
        <v>2089</v>
      </c>
      <c r="C2611" s="21">
        <v>44931</v>
      </c>
      <c r="D2611" s="20">
        <v>3291.84</v>
      </c>
      <c r="E2611" s="22" t="s">
        <v>10</v>
      </c>
      <c r="F2611" s="22" t="s">
        <v>13</v>
      </c>
      <c r="G2611" s="22" t="s">
        <v>20</v>
      </c>
    </row>
    <row r="2612" ht="15.15" spans="1:7">
      <c r="A2612" s="20">
        <v>2610</v>
      </c>
      <c r="B2612" s="20">
        <v>5162</v>
      </c>
      <c r="C2612" s="21">
        <v>45203</v>
      </c>
      <c r="D2612" s="20">
        <v>3291.84</v>
      </c>
      <c r="E2612" s="22" t="s">
        <v>10</v>
      </c>
      <c r="F2612" s="22" t="s">
        <v>13</v>
      </c>
      <c r="G2612" s="22" t="s">
        <v>17</v>
      </c>
    </row>
    <row r="2613" ht="15.15" spans="1:7">
      <c r="A2613" s="20">
        <v>2611</v>
      </c>
      <c r="B2613" s="20">
        <v>3893</v>
      </c>
      <c r="C2613" s="21">
        <v>45203</v>
      </c>
      <c r="D2613" s="20">
        <v>3291.84</v>
      </c>
      <c r="E2613" s="22" t="s">
        <v>10</v>
      </c>
      <c r="F2613" s="22" t="s">
        <v>16</v>
      </c>
      <c r="G2613" s="22" t="s">
        <v>20</v>
      </c>
    </row>
    <row r="2614" ht="15.15" spans="1:7">
      <c r="A2614" s="20">
        <v>2612</v>
      </c>
      <c r="B2614" s="20">
        <v>2311</v>
      </c>
      <c r="C2614" s="21">
        <v>45183</v>
      </c>
      <c r="D2614" s="20">
        <v>3291.84</v>
      </c>
      <c r="E2614" s="22" t="s">
        <v>10</v>
      </c>
      <c r="F2614" s="22" t="s">
        <v>18</v>
      </c>
      <c r="G2614" s="22" t="s">
        <v>12</v>
      </c>
    </row>
    <row r="2615" ht="15.15" spans="1:7">
      <c r="A2615" s="20">
        <v>2613</v>
      </c>
      <c r="B2615" s="20">
        <v>9040</v>
      </c>
      <c r="C2615" s="21">
        <v>45200</v>
      </c>
      <c r="D2615" s="20">
        <v>3291.84</v>
      </c>
      <c r="E2615" s="22" t="s">
        <v>10</v>
      </c>
      <c r="F2615" s="22" t="s">
        <v>18</v>
      </c>
      <c r="G2615" s="22" t="s">
        <v>15</v>
      </c>
    </row>
    <row r="2616" ht="15.15" spans="1:7">
      <c r="A2616" s="20">
        <v>2614</v>
      </c>
      <c r="B2616" s="20">
        <v>8708</v>
      </c>
      <c r="C2616" s="21">
        <v>45087</v>
      </c>
      <c r="D2616" s="20">
        <v>3291.84</v>
      </c>
      <c r="E2616" s="22" t="s">
        <v>10</v>
      </c>
      <c r="F2616" s="22" t="s">
        <v>14</v>
      </c>
      <c r="G2616" s="22" t="s">
        <v>20</v>
      </c>
    </row>
    <row r="2617" ht="15.15" spans="1:7">
      <c r="A2617" s="20">
        <v>2615</v>
      </c>
      <c r="B2617" s="20">
        <v>6914</v>
      </c>
      <c r="C2617" s="21">
        <v>45214</v>
      </c>
      <c r="D2617" s="20">
        <v>3291.84</v>
      </c>
      <c r="E2617" s="22" t="s">
        <v>10</v>
      </c>
      <c r="F2617" s="22" t="s">
        <v>18</v>
      </c>
      <c r="G2617" s="22" t="s">
        <v>12</v>
      </c>
    </row>
    <row r="2618" ht="15.15" spans="1:7">
      <c r="A2618" s="20">
        <v>2616</v>
      </c>
      <c r="B2618" s="20">
        <v>4042</v>
      </c>
      <c r="C2618" s="21">
        <v>45044</v>
      </c>
      <c r="D2618" s="20">
        <v>3291.84</v>
      </c>
      <c r="E2618" s="22" t="s">
        <v>10</v>
      </c>
      <c r="F2618" s="22" t="s">
        <v>11</v>
      </c>
      <c r="G2618" s="22" t="s">
        <v>20</v>
      </c>
    </row>
    <row r="2619" ht="15.15" spans="1:7">
      <c r="A2619" s="20">
        <v>2617</v>
      </c>
      <c r="B2619" s="20">
        <v>6094</v>
      </c>
      <c r="C2619" s="21">
        <v>45227</v>
      </c>
      <c r="D2619" s="20">
        <v>3291.84</v>
      </c>
      <c r="E2619" s="22" t="s">
        <v>10</v>
      </c>
      <c r="F2619" s="22" t="s">
        <v>16</v>
      </c>
      <c r="G2619" s="22" t="s">
        <v>20</v>
      </c>
    </row>
    <row r="2620" ht="15.15" spans="1:7">
      <c r="A2620" s="20">
        <v>2618</v>
      </c>
      <c r="B2620" s="20">
        <v>6876</v>
      </c>
      <c r="C2620" s="21">
        <v>45141</v>
      </c>
      <c r="D2620" s="20">
        <v>3291.84</v>
      </c>
      <c r="E2620" s="22" t="s">
        <v>10</v>
      </c>
      <c r="F2620" s="22" t="s">
        <v>18</v>
      </c>
      <c r="G2620" s="22" t="s">
        <v>12</v>
      </c>
    </row>
    <row r="2621" ht="15.15" spans="1:7">
      <c r="A2621" s="20">
        <v>2619</v>
      </c>
      <c r="B2621" s="20">
        <v>2134</v>
      </c>
      <c r="C2621" s="21">
        <v>45220</v>
      </c>
      <c r="D2621" s="20">
        <v>3291.84</v>
      </c>
      <c r="E2621" s="22" t="s">
        <v>10</v>
      </c>
      <c r="F2621" s="22" t="s">
        <v>16</v>
      </c>
      <c r="G2621" s="22" t="s">
        <v>17</v>
      </c>
    </row>
    <row r="2622" ht="15.15" spans="1:7">
      <c r="A2622" s="20">
        <v>2620</v>
      </c>
      <c r="B2622" s="20">
        <v>4642</v>
      </c>
      <c r="C2622" s="21">
        <v>45035</v>
      </c>
      <c r="D2622" s="20">
        <v>3291.84</v>
      </c>
      <c r="E2622" s="22" t="s">
        <v>10</v>
      </c>
      <c r="F2622" s="22" t="s">
        <v>18</v>
      </c>
      <c r="G2622" s="22" t="s">
        <v>20</v>
      </c>
    </row>
    <row r="2623" ht="15.15" spans="1:7">
      <c r="A2623" s="20">
        <v>2621</v>
      </c>
      <c r="B2623" s="20">
        <v>7968</v>
      </c>
      <c r="C2623" s="21">
        <v>45022</v>
      </c>
      <c r="D2623" s="20">
        <v>3291.84</v>
      </c>
      <c r="E2623" s="22" t="s">
        <v>10</v>
      </c>
      <c r="F2623" s="22" t="s">
        <v>14</v>
      </c>
      <c r="G2623" s="22" t="s">
        <v>12</v>
      </c>
    </row>
    <row r="2624" ht="15.15" spans="1:7">
      <c r="A2624" s="20">
        <v>2622</v>
      </c>
      <c r="B2624" s="20">
        <v>626</v>
      </c>
      <c r="C2624" s="21">
        <v>45252</v>
      </c>
      <c r="D2624" s="20">
        <v>3291.84</v>
      </c>
      <c r="E2624" s="22" t="s">
        <v>10</v>
      </c>
      <c r="F2624" s="22" t="s">
        <v>18</v>
      </c>
      <c r="G2624" s="22" t="s">
        <v>12</v>
      </c>
    </row>
    <row r="2625" ht="15.15" spans="1:7">
      <c r="A2625" s="20">
        <v>2623</v>
      </c>
      <c r="B2625" s="20">
        <v>2501</v>
      </c>
      <c r="C2625" s="21">
        <v>44992</v>
      </c>
      <c r="D2625" s="20">
        <v>3291.84</v>
      </c>
      <c r="E2625" s="22" t="s">
        <v>10</v>
      </c>
      <c r="F2625" s="22" t="s">
        <v>13</v>
      </c>
      <c r="G2625" s="22" t="s">
        <v>20</v>
      </c>
    </row>
    <row r="2626" ht="15.15" spans="1:7">
      <c r="A2626" s="20">
        <v>2624</v>
      </c>
      <c r="B2626" s="20">
        <v>7261</v>
      </c>
      <c r="C2626" s="21">
        <v>45236</v>
      </c>
      <c r="D2626" s="20">
        <v>3291.84</v>
      </c>
      <c r="E2626" s="22" t="s">
        <v>10</v>
      </c>
      <c r="F2626" s="22" t="s">
        <v>18</v>
      </c>
      <c r="G2626" s="22" t="s">
        <v>20</v>
      </c>
    </row>
    <row r="2627" ht="15.15" spans="1:7">
      <c r="A2627" s="20">
        <v>2625</v>
      </c>
      <c r="B2627" s="20">
        <v>2345</v>
      </c>
      <c r="C2627" s="21">
        <v>44938</v>
      </c>
      <c r="D2627" s="20">
        <v>3291.84</v>
      </c>
      <c r="E2627" s="22" t="s">
        <v>10</v>
      </c>
      <c r="F2627" s="22" t="s">
        <v>13</v>
      </c>
      <c r="G2627" s="22" t="s">
        <v>20</v>
      </c>
    </row>
    <row r="2628" ht="15.15" spans="1:7">
      <c r="A2628" s="20">
        <v>2626</v>
      </c>
      <c r="B2628" s="20">
        <v>4728</v>
      </c>
      <c r="C2628" s="21">
        <v>45071</v>
      </c>
      <c r="D2628" s="20">
        <v>3291.84</v>
      </c>
      <c r="E2628" s="22" t="s">
        <v>10</v>
      </c>
      <c r="F2628" s="22" t="s">
        <v>14</v>
      </c>
      <c r="G2628" s="22" t="s">
        <v>12</v>
      </c>
    </row>
    <row r="2629" ht="15.15" spans="1:7">
      <c r="A2629" s="20">
        <v>2627</v>
      </c>
      <c r="B2629" s="20">
        <v>434</v>
      </c>
      <c r="C2629" s="21">
        <v>45086</v>
      </c>
      <c r="D2629" s="20">
        <v>3291.84</v>
      </c>
      <c r="E2629" s="22" t="s">
        <v>10</v>
      </c>
      <c r="F2629" s="22" t="s">
        <v>14</v>
      </c>
      <c r="G2629" s="22" t="s">
        <v>20</v>
      </c>
    </row>
    <row r="2630" ht="15.15" spans="1:7">
      <c r="A2630" s="20">
        <v>2628</v>
      </c>
      <c r="B2630" s="20">
        <v>2510</v>
      </c>
      <c r="C2630" s="21">
        <v>45247</v>
      </c>
      <c r="D2630" s="20">
        <v>3291.84</v>
      </c>
      <c r="E2630" s="22" t="s">
        <v>10</v>
      </c>
      <c r="F2630" s="22" t="s">
        <v>14</v>
      </c>
      <c r="G2630" s="22" t="s">
        <v>12</v>
      </c>
    </row>
    <row r="2631" ht="15.15" spans="1:7">
      <c r="A2631" s="20">
        <v>2629</v>
      </c>
      <c r="B2631" s="20">
        <v>9236</v>
      </c>
      <c r="C2631" s="21">
        <v>44943</v>
      </c>
      <c r="D2631" s="20">
        <v>3291.84</v>
      </c>
      <c r="E2631" s="22" t="s">
        <v>10</v>
      </c>
      <c r="F2631" s="22" t="s">
        <v>18</v>
      </c>
      <c r="G2631" s="22" t="s">
        <v>15</v>
      </c>
    </row>
    <row r="2632" ht="15.15" spans="1:7">
      <c r="A2632" s="20">
        <v>2630</v>
      </c>
      <c r="B2632" s="20">
        <v>3771</v>
      </c>
      <c r="C2632" s="21">
        <v>44947</v>
      </c>
      <c r="D2632" s="20">
        <v>3291.84</v>
      </c>
      <c r="E2632" s="22" t="s">
        <v>10</v>
      </c>
      <c r="F2632" s="22" t="s">
        <v>14</v>
      </c>
      <c r="G2632" s="22" t="s">
        <v>15</v>
      </c>
    </row>
    <row r="2633" ht="15.15" spans="1:7">
      <c r="A2633" s="20">
        <v>2631</v>
      </c>
      <c r="B2633" s="20">
        <v>4934</v>
      </c>
      <c r="C2633" s="21">
        <v>45239</v>
      </c>
      <c r="D2633" s="20">
        <v>3291.84</v>
      </c>
      <c r="E2633" s="22" t="s">
        <v>10</v>
      </c>
      <c r="F2633" s="22" t="s">
        <v>18</v>
      </c>
      <c r="G2633" s="22" t="s">
        <v>17</v>
      </c>
    </row>
    <row r="2634" ht="15.15" spans="1:7">
      <c r="A2634" s="20">
        <v>2632</v>
      </c>
      <c r="B2634" s="20">
        <v>9366</v>
      </c>
      <c r="C2634" s="21">
        <v>45192</v>
      </c>
      <c r="D2634" s="20">
        <v>3291.84</v>
      </c>
      <c r="E2634" s="22" t="s">
        <v>10</v>
      </c>
      <c r="F2634" s="22" t="s">
        <v>16</v>
      </c>
      <c r="G2634" s="22" t="s">
        <v>15</v>
      </c>
    </row>
    <row r="2635" ht="15.15" spans="1:7">
      <c r="A2635" s="20">
        <v>2633</v>
      </c>
      <c r="B2635" s="20">
        <v>1528</v>
      </c>
      <c r="C2635" s="21">
        <v>45206</v>
      </c>
      <c r="D2635" s="20">
        <v>3291.84</v>
      </c>
      <c r="E2635" s="22" t="s">
        <v>10</v>
      </c>
      <c r="F2635" s="22" t="s">
        <v>18</v>
      </c>
      <c r="G2635" s="22" t="s">
        <v>17</v>
      </c>
    </row>
    <row r="2636" ht="15.15" spans="1:7">
      <c r="A2636" s="20">
        <v>2634</v>
      </c>
      <c r="B2636" s="20">
        <v>5942</v>
      </c>
      <c r="C2636" s="21">
        <v>45035</v>
      </c>
      <c r="D2636" s="20">
        <v>3291.84</v>
      </c>
      <c r="E2636" s="22" t="s">
        <v>10</v>
      </c>
      <c r="F2636" s="22" t="s">
        <v>14</v>
      </c>
      <c r="G2636" s="22" t="s">
        <v>15</v>
      </c>
    </row>
    <row r="2637" ht="15.15" spans="1:7">
      <c r="A2637" s="20">
        <v>2635</v>
      </c>
      <c r="B2637" s="20">
        <v>1900</v>
      </c>
      <c r="C2637" s="21">
        <v>45024</v>
      </c>
      <c r="D2637" s="20">
        <v>3291.84</v>
      </c>
      <c r="E2637" s="22" t="s">
        <v>10</v>
      </c>
      <c r="F2637" s="22" t="s">
        <v>13</v>
      </c>
      <c r="G2637" s="22" t="s">
        <v>17</v>
      </c>
    </row>
    <row r="2638" ht="15.15" spans="1:7">
      <c r="A2638" s="20">
        <v>2636</v>
      </c>
      <c r="B2638" s="20">
        <v>1929</v>
      </c>
      <c r="C2638" s="21">
        <v>45242</v>
      </c>
      <c r="D2638" s="20">
        <v>3291.84</v>
      </c>
      <c r="E2638" s="22" t="s">
        <v>10</v>
      </c>
      <c r="F2638" s="22" t="s">
        <v>14</v>
      </c>
      <c r="G2638" s="22" t="s">
        <v>12</v>
      </c>
    </row>
    <row r="2639" ht="15.15" spans="1:7">
      <c r="A2639" s="20">
        <v>2637</v>
      </c>
      <c r="B2639" s="20">
        <v>9606</v>
      </c>
      <c r="C2639" s="21">
        <v>45200</v>
      </c>
      <c r="D2639" s="20">
        <v>3291.84</v>
      </c>
      <c r="E2639" s="22" t="s">
        <v>10</v>
      </c>
      <c r="F2639" s="22" t="s">
        <v>11</v>
      </c>
      <c r="G2639" s="22" t="s">
        <v>20</v>
      </c>
    </row>
    <row r="2640" ht="15.15" spans="1:7">
      <c r="A2640" s="20">
        <v>2638</v>
      </c>
      <c r="B2640" s="20">
        <v>7362</v>
      </c>
      <c r="C2640" s="21">
        <v>45226</v>
      </c>
      <c r="D2640" s="20">
        <v>3291.84</v>
      </c>
      <c r="E2640" s="22" t="s">
        <v>10</v>
      </c>
      <c r="F2640" s="22" t="s">
        <v>13</v>
      </c>
      <c r="G2640" s="22" t="s">
        <v>12</v>
      </c>
    </row>
    <row r="2641" ht="15.15" spans="1:7">
      <c r="A2641" s="20">
        <v>2639</v>
      </c>
      <c r="B2641" s="20">
        <v>2385</v>
      </c>
      <c r="C2641" s="21">
        <v>45143</v>
      </c>
      <c r="D2641" s="20">
        <v>3291.84</v>
      </c>
      <c r="E2641" s="22" t="s">
        <v>10</v>
      </c>
      <c r="F2641" s="22" t="s">
        <v>16</v>
      </c>
      <c r="G2641" s="22" t="s">
        <v>17</v>
      </c>
    </row>
    <row r="2642" ht="15.15" spans="1:7">
      <c r="A2642" s="20">
        <v>2640</v>
      </c>
      <c r="B2642" s="20">
        <v>1826</v>
      </c>
      <c r="C2642" s="21">
        <v>45248</v>
      </c>
      <c r="D2642" s="20">
        <v>3291.84</v>
      </c>
      <c r="E2642" s="22" t="s">
        <v>10</v>
      </c>
      <c r="F2642" s="22" t="s">
        <v>11</v>
      </c>
      <c r="G2642" s="22" t="s">
        <v>15</v>
      </c>
    </row>
    <row r="2643" ht="15.15" spans="1:7">
      <c r="A2643" s="20">
        <v>2641</v>
      </c>
      <c r="B2643" s="20">
        <v>296</v>
      </c>
      <c r="C2643" s="21">
        <v>44962</v>
      </c>
      <c r="D2643" s="20">
        <v>3291.84</v>
      </c>
      <c r="E2643" s="22" t="s">
        <v>10</v>
      </c>
      <c r="F2643" s="22" t="s">
        <v>11</v>
      </c>
      <c r="G2643" s="22" t="s">
        <v>12</v>
      </c>
    </row>
    <row r="2644" ht="15.15" spans="1:7">
      <c r="A2644" s="20">
        <v>2642</v>
      </c>
      <c r="B2644" s="20">
        <v>6402</v>
      </c>
      <c r="C2644" s="21">
        <v>45116</v>
      </c>
      <c r="D2644" s="20">
        <v>3291.84</v>
      </c>
      <c r="E2644" s="22" t="s">
        <v>10</v>
      </c>
      <c r="F2644" s="22" t="s">
        <v>18</v>
      </c>
      <c r="G2644" s="22" t="s">
        <v>12</v>
      </c>
    </row>
    <row r="2645" ht="15.15" spans="1:7">
      <c r="A2645" s="20">
        <v>2643</v>
      </c>
      <c r="B2645" s="20">
        <v>1435</v>
      </c>
      <c r="C2645" s="21">
        <v>45212</v>
      </c>
      <c r="D2645" s="20">
        <v>3291.84</v>
      </c>
      <c r="E2645" s="22" t="s">
        <v>10</v>
      </c>
      <c r="F2645" s="22" t="s">
        <v>11</v>
      </c>
      <c r="G2645" s="22" t="s">
        <v>20</v>
      </c>
    </row>
    <row r="2646" ht="15.15" spans="1:7">
      <c r="A2646" s="20">
        <v>2644</v>
      </c>
      <c r="B2646" s="20">
        <v>4279</v>
      </c>
      <c r="C2646" s="21">
        <v>45153</v>
      </c>
      <c r="D2646" s="20">
        <v>3291.84</v>
      </c>
      <c r="E2646" s="22" t="s">
        <v>10</v>
      </c>
      <c r="F2646" s="22" t="s">
        <v>13</v>
      </c>
      <c r="G2646" s="22" t="s">
        <v>20</v>
      </c>
    </row>
    <row r="2647" ht="15.15" spans="1:7">
      <c r="A2647" s="20">
        <v>2645</v>
      </c>
      <c r="B2647" s="20">
        <v>6472</v>
      </c>
      <c r="C2647" s="21">
        <v>45196</v>
      </c>
      <c r="D2647" s="20">
        <v>3291.84</v>
      </c>
      <c r="E2647" s="22" t="s">
        <v>10</v>
      </c>
      <c r="F2647" s="22" t="s">
        <v>18</v>
      </c>
      <c r="G2647" s="22" t="s">
        <v>20</v>
      </c>
    </row>
    <row r="2648" ht="15.15" spans="1:7">
      <c r="A2648" s="20">
        <v>2646</v>
      </c>
      <c r="B2648" s="20">
        <v>5644</v>
      </c>
      <c r="C2648" s="21">
        <v>45051</v>
      </c>
      <c r="D2648" s="20">
        <v>3291.84</v>
      </c>
      <c r="E2648" s="22" t="s">
        <v>10</v>
      </c>
      <c r="F2648" s="22" t="s">
        <v>18</v>
      </c>
      <c r="G2648" s="22" t="s">
        <v>20</v>
      </c>
    </row>
    <row r="2649" ht="15.15" spans="1:7">
      <c r="A2649" s="20">
        <v>2647</v>
      </c>
      <c r="B2649" s="20">
        <v>7175</v>
      </c>
      <c r="C2649" s="21">
        <v>45266</v>
      </c>
      <c r="D2649" s="20">
        <v>3291.84</v>
      </c>
      <c r="E2649" s="22" t="s">
        <v>10</v>
      </c>
      <c r="F2649" s="22" t="s">
        <v>11</v>
      </c>
      <c r="G2649" s="22" t="s">
        <v>20</v>
      </c>
    </row>
    <row r="2650" ht="15.15" spans="1:7">
      <c r="A2650" s="20">
        <v>2648</v>
      </c>
      <c r="B2650" s="20">
        <v>6565</v>
      </c>
      <c r="C2650" s="21">
        <v>44951</v>
      </c>
      <c r="D2650" s="20">
        <v>3291.84</v>
      </c>
      <c r="E2650" s="22" t="s">
        <v>10</v>
      </c>
      <c r="F2650" s="22" t="s">
        <v>13</v>
      </c>
      <c r="G2650" s="22" t="s">
        <v>15</v>
      </c>
    </row>
    <row r="2651" ht="15.15" spans="1:7">
      <c r="A2651" s="20">
        <v>2649</v>
      </c>
      <c r="B2651" s="20">
        <v>1345</v>
      </c>
      <c r="C2651" s="21">
        <v>45189</v>
      </c>
      <c r="D2651" s="20">
        <v>3291.84</v>
      </c>
      <c r="E2651" s="22" t="s">
        <v>10</v>
      </c>
      <c r="F2651" s="22" t="s">
        <v>13</v>
      </c>
      <c r="G2651" s="22" t="s">
        <v>15</v>
      </c>
    </row>
    <row r="2652" ht="15.15" spans="1:7">
      <c r="A2652" s="20">
        <v>2650</v>
      </c>
      <c r="B2652" s="20">
        <v>6335</v>
      </c>
      <c r="C2652" s="21">
        <v>45113</v>
      </c>
      <c r="D2652" s="20">
        <v>3291.84</v>
      </c>
      <c r="E2652" s="22" t="s">
        <v>10</v>
      </c>
      <c r="F2652" s="22" t="s">
        <v>11</v>
      </c>
      <c r="G2652" s="22" t="s">
        <v>17</v>
      </c>
    </row>
    <row r="2653" ht="15.15" spans="1:7">
      <c r="A2653" s="20">
        <v>2651</v>
      </c>
      <c r="B2653" s="20">
        <v>140</v>
      </c>
      <c r="C2653" s="21">
        <v>45260</v>
      </c>
      <c r="D2653" s="20">
        <v>3291.84</v>
      </c>
      <c r="E2653" s="22" t="s">
        <v>21</v>
      </c>
      <c r="F2653" s="22" t="s">
        <v>13</v>
      </c>
      <c r="G2653" s="22" t="s">
        <v>17</v>
      </c>
    </row>
    <row r="2654" ht="15.15" spans="1:7">
      <c r="A2654" s="20">
        <v>2652</v>
      </c>
      <c r="B2654" s="20">
        <v>7124</v>
      </c>
      <c r="C2654" s="21">
        <v>45275</v>
      </c>
      <c r="D2654" s="20">
        <v>3291.84</v>
      </c>
      <c r="E2654" s="22" t="s">
        <v>10</v>
      </c>
      <c r="F2654" s="22" t="s">
        <v>11</v>
      </c>
      <c r="G2654" s="22" t="s">
        <v>12</v>
      </c>
    </row>
    <row r="2655" ht="15.15" spans="1:7">
      <c r="A2655" s="20">
        <v>2653</v>
      </c>
      <c r="B2655" s="20">
        <v>7109</v>
      </c>
      <c r="C2655" s="21">
        <v>45269</v>
      </c>
      <c r="D2655" s="20">
        <v>3291.84</v>
      </c>
      <c r="E2655" s="22" t="s">
        <v>10</v>
      </c>
      <c r="F2655" s="22" t="s">
        <v>14</v>
      </c>
      <c r="G2655" s="22" t="s">
        <v>17</v>
      </c>
    </row>
    <row r="2656" ht="15.15" spans="1:7">
      <c r="A2656" s="20">
        <v>2654</v>
      </c>
      <c r="B2656" s="20">
        <v>557</v>
      </c>
      <c r="C2656" s="21">
        <v>45291</v>
      </c>
      <c r="D2656" s="20">
        <v>3291.84</v>
      </c>
      <c r="E2656" s="22" t="s">
        <v>10</v>
      </c>
      <c r="F2656" s="22" t="s">
        <v>19</v>
      </c>
      <c r="G2656" s="22" t="s">
        <v>15</v>
      </c>
    </row>
    <row r="2657" ht="15.15" spans="1:7">
      <c r="A2657" s="20">
        <v>2655</v>
      </c>
      <c r="B2657" s="20">
        <v>5712</v>
      </c>
      <c r="C2657" s="21">
        <v>45193</v>
      </c>
      <c r="D2657" s="20">
        <v>3291.84</v>
      </c>
      <c r="E2657" s="22" t="s">
        <v>10</v>
      </c>
      <c r="F2657" s="22" t="s">
        <v>13</v>
      </c>
      <c r="G2657" s="22" t="s">
        <v>17</v>
      </c>
    </row>
    <row r="2658" ht="15.15" spans="1:7">
      <c r="A2658" s="20">
        <v>2656</v>
      </c>
      <c r="B2658" s="20">
        <v>5078</v>
      </c>
      <c r="C2658" s="21">
        <v>45147</v>
      </c>
      <c r="D2658" s="20">
        <v>3291.84</v>
      </c>
      <c r="E2658" s="22" t="s">
        <v>10</v>
      </c>
      <c r="F2658" s="22" t="s">
        <v>13</v>
      </c>
      <c r="G2658" s="22" t="s">
        <v>17</v>
      </c>
    </row>
    <row r="2659" ht="15.15" spans="1:7">
      <c r="A2659" s="20">
        <v>2657</v>
      </c>
      <c r="B2659" s="20">
        <v>7147</v>
      </c>
      <c r="C2659" s="21">
        <v>45193</v>
      </c>
      <c r="D2659" s="20">
        <v>3291.84</v>
      </c>
      <c r="E2659" s="22" t="s">
        <v>10</v>
      </c>
      <c r="F2659" s="22" t="s">
        <v>16</v>
      </c>
      <c r="G2659" s="22" t="s">
        <v>12</v>
      </c>
    </row>
    <row r="2660" ht="15.15" spans="1:7">
      <c r="A2660" s="20">
        <v>2658</v>
      </c>
      <c r="B2660" s="20">
        <v>1202</v>
      </c>
      <c r="C2660" s="21">
        <v>45158</v>
      </c>
      <c r="D2660" s="20">
        <v>3291.84</v>
      </c>
      <c r="E2660" s="22" t="s">
        <v>10</v>
      </c>
      <c r="F2660" s="22" t="s">
        <v>16</v>
      </c>
      <c r="G2660" s="22" t="s">
        <v>12</v>
      </c>
    </row>
    <row r="2661" ht="15.15" spans="1:7">
      <c r="A2661" s="20">
        <v>2659</v>
      </c>
      <c r="B2661" s="20">
        <v>9603</v>
      </c>
      <c r="C2661" s="21">
        <v>45040</v>
      </c>
      <c r="D2661" s="20">
        <v>3291.84</v>
      </c>
      <c r="E2661" s="22" t="s">
        <v>10</v>
      </c>
      <c r="F2661" s="22" t="s">
        <v>14</v>
      </c>
      <c r="G2661" s="22" t="s">
        <v>20</v>
      </c>
    </row>
    <row r="2662" ht="15.15" spans="1:7">
      <c r="A2662" s="20">
        <v>2660</v>
      </c>
      <c r="B2662" s="20">
        <v>9689</v>
      </c>
      <c r="C2662" s="21">
        <v>45185</v>
      </c>
      <c r="D2662" s="20">
        <v>3291.84</v>
      </c>
      <c r="E2662" s="22" t="s">
        <v>10</v>
      </c>
      <c r="F2662" s="22" t="s">
        <v>11</v>
      </c>
      <c r="G2662" s="22" t="s">
        <v>15</v>
      </c>
    </row>
    <row r="2663" ht="15.15" spans="1:7">
      <c r="A2663" s="20">
        <v>2661</v>
      </c>
      <c r="B2663" s="20">
        <v>5762</v>
      </c>
      <c r="C2663" s="21">
        <v>44982</v>
      </c>
      <c r="D2663" s="20">
        <v>3291.84</v>
      </c>
      <c r="E2663" s="22" t="s">
        <v>10</v>
      </c>
      <c r="F2663" s="22" t="s">
        <v>19</v>
      </c>
      <c r="G2663" s="22" t="s">
        <v>15</v>
      </c>
    </row>
    <row r="2664" ht="15.15" spans="1:7">
      <c r="A2664" s="20">
        <v>2662</v>
      </c>
      <c r="B2664" s="20">
        <v>6017</v>
      </c>
      <c r="C2664" s="21">
        <v>45058</v>
      </c>
      <c r="D2664" s="20">
        <v>3291.84</v>
      </c>
      <c r="E2664" s="22" t="s">
        <v>10</v>
      </c>
      <c r="F2664" s="22" t="s">
        <v>13</v>
      </c>
      <c r="G2664" s="22" t="s">
        <v>20</v>
      </c>
    </row>
    <row r="2665" ht="15.15" spans="1:7">
      <c r="A2665" s="20">
        <v>2663</v>
      </c>
      <c r="B2665" s="20">
        <v>6036</v>
      </c>
      <c r="C2665" s="21">
        <v>45171</v>
      </c>
      <c r="D2665" s="20">
        <v>3291.84</v>
      </c>
      <c r="E2665" s="22" t="s">
        <v>10</v>
      </c>
      <c r="F2665" s="22" t="s">
        <v>11</v>
      </c>
      <c r="G2665" s="22" t="s">
        <v>12</v>
      </c>
    </row>
    <row r="2666" ht="15.15" spans="1:7">
      <c r="A2666" s="20">
        <v>2664</v>
      </c>
      <c r="B2666" s="20">
        <v>1069</v>
      </c>
      <c r="C2666" s="21">
        <v>45091</v>
      </c>
      <c r="D2666" s="20">
        <v>3291.84</v>
      </c>
      <c r="E2666" s="22" t="s">
        <v>10</v>
      </c>
      <c r="F2666" s="22" t="s">
        <v>14</v>
      </c>
      <c r="G2666" s="22" t="s">
        <v>12</v>
      </c>
    </row>
    <row r="2667" ht="15.15" spans="1:7">
      <c r="A2667" s="20">
        <v>2665</v>
      </c>
      <c r="B2667" s="20">
        <v>883</v>
      </c>
      <c r="C2667" s="21">
        <v>44955</v>
      </c>
      <c r="D2667" s="20">
        <v>3291.84</v>
      </c>
      <c r="E2667" s="22" t="s">
        <v>10</v>
      </c>
      <c r="F2667" s="22" t="s">
        <v>18</v>
      </c>
      <c r="G2667" s="22" t="s">
        <v>12</v>
      </c>
    </row>
    <row r="2668" ht="15.15" spans="1:7">
      <c r="A2668" s="20">
        <v>2666</v>
      </c>
      <c r="B2668" s="20">
        <v>6930</v>
      </c>
      <c r="C2668" s="21">
        <v>45241</v>
      </c>
      <c r="D2668" s="20">
        <v>3291.84</v>
      </c>
      <c r="E2668" s="22" t="s">
        <v>10</v>
      </c>
      <c r="F2668" s="22" t="s">
        <v>14</v>
      </c>
      <c r="G2668" s="22" t="s">
        <v>20</v>
      </c>
    </row>
    <row r="2669" ht="15.15" spans="1:7">
      <c r="A2669" s="20">
        <v>2667</v>
      </c>
      <c r="B2669" s="20">
        <v>8437</v>
      </c>
      <c r="C2669" s="21">
        <v>45126</v>
      </c>
      <c r="D2669" s="20">
        <v>3291.84</v>
      </c>
      <c r="E2669" s="22" t="s">
        <v>10</v>
      </c>
      <c r="F2669" s="22" t="s">
        <v>18</v>
      </c>
      <c r="G2669" s="22" t="s">
        <v>12</v>
      </c>
    </row>
    <row r="2670" ht="15.15" spans="1:7">
      <c r="A2670" s="20">
        <v>2668</v>
      </c>
      <c r="B2670" s="20">
        <v>537</v>
      </c>
      <c r="C2670" s="21">
        <v>45228</v>
      </c>
      <c r="D2670" s="20">
        <v>3291.84</v>
      </c>
      <c r="E2670" s="22" t="s">
        <v>10</v>
      </c>
      <c r="F2670" s="22" t="s">
        <v>16</v>
      </c>
      <c r="G2670" s="22" t="s">
        <v>12</v>
      </c>
    </row>
    <row r="2671" ht="15.15" spans="1:7">
      <c r="A2671" s="20">
        <v>2669</v>
      </c>
      <c r="B2671" s="20">
        <v>5114</v>
      </c>
      <c r="C2671" s="21">
        <v>45138</v>
      </c>
      <c r="D2671" s="20">
        <v>3291.84</v>
      </c>
      <c r="E2671" s="22" t="s">
        <v>10</v>
      </c>
      <c r="F2671" s="22" t="s">
        <v>18</v>
      </c>
      <c r="G2671" s="22" t="s">
        <v>12</v>
      </c>
    </row>
    <row r="2672" ht="15.15" spans="1:7">
      <c r="A2672" s="20">
        <v>2670</v>
      </c>
      <c r="B2672" s="20">
        <v>651</v>
      </c>
      <c r="C2672" s="21">
        <v>45291</v>
      </c>
      <c r="D2672" s="20">
        <v>3291.84</v>
      </c>
      <c r="E2672" s="22" t="s">
        <v>10</v>
      </c>
      <c r="F2672" s="22" t="s">
        <v>16</v>
      </c>
      <c r="G2672" s="22" t="s">
        <v>20</v>
      </c>
    </row>
    <row r="2673" ht="15.15" spans="1:7">
      <c r="A2673" s="20">
        <v>2671</v>
      </c>
      <c r="B2673" s="20">
        <v>2577</v>
      </c>
      <c r="C2673" s="21">
        <v>45028</v>
      </c>
      <c r="D2673" s="20">
        <v>3291.84</v>
      </c>
      <c r="E2673" s="22" t="s">
        <v>10</v>
      </c>
      <c r="F2673" s="22" t="s">
        <v>14</v>
      </c>
      <c r="G2673" s="22" t="s">
        <v>15</v>
      </c>
    </row>
    <row r="2674" ht="15.15" spans="1:7">
      <c r="A2674" s="20">
        <v>2672</v>
      </c>
      <c r="B2674" s="20">
        <v>2342</v>
      </c>
      <c r="C2674" s="21">
        <v>45205</v>
      </c>
      <c r="D2674" s="20">
        <v>3291.84</v>
      </c>
      <c r="E2674" s="22" t="s">
        <v>10</v>
      </c>
      <c r="F2674" s="22" t="s">
        <v>16</v>
      </c>
      <c r="G2674" s="22" t="s">
        <v>20</v>
      </c>
    </row>
    <row r="2675" ht="15.15" spans="1:7">
      <c r="A2675" s="20">
        <v>2673</v>
      </c>
      <c r="B2675" s="20">
        <v>3394</v>
      </c>
      <c r="C2675" s="21">
        <v>45246</v>
      </c>
      <c r="D2675" s="20">
        <v>3291.84</v>
      </c>
      <c r="E2675" s="22" t="s">
        <v>10</v>
      </c>
      <c r="F2675" s="22" t="s">
        <v>13</v>
      </c>
      <c r="G2675" s="22" t="s">
        <v>17</v>
      </c>
    </row>
    <row r="2676" ht="15.15" spans="1:7">
      <c r="A2676" s="20">
        <v>2674</v>
      </c>
      <c r="B2676" s="20">
        <v>4877</v>
      </c>
      <c r="C2676" s="21">
        <v>44940</v>
      </c>
      <c r="D2676" s="20">
        <v>3291.84</v>
      </c>
      <c r="E2676" s="22" t="s">
        <v>10</v>
      </c>
      <c r="F2676" s="22" t="s">
        <v>18</v>
      </c>
      <c r="G2676" s="22" t="s">
        <v>12</v>
      </c>
    </row>
    <row r="2677" ht="15.15" spans="1:7">
      <c r="A2677" s="20">
        <v>2675</v>
      </c>
      <c r="B2677" s="20">
        <v>9287</v>
      </c>
      <c r="C2677" s="21">
        <v>45207</v>
      </c>
      <c r="D2677" s="20">
        <v>3291.84</v>
      </c>
      <c r="E2677" s="22" t="s">
        <v>10</v>
      </c>
      <c r="F2677" s="22" t="s">
        <v>14</v>
      </c>
      <c r="G2677" s="22" t="s">
        <v>17</v>
      </c>
    </row>
    <row r="2678" ht="15.15" spans="1:7">
      <c r="A2678" s="20">
        <v>2676</v>
      </c>
      <c r="B2678" s="20">
        <v>3163</v>
      </c>
      <c r="C2678" s="21">
        <v>45280</v>
      </c>
      <c r="D2678" s="20">
        <v>3291.84</v>
      </c>
      <c r="E2678" s="22" t="s">
        <v>10</v>
      </c>
      <c r="F2678" s="22" t="s">
        <v>16</v>
      </c>
      <c r="G2678" s="22" t="s">
        <v>20</v>
      </c>
    </row>
    <row r="2679" ht="15.15" spans="1:7">
      <c r="A2679" s="20">
        <v>2677</v>
      </c>
      <c r="B2679" s="20">
        <v>2884</v>
      </c>
      <c r="C2679" s="21">
        <v>44942</v>
      </c>
      <c r="D2679" s="20">
        <v>3291.84</v>
      </c>
      <c r="E2679" s="22" t="s">
        <v>10</v>
      </c>
      <c r="F2679" s="22" t="s">
        <v>18</v>
      </c>
      <c r="G2679" s="22" t="s">
        <v>17</v>
      </c>
    </row>
    <row r="2680" ht="15.15" spans="1:7">
      <c r="A2680" s="20">
        <v>2678</v>
      </c>
      <c r="B2680" s="20">
        <v>7086</v>
      </c>
      <c r="C2680" s="21">
        <v>45189</v>
      </c>
      <c r="D2680" s="20">
        <v>3291.84</v>
      </c>
      <c r="E2680" s="22" t="s">
        <v>10</v>
      </c>
      <c r="F2680" s="22" t="s">
        <v>14</v>
      </c>
      <c r="G2680" s="22" t="s">
        <v>17</v>
      </c>
    </row>
    <row r="2681" ht="15.15" spans="1:7">
      <c r="A2681" s="20">
        <v>2679</v>
      </c>
      <c r="B2681" s="20">
        <v>1152</v>
      </c>
      <c r="C2681" s="21">
        <v>45169</v>
      </c>
      <c r="D2681" s="20">
        <v>3291.84</v>
      </c>
      <c r="E2681" s="22" t="s">
        <v>10</v>
      </c>
      <c r="F2681" s="22" t="s">
        <v>14</v>
      </c>
      <c r="G2681" s="22" t="s">
        <v>15</v>
      </c>
    </row>
    <row r="2682" ht="15.15" spans="1:7">
      <c r="A2682" s="20">
        <v>2680</v>
      </c>
      <c r="B2682" s="20">
        <v>5168</v>
      </c>
      <c r="C2682" s="21">
        <v>45267</v>
      </c>
      <c r="D2682" s="20">
        <v>3291.84</v>
      </c>
      <c r="E2682" s="22" t="s">
        <v>10</v>
      </c>
      <c r="F2682" s="22" t="s">
        <v>16</v>
      </c>
      <c r="G2682" s="22" t="s">
        <v>12</v>
      </c>
    </row>
    <row r="2683" ht="15.15" spans="1:7">
      <c r="A2683" s="20">
        <v>2681</v>
      </c>
      <c r="B2683" s="20">
        <v>2665</v>
      </c>
      <c r="C2683" s="21">
        <v>44974</v>
      </c>
      <c r="D2683" s="20">
        <v>3291.84</v>
      </c>
      <c r="E2683" s="22" t="s">
        <v>10</v>
      </c>
      <c r="F2683" s="22" t="s">
        <v>19</v>
      </c>
      <c r="G2683" s="22" t="s">
        <v>12</v>
      </c>
    </row>
    <row r="2684" ht="15.15" spans="1:7">
      <c r="A2684" s="20">
        <v>2682</v>
      </c>
      <c r="B2684" s="20">
        <v>883</v>
      </c>
      <c r="C2684" s="21">
        <v>45217</v>
      </c>
      <c r="D2684" s="20">
        <v>3291.84</v>
      </c>
      <c r="E2684" s="22" t="s">
        <v>10</v>
      </c>
      <c r="F2684" s="22" t="s">
        <v>19</v>
      </c>
      <c r="G2684" s="22" t="s">
        <v>17</v>
      </c>
    </row>
    <row r="2685" ht="15.15" spans="1:7">
      <c r="A2685" s="20">
        <v>2683</v>
      </c>
      <c r="B2685" s="20">
        <v>2603</v>
      </c>
      <c r="C2685" s="21">
        <v>44996</v>
      </c>
      <c r="D2685" s="20">
        <v>3291.84</v>
      </c>
      <c r="E2685" s="22" t="s">
        <v>10</v>
      </c>
      <c r="F2685" s="22" t="s">
        <v>11</v>
      </c>
      <c r="G2685" s="22" t="s">
        <v>17</v>
      </c>
    </row>
    <row r="2686" ht="15.15" spans="1:7">
      <c r="A2686" s="20">
        <v>2684</v>
      </c>
      <c r="B2686" s="20">
        <v>590</v>
      </c>
      <c r="C2686" s="21">
        <v>45085</v>
      </c>
      <c r="D2686" s="20">
        <v>3291.84</v>
      </c>
      <c r="E2686" s="22" t="s">
        <v>10</v>
      </c>
      <c r="F2686" s="22" t="s">
        <v>14</v>
      </c>
      <c r="G2686" s="22" t="s">
        <v>20</v>
      </c>
    </row>
    <row r="2687" ht="15.15" spans="1:7">
      <c r="A2687" s="20">
        <v>2685</v>
      </c>
      <c r="B2687" s="20">
        <v>7731</v>
      </c>
      <c r="C2687" s="21">
        <v>45023</v>
      </c>
      <c r="D2687" s="20">
        <v>3291.84</v>
      </c>
      <c r="E2687" s="22" t="s">
        <v>10</v>
      </c>
      <c r="F2687" s="22" t="s">
        <v>14</v>
      </c>
      <c r="G2687" s="22" t="s">
        <v>12</v>
      </c>
    </row>
    <row r="2688" ht="15.15" spans="1:7">
      <c r="A2688" s="20">
        <v>2686</v>
      </c>
      <c r="B2688" s="20">
        <v>4791</v>
      </c>
      <c r="C2688" s="21">
        <v>45193</v>
      </c>
      <c r="D2688" s="20">
        <v>3291.84</v>
      </c>
      <c r="E2688" s="22" t="s">
        <v>10</v>
      </c>
      <c r="F2688" s="22" t="s">
        <v>11</v>
      </c>
      <c r="G2688" s="22" t="s">
        <v>12</v>
      </c>
    </row>
    <row r="2689" ht="15.15" spans="1:7">
      <c r="A2689" s="20">
        <v>2687</v>
      </c>
      <c r="B2689" s="20">
        <v>6170</v>
      </c>
      <c r="C2689" s="21">
        <v>45267</v>
      </c>
      <c r="D2689" s="20">
        <v>3291.84</v>
      </c>
      <c r="E2689" s="22" t="s">
        <v>10</v>
      </c>
      <c r="F2689" s="22" t="s">
        <v>16</v>
      </c>
      <c r="G2689" s="22" t="s">
        <v>15</v>
      </c>
    </row>
    <row r="2690" ht="15.15" spans="1:7">
      <c r="A2690" s="20">
        <v>2688</v>
      </c>
      <c r="B2690" s="20">
        <v>5867</v>
      </c>
      <c r="C2690" s="21">
        <v>45150</v>
      </c>
      <c r="D2690" s="20">
        <v>3291.84</v>
      </c>
      <c r="E2690" s="22" t="s">
        <v>10</v>
      </c>
      <c r="F2690" s="22" t="s">
        <v>14</v>
      </c>
      <c r="G2690" s="22" t="s">
        <v>12</v>
      </c>
    </row>
    <row r="2691" ht="15.15" spans="1:7">
      <c r="A2691" s="20">
        <v>2689</v>
      </c>
      <c r="B2691" s="20">
        <v>4944</v>
      </c>
      <c r="C2691" s="21">
        <v>45288</v>
      </c>
      <c r="D2691" s="20">
        <v>3291.84</v>
      </c>
      <c r="E2691" s="22" t="s">
        <v>10</v>
      </c>
      <c r="F2691" s="22" t="s">
        <v>11</v>
      </c>
      <c r="G2691" s="22" t="s">
        <v>17</v>
      </c>
    </row>
    <row r="2692" ht="15.15" spans="1:7">
      <c r="A2692" s="20">
        <v>2690</v>
      </c>
      <c r="B2692" s="20">
        <v>9637</v>
      </c>
      <c r="C2692" s="21">
        <v>45155</v>
      </c>
      <c r="D2692" s="20">
        <v>3291.84</v>
      </c>
      <c r="E2692" s="22" t="s">
        <v>10</v>
      </c>
      <c r="F2692" s="22" t="s">
        <v>16</v>
      </c>
      <c r="G2692" s="22" t="s">
        <v>15</v>
      </c>
    </row>
    <row r="2693" ht="15.15" spans="1:7">
      <c r="A2693" s="20">
        <v>2691</v>
      </c>
      <c r="B2693" s="20">
        <v>4323</v>
      </c>
      <c r="C2693" s="21">
        <v>45245</v>
      </c>
      <c r="D2693" s="20">
        <v>3291.84</v>
      </c>
      <c r="E2693" s="22" t="s">
        <v>10</v>
      </c>
      <c r="F2693" s="22" t="s">
        <v>18</v>
      </c>
      <c r="G2693" s="22" t="s">
        <v>12</v>
      </c>
    </row>
    <row r="2694" ht="15.15" spans="1:7">
      <c r="A2694" s="20">
        <v>2692</v>
      </c>
      <c r="B2694" s="20">
        <v>5246</v>
      </c>
      <c r="C2694" s="21">
        <v>45044</v>
      </c>
      <c r="D2694" s="20">
        <v>3291.84</v>
      </c>
      <c r="E2694" s="22" t="s">
        <v>10</v>
      </c>
      <c r="F2694" s="22" t="s">
        <v>14</v>
      </c>
      <c r="G2694" s="22" t="s">
        <v>12</v>
      </c>
    </row>
    <row r="2695" ht="15.15" spans="1:7">
      <c r="A2695" s="20">
        <v>2693</v>
      </c>
      <c r="B2695" s="20">
        <v>3506</v>
      </c>
      <c r="C2695" s="21">
        <v>45256</v>
      </c>
      <c r="D2695" s="20">
        <v>3291.84</v>
      </c>
      <c r="E2695" s="22" t="s">
        <v>10</v>
      </c>
      <c r="F2695" s="22" t="s">
        <v>16</v>
      </c>
      <c r="G2695" s="22" t="s">
        <v>17</v>
      </c>
    </row>
    <row r="2696" ht="15.15" spans="1:7">
      <c r="A2696" s="20">
        <v>2694</v>
      </c>
      <c r="B2696" s="20">
        <v>8670</v>
      </c>
      <c r="C2696" s="21">
        <v>45022</v>
      </c>
      <c r="D2696" s="20">
        <v>3291.84</v>
      </c>
      <c r="E2696" s="22" t="s">
        <v>10</v>
      </c>
      <c r="F2696" s="22" t="s">
        <v>18</v>
      </c>
      <c r="G2696" s="22" t="s">
        <v>17</v>
      </c>
    </row>
    <row r="2697" ht="15.15" spans="1:7">
      <c r="A2697" s="20">
        <v>2695</v>
      </c>
      <c r="B2697" s="20">
        <v>2775</v>
      </c>
      <c r="C2697" s="21">
        <v>45279</v>
      </c>
      <c r="D2697" s="20">
        <v>3291.84</v>
      </c>
      <c r="E2697" s="22" t="s">
        <v>10</v>
      </c>
      <c r="F2697" s="22" t="s">
        <v>13</v>
      </c>
      <c r="G2697" s="22" t="s">
        <v>20</v>
      </c>
    </row>
    <row r="2698" ht="15.15" spans="1:7">
      <c r="A2698" s="20">
        <v>2696</v>
      </c>
      <c r="B2698" s="20">
        <v>1169</v>
      </c>
      <c r="C2698" s="21">
        <v>45254</v>
      </c>
      <c r="D2698" s="20">
        <v>3291.84</v>
      </c>
      <c r="E2698" s="22" t="s">
        <v>10</v>
      </c>
      <c r="F2698" s="22" t="s">
        <v>11</v>
      </c>
      <c r="G2698" s="22" t="s">
        <v>17</v>
      </c>
    </row>
    <row r="2699" ht="15.15" spans="1:7">
      <c r="A2699" s="20">
        <v>2697</v>
      </c>
      <c r="B2699" s="20">
        <v>8072</v>
      </c>
      <c r="C2699" s="21">
        <v>45117</v>
      </c>
      <c r="D2699" s="20">
        <v>3291.84</v>
      </c>
      <c r="E2699" s="22" t="s">
        <v>10</v>
      </c>
      <c r="F2699" s="22" t="s">
        <v>13</v>
      </c>
      <c r="G2699" s="22" t="s">
        <v>20</v>
      </c>
    </row>
    <row r="2700" ht="15.15" spans="1:7">
      <c r="A2700" s="20">
        <v>2698</v>
      </c>
      <c r="B2700" s="20">
        <v>8721</v>
      </c>
      <c r="C2700" s="21">
        <v>45210</v>
      </c>
      <c r="D2700" s="20">
        <v>3291.84</v>
      </c>
      <c r="E2700" s="22" t="s">
        <v>22</v>
      </c>
      <c r="F2700" s="22" t="s">
        <v>14</v>
      </c>
      <c r="G2700" s="22" t="s">
        <v>15</v>
      </c>
    </row>
    <row r="2701" ht="15.15" spans="1:7">
      <c r="A2701" s="20">
        <v>2699</v>
      </c>
      <c r="B2701" s="20">
        <v>2501</v>
      </c>
      <c r="C2701" s="21">
        <v>45073</v>
      </c>
      <c r="D2701" s="20">
        <v>3291.84</v>
      </c>
      <c r="E2701" s="22" t="s">
        <v>10</v>
      </c>
      <c r="F2701" s="22" t="s">
        <v>13</v>
      </c>
      <c r="G2701" s="22" t="s">
        <v>17</v>
      </c>
    </row>
    <row r="2702" ht="15.15" spans="1:7">
      <c r="A2702" s="20">
        <v>2700</v>
      </c>
      <c r="B2702" s="20">
        <v>1099</v>
      </c>
      <c r="C2702" s="21">
        <v>45131</v>
      </c>
      <c r="D2702" s="20">
        <v>3291.84</v>
      </c>
      <c r="E2702" s="22" t="s">
        <v>10</v>
      </c>
      <c r="F2702" s="22" t="s">
        <v>13</v>
      </c>
      <c r="G2702" s="22" t="s">
        <v>20</v>
      </c>
    </row>
    <row r="2703" ht="15.15" spans="1:7">
      <c r="A2703" s="20">
        <v>2701</v>
      </c>
      <c r="B2703" s="20">
        <v>828</v>
      </c>
      <c r="C2703" s="21">
        <v>45042</v>
      </c>
      <c r="D2703" s="20">
        <v>3291.84</v>
      </c>
      <c r="E2703" s="22" t="s">
        <v>10</v>
      </c>
      <c r="F2703" s="22" t="s">
        <v>11</v>
      </c>
      <c r="G2703" s="22" t="s">
        <v>15</v>
      </c>
    </row>
    <row r="2704" ht="15.15" spans="1:7">
      <c r="A2704" s="20">
        <v>2702</v>
      </c>
      <c r="B2704" s="20">
        <v>2797</v>
      </c>
      <c r="C2704" s="21">
        <v>45156</v>
      </c>
      <c r="D2704" s="20">
        <v>3291.84</v>
      </c>
      <c r="E2704" s="22" t="s">
        <v>10</v>
      </c>
      <c r="F2704" s="22" t="s">
        <v>16</v>
      </c>
      <c r="G2704" s="22" t="s">
        <v>20</v>
      </c>
    </row>
    <row r="2705" ht="15.15" spans="1:7">
      <c r="A2705" s="20">
        <v>2703</v>
      </c>
      <c r="B2705" s="20">
        <v>4998</v>
      </c>
      <c r="C2705" s="21">
        <v>45024</v>
      </c>
      <c r="D2705" s="20">
        <v>3291.84</v>
      </c>
      <c r="E2705" s="22" t="s">
        <v>10</v>
      </c>
      <c r="F2705" s="22" t="s">
        <v>16</v>
      </c>
      <c r="G2705" s="22" t="s">
        <v>15</v>
      </c>
    </row>
    <row r="2706" ht="15.15" spans="1:7">
      <c r="A2706" s="20">
        <v>2704</v>
      </c>
      <c r="B2706" s="20">
        <v>6508</v>
      </c>
      <c r="C2706" s="21">
        <v>45243</v>
      </c>
      <c r="D2706" s="20">
        <v>3291.84</v>
      </c>
      <c r="E2706" s="22" t="s">
        <v>21</v>
      </c>
      <c r="F2706" s="22" t="s">
        <v>16</v>
      </c>
      <c r="G2706" s="22" t="s">
        <v>20</v>
      </c>
    </row>
    <row r="2707" ht="15.15" spans="1:7">
      <c r="A2707" s="20">
        <v>2705</v>
      </c>
      <c r="B2707" s="20">
        <v>1608</v>
      </c>
      <c r="C2707" s="21">
        <v>45267</v>
      </c>
      <c r="D2707" s="20">
        <v>3291.84</v>
      </c>
      <c r="E2707" s="22" t="s">
        <v>10</v>
      </c>
      <c r="F2707" s="22" t="s">
        <v>14</v>
      </c>
      <c r="G2707" s="22" t="s">
        <v>17</v>
      </c>
    </row>
    <row r="2708" ht="15.15" spans="1:7">
      <c r="A2708" s="20">
        <v>2706</v>
      </c>
      <c r="B2708" s="20">
        <v>1476</v>
      </c>
      <c r="C2708" s="21">
        <v>45291</v>
      </c>
      <c r="D2708" s="20">
        <v>3291.84</v>
      </c>
      <c r="E2708" s="22" t="s">
        <v>10</v>
      </c>
      <c r="F2708" s="22" t="s">
        <v>13</v>
      </c>
      <c r="G2708" s="22" t="s">
        <v>20</v>
      </c>
    </row>
    <row r="2709" ht="15.15" spans="1:7">
      <c r="A2709" s="20">
        <v>2707</v>
      </c>
      <c r="B2709" s="20">
        <v>1857</v>
      </c>
      <c r="C2709" s="21">
        <v>45052</v>
      </c>
      <c r="D2709" s="20">
        <v>3291.84</v>
      </c>
      <c r="E2709" s="22" t="s">
        <v>10</v>
      </c>
      <c r="F2709" s="22" t="s">
        <v>13</v>
      </c>
      <c r="G2709" s="22" t="s">
        <v>15</v>
      </c>
    </row>
    <row r="2710" ht="15.15" spans="1:7">
      <c r="A2710" s="20">
        <v>2708</v>
      </c>
      <c r="B2710" s="20">
        <v>3585</v>
      </c>
      <c r="C2710" s="21">
        <v>45236</v>
      </c>
      <c r="D2710" s="20">
        <v>3291.84</v>
      </c>
      <c r="E2710" s="22" t="s">
        <v>10</v>
      </c>
      <c r="F2710" s="22" t="s">
        <v>16</v>
      </c>
      <c r="G2710" s="22" t="s">
        <v>17</v>
      </c>
    </row>
    <row r="2711" ht="15.15" spans="1:7">
      <c r="A2711" s="20">
        <v>2709</v>
      </c>
      <c r="B2711" s="20">
        <v>945</v>
      </c>
      <c r="C2711" s="21">
        <v>45079</v>
      </c>
      <c r="D2711" s="20">
        <v>3291.84</v>
      </c>
      <c r="E2711" s="22" t="s">
        <v>10</v>
      </c>
      <c r="F2711" s="22" t="s">
        <v>13</v>
      </c>
      <c r="G2711" s="22" t="s">
        <v>12</v>
      </c>
    </row>
    <row r="2712" ht="15.15" spans="1:7">
      <c r="A2712" s="20">
        <v>2710</v>
      </c>
      <c r="B2712" s="20">
        <v>8633</v>
      </c>
      <c r="C2712" s="21">
        <v>45258</v>
      </c>
      <c r="D2712" s="20">
        <v>3291.84</v>
      </c>
      <c r="E2712" s="22" t="s">
        <v>10</v>
      </c>
      <c r="F2712" s="22" t="s">
        <v>11</v>
      </c>
      <c r="G2712" s="22" t="s">
        <v>15</v>
      </c>
    </row>
    <row r="2713" ht="15.15" spans="1:7">
      <c r="A2713" s="20">
        <v>2711</v>
      </c>
      <c r="B2713" s="20">
        <v>142</v>
      </c>
      <c r="C2713" s="21">
        <v>45180</v>
      </c>
      <c r="D2713" s="20">
        <v>3291.84</v>
      </c>
      <c r="E2713" s="22" t="s">
        <v>22</v>
      </c>
      <c r="F2713" s="22" t="s">
        <v>13</v>
      </c>
      <c r="G2713" s="22" t="s">
        <v>20</v>
      </c>
    </row>
    <row r="2714" ht="15.15" spans="1:7">
      <c r="A2714" s="20">
        <v>2712</v>
      </c>
      <c r="B2714" s="20">
        <v>2278</v>
      </c>
      <c r="C2714" s="21">
        <v>45098</v>
      </c>
      <c r="D2714" s="20">
        <v>3291.84</v>
      </c>
      <c r="E2714" s="22" t="s">
        <v>10</v>
      </c>
      <c r="F2714" s="22" t="s">
        <v>16</v>
      </c>
      <c r="G2714" s="22" t="s">
        <v>15</v>
      </c>
    </row>
    <row r="2715" ht="15.15" spans="1:7">
      <c r="A2715" s="20">
        <v>2713</v>
      </c>
      <c r="B2715" s="20">
        <v>1189</v>
      </c>
      <c r="C2715" s="21">
        <v>45208</v>
      </c>
      <c r="D2715" s="20">
        <v>3291.84</v>
      </c>
      <c r="E2715" s="22" t="s">
        <v>10</v>
      </c>
      <c r="F2715" s="22" t="s">
        <v>13</v>
      </c>
      <c r="G2715" s="22" t="s">
        <v>12</v>
      </c>
    </row>
    <row r="2716" ht="15.15" spans="1:7">
      <c r="A2716" s="20">
        <v>2714</v>
      </c>
      <c r="B2716" s="20">
        <v>2341</v>
      </c>
      <c r="C2716" s="21">
        <v>45261</v>
      </c>
      <c r="D2716" s="20">
        <v>3291.84</v>
      </c>
      <c r="E2716" s="22" t="s">
        <v>21</v>
      </c>
      <c r="F2716" s="22" t="s">
        <v>18</v>
      </c>
      <c r="G2716" s="22" t="s">
        <v>15</v>
      </c>
    </row>
    <row r="2717" ht="15.15" spans="1:7">
      <c r="A2717" s="20">
        <v>2715</v>
      </c>
      <c r="B2717" s="20">
        <v>4954</v>
      </c>
      <c r="C2717" s="21">
        <v>45289</v>
      </c>
      <c r="D2717" s="20">
        <v>3291.84</v>
      </c>
      <c r="E2717" s="22" t="s">
        <v>10</v>
      </c>
      <c r="F2717" s="22" t="s">
        <v>11</v>
      </c>
      <c r="G2717" s="22" t="s">
        <v>17</v>
      </c>
    </row>
    <row r="2718" ht="15.15" spans="1:7">
      <c r="A2718" s="20">
        <v>2716</v>
      </c>
      <c r="B2718" s="20">
        <v>3971</v>
      </c>
      <c r="C2718" s="21">
        <v>45110</v>
      </c>
      <c r="D2718" s="20">
        <v>3291.84</v>
      </c>
      <c r="E2718" s="22" t="s">
        <v>10</v>
      </c>
      <c r="F2718" s="22" t="s">
        <v>16</v>
      </c>
      <c r="G2718" s="22" t="s">
        <v>17</v>
      </c>
    </row>
    <row r="2719" ht="15.15" spans="1:7">
      <c r="A2719" s="20">
        <v>2717</v>
      </c>
      <c r="B2719" s="20">
        <v>843</v>
      </c>
      <c r="C2719" s="21">
        <v>44998</v>
      </c>
      <c r="D2719" s="20">
        <v>3291.84</v>
      </c>
      <c r="E2719" s="22" t="s">
        <v>10</v>
      </c>
      <c r="F2719" s="22" t="s">
        <v>16</v>
      </c>
      <c r="G2719" s="22" t="s">
        <v>20</v>
      </c>
    </row>
    <row r="2720" ht="15.15" spans="1:7">
      <c r="A2720" s="20">
        <v>2718</v>
      </c>
      <c r="B2720" s="20">
        <v>7589</v>
      </c>
      <c r="C2720" s="21">
        <v>45038</v>
      </c>
      <c r="D2720" s="20">
        <v>3291.84</v>
      </c>
      <c r="E2720" s="22" t="s">
        <v>10</v>
      </c>
      <c r="F2720" s="22" t="s">
        <v>11</v>
      </c>
      <c r="G2720" s="22" t="s">
        <v>20</v>
      </c>
    </row>
    <row r="2721" ht="15.15" spans="1:7">
      <c r="A2721" s="20">
        <v>2719</v>
      </c>
      <c r="B2721" s="20">
        <v>6621</v>
      </c>
      <c r="C2721" s="21">
        <v>45150</v>
      </c>
      <c r="D2721" s="20">
        <v>3291.84</v>
      </c>
      <c r="E2721" s="22" t="s">
        <v>10</v>
      </c>
      <c r="F2721" s="22" t="s">
        <v>16</v>
      </c>
      <c r="G2721" s="22" t="s">
        <v>17</v>
      </c>
    </row>
    <row r="2722" ht="15.15" spans="1:7">
      <c r="A2722" s="20">
        <v>2720</v>
      </c>
      <c r="B2722" s="20">
        <v>8946</v>
      </c>
      <c r="C2722" s="21">
        <v>45083</v>
      </c>
      <c r="D2722" s="20">
        <v>3291.84</v>
      </c>
      <c r="E2722" s="22" t="s">
        <v>10</v>
      </c>
      <c r="F2722" s="22" t="s">
        <v>14</v>
      </c>
      <c r="G2722" s="22" t="s">
        <v>17</v>
      </c>
    </row>
    <row r="2723" ht="15.15" spans="1:7">
      <c r="A2723" s="20">
        <v>2721</v>
      </c>
      <c r="B2723" s="20">
        <v>5897</v>
      </c>
      <c r="C2723" s="21">
        <v>44963</v>
      </c>
      <c r="D2723" s="20">
        <v>3291.84</v>
      </c>
      <c r="E2723" s="22" t="s">
        <v>10</v>
      </c>
      <c r="F2723" s="22" t="s">
        <v>16</v>
      </c>
      <c r="G2723" s="22" t="s">
        <v>12</v>
      </c>
    </row>
    <row r="2724" ht="15.15" spans="1:7">
      <c r="A2724" s="20">
        <v>2722</v>
      </c>
      <c r="B2724" s="20">
        <v>97</v>
      </c>
      <c r="C2724" s="21">
        <v>45241</v>
      </c>
      <c r="D2724" s="20">
        <v>3291.84</v>
      </c>
      <c r="E2724" s="22" t="s">
        <v>10</v>
      </c>
      <c r="F2724" s="22" t="s">
        <v>18</v>
      </c>
      <c r="G2724" s="22" t="s">
        <v>17</v>
      </c>
    </row>
    <row r="2725" ht="15.15" spans="1:7">
      <c r="A2725" s="20">
        <v>2723</v>
      </c>
      <c r="B2725" s="20">
        <v>3926</v>
      </c>
      <c r="C2725" s="21">
        <v>45243</v>
      </c>
      <c r="D2725" s="20">
        <v>3291.84</v>
      </c>
      <c r="E2725" s="22" t="s">
        <v>10</v>
      </c>
      <c r="F2725" s="22" t="s">
        <v>11</v>
      </c>
      <c r="G2725" s="22" t="s">
        <v>12</v>
      </c>
    </row>
    <row r="2726" ht="15.15" spans="1:7">
      <c r="A2726" s="20">
        <v>2724</v>
      </c>
      <c r="B2726" s="20">
        <v>4340</v>
      </c>
      <c r="C2726" s="21">
        <v>44979</v>
      </c>
      <c r="D2726" s="20">
        <v>3291.84</v>
      </c>
      <c r="E2726" s="22" t="s">
        <v>10</v>
      </c>
      <c r="F2726" s="22" t="s">
        <v>11</v>
      </c>
      <c r="G2726" s="22" t="s">
        <v>15</v>
      </c>
    </row>
    <row r="2727" ht="15.15" spans="1:7">
      <c r="A2727" s="20">
        <v>2725</v>
      </c>
      <c r="B2727" s="20">
        <v>5705</v>
      </c>
      <c r="C2727" s="21">
        <v>45276</v>
      </c>
      <c r="D2727" s="20">
        <v>3291.84</v>
      </c>
      <c r="E2727" s="22" t="s">
        <v>10</v>
      </c>
      <c r="F2727" s="22" t="s">
        <v>13</v>
      </c>
      <c r="G2727" s="22" t="s">
        <v>15</v>
      </c>
    </row>
    <row r="2728" ht="15.15" spans="1:7">
      <c r="A2728" s="20">
        <v>2726</v>
      </c>
      <c r="B2728" s="20">
        <v>9820</v>
      </c>
      <c r="C2728" s="21">
        <v>45060</v>
      </c>
      <c r="D2728" s="20">
        <v>3291.84</v>
      </c>
      <c r="E2728" s="22" t="s">
        <v>10</v>
      </c>
      <c r="F2728" s="22" t="s">
        <v>16</v>
      </c>
      <c r="G2728" s="22" t="s">
        <v>15</v>
      </c>
    </row>
    <row r="2729" ht="15.15" spans="1:7">
      <c r="A2729" s="20">
        <v>2727</v>
      </c>
      <c r="B2729" s="20">
        <v>4766</v>
      </c>
      <c r="C2729" s="21">
        <v>45089</v>
      </c>
      <c r="D2729" s="20">
        <v>3291.84</v>
      </c>
      <c r="E2729" s="22" t="s">
        <v>10</v>
      </c>
      <c r="F2729" s="22" t="s">
        <v>11</v>
      </c>
      <c r="G2729" s="22" t="s">
        <v>15</v>
      </c>
    </row>
    <row r="2730" ht="15.15" spans="1:7">
      <c r="A2730" s="20">
        <v>2728</v>
      </c>
      <c r="B2730" s="20">
        <v>7722</v>
      </c>
      <c r="C2730" s="21">
        <v>45171</v>
      </c>
      <c r="D2730" s="20">
        <v>3291.84</v>
      </c>
      <c r="E2730" s="22" t="s">
        <v>10</v>
      </c>
      <c r="F2730" s="22" t="s">
        <v>19</v>
      </c>
      <c r="G2730" s="22" t="s">
        <v>12</v>
      </c>
    </row>
    <row r="2731" ht="15.15" spans="1:7">
      <c r="A2731" s="20">
        <v>2729</v>
      </c>
      <c r="B2731" s="20">
        <v>5450</v>
      </c>
      <c r="C2731" s="21">
        <v>45136</v>
      </c>
      <c r="D2731" s="20">
        <v>3291.84</v>
      </c>
      <c r="E2731" s="22" t="s">
        <v>10</v>
      </c>
      <c r="F2731" s="22" t="s">
        <v>18</v>
      </c>
      <c r="G2731" s="22" t="s">
        <v>12</v>
      </c>
    </row>
    <row r="2732" ht="15.15" spans="1:7">
      <c r="A2732" s="20">
        <v>2730</v>
      </c>
      <c r="B2732" s="20">
        <v>3125</v>
      </c>
      <c r="C2732" s="21">
        <v>45141</v>
      </c>
      <c r="D2732" s="20">
        <v>3291.84</v>
      </c>
      <c r="E2732" s="22" t="s">
        <v>10</v>
      </c>
      <c r="F2732" s="22" t="s">
        <v>18</v>
      </c>
      <c r="G2732" s="22" t="s">
        <v>20</v>
      </c>
    </row>
    <row r="2733" ht="15.15" spans="1:7">
      <c r="A2733" s="20">
        <v>2731</v>
      </c>
      <c r="B2733" s="20">
        <v>6199</v>
      </c>
      <c r="C2733" s="21">
        <v>44971</v>
      </c>
      <c r="D2733" s="20">
        <v>3291.84</v>
      </c>
      <c r="E2733" s="22" t="s">
        <v>10</v>
      </c>
      <c r="F2733" s="22" t="s">
        <v>11</v>
      </c>
      <c r="G2733" s="22" t="s">
        <v>17</v>
      </c>
    </row>
    <row r="2734" ht="15.15" spans="1:7">
      <c r="A2734" s="20">
        <v>2732</v>
      </c>
      <c r="B2734" s="20">
        <v>5302</v>
      </c>
      <c r="C2734" s="21">
        <v>45254</v>
      </c>
      <c r="D2734" s="20">
        <v>3291.84</v>
      </c>
      <c r="E2734" s="22" t="s">
        <v>10</v>
      </c>
      <c r="F2734" s="22" t="s">
        <v>11</v>
      </c>
      <c r="G2734" s="22" t="s">
        <v>20</v>
      </c>
    </row>
    <row r="2735" ht="15.15" spans="1:7">
      <c r="A2735" s="20">
        <v>2733</v>
      </c>
      <c r="B2735" s="20">
        <v>3826</v>
      </c>
      <c r="C2735" s="21">
        <v>45261</v>
      </c>
      <c r="D2735" s="20">
        <v>3291.84</v>
      </c>
      <c r="E2735" s="22" t="s">
        <v>10</v>
      </c>
      <c r="F2735" s="22" t="s">
        <v>14</v>
      </c>
      <c r="G2735" s="22" t="s">
        <v>17</v>
      </c>
    </row>
    <row r="2736" ht="15.15" spans="1:7">
      <c r="A2736" s="20">
        <v>2734</v>
      </c>
      <c r="B2736" s="20">
        <v>3324</v>
      </c>
      <c r="C2736" s="21">
        <v>45234</v>
      </c>
      <c r="D2736" s="20">
        <v>3291.84</v>
      </c>
      <c r="E2736" s="22" t="s">
        <v>10</v>
      </c>
      <c r="F2736" s="22" t="s">
        <v>18</v>
      </c>
      <c r="G2736" s="22" t="s">
        <v>20</v>
      </c>
    </row>
    <row r="2737" ht="15.15" spans="1:7">
      <c r="A2737" s="20">
        <v>2735</v>
      </c>
      <c r="B2737" s="20">
        <v>3787</v>
      </c>
      <c r="C2737" s="21">
        <v>45100</v>
      </c>
      <c r="D2737" s="20">
        <v>3291.84</v>
      </c>
      <c r="E2737" s="22" t="s">
        <v>10</v>
      </c>
      <c r="F2737" s="22" t="s">
        <v>16</v>
      </c>
      <c r="G2737" s="22" t="s">
        <v>15</v>
      </c>
    </row>
    <row r="2738" ht="15.15" spans="1:7">
      <c r="A2738" s="20">
        <v>2736</v>
      </c>
      <c r="B2738" s="20">
        <v>259</v>
      </c>
      <c r="C2738" s="21">
        <v>44982</v>
      </c>
      <c r="D2738" s="20">
        <v>3291.84</v>
      </c>
      <c r="E2738" s="22" t="s">
        <v>21</v>
      </c>
      <c r="F2738" s="22" t="s">
        <v>16</v>
      </c>
      <c r="G2738" s="22" t="s">
        <v>20</v>
      </c>
    </row>
    <row r="2739" ht="15.15" spans="1:7">
      <c r="A2739" s="20">
        <v>2737</v>
      </c>
      <c r="B2739" s="20">
        <v>5946</v>
      </c>
      <c r="C2739" s="21">
        <v>45106</v>
      </c>
      <c r="D2739" s="20">
        <v>3291.84</v>
      </c>
      <c r="E2739" s="22" t="s">
        <v>10</v>
      </c>
      <c r="F2739" s="22" t="s">
        <v>16</v>
      </c>
      <c r="G2739" s="22" t="s">
        <v>20</v>
      </c>
    </row>
    <row r="2740" ht="15.15" spans="1:7">
      <c r="A2740" s="20">
        <v>2738</v>
      </c>
      <c r="B2740" s="20">
        <v>2661</v>
      </c>
      <c r="C2740" s="21">
        <v>45123</v>
      </c>
      <c r="D2740" s="20">
        <v>3291.84</v>
      </c>
      <c r="E2740" s="22" t="s">
        <v>10</v>
      </c>
      <c r="F2740" s="22" t="s">
        <v>16</v>
      </c>
      <c r="G2740" s="22" t="s">
        <v>15</v>
      </c>
    </row>
    <row r="2741" ht="15.15" spans="1:7">
      <c r="A2741" s="20">
        <v>2739</v>
      </c>
      <c r="B2741" s="20">
        <v>8741</v>
      </c>
      <c r="C2741" s="21">
        <v>44934</v>
      </c>
      <c r="D2741" s="20">
        <v>3291.84</v>
      </c>
      <c r="E2741" s="22" t="s">
        <v>10</v>
      </c>
      <c r="F2741" s="22" t="s">
        <v>16</v>
      </c>
      <c r="G2741" s="22" t="s">
        <v>17</v>
      </c>
    </row>
    <row r="2742" ht="15.15" spans="1:7">
      <c r="A2742" s="20">
        <v>2740</v>
      </c>
      <c r="B2742" s="20">
        <v>2428</v>
      </c>
      <c r="C2742" s="21">
        <v>45082</v>
      </c>
      <c r="D2742" s="20">
        <v>3291.84</v>
      </c>
      <c r="E2742" s="22" t="s">
        <v>10</v>
      </c>
      <c r="F2742" s="22" t="s">
        <v>11</v>
      </c>
      <c r="G2742" s="22" t="s">
        <v>12</v>
      </c>
    </row>
    <row r="2743" ht="15.15" spans="1:7">
      <c r="A2743" s="20">
        <v>2741</v>
      </c>
      <c r="B2743" s="20">
        <v>3672</v>
      </c>
      <c r="C2743" s="21">
        <v>44983</v>
      </c>
      <c r="D2743" s="20">
        <v>3291.84</v>
      </c>
      <c r="E2743" s="22" t="s">
        <v>10</v>
      </c>
      <c r="F2743" s="22" t="s">
        <v>18</v>
      </c>
      <c r="G2743" s="22" t="s">
        <v>17</v>
      </c>
    </row>
    <row r="2744" ht="15.15" spans="1:7">
      <c r="A2744" s="20">
        <v>2742</v>
      </c>
      <c r="B2744" s="20">
        <v>9282</v>
      </c>
      <c r="C2744" s="21">
        <v>44989</v>
      </c>
      <c r="D2744" s="20">
        <v>3291.84</v>
      </c>
      <c r="E2744" s="22" t="s">
        <v>10</v>
      </c>
      <c r="F2744" s="22" t="s">
        <v>13</v>
      </c>
      <c r="G2744" s="22" t="s">
        <v>17</v>
      </c>
    </row>
    <row r="2745" ht="15.15" spans="1:7">
      <c r="A2745" s="20">
        <v>2743</v>
      </c>
      <c r="B2745" s="20">
        <v>3818</v>
      </c>
      <c r="C2745" s="21">
        <v>45220</v>
      </c>
      <c r="D2745" s="20">
        <v>3291.84</v>
      </c>
      <c r="E2745" s="22" t="s">
        <v>10</v>
      </c>
      <c r="F2745" s="22" t="s">
        <v>11</v>
      </c>
      <c r="G2745" s="22" t="s">
        <v>15</v>
      </c>
    </row>
    <row r="2746" ht="15.15" spans="1:7">
      <c r="A2746" s="20">
        <v>2744</v>
      </c>
      <c r="B2746" s="20">
        <v>5451</v>
      </c>
      <c r="C2746" s="21">
        <v>44945</v>
      </c>
      <c r="D2746" s="20">
        <v>3291.84</v>
      </c>
      <c r="E2746" s="22" t="s">
        <v>10</v>
      </c>
      <c r="F2746" s="22" t="s">
        <v>14</v>
      </c>
      <c r="G2746" s="22" t="s">
        <v>12</v>
      </c>
    </row>
    <row r="2747" ht="15.15" spans="1:7">
      <c r="A2747" s="20">
        <v>2745</v>
      </c>
      <c r="B2747" s="20">
        <v>4278</v>
      </c>
      <c r="C2747" s="21">
        <v>45291</v>
      </c>
      <c r="D2747" s="20">
        <v>3291.84</v>
      </c>
      <c r="E2747" s="22" t="s">
        <v>10</v>
      </c>
      <c r="F2747" s="22" t="s">
        <v>11</v>
      </c>
      <c r="G2747" s="22" t="s">
        <v>17</v>
      </c>
    </row>
    <row r="2748" ht="15.15" spans="1:7">
      <c r="A2748" s="20">
        <v>2746</v>
      </c>
      <c r="B2748" s="20">
        <v>9946</v>
      </c>
      <c r="C2748" s="21">
        <v>45137</v>
      </c>
      <c r="D2748" s="20">
        <v>3291.84</v>
      </c>
      <c r="E2748" s="22" t="s">
        <v>10</v>
      </c>
      <c r="F2748" s="22" t="s">
        <v>18</v>
      </c>
      <c r="G2748" s="22" t="s">
        <v>15</v>
      </c>
    </row>
    <row r="2749" ht="15.15" spans="1:7">
      <c r="A2749" s="20">
        <v>2747</v>
      </c>
      <c r="B2749" s="20">
        <v>1374</v>
      </c>
      <c r="C2749" s="21">
        <v>45186</v>
      </c>
      <c r="D2749" s="20">
        <v>3291.84</v>
      </c>
      <c r="E2749" s="22" t="s">
        <v>10</v>
      </c>
      <c r="F2749" s="22" t="s">
        <v>16</v>
      </c>
      <c r="G2749" s="22" t="s">
        <v>15</v>
      </c>
    </row>
    <row r="2750" ht="15.15" spans="1:7">
      <c r="A2750" s="20">
        <v>2748</v>
      </c>
      <c r="B2750" s="20">
        <v>7177</v>
      </c>
      <c r="C2750" s="21">
        <v>45211</v>
      </c>
      <c r="D2750" s="20">
        <v>3291.84</v>
      </c>
      <c r="E2750" s="22" t="s">
        <v>10</v>
      </c>
      <c r="F2750" s="22" t="s">
        <v>11</v>
      </c>
      <c r="G2750" s="22" t="s">
        <v>15</v>
      </c>
    </row>
    <row r="2751" ht="15.15" spans="1:7">
      <c r="A2751" s="20">
        <v>2749</v>
      </c>
      <c r="B2751" s="20">
        <v>1176</v>
      </c>
      <c r="C2751" s="21">
        <v>44962</v>
      </c>
      <c r="D2751" s="20">
        <v>3291.84</v>
      </c>
      <c r="E2751" s="22" t="s">
        <v>10</v>
      </c>
      <c r="F2751" s="22" t="s">
        <v>13</v>
      </c>
      <c r="G2751" s="22" t="s">
        <v>15</v>
      </c>
    </row>
    <row r="2752" ht="15.15" spans="1:7">
      <c r="A2752" s="20">
        <v>2750</v>
      </c>
      <c r="B2752" s="20">
        <v>6437</v>
      </c>
      <c r="C2752" s="21">
        <v>45267</v>
      </c>
      <c r="D2752" s="20">
        <v>3291.84</v>
      </c>
      <c r="E2752" s="22" t="s">
        <v>10</v>
      </c>
      <c r="F2752" s="22" t="s">
        <v>14</v>
      </c>
      <c r="G2752" s="22" t="s">
        <v>17</v>
      </c>
    </row>
    <row r="2753" ht="15.15" spans="1:7">
      <c r="A2753" s="20">
        <v>2751</v>
      </c>
      <c r="B2753" s="20">
        <v>4469</v>
      </c>
      <c r="C2753" s="21">
        <v>45240</v>
      </c>
      <c r="D2753" s="20">
        <v>3291.84</v>
      </c>
      <c r="E2753" s="22" t="s">
        <v>10</v>
      </c>
      <c r="F2753" s="22" t="s">
        <v>13</v>
      </c>
      <c r="G2753" s="22" t="s">
        <v>17</v>
      </c>
    </row>
    <row r="2754" ht="15.15" spans="1:7">
      <c r="A2754" s="20">
        <v>2752</v>
      </c>
      <c r="B2754" s="20">
        <v>5990</v>
      </c>
      <c r="C2754" s="21">
        <v>45166</v>
      </c>
      <c r="D2754" s="20">
        <v>3291.84</v>
      </c>
      <c r="E2754" s="22" t="s">
        <v>10</v>
      </c>
      <c r="F2754" s="22" t="s">
        <v>16</v>
      </c>
      <c r="G2754" s="22" t="s">
        <v>15</v>
      </c>
    </row>
    <row r="2755" ht="15.15" spans="1:7">
      <c r="A2755" s="20">
        <v>2753</v>
      </c>
      <c r="B2755" s="20">
        <v>8479</v>
      </c>
      <c r="C2755" s="21">
        <v>44929</v>
      </c>
      <c r="D2755" s="20">
        <v>3291.84</v>
      </c>
      <c r="E2755" s="22" t="s">
        <v>10</v>
      </c>
      <c r="F2755" s="22" t="s">
        <v>18</v>
      </c>
      <c r="G2755" s="22" t="s">
        <v>15</v>
      </c>
    </row>
    <row r="2756" ht="15.15" spans="1:7">
      <c r="A2756" s="20">
        <v>2754</v>
      </c>
      <c r="B2756" s="20">
        <v>2256</v>
      </c>
      <c r="C2756" s="21">
        <v>45280</v>
      </c>
      <c r="D2756" s="20">
        <v>3291.84</v>
      </c>
      <c r="E2756" s="22" t="s">
        <v>21</v>
      </c>
      <c r="F2756" s="22" t="s">
        <v>14</v>
      </c>
      <c r="G2756" s="22" t="s">
        <v>20</v>
      </c>
    </row>
    <row r="2757" ht="15.15" spans="1:7">
      <c r="A2757" s="20">
        <v>2755</v>
      </c>
      <c r="B2757" s="20">
        <v>1498</v>
      </c>
      <c r="C2757" s="21">
        <v>45274</v>
      </c>
      <c r="D2757" s="20">
        <v>3291.84</v>
      </c>
      <c r="E2757" s="22" t="s">
        <v>10</v>
      </c>
      <c r="F2757" s="22" t="s">
        <v>14</v>
      </c>
      <c r="G2757" s="22" t="s">
        <v>17</v>
      </c>
    </row>
    <row r="2758" ht="15.15" spans="1:7">
      <c r="A2758" s="20">
        <v>2756</v>
      </c>
      <c r="B2758" s="20">
        <v>7909</v>
      </c>
      <c r="C2758" s="21">
        <v>45208</v>
      </c>
      <c r="D2758" s="20">
        <v>3291.84</v>
      </c>
      <c r="E2758" s="22" t="s">
        <v>10</v>
      </c>
      <c r="F2758" s="22" t="s">
        <v>14</v>
      </c>
      <c r="G2758" s="22" t="s">
        <v>12</v>
      </c>
    </row>
    <row r="2759" ht="15.15" spans="1:7">
      <c r="A2759" s="20">
        <v>2757</v>
      </c>
      <c r="B2759" s="20">
        <v>8233</v>
      </c>
      <c r="C2759" s="21">
        <v>45136</v>
      </c>
      <c r="D2759" s="20">
        <v>3291.84</v>
      </c>
      <c r="E2759" s="22" t="s">
        <v>10</v>
      </c>
      <c r="F2759" s="22" t="s">
        <v>13</v>
      </c>
      <c r="G2759" s="22" t="s">
        <v>15</v>
      </c>
    </row>
    <row r="2760" ht="15.15" spans="1:7">
      <c r="A2760" s="20">
        <v>2758</v>
      </c>
      <c r="B2760" s="20">
        <v>6142</v>
      </c>
      <c r="C2760" s="21">
        <v>45251</v>
      </c>
      <c r="D2760" s="20">
        <v>3291.84</v>
      </c>
      <c r="E2760" s="22" t="s">
        <v>10</v>
      </c>
      <c r="F2760" s="22" t="s">
        <v>14</v>
      </c>
      <c r="G2760" s="22" t="s">
        <v>17</v>
      </c>
    </row>
    <row r="2761" ht="15.15" spans="1:7">
      <c r="A2761" s="20">
        <v>2759</v>
      </c>
      <c r="B2761" s="20">
        <v>1664</v>
      </c>
      <c r="C2761" s="21">
        <v>45115</v>
      </c>
      <c r="D2761" s="20">
        <v>3291.84</v>
      </c>
      <c r="E2761" s="22" t="s">
        <v>10</v>
      </c>
      <c r="F2761" s="22" t="s">
        <v>11</v>
      </c>
      <c r="G2761" s="22" t="s">
        <v>12</v>
      </c>
    </row>
    <row r="2762" ht="15.15" spans="1:7">
      <c r="A2762" s="20">
        <v>2760</v>
      </c>
      <c r="B2762" s="20">
        <v>5463</v>
      </c>
      <c r="C2762" s="21">
        <v>45086</v>
      </c>
      <c r="D2762" s="20">
        <v>3291.84</v>
      </c>
      <c r="E2762" s="22" t="s">
        <v>10</v>
      </c>
      <c r="F2762" s="22" t="s">
        <v>18</v>
      </c>
      <c r="G2762" s="22" t="s">
        <v>15</v>
      </c>
    </row>
    <row r="2763" ht="15.15" spans="1:7">
      <c r="A2763" s="20">
        <v>2761</v>
      </c>
      <c r="B2763" s="20">
        <v>5031</v>
      </c>
      <c r="C2763" s="21">
        <v>45134</v>
      </c>
      <c r="D2763" s="20">
        <v>3291.84</v>
      </c>
      <c r="E2763" s="22" t="s">
        <v>10</v>
      </c>
      <c r="F2763" s="22" t="s">
        <v>11</v>
      </c>
      <c r="G2763" s="22" t="s">
        <v>12</v>
      </c>
    </row>
    <row r="2764" ht="15.15" spans="1:7">
      <c r="A2764" s="20">
        <v>2762</v>
      </c>
      <c r="B2764" s="20">
        <v>4304</v>
      </c>
      <c r="C2764" s="21">
        <v>45199</v>
      </c>
      <c r="D2764" s="20">
        <v>3291.84</v>
      </c>
      <c r="E2764" s="22" t="s">
        <v>10</v>
      </c>
      <c r="F2764" s="22" t="s">
        <v>18</v>
      </c>
      <c r="G2764" s="22" t="s">
        <v>17</v>
      </c>
    </row>
    <row r="2765" ht="15.15" spans="1:7">
      <c r="A2765" s="20">
        <v>2763</v>
      </c>
      <c r="B2765" s="20">
        <v>8805</v>
      </c>
      <c r="C2765" s="21">
        <v>45279</v>
      </c>
      <c r="D2765" s="20">
        <v>3291.84</v>
      </c>
      <c r="E2765" s="22" t="s">
        <v>10</v>
      </c>
      <c r="F2765" s="22" t="s">
        <v>16</v>
      </c>
      <c r="G2765" s="22" t="s">
        <v>12</v>
      </c>
    </row>
    <row r="2766" ht="15.15" spans="1:7">
      <c r="A2766" s="20">
        <v>2764</v>
      </c>
      <c r="B2766" s="20">
        <v>7825</v>
      </c>
      <c r="C2766" s="21">
        <v>45243</v>
      </c>
      <c r="D2766" s="20">
        <v>3291.84</v>
      </c>
      <c r="E2766" s="22" t="s">
        <v>10</v>
      </c>
      <c r="F2766" s="22" t="s">
        <v>18</v>
      </c>
      <c r="G2766" s="22" t="s">
        <v>17</v>
      </c>
    </row>
    <row r="2767" ht="15.15" spans="1:7">
      <c r="A2767" s="20">
        <v>2765</v>
      </c>
      <c r="B2767" s="20">
        <v>3046</v>
      </c>
      <c r="C2767" s="21">
        <v>45006</v>
      </c>
      <c r="D2767" s="20">
        <v>3291.84</v>
      </c>
      <c r="E2767" s="22" t="s">
        <v>10</v>
      </c>
      <c r="F2767" s="22" t="s">
        <v>18</v>
      </c>
      <c r="G2767" s="22" t="s">
        <v>12</v>
      </c>
    </row>
    <row r="2768" ht="15.15" spans="1:7">
      <c r="A2768" s="20">
        <v>2766</v>
      </c>
      <c r="B2768" s="20">
        <v>4431</v>
      </c>
      <c r="C2768" s="21">
        <v>44966</v>
      </c>
      <c r="D2768" s="20">
        <v>3291.84</v>
      </c>
      <c r="E2768" s="22" t="s">
        <v>10</v>
      </c>
      <c r="F2768" s="22" t="s">
        <v>16</v>
      </c>
      <c r="G2768" s="22" t="s">
        <v>17</v>
      </c>
    </row>
    <row r="2769" ht="15.15" spans="1:7">
      <c r="A2769" s="20">
        <v>2767</v>
      </c>
      <c r="B2769" s="20">
        <v>1674</v>
      </c>
      <c r="C2769" s="21">
        <v>44962</v>
      </c>
      <c r="D2769" s="20">
        <v>3291.84</v>
      </c>
      <c r="E2769" s="22" t="s">
        <v>10</v>
      </c>
      <c r="F2769" s="22" t="s">
        <v>18</v>
      </c>
      <c r="G2769" s="22" t="s">
        <v>20</v>
      </c>
    </row>
    <row r="2770" ht="15.15" spans="1:7">
      <c r="A2770" s="20">
        <v>2768</v>
      </c>
      <c r="B2770" s="20">
        <v>2530</v>
      </c>
      <c r="C2770" s="21">
        <v>45204</v>
      </c>
      <c r="D2770" s="20">
        <v>3291.84</v>
      </c>
      <c r="E2770" s="22" t="s">
        <v>10</v>
      </c>
      <c r="F2770" s="22" t="s">
        <v>18</v>
      </c>
      <c r="G2770" s="22" t="s">
        <v>20</v>
      </c>
    </row>
    <row r="2771" ht="15.15" spans="1:7">
      <c r="A2771" s="20">
        <v>2769</v>
      </c>
      <c r="B2771" s="20">
        <v>8307</v>
      </c>
      <c r="C2771" s="21">
        <v>45279</v>
      </c>
      <c r="D2771" s="20">
        <v>3291.84</v>
      </c>
      <c r="E2771" s="22" t="s">
        <v>10</v>
      </c>
      <c r="F2771" s="22" t="s">
        <v>19</v>
      </c>
      <c r="G2771" s="22" t="s">
        <v>17</v>
      </c>
    </row>
    <row r="2772" ht="15.15" spans="1:7">
      <c r="A2772" s="20">
        <v>2770</v>
      </c>
      <c r="B2772" s="20">
        <v>6902</v>
      </c>
      <c r="C2772" s="21">
        <v>45256</v>
      </c>
      <c r="D2772" s="20">
        <v>3291.84</v>
      </c>
      <c r="E2772" s="22" t="s">
        <v>10</v>
      </c>
      <c r="F2772" s="22" t="s">
        <v>16</v>
      </c>
      <c r="G2772" s="22" t="s">
        <v>17</v>
      </c>
    </row>
    <row r="2773" ht="15.15" spans="1:7">
      <c r="A2773" s="20">
        <v>2771</v>
      </c>
      <c r="B2773" s="20">
        <v>8719</v>
      </c>
      <c r="C2773" s="21">
        <v>45040</v>
      </c>
      <c r="D2773" s="20">
        <v>3291.84</v>
      </c>
      <c r="E2773" s="22" t="s">
        <v>10</v>
      </c>
      <c r="F2773" s="22" t="s">
        <v>11</v>
      </c>
      <c r="G2773" s="22" t="s">
        <v>12</v>
      </c>
    </row>
    <row r="2774" ht="15.15" spans="1:7">
      <c r="A2774" s="20">
        <v>2772</v>
      </c>
      <c r="B2774" s="20">
        <v>7054</v>
      </c>
      <c r="C2774" s="21">
        <v>45110</v>
      </c>
      <c r="D2774" s="20">
        <v>3291.84</v>
      </c>
      <c r="E2774" s="22" t="s">
        <v>10</v>
      </c>
      <c r="F2774" s="22" t="s">
        <v>13</v>
      </c>
      <c r="G2774" s="22" t="s">
        <v>17</v>
      </c>
    </row>
    <row r="2775" ht="15.15" spans="1:7">
      <c r="A2775" s="20">
        <v>2773</v>
      </c>
      <c r="B2775" s="20">
        <v>4173</v>
      </c>
      <c r="C2775" s="21">
        <v>45088</v>
      </c>
      <c r="D2775" s="20">
        <v>3291.84</v>
      </c>
      <c r="E2775" s="22" t="s">
        <v>10</v>
      </c>
      <c r="F2775" s="22" t="s">
        <v>16</v>
      </c>
      <c r="G2775" s="22" t="s">
        <v>17</v>
      </c>
    </row>
    <row r="2776" ht="15.15" spans="1:7">
      <c r="A2776" s="20">
        <v>2774</v>
      </c>
      <c r="B2776" s="20">
        <v>641</v>
      </c>
      <c r="C2776" s="21">
        <v>45028</v>
      </c>
      <c r="D2776" s="20">
        <v>3291.84</v>
      </c>
      <c r="E2776" s="22" t="s">
        <v>10</v>
      </c>
      <c r="F2776" s="22" t="s">
        <v>14</v>
      </c>
      <c r="G2776" s="22" t="s">
        <v>15</v>
      </c>
    </row>
    <row r="2777" ht="15.15" spans="1:7">
      <c r="A2777" s="20">
        <v>2775</v>
      </c>
      <c r="B2777" s="20">
        <v>3637</v>
      </c>
      <c r="C2777" s="21">
        <v>45225</v>
      </c>
      <c r="D2777" s="20">
        <v>3291.84</v>
      </c>
      <c r="E2777" s="22" t="s">
        <v>10</v>
      </c>
      <c r="F2777" s="22" t="s">
        <v>16</v>
      </c>
      <c r="G2777" s="22" t="s">
        <v>15</v>
      </c>
    </row>
    <row r="2778" ht="15.15" spans="1:7">
      <c r="A2778" s="20">
        <v>2776</v>
      </c>
      <c r="B2778" s="20">
        <v>6228</v>
      </c>
      <c r="C2778" s="21">
        <v>45223</v>
      </c>
      <c r="D2778" s="20">
        <v>3291.84</v>
      </c>
      <c r="E2778" s="22" t="s">
        <v>10</v>
      </c>
      <c r="F2778" s="22" t="s">
        <v>13</v>
      </c>
      <c r="G2778" s="22" t="s">
        <v>17</v>
      </c>
    </row>
    <row r="2779" ht="15.15" spans="1:7">
      <c r="A2779" s="20">
        <v>2777</v>
      </c>
      <c r="B2779" s="20">
        <v>551</v>
      </c>
      <c r="C2779" s="21">
        <v>45127</v>
      </c>
      <c r="D2779" s="20">
        <v>3291.84</v>
      </c>
      <c r="E2779" s="22" t="s">
        <v>21</v>
      </c>
      <c r="F2779" s="22" t="s">
        <v>11</v>
      </c>
      <c r="G2779" s="22" t="s">
        <v>20</v>
      </c>
    </row>
    <row r="2780" ht="15.15" spans="1:7">
      <c r="A2780" s="20">
        <v>2778</v>
      </c>
      <c r="B2780" s="20">
        <v>3540</v>
      </c>
      <c r="C2780" s="21">
        <v>44932</v>
      </c>
      <c r="D2780" s="20">
        <v>3291.84</v>
      </c>
      <c r="E2780" s="22" t="s">
        <v>10</v>
      </c>
      <c r="F2780" s="22" t="s">
        <v>13</v>
      </c>
      <c r="G2780" s="22" t="s">
        <v>12</v>
      </c>
    </row>
    <row r="2781" ht="15.15" spans="1:7">
      <c r="A2781" s="20">
        <v>2779</v>
      </c>
      <c r="B2781" s="20">
        <v>9956</v>
      </c>
      <c r="C2781" s="21">
        <v>45153</v>
      </c>
      <c r="D2781" s="20">
        <v>3291.84</v>
      </c>
      <c r="E2781" s="22" t="s">
        <v>10</v>
      </c>
      <c r="F2781" s="22" t="s">
        <v>16</v>
      </c>
      <c r="G2781" s="22" t="s">
        <v>17</v>
      </c>
    </row>
    <row r="2782" ht="15.15" spans="1:7">
      <c r="A2782" s="20">
        <v>2780</v>
      </c>
      <c r="B2782" s="20">
        <v>2812</v>
      </c>
      <c r="C2782" s="21">
        <v>45278</v>
      </c>
      <c r="D2782" s="20">
        <v>3291.84</v>
      </c>
      <c r="E2782" s="22" t="s">
        <v>10</v>
      </c>
      <c r="F2782" s="22" t="s">
        <v>14</v>
      </c>
      <c r="G2782" s="22" t="s">
        <v>20</v>
      </c>
    </row>
    <row r="2783" ht="15.15" spans="1:7">
      <c r="A2783" s="20">
        <v>2781</v>
      </c>
      <c r="B2783" s="20">
        <v>308</v>
      </c>
      <c r="C2783" s="21">
        <v>45224</v>
      </c>
      <c r="D2783" s="20">
        <v>3291.84</v>
      </c>
      <c r="E2783" s="22" t="s">
        <v>22</v>
      </c>
      <c r="F2783" s="22" t="s">
        <v>18</v>
      </c>
      <c r="G2783" s="22" t="s">
        <v>15</v>
      </c>
    </row>
    <row r="2784" ht="15.15" spans="1:7">
      <c r="A2784" s="20">
        <v>2782</v>
      </c>
      <c r="B2784" s="20">
        <v>8084</v>
      </c>
      <c r="C2784" s="21">
        <v>45140</v>
      </c>
      <c r="D2784" s="20">
        <v>3291.84</v>
      </c>
      <c r="E2784" s="22" t="s">
        <v>10</v>
      </c>
      <c r="F2784" s="22" t="s">
        <v>18</v>
      </c>
      <c r="G2784" s="22" t="s">
        <v>20</v>
      </c>
    </row>
    <row r="2785" ht="15.15" spans="1:7">
      <c r="A2785" s="20">
        <v>2783</v>
      </c>
      <c r="B2785" s="20">
        <v>3039</v>
      </c>
      <c r="C2785" s="21">
        <v>44998</v>
      </c>
      <c r="D2785" s="20">
        <v>3291.84</v>
      </c>
      <c r="E2785" s="22" t="s">
        <v>10</v>
      </c>
      <c r="F2785" s="22" t="s">
        <v>18</v>
      </c>
      <c r="G2785" s="22" t="s">
        <v>12</v>
      </c>
    </row>
    <row r="2786" ht="15.15" spans="1:7">
      <c r="A2786" s="20">
        <v>2784</v>
      </c>
      <c r="B2786" s="20">
        <v>9262</v>
      </c>
      <c r="C2786" s="21">
        <v>45275</v>
      </c>
      <c r="D2786" s="20">
        <v>3291.84</v>
      </c>
      <c r="E2786" s="22" t="s">
        <v>10</v>
      </c>
      <c r="F2786" s="22" t="s">
        <v>11</v>
      </c>
      <c r="G2786" s="22" t="s">
        <v>17</v>
      </c>
    </row>
    <row r="2787" ht="15.15" spans="1:7">
      <c r="A2787" s="20">
        <v>2785</v>
      </c>
      <c r="B2787" s="20">
        <v>9273</v>
      </c>
      <c r="C2787" s="21">
        <v>45030</v>
      </c>
      <c r="D2787" s="20">
        <v>3291.84</v>
      </c>
      <c r="E2787" s="22" t="s">
        <v>10</v>
      </c>
      <c r="F2787" s="22" t="s">
        <v>13</v>
      </c>
      <c r="G2787" s="22" t="s">
        <v>17</v>
      </c>
    </row>
    <row r="2788" ht="15.15" spans="1:7">
      <c r="A2788" s="20">
        <v>2786</v>
      </c>
      <c r="B2788" s="20">
        <v>5056</v>
      </c>
      <c r="C2788" s="21">
        <v>44975</v>
      </c>
      <c r="D2788" s="20">
        <v>3291.84</v>
      </c>
      <c r="E2788" s="22" t="s">
        <v>10</v>
      </c>
      <c r="F2788" s="22" t="s">
        <v>14</v>
      </c>
      <c r="G2788" s="22" t="s">
        <v>17</v>
      </c>
    </row>
    <row r="2789" ht="15.15" spans="1:7">
      <c r="A2789" s="20">
        <v>2787</v>
      </c>
      <c r="B2789" s="20">
        <v>6622</v>
      </c>
      <c r="C2789" s="21">
        <v>44977</v>
      </c>
      <c r="D2789" s="20">
        <v>3291.84</v>
      </c>
      <c r="E2789" s="22" t="s">
        <v>10</v>
      </c>
      <c r="F2789" s="22" t="s">
        <v>11</v>
      </c>
      <c r="G2789" s="22" t="s">
        <v>17</v>
      </c>
    </row>
    <row r="2790" ht="15.15" spans="1:7">
      <c r="A2790" s="20">
        <v>2788</v>
      </c>
      <c r="B2790" s="20">
        <v>1072</v>
      </c>
      <c r="C2790" s="21">
        <v>44957</v>
      </c>
      <c r="D2790" s="20">
        <v>3291.84</v>
      </c>
      <c r="E2790" s="22" t="s">
        <v>10</v>
      </c>
      <c r="F2790" s="22" t="s">
        <v>14</v>
      </c>
      <c r="G2790" s="22" t="s">
        <v>20</v>
      </c>
    </row>
    <row r="2791" ht="15.15" spans="1:7">
      <c r="A2791" s="20">
        <v>2789</v>
      </c>
      <c r="B2791" s="20">
        <v>7261</v>
      </c>
      <c r="C2791" s="21">
        <v>45258</v>
      </c>
      <c r="D2791" s="20">
        <v>3291.84</v>
      </c>
      <c r="E2791" s="22" t="s">
        <v>10</v>
      </c>
      <c r="F2791" s="22" t="s">
        <v>18</v>
      </c>
      <c r="G2791" s="22" t="s">
        <v>17</v>
      </c>
    </row>
    <row r="2792" ht="15.15" spans="1:7">
      <c r="A2792" s="20">
        <v>2790</v>
      </c>
      <c r="B2792" s="20">
        <v>9997</v>
      </c>
      <c r="C2792" s="21">
        <v>45091</v>
      </c>
      <c r="D2792" s="20">
        <v>3291.84</v>
      </c>
      <c r="E2792" s="22" t="s">
        <v>10</v>
      </c>
      <c r="F2792" s="22" t="s">
        <v>18</v>
      </c>
      <c r="G2792" s="22" t="s">
        <v>15</v>
      </c>
    </row>
    <row r="2793" ht="15.15" spans="1:7">
      <c r="A2793" s="20">
        <v>2791</v>
      </c>
      <c r="B2793" s="20">
        <v>4048</v>
      </c>
      <c r="C2793" s="21">
        <v>45155</v>
      </c>
      <c r="D2793" s="20">
        <v>3291.84</v>
      </c>
      <c r="E2793" s="22" t="s">
        <v>21</v>
      </c>
      <c r="F2793" s="22" t="s">
        <v>16</v>
      </c>
      <c r="G2793" s="22" t="s">
        <v>17</v>
      </c>
    </row>
    <row r="2794" ht="15.15" spans="1:7">
      <c r="A2794" s="20">
        <v>2792</v>
      </c>
      <c r="B2794" s="20">
        <v>8670</v>
      </c>
      <c r="C2794" s="21">
        <v>45253</v>
      </c>
      <c r="D2794" s="20">
        <v>3291.84</v>
      </c>
      <c r="E2794" s="22" t="s">
        <v>10</v>
      </c>
      <c r="F2794" s="22" t="s">
        <v>18</v>
      </c>
      <c r="G2794" s="22" t="s">
        <v>20</v>
      </c>
    </row>
    <row r="2795" ht="15.15" spans="1:7">
      <c r="A2795" s="20">
        <v>2793</v>
      </c>
      <c r="B2795" s="20">
        <v>2802</v>
      </c>
      <c r="C2795" s="21">
        <v>45221</v>
      </c>
      <c r="D2795" s="20">
        <v>3291.84</v>
      </c>
      <c r="E2795" s="22" t="s">
        <v>10</v>
      </c>
      <c r="F2795" s="22" t="s">
        <v>14</v>
      </c>
      <c r="G2795" s="22" t="s">
        <v>20</v>
      </c>
    </row>
    <row r="2796" ht="15.15" spans="1:7">
      <c r="A2796" s="20">
        <v>2794</v>
      </c>
      <c r="B2796" s="20">
        <v>8541</v>
      </c>
      <c r="C2796" s="21">
        <v>45078</v>
      </c>
      <c r="D2796" s="20">
        <v>3291.84</v>
      </c>
      <c r="E2796" s="22" t="s">
        <v>22</v>
      </c>
      <c r="F2796" s="22" t="s">
        <v>14</v>
      </c>
      <c r="G2796" s="22" t="s">
        <v>20</v>
      </c>
    </row>
    <row r="2797" ht="15.15" spans="1:7">
      <c r="A2797" s="20">
        <v>2795</v>
      </c>
      <c r="B2797" s="20">
        <v>604</v>
      </c>
      <c r="C2797" s="21">
        <v>44957</v>
      </c>
      <c r="D2797" s="20">
        <v>3291.84</v>
      </c>
      <c r="E2797" s="22" t="s">
        <v>10</v>
      </c>
      <c r="F2797" s="22" t="s">
        <v>11</v>
      </c>
      <c r="G2797" s="22" t="s">
        <v>20</v>
      </c>
    </row>
    <row r="2798" ht="15.15" spans="1:7">
      <c r="A2798" s="20">
        <v>2796</v>
      </c>
      <c r="B2798" s="20">
        <v>2391</v>
      </c>
      <c r="C2798" s="21">
        <v>45123</v>
      </c>
      <c r="D2798" s="20">
        <v>3291.84</v>
      </c>
      <c r="E2798" s="22" t="s">
        <v>10</v>
      </c>
      <c r="F2798" s="22" t="s">
        <v>13</v>
      </c>
      <c r="G2798" s="22" t="s">
        <v>20</v>
      </c>
    </row>
    <row r="2799" ht="15.15" spans="1:7">
      <c r="A2799" s="20">
        <v>2797</v>
      </c>
      <c r="B2799" s="20">
        <v>6079</v>
      </c>
      <c r="C2799" s="21">
        <v>45033</v>
      </c>
      <c r="D2799" s="20">
        <v>3291.84</v>
      </c>
      <c r="E2799" s="22" t="s">
        <v>10</v>
      </c>
      <c r="F2799" s="22" t="s">
        <v>13</v>
      </c>
      <c r="G2799" s="22" t="s">
        <v>15</v>
      </c>
    </row>
    <row r="2800" ht="15.15" spans="1:7">
      <c r="A2800" s="20">
        <v>2798</v>
      </c>
      <c r="B2800" s="20">
        <v>4164</v>
      </c>
      <c r="C2800" s="21">
        <v>45218</v>
      </c>
      <c r="D2800" s="20">
        <v>3291.84</v>
      </c>
      <c r="E2800" s="22" t="s">
        <v>10</v>
      </c>
      <c r="F2800" s="22" t="s">
        <v>13</v>
      </c>
      <c r="G2800" s="22" t="s">
        <v>17</v>
      </c>
    </row>
    <row r="2801" ht="15.15" spans="1:7">
      <c r="A2801" s="20">
        <v>2799</v>
      </c>
      <c r="B2801" s="20">
        <v>543</v>
      </c>
      <c r="C2801" s="21">
        <v>45030</v>
      </c>
      <c r="D2801" s="20">
        <v>3291.84</v>
      </c>
      <c r="E2801" s="22" t="s">
        <v>10</v>
      </c>
      <c r="F2801" s="22" t="s">
        <v>18</v>
      </c>
      <c r="G2801" s="22" t="s">
        <v>12</v>
      </c>
    </row>
    <row r="2802" ht="15.15" spans="1:7">
      <c r="A2802" s="20">
        <v>2800</v>
      </c>
      <c r="B2802" s="20">
        <v>5887</v>
      </c>
      <c r="C2802" s="21">
        <v>45115</v>
      </c>
      <c r="D2802" s="20">
        <v>3291.84</v>
      </c>
      <c r="E2802" s="22" t="s">
        <v>10</v>
      </c>
      <c r="F2802" s="22" t="s">
        <v>13</v>
      </c>
      <c r="G2802" s="22" t="s">
        <v>17</v>
      </c>
    </row>
    <row r="2803" ht="15.15" spans="1:7">
      <c r="A2803" s="20">
        <v>2801</v>
      </c>
      <c r="B2803" s="20">
        <v>2738</v>
      </c>
      <c r="C2803" s="21">
        <v>45213</v>
      </c>
      <c r="D2803" s="20">
        <v>3291.84</v>
      </c>
      <c r="E2803" s="22" t="s">
        <v>10</v>
      </c>
      <c r="F2803" s="22" t="s">
        <v>16</v>
      </c>
      <c r="G2803" s="22" t="s">
        <v>12</v>
      </c>
    </row>
    <row r="2804" ht="15.15" spans="1:7">
      <c r="A2804" s="20">
        <v>2802</v>
      </c>
      <c r="B2804" s="20">
        <v>5677</v>
      </c>
      <c r="C2804" s="21">
        <v>45123</v>
      </c>
      <c r="D2804" s="20">
        <v>3291.84</v>
      </c>
      <c r="E2804" s="22" t="s">
        <v>10</v>
      </c>
      <c r="F2804" s="22" t="s">
        <v>18</v>
      </c>
      <c r="G2804" s="22" t="s">
        <v>15</v>
      </c>
    </row>
    <row r="2805" ht="15.15" spans="1:7">
      <c r="A2805" s="20">
        <v>2803</v>
      </c>
      <c r="B2805" s="20">
        <v>4406</v>
      </c>
      <c r="C2805" s="21">
        <v>44938</v>
      </c>
      <c r="D2805" s="20">
        <v>3291.84</v>
      </c>
      <c r="E2805" s="22" t="s">
        <v>10</v>
      </c>
      <c r="F2805" s="22" t="s">
        <v>18</v>
      </c>
      <c r="G2805" s="22" t="s">
        <v>15</v>
      </c>
    </row>
    <row r="2806" ht="15.15" spans="1:7">
      <c r="A2806" s="20">
        <v>2804</v>
      </c>
      <c r="B2806" s="20">
        <v>9052</v>
      </c>
      <c r="C2806" s="21">
        <v>45237</v>
      </c>
      <c r="D2806" s="20">
        <v>3291.84</v>
      </c>
      <c r="E2806" s="22" t="s">
        <v>10</v>
      </c>
      <c r="F2806" s="22" t="s">
        <v>18</v>
      </c>
      <c r="G2806" s="22" t="s">
        <v>20</v>
      </c>
    </row>
    <row r="2807" ht="15.15" spans="1:7">
      <c r="A2807" s="20">
        <v>2805</v>
      </c>
      <c r="B2807" s="20">
        <v>3875</v>
      </c>
      <c r="C2807" s="21">
        <v>44983</v>
      </c>
      <c r="D2807" s="20">
        <v>3291.84</v>
      </c>
      <c r="E2807" s="22" t="s">
        <v>10</v>
      </c>
      <c r="F2807" s="22" t="s">
        <v>14</v>
      </c>
      <c r="G2807" s="22" t="s">
        <v>12</v>
      </c>
    </row>
    <row r="2808" ht="15.15" spans="1:7">
      <c r="A2808" s="20">
        <v>2806</v>
      </c>
      <c r="B2808" s="20">
        <v>3690</v>
      </c>
      <c r="C2808" s="21">
        <v>45280</v>
      </c>
      <c r="D2808" s="20">
        <v>3291.84</v>
      </c>
      <c r="E2808" s="22" t="s">
        <v>10</v>
      </c>
      <c r="F2808" s="22" t="s">
        <v>13</v>
      </c>
      <c r="G2808" s="22" t="s">
        <v>12</v>
      </c>
    </row>
    <row r="2809" ht="15.15" spans="1:7">
      <c r="A2809" s="20">
        <v>2807</v>
      </c>
      <c r="B2809" s="20">
        <v>8801</v>
      </c>
      <c r="C2809" s="21">
        <v>45227</v>
      </c>
      <c r="D2809" s="20">
        <v>3291.84</v>
      </c>
      <c r="E2809" s="22" t="s">
        <v>10</v>
      </c>
      <c r="F2809" s="22" t="s">
        <v>16</v>
      </c>
      <c r="G2809" s="22" t="s">
        <v>12</v>
      </c>
    </row>
    <row r="2810" ht="15.15" spans="1:7">
      <c r="A2810" s="20">
        <v>2808</v>
      </c>
      <c r="B2810" s="20">
        <v>6170</v>
      </c>
      <c r="C2810" s="21">
        <v>45095</v>
      </c>
      <c r="D2810" s="20">
        <v>3291.84</v>
      </c>
      <c r="E2810" s="22" t="s">
        <v>10</v>
      </c>
      <c r="F2810" s="22" t="s">
        <v>16</v>
      </c>
      <c r="G2810" s="22" t="s">
        <v>15</v>
      </c>
    </row>
    <row r="2811" ht="15.15" spans="1:7">
      <c r="A2811" s="20">
        <v>2809</v>
      </c>
      <c r="B2811" s="20">
        <v>4156</v>
      </c>
      <c r="C2811" s="21">
        <v>45240</v>
      </c>
      <c r="D2811" s="20">
        <v>3291.84</v>
      </c>
      <c r="E2811" s="22" t="s">
        <v>10</v>
      </c>
      <c r="F2811" s="22" t="s">
        <v>18</v>
      </c>
      <c r="G2811" s="22" t="s">
        <v>17</v>
      </c>
    </row>
    <row r="2812" ht="15.15" spans="1:7">
      <c r="A2812" s="20">
        <v>2810</v>
      </c>
      <c r="B2812" s="20">
        <v>5024</v>
      </c>
      <c r="C2812" s="21">
        <v>45272</v>
      </c>
      <c r="D2812" s="20">
        <v>3291.84</v>
      </c>
      <c r="E2812" s="22" t="s">
        <v>10</v>
      </c>
      <c r="F2812" s="22" t="s">
        <v>14</v>
      </c>
      <c r="G2812" s="22" t="s">
        <v>20</v>
      </c>
    </row>
    <row r="2813" ht="15.15" spans="1:7">
      <c r="A2813" s="20">
        <v>2811</v>
      </c>
      <c r="B2813" s="20">
        <v>1047</v>
      </c>
      <c r="C2813" s="21">
        <v>45063</v>
      </c>
      <c r="D2813" s="20">
        <v>3291.84</v>
      </c>
      <c r="E2813" s="22" t="s">
        <v>10</v>
      </c>
      <c r="F2813" s="22" t="s">
        <v>14</v>
      </c>
      <c r="G2813" s="22" t="s">
        <v>20</v>
      </c>
    </row>
    <row r="2814" ht="15.15" spans="1:7">
      <c r="A2814" s="20">
        <v>2812</v>
      </c>
      <c r="B2814" s="20">
        <v>6640</v>
      </c>
      <c r="C2814" s="21">
        <v>45008</v>
      </c>
      <c r="D2814" s="20">
        <v>3291.84</v>
      </c>
      <c r="E2814" s="22" t="s">
        <v>10</v>
      </c>
      <c r="F2814" s="22" t="s">
        <v>16</v>
      </c>
      <c r="G2814" s="22" t="s">
        <v>12</v>
      </c>
    </row>
    <row r="2815" ht="15.15" spans="1:7">
      <c r="A2815" s="20">
        <v>2813</v>
      </c>
      <c r="B2815" s="20">
        <v>6561</v>
      </c>
      <c r="C2815" s="21">
        <v>45205</v>
      </c>
      <c r="D2815" s="20">
        <v>3291.84</v>
      </c>
      <c r="E2815" s="22" t="s">
        <v>10</v>
      </c>
      <c r="F2815" s="22" t="s">
        <v>18</v>
      </c>
      <c r="G2815" s="22" t="s">
        <v>17</v>
      </c>
    </row>
    <row r="2816" ht="15.15" spans="1:7">
      <c r="A2816" s="20">
        <v>2814</v>
      </c>
      <c r="B2816" s="20">
        <v>3267</v>
      </c>
      <c r="C2816" s="21">
        <v>45162</v>
      </c>
      <c r="D2816" s="20">
        <v>3291.84</v>
      </c>
      <c r="E2816" s="22" t="s">
        <v>10</v>
      </c>
      <c r="F2816" s="22" t="s">
        <v>19</v>
      </c>
      <c r="G2816" s="22" t="s">
        <v>17</v>
      </c>
    </row>
    <row r="2817" ht="15.15" spans="1:7">
      <c r="A2817" s="20">
        <v>2815</v>
      </c>
      <c r="B2817" s="20">
        <v>3454</v>
      </c>
      <c r="C2817" s="21">
        <v>45046</v>
      </c>
      <c r="D2817" s="20">
        <v>3291.84</v>
      </c>
      <c r="E2817" s="22" t="s">
        <v>10</v>
      </c>
      <c r="F2817" s="22" t="s">
        <v>11</v>
      </c>
      <c r="G2817" s="22" t="s">
        <v>15</v>
      </c>
    </row>
    <row r="2818" ht="15.15" spans="1:7">
      <c r="A2818" s="20">
        <v>2816</v>
      </c>
      <c r="B2818" s="20">
        <v>5581</v>
      </c>
      <c r="C2818" s="21">
        <v>45066</v>
      </c>
      <c r="D2818" s="20">
        <v>3291.84</v>
      </c>
      <c r="E2818" s="22" t="s">
        <v>10</v>
      </c>
      <c r="F2818" s="22" t="s">
        <v>16</v>
      </c>
      <c r="G2818" s="22" t="s">
        <v>17</v>
      </c>
    </row>
    <row r="2819" ht="15.15" spans="1:7">
      <c r="A2819" s="20">
        <v>2817</v>
      </c>
      <c r="B2819" s="20">
        <v>3744</v>
      </c>
      <c r="C2819" s="21">
        <v>45042</v>
      </c>
      <c r="D2819" s="20">
        <v>3291.84</v>
      </c>
      <c r="E2819" s="22" t="s">
        <v>10</v>
      </c>
      <c r="F2819" s="22" t="s">
        <v>14</v>
      </c>
      <c r="G2819" s="22" t="s">
        <v>17</v>
      </c>
    </row>
    <row r="2820" ht="15.15" spans="1:7">
      <c r="A2820" s="20">
        <v>2818</v>
      </c>
      <c r="B2820" s="20">
        <v>1060</v>
      </c>
      <c r="C2820" s="21">
        <v>45159</v>
      </c>
      <c r="D2820" s="20">
        <v>3291.84</v>
      </c>
      <c r="E2820" s="22" t="s">
        <v>10</v>
      </c>
      <c r="F2820" s="22" t="s">
        <v>18</v>
      </c>
      <c r="G2820" s="22" t="s">
        <v>15</v>
      </c>
    </row>
    <row r="2821" ht="15.15" spans="1:7">
      <c r="A2821" s="20">
        <v>2819</v>
      </c>
      <c r="B2821" s="20">
        <v>6079</v>
      </c>
      <c r="C2821" s="21">
        <v>45170</v>
      </c>
      <c r="D2821" s="20">
        <v>3291.84</v>
      </c>
      <c r="E2821" s="22" t="s">
        <v>10</v>
      </c>
      <c r="F2821" s="22" t="s">
        <v>13</v>
      </c>
      <c r="G2821" s="22" t="s">
        <v>15</v>
      </c>
    </row>
    <row r="2822" ht="15.15" spans="1:7">
      <c r="A2822" s="20">
        <v>2820</v>
      </c>
      <c r="B2822" s="20">
        <v>2265</v>
      </c>
      <c r="C2822" s="21">
        <v>45111</v>
      </c>
      <c r="D2822" s="20">
        <v>3291.84</v>
      </c>
      <c r="E2822" s="22" t="s">
        <v>10</v>
      </c>
      <c r="F2822" s="22" t="s">
        <v>14</v>
      </c>
      <c r="G2822" s="22" t="s">
        <v>17</v>
      </c>
    </row>
    <row r="2823" ht="15.15" spans="1:7">
      <c r="A2823" s="20">
        <v>2821</v>
      </c>
      <c r="B2823" s="20">
        <v>5022</v>
      </c>
      <c r="C2823" s="21">
        <v>44990</v>
      </c>
      <c r="D2823" s="20">
        <v>3291.84</v>
      </c>
      <c r="E2823" s="22" t="s">
        <v>10</v>
      </c>
      <c r="F2823" s="22" t="s">
        <v>11</v>
      </c>
      <c r="G2823" s="22" t="s">
        <v>12</v>
      </c>
    </row>
    <row r="2824" ht="15.15" spans="1:7">
      <c r="A2824" s="20">
        <v>2822</v>
      </c>
      <c r="B2824" s="20">
        <v>5036</v>
      </c>
      <c r="C2824" s="21">
        <v>45006</v>
      </c>
      <c r="D2824" s="20">
        <v>3291.84</v>
      </c>
      <c r="E2824" s="22" t="s">
        <v>10</v>
      </c>
      <c r="F2824" s="22" t="s">
        <v>13</v>
      </c>
      <c r="G2824" s="22" t="s">
        <v>17</v>
      </c>
    </row>
    <row r="2825" ht="15.15" spans="1:7">
      <c r="A2825" s="20">
        <v>2823</v>
      </c>
      <c r="B2825" s="20">
        <v>6587</v>
      </c>
      <c r="C2825" s="21">
        <v>45228</v>
      </c>
      <c r="D2825" s="20">
        <v>3291.84</v>
      </c>
      <c r="E2825" s="22" t="s">
        <v>10</v>
      </c>
      <c r="F2825" s="22" t="s">
        <v>14</v>
      </c>
      <c r="G2825" s="22" t="s">
        <v>20</v>
      </c>
    </row>
    <row r="2826" ht="15.15" spans="1:7">
      <c r="A2826" s="20">
        <v>2824</v>
      </c>
      <c r="B2826" s="20">
        <v>4642</v>
      </c>
      <c r="C2826" s="21">
        <v>45180</v>
      </c>
      <c r="D2826" s="20">
        <v>3291.84</v>
      </c>
      <c r="E2826" s="22" t="s">
        <v>10</v>
      </c>
      <c r="F2826" s="22" t="s">
        <v>18</v>
      </c>
      <c r="G2826" s="22" t="s">
        <v>12</v>
      </c>
    </row>
    <row r="2827" ht="15.15" spans="1:7">
      <c r="A2827" s="20">
        <v>2825</v>
      </c>
      <c r="B2827" s="20">
        <v>1667</v>
      </c>
      <c r="C2827" s="21">
        <v>45239</v>
      </c>
      <c r="D2827" s="20">
        <v>3291.84</v>
      </c>
      <c r="E2827" s="22" t="s">
        <v>10</v>
      </c>
      <c r="F2827" s="22" t="s">
        <v>14</v>
      </c>
      <c r="G2827" s="22" t="s">
        <v>15</v>
      </c>
    </row>
    <row r="2828" ht="15.15" spans="1:7">
      <c r="A2828" s="20">
        <v>2826</v>
      </c>
      <c r="B2828" s="20">
        <v>2781</v>
      </c>
      <c r="C2828" s="21">
        <v>45254</v>
      </c>
      <c r="D2828" s="20">
        <v>3291.84</v>
      </c>
      <c r="E2828" s="22" t="s">
        <v>10</v>
      </c>
      <c r="F2828" s="22" t="s">
        <v>16</v>
      </c>
      <c r="G2828" s="22" t="s">
        <v>15</v>
      </c>
    </row>
    <row r="2829" ht="15.15" spans="1:7">
      <c r="A2829" s="20">
        <v>2827</v>
      </c>
      <c r="B2829" s="20">
        <v>975</v>
      </c>
      <c r="C2829" s="21">
        <v>45173</v>
      </c>
      <c r="D2829" s="20">
        <v>3291.84</v>
      </c>
      <c r="E2829" s="22" t="s">
        <v>10</v>
      </c>
      <c r="F2829" s="22" t="s">
        <v>19</v>
      </c>
      <c r="G2829" s="22" t="s">
        <v>17</v>
      </c>
    </row>
    <row r="2830" ht="15.15" spans="1:7">
      <c r="A2830" s="20">
        <v>2828</v>
      </c>
      <c r="B2830" s="20">
        <v>1890</v>
      </c>
      <c r="C2830" s="21">
        <v>45290</v>
      </c>
      <c r="D2830" s="20">
        <v>3291.84</v>
      </c>
      <c r="E2830" s="22" t="s">
        <v>10</v>
      </c>
      <c r="F2830" s="22" t="s">
        <v>16</v>
      </c>
      <c r="G2830" s="22" t="s">
        <v>12</v>
      </c>
    </row>
    <row r="2831" ht="15.15" spans="1:7">
      <c r="A2831" s="20">
        <v>2829</v>
      </c>
      <c r="B2831" s="20">
        <v>2526</v>
      </c>
      <c r="C2831" s="21">
        <v>45237</v>
      </c>
      <c r="D2831" s="20">
        <v>3291.84</v>
      </c>
      <c r="E2831" s="22" t="s">
        <v>10</v>
      </c>
      <c r="F2831" s="22" t="s">
        <v>13</v>
      </c>
      <c r="G2831" s="22" t="s">
        <v>17</v>
      </c>
    </row>
    <row r="2832" ht="15.15" spans="1:7">
      <c r="A2832" s="20">
        <v>2830</v>
      </c>
      <c r="B2832" s="20">
        <v>3672</v>
      </c>
      <c r="C2832" s="21">
        <v>44961</v>
      </c>
      <c r="D2832" s="20">
        <v>3291.84</v>
      </c>
      <c r="E2832" s="22" t="s">
        <v>10</v>
      </c>
      <c r="F2832" s="22" t="s">
        <v>18</v>
      </c>
      <c r="G2832" s="22" t="s">
        <v>12</v>
      </c>
    </row>
    <row r="2833" ht="15.15" spans="1:7">
      <c r="A2833" s="20">
        <v>2831</v>
      </c>
      <c r="B2833" s="20">
        <v>674</v>
      </c>
      <c r="C2833" s="21">
        <v>45127</v>
      </c>
      <c r="D2833" s="20">
        <v>3291.84</v>
      </c>
      <c r="E2833" s="22" t="s">
        <v>10</v>
      </c>
      <c r="F2833" s="22" t="s">
        <v>18</v>
      </c>
      <c r="G2833" s="22" t="s">
        <v>12</v>
      </c>
    </row>
    <row r="2834" ht="15.15" spans="1:7">
      <c r="A2834" s="20">
        <v>2832</v>
      </c>
      <c r="B2834" s="20">
        <v>7348</v>
      </c>
      <c r="C2834" s="21">
        <v>45138</v>
      </c>
      <c r="D2834" s="20">
        <v>3291.84</v>
      </c>
      <c r="E2834" s="22" t="s">
        <v>10</v>
      </c>
      <c r="F2834" s="22" t="s">
        <v>13</v>
      </c>
      <c r="G2834" s="22" t="s">
        <v>12</v>
      </c>
    </row>
    <row r="2835" ht="15.15" spans="1:7">
      <c r="A2835" s="20">
        <v>2833</v>
      </c>
      <c r="B2835" s="20">
        <v>2988</v>
      </c>
      <c r="C2835" s="21">
        <v>45143</v>
      </c>
      <c r="D2835" s="20">
        <v>3291.84</v>
      </c>
      <c r="E2835" s="22" t="s">
        <v>10</v>
      </c>
      <c r="F2835" s="22" t="s">
        <v>13</v>
      </c>
      <c r="G2835" s="22" t="s">
        <v>17</v>
      </c>
    </row>
    <row r="2836" ht="15.15" spans="1:7">
      <c r="A2836" s="20">
        <v>2834</v>
      </c>
      <c r="B2836" s="20">
        <v>7592</v>
      </c>
      <c r="C2836" s="21">
        <v>45042</v>
      </c>
      <c r="D2836" s="20">
        <v>3291.84</v>
      </c>
      <c r="E2836" s="22" t="s">
        <v>10</v>
      </c>
      <c r="F2836" s="22" t="s">
        <v>13</v>
      </c>
      <c r="G2836" s="22" t="s">
        <v>15</v>
      </c>
    </row>
    <row r="2837" ht="15.15" spans="1:7">
      <c r="A2837" s="20">
        <v>2835</v>
      </c>
      <c r="B2837" s="20">
        <v>4051</v>
      </c>
      <c r="C2837" s="21">
        <v>45123</v>
      </c>
      <c r="D2837" s="20">
        <v>3291.84</v>
      </c>
      <c r="E2837" s="22" t="s">
        <v>10</v>
      </c>
      <c r="F2837" s="22" t="s">
        <v>18</v>
      </c>
      <c r="G2837" s="22" t="s">
        <v>17</v>
      </c>
    </row>
    <row r="2838" ht="15.15" spans="1:7">
      <c r="A2838" s="20">
        <v>2836</v>
      </c>
      <c r="B2838" s="20">
        <v>8759</v>
      </c>
      <c r="C2838" s="21">
        <v>45213</v>
      </c>
      <c r="D2838" s="20">
        <v>3291.84</v>
      </c>
      <c r="E2838" s="22" t="s">
        <v>10</v>
      </c>
      <c r="F2838" s="22" t="s">
        <v>16</v>
      </c>
      <c r="G2838" s="22" t="s">
        <v>17</v>
      </c>
    </row>
    <row r="2839" ht="15.15" spans="1:7">
      <c r="A2839" s="20">
        <v>2837</v>
      </c>
      <c r="B2839" s="20">
        <v>9187</v>
      </c>
      <c r="C2839" s="21">
        <v>44938</v>
      </c>
      <c r="D2839" s="20">
        <v>3291.84</v>
      </c>
      <c r="E2839" s="22" t="s">
        <v>10</v>
      </c>
      <c r="F2839" s="22" t="s">
        <v>13</v>
      </c>
      <c r="G2839" s="22" t="s">
        <v>15</v>
      </c>
    </row>
    <row r="2840" ht="15.15" spans="1:7">
      <c r="A2840" s="20">
        <v>2838</v>
      </c>
      <c r="B2840" s="20">
        <v>4725</v>
      </c>
      <c r="C2840" s="21">
        <v>44946</v>
      </c>
      <c r="D2840" s="20">
        <v>3291.84</v>
      </c>
      <c r="E2840" s="22" t="s">
        <v>10</v>
      </c>
      <c r="F2840" s="22" t="s">
        <v>14</v>
      </c>
      <c r="G2840" s="22" t="s">
        <v>17</v>
      </c>
    </row>
    <row r="2841" ht="15.15" spans="1:7">
      <c r="A2841" s="20">
        <v>2839</v>
      </c>
      <c r="B2841" s="20">
        <v>3640</v>
      </c>
      <c r="C2841" s="21">
        <v>45120</v>
      </c>
      <c r="D2841" s="20">
        <v>3291.84</v>
      </c>
      <c r="E2841" s="22" t="s">
        <v>10</v>
      </c>
      <c r="F2841" s="22" t="s">
        <v>13</v>
      </c>
      <c r="G2841" s="22" t="s">
        <v>17</v>
      </c>
    </row>
    <row r="2842" ht="15.15" spans="1:7">
      <c r="A2842" s="20">
        <v>2840</v>
      </c>
      <c r="B2842" s="20">
        <v>3926</v>
      </c>
      <c r="C2842" s="21">
        <v>44960</v>
      </c>
      <c r="D2842" s="20">
        <v>3291.84</v>
      </c>
      <c r="E2842" s="22" t="s">
        <v>10</v>
      </c>
      <c r="F2842" s="22" t="s">
        <v>11</v>
      </c>
      <c r="G2842" s="22" t="s">
        <v>17</v>
      </c>
    </row>
    <row r="2843" ht="15.15" spans="1:7">
      <c r="A2843" s="20">
        <v>2841</v>
      </c>
      <c r="B2843" s="20">
        <v>1308</v>
      </c>
      <c r="C2843" s="21">
        <v>45078</v>
      </c>
      <c r="D2843" s="20">
        <v>3291.84</v>
      </c>
      <c r="E2843" s="22" t="s">
        <v>10</v>
      </c>
      <c r="F2843" s="22" t="s">
        <v>16</v>
      </c>
      <c r="G2843" s="22" t="s">
        <v>17</v>
      </c>
    </row>
    <row r="2844" ht="15.15" spans="1:7">
      <c r="A2844" s="20">
        <v>2842</v>
      </c>
      <c r="B2844" s="20">
        <v>2485</v>
      </c>
      <c r="C2844" s="21">
        <v>45255</v>
      </c>
      <c r="D2844" s="20">
        <v>3291.84</v>
      </c>
      <c r="E2844" s="22" t="s">
        <v>10</v>
      </c>
      <c r="F2844" s="22" t="s">
        <v>11</v>
      </c>
      <c r="G2844" s="22" t="s">
        <v>20</v>
      </c>
    </row>
    <row r="2845" ht="15.15" spans="1:7">
      <c r="A2845" s="20">
        <v>2843</v>
      </c>
      <c r="B2845" s="20">
        <v>9699</v>
      </c>
      <c r="C2845" s="21">
        <v>45141</v>
      </c>
      <c r="D2845" s="20">
        <v>3291.84</v>
      </c>
      <c r="E2845" s="22" t="s">
        <v>10</v>
      </c>
      <c r="F2845" s="22" t="s">
        <v>11</v>
      </c>
      <c r="G2845" s="22" t="s">
        <v>20</v>
      </c>
    </row>
    <row r="2846" ht="15.15" spans="1:7">
      <c r="A2846" s="20">
        <v>2844</v>
      </c>
      <c r="B2846" s="20">
        <v>5058</v>
      </c>
      <c r="C2846" s="21">
        <v>44956</v>
      </c>
      <c r="D2846" s="20">
        <v>3291.84</v>
      </c>
      <c r="E2846" s="22" t="s">
        <v>10</v>
      </c>
      <c r="F2846" s="22" t="s">
        <v>11</v>
      </c>
      <c r="G2846" s="22" t="s">
        <v>12</v>
      </c>
    </row>
    <row r="2847" ht="15.15" spans="1:7">
      <c r="A2847" s="20">
        <v>2845</v>
      </c>
      <c r="B2847" s="20">
        <v>6884</v>
      </c>
      <c r="C2847" s="21">
        <v>45193</v>
      </c>
      <c r="D2847" s="20">
        <v>3291.84</v>
      </c>
      <c r="E2847" s="22" t="s">
        <v>10</v>
      </c>
      <c r="F2847" s="22" t="s">
        <v>11</v>
      </c>
      <c r="G2847" s="22" t="s">
        <v>20</v>
      </c>
    </row>
    <row r="2848" ht="15.15" spans="1:7">
      <c r="A2848" s="20">
        <v>2846</v>
      </c>
      <c r="B2848" s="20">
        <v>8487</v>
      </c>
      <c r="C2848" s="21">
        <v>45205</v>
      </c>
      <c r="D2848" s="20">
        <v>3291.84</v>
      </c>
      <c r="E2848" s="22" t="s">
        <v>10</v>
      </c>
      <c r="F2848" s="22" t="s">
        <v>11</v>
      </c>
      <c r="G2848" s="22" t="s">
        <v>12</v>
      </c>
    </row>
    <row r="2849" ht="15.15" spans="1:7">
      <c r="A2849" s="20">
        <v>2847</v>
      </c>
      <c r="B2849" s="20">
        <v>3764</v>
      </c>
      <c r="C2849" s="21">
        <v>45256</v>
      </c>
      <c r="D2849" s="20">
        <v>3291.84</v>
      </c>
      <c r="E2849" s="22" t="s">
        <v>10</v>
      </c>
      <c r="F2849" s="22" t="s">
        <v>14</v>
      </c>
      <c r="G2849" s="22" t="s">
        <v>17</v>
      </c>
    </row>
    <row r="2850" ht="15.15" spans="1:7">
      <c r="A2850" s="20">
        <v>2848</v>
      </c>
      <c r="B2850" s="20">
        <v>4190</v>
      </c>
      <c r="C2850" s="21">
        <v>45146</v>
      </c>
      <c r="D2850" s="20">
        <v>3291.84</v>
      </c>
      <c r="E2850" s="22" t="s">
        <v>10</v>
      </c>
      <c r="F2850" s="22" t="s">
        <v>16</v>
      </c>
      <c r="G2850" s="22" t="s">
        <v>20</v>
      </c>
    </row>
    <row r="2851" ht="15.15" spans="1:7">
      <c r="A2851" s="20">
        <v>2849</v>
      </c>
      <c r="B2851" s="20">
        <v>1775</v>
      </c>
      <c r="C2851" s="21">
        <v>45279</v>
      </c>
      <c r="D2851" s="20">
        <v>3291.84</v>
      </c>
      <c r="E2851" s="22" t="s">
        <v>10</v>
      </c>
      <c r="F2851" s="22" t="s">
        <v>16</v>
      </c>
      <c r="G2851" s="22" t="s">
        <v>20</v>
      </c>
    </row>
    <row r="2852" ht="15.15" spans="1:7">
      <c r="A2852" s="20">
        <v>2850</v>
      </c>
      <c r="B2852" s="20">
        <v>3825</v>
      </c>
      <c r="C2852" s="21">
        <v>45266</v>
      </c>
      <c r="D2852" s="20">
        <v>3291.84</v>
      </c>
      <c r="E2852" s="22" t="s">
        <v>10</v>
      </c>
      <c r="F2852" s="22" t="s">
        <v>18</v>
      </c>
      <c r="G2852" s="22" t="s">
        <v>15</v>
      </c>
    </row>
    <row r="2853" ht="15.15" spans="1:7">
      <c r="A2853" s="20">
        <v>2851</v>
      </c>
      <c r="B2853" s="20">
        <v>2934</v>
      </c>
      <c r="C2853" s="21">
        <v>45144</v>
      </c>
      <c r="D2853" s="20">
        <v>3291.84</v>
      </c>
      <c r="E2853" s="22" t="s">
        <v>10</v>
      </c>
      <c r="F2853" s="22" t="s">
        <v>16</v>
      </c>
      <c r="G2853" s="22" t="s">
        <v>20</v>
      </c>
    </row>
    <row r="2854" ht="15.15" spans="1:7">
      <c r="A2854" s="20">
        <v>2852</v>
      </c>
      <c r="B2854" s="20">
        <v>8223</v>
      </c>
      <c r="C2854" s="21">
        <v>45052</v>
      </c>
      <c r="D2854" s="20">
        <v>3291.84</v>
      </c>
      <c r="E2854" s="22" t="s">
        <v>10</v>
      </c>
      <c r="F2854" s="22" t="s">
        <v>11</v>
      </c>
      <c r="G2854" s="22" t="s">
        <v>20</v>
      </c>
    </row>
    <row r="2855" ht="15.15" spans="1:7">
      <c r="A2855" s="20">
        <v>2853</v>
      </c>
      <c r="B2855" s="20">
        <v>1141</v>
      </c>
      <c r="C2855" s="21">
        <v>45125</v>
      </c>
      <c r="D2855" s="20">
        <v>3291.84</v>
      </c>
      <c r="E2855" s="22" t="s">
        <v>10</v>
      </c>
      <c r="F2855" s="22" t="s">
        <v>14</v>
      </c>
      <c r="G2855" s="22" t="s">
        <v>20</v>
      </c>
    </row>
    <row r="2856" ht="15.15" spans="1:7">
      <c r="A2856" s="20">
        <v>2854</v>
      </c>
      <c r="B2856" s="20">
        <v>434</v>
      </c>
      <c r="C2856" s="21">
        <v>45232</v>
      </c>
      <c r="D2856" s="20">
        <v>3291.84</v>
      </c>
      <c r="E2856" s="22" t="s">
        <v>10</v>
      </c>
      <c r="F2856" s="22" t="s">
        <v>14</v>
      </c>
      <c r="G2856" s="22" t="s">
        <v>20</v>
      </c>
    </row>
    <row r="2857" ht="15.15" spans="1:7">
      <c r="A2857" s="20">
        <v>2855</v>
      </c>
      <c r="B2857" s="20">
        <v>5023</v>
      </c>
      <c r="C2857" s="21">
        <v>45175</v>
      </c>
      <c r="D2857" s="20">
        <v>3291.84</v>
      </c>
      <c r="E2857" s="22" t="s">
        <v>10</v>
      </c>
      <c r="F2857" s="22" t="s">
        <v>18</v>
      </c>
      <c r="G2857" s="22" t="s">
        <v>15</v>
      </c>
    </row>
    <row r="2858" ht="15.15" spans="1:7">
      <c r="A2858" s="20">
        <v>2856</v>
      </c>
      <c r="B2858" s="20">
        <v>8912</v>
      </c>
      <c r="C2858" s="21">
        <v>45013</v>
      </c>
      <c r="D2858" s="20">
        <v>3291.84</v>
      </c>
      <c r="E2858" s="22" t="s">
        <v>10</v>
      </c>
      <c r="F2858" s="22" t="s">
        <v>16</v>
      </c>
      <c r="G2858" s="22" t="s">
        <v>20</v>
      </c>
    </row>
    <row r="2859" ht="15.15" spans="1:7">
      <c r="A2859" s="20">
        <v>2857</v>
      </c>
      <c r="B2859" s="20">
        <v>7909</v>
      </c>
      <c r="C2859" s="21">
        <v>44997</v>
      </c>
      <c r="D2859" s="20">
        <v>3291.84</v>
      </c>
      <c r="E2859" s="22" t="s">
        <v>10</v>
      </c>
      <c r="F2859" s="22" t="s">
        <v>14</v>
      </c>
      <c r="G2859" s="22" t="s">
        <v>17</v>
      </c>
    </row>
    <row r="2860" ht="15.15" spans="1:7">
      <c r="A2860" s="20">
        <v>2858</v>
      </c>
      <c r="B2860" s="20">
        <v>38</v>
      </c>
      <c r="C2860" s="21">
        <v>45224</v>
      </c>
      <c r="D2860" s="20">
        <v>3291.84</v>
      </c>
      <c r="E2860" s="22" t="s">
        <v>10</v>
      </c>
      <c r="F2860" s="22" t="s">
        <v>18</v>
      </c>
      <c r="G2860" s="22" t="s">
        <v>15</v>
      </c>
    </row>
    <row r="2861" ht="15.15" spans="1:7">
      <c r="A2861" s="20">
        <v>2859</v>
      </c>
      <c r="B2861" s="20">
        <v>9803</v>
      </c>
      <c r="C2861" s="21">
        <v>45288</v>
      </c>
      <c r="D2861" s="20">
        <v>3291.84</v>
      </c>
      <c r="E2861" s="22" t="s">
        <v>10</v>
      </c>
      <c r="F2861" s="22" t="s">
        <v>18</v>
      </c>
      <c r="G2861" s="22" t="s">
        <v>20</v>
      </c>
    </row>
    <row r="2862" ht="15.15" spans="1:7">
      <c r="A2862" s="20">
        <v>2860</v>
      </c>
      <c r="B2862" s="20">
        <v>3928</v>
      </c>
      <c r="C2862" s="21">
        <v>45250</v>
      </c>
      <c r="D2862" s="20">
        <v>3291.84</v>
      </c>
      <c r="E2862" s="22" t="s">
        <v>10</v>
      </c>
      <c r="F2862" s="22" t="s">
        <v>13</v>
      </c>
      <c r="G2862" s="22" t="s">
        <v>17</v>
      </c>
    </row>
    <row r="2863" ht="15.15" spans="1:7">
      <c r="A2863" s="20">
        <v>2861</v>
      </c>
      <c r="B2863" s="20">
        <v>8251</v>
      </c>
      <c r="C2863" s="21">
        <v>45227</v>
      </c>
      <c r="D2863" s="20">
        <v>3291.84</v>
      </c>
      <c r="E2863" s="22" t="s">
        <v>10</v>
      </c>
      <c r="F2863" s="22" t="s">
        <v>11</v>
      </c>
      <c r="G2863" s="22" t="s">
        <v>20</v>
      </c>
    </row>
    <row r="2864" ht="15.15" spans="1:7">
      <c r="A2864" s="20">
        <v>2862</v>
      </c>
      <c r="B2864" s="20">
        <v>4040</v>
      </c>
      <c r="C2864" s="21">
        <v>45208</v>
      </c>
      <c r="D2864" s="20">
        <v>3291.84</v>
      </c>
      <c r="E2864" s="22" t="s">
        <v>10</v>
      </c>
      <c r="F2864" s="22" t="s">
        <v>13</v>
      </c>
      <c r="G2864" s="22" t="s">
        <v>20</v>
      </c>
    </row>
    <row r="2865" ht="15.15" spans="1:7">
      <c r="A2865" s="20">
        <v>2863</v>
      </c>
      <c r="B2865" s="20">
        <v>1348</v>
      </c>
      <c r="C2865" s="21">
        <v>45211</v>
      </c>
      <c r="D2865" s="20">
        <v>3291.84</v>
      </c>
      <c r="E2865" s="22" t="s">
        <v>10</v>
      </c>
      <c r="F2865" s="22" t="s">
        <v>13</v>
      </c>
      <c r="G2865" s="22" t="s">
        <v>12</v>
      </c>
    </row>
    <row r="2866" ht="15.15" spans="1:7">
      <c r="A2866" s="20">
        <v>2864</v>
      </c>
      <c r="B2866" s="20">
        <v>7058</v>
      </c>
      <c r="C2866" s="21">
        <v>45214</v>
      </c>
      <c r="D2866" s="20">
        <v>3291.84</v>
      </c>
      <c r="E2866" s="22" t="s">
        <v>10</v>
      </c>
      <c r="F2866" s="22" t="s">
        <v>18</v>
      </c>
      <c r="G2866" s="22" t="s">
        <v>20</v>
      </c>
    </row>
    <row r="2867" ht="15.15" spans="1:7">
      <c r="A2867" s="20">
        <v>2865</v>
      </c>
      <c r="B2867" s="20">
        <v>652</v>
      </c>
      <c r="C2867" s="21">
        <v>45066</v>
      </c>
      <c r="D2867" s="20">
        <v>3291.84</v>
      </c>
      <c r="E2867" s="22" t="s">
        <v>10</v>
      </c>
      <c r="F2867" s="22" t="s">
        <v>14</v>
      </c>
      <c r="G2867" s="22" t="s">
        <v>17</v>
      </c>
    </row>
    <row r="2868" ht="15.15" spans="1:7">
      <c r="A2868" s="20">
        <v>2866</v>
      </c>
      <c r="B2868" s="20">
        <v>2825</v>
      </c>
      <c r="C2868" s="21">
        <v>45129</v>
      </c>
      <c r="D2868" s="20">
        <v>3291.84</v>
      </c>
      <c r="E2868" s="22" t="s">
        <v>10</v>
      </c>
      <c r="F2868" s="22" t="s">
        <v>11</v>
      </c>
      <c r="G2868" s="22" t="s">
        <v>17</v>
      </c>
    </row>
    <row r="2869" ht="15.15" spans="1:7">
      <c r="A2869" s="20">
        <v>2867</v>
      </c>
      <c r="B2869" s="20">
        <v>2366</v>
      </c>
      <c r="C2869" s="21">
        <v>44934</v>
      </c>
      <c r="D2869" s="20">
        <v>3291.84</v>
      </c>
      <c r="E2869" s="22" t="s">
        <v>10</v>
      </c>
      <c r="F2869" s="22" t="s">
        <v>11</v>
      </c>
      <c r="G2869" s="22" t="s">
        <v>12</v>
      </c>
    </row>
    <row r="2870" ht="15.15" spans="1:7">
      <c r="A2870" s="20">
        <v>2868</v>
      </c>
      <c r="B2870" s="20">
        <v>2395</v>
      </c>
      <c r="C2870" s="21">
        <v>45228</v>
      </c>
      <c r="D2870" s="20">
        <v>3291.84</v>
      </c>
      <c r="E2870" s="22" t="s">
        <v>10</v>
      </c>
      <c r="F2870" s="22" t="s">
        <v>16</v>
      </c>
      <c r="G2870" s="22" t="s">
        <v>15</v>
      </c>
    </row>
    <row r="2871" ht="15.15" spans="1:7">
      <c r="A2871" s="20">
        <v>2869</v>
      </c>
      <c r="B2871" s="20">
        <v>5369</v>
      </c>
      <c r="C2871" s="21">
        <v>45035</v>
      </c>
      <c r="D2871" s="20">
        <v>3291.84</v>
      </c>
      <c r="E2871" s="22" t="s">
        <v>10</v>
      </c>
      <c r="F2871" s="22" t="s">
        <v>18</v>
      </c>
      <c r="G2871" s="22" t="s">
        <v>12</v>
      </c>
    </row>
    <row r="2872" ht="15.15" spans="1:7">
      <c r="A2872" s="20">
        <v>2870</v>
      </c>
      <c r="B2872" s="20">
        <v>1815</v>
      </c>
      <c r="C2872" s="21">
        <v>45211</v>
      </c>
      <c r="D2872" s="20">
        <v>3291.84</v>
      </c>
      <c r="E2872" s="22" t="s">
        <v>10</v>
      </c>
      <c r="F2872" s="22" t="s">
        <v>13</v>
      </c>
      <c r="G2872" s="22" t="s">
        <v>20</v>
      </c>
    </row>
    <row r="2873" ht="15.15" spans="1:7">
      <c r="A2873" s="20">
        <v>2871</v>
      </c>
      <c r="B2873" s="20">
        <v>7997</v>
      </c>
      <c r="C2873" s="21">
        <v>44993</v>
      </c>
      <c r="D2873" s="20">
        <v>3291.84</v>
      </c>
      <c r="E2873" s="22" t="s">
        <v>10</v>
      </c>
      <c r="F2873" s="22" t="s">
        <v>16</v>
      </c>
      <c r="G2873" s="22" t="s">
        <v>15</v>
      </c>
    </row>
    <row r="2874" ht="15.15" spans="1:7">
      <c r="A2874" s="20">
        <v>2872</v>
      </c>
      <c r="B2874" s="20">
        <v>9906</v>
      </c>
      <c r="C2874" s="21">
        <v>45073</v>
      </c>
      <c r="D2874" s="20">
        <v>3291.84</v>
      </c>
      <c r="E2874" s="22" t="s">
        <v>10</v>
      </c>
      <c r="F2874" s="22" t="s">
        <v>11</v>
      </c>
      <c r="G2874" s="22" t="s">
        <v>17</v>
      </c>
    </row>
    <row r="2875" ht="15.15" spans="1:7">
      <c r="A2875" s="20">
        <v>2873</v>
      </c>
      <c r="B2875" s="20">
        <v>8437</v>
      </c>
      <c r="C2875" s="21">
        <v>45018</v>
      </c>
      <c r="D2875" s="20">
        <v>3291.84</v>
      </c>
      <c r="E2875" s="22" t="s">
        <v>21</v>
      </c>
      <c r="F2875" s="22" t="s">
        <v>18</v>
      </c>
      <c r="G2875" s="22" t="s">
        <v>20</v>
      </c>
    </row>
    <row r="2876" ht="15.15" spans="1:7">
      <c r="A2876" s="20">
        <v>2874</v>
      </c>
      <c r="B2876" s="20">
        <v>5828</v>
      </c>
      <c r="C2876" s="21">
        <v>45076</v>
      </c>
      <c r="D2876" s="20">
        <v>3291.84</v>
      </c>
      <c r="E2876" s="22" t="s">
        <v>10</v>
      </c>
      <c r="F2876" s="22" t="s">
        <v>16</v>
      </c>
      <c r="G2876" s="22" t="s">
        <v>20</v>
      </c>
    </row>
    <row r="2877" ht="15.15" spans="1:7">
      <c r="A2877" s="20">
        <v>2875</v>
      </c>
      <c r="B2877" s="20">
        <v>3277</v>
      </c>
      <c r="C2877" s="21">
        <v>45239</v>
      </c>
      <c r="D2877" s="20">
        <v>3291.84</v>
      </c>
      <c r="E2877" s="22" t="s">
        <v>10</v>
      </c>
      <c r="F2877" s="22" t="s">
        <v>13</v>
      </c>
      <c r="G2877" s="22" t="s">
        <v>20</v>
      </c>
    </row>
    <row r="2878" ht="15.15" spans="1:7">
      <c r="A2878" s="20">
        <v>2876</v>
      </c>
      <c r="B2878" s="20">
        <v>2206</v>
      </c>
      <c r="C2878" s="21">
        <v>44994</v>
      </c>
      <c r="D2878" s="20">
        <v>3291.84</v>
      </c>
      <c r="E2878" s="22" t="s">
        <v>10</v>
      </c>
      <c r="F2878" s="22" t="s">
        <v>16</v>
      </c>
      <c r="G2878" s="22" t="s">
        <v>15</v>
      </c>
    </row>
    <row r="2879" ht="15.15" spans="1:7">
      <c r="A2879" s="20">
        <v>2877</v>
      </c>
      <c r="B2879" s="20">
        <v>3822</v>
      </c>
      <c r="C2879" s="21">
        <v>45076</v>
      </c>
      <c r="D2879" s="20">
        <v>3291.84</v>
      </c>
      <c r="E2879" s="22" t="s">
        <v>10</v>
      </c>
      <c r="F2879" s="22" t="s">
        <v>16</v>
      </c>
      <c r="G2879" s="22" t="s">
        <v>20</v>
      </c>
    </row>
    <row r="2880" ht="15.15" spans="1:7">
      <c r="A2880" s="20">
        <v>2878</v>
      </c>
      <c r="B2880" s="20">
        <v>1912</v>
      </c>
      <c r="C2880" s="21">
        <v>45262</v>
      </c>
      <c r="D2880" s="20">
        <v>3291.84</v>
      </c>
      <c r="E2880" s="22" t="s">
        <v>10</v>
      </c>
      <c r="F2880" s="22" t="s">
        <v>13</v>
      </c>
      <c r="G2880" s="22" t="s">
        <v>20</v>
      </c>
    </row>
    <row r="2881" ht="15.15" spans="1:7">
      <c r="A2881" s="20">
        <v>2879</v>
      </c>
      <c r="B2881" s="20">
        <v>6726</v>
      </c>
      <c r="C2881" s="21">
        <v>44955</v>
      </c>
      <c r="D2881" s="20">
        <v>3291.84</v>
      </c>
      <c r="E2881" s="22" t="s">
        <v>10</v>
      </c>
      <c r="F2881" s="22" t="s">
        <v>11</v>
      </c>
      <c r="G2881" s="22" t="s">
        <v>15</v>
      </c>
    </row>
    <row r="2882" ht="15.15" spans="1:7">
      <c r="A2882" s="20">
        <v>2880</v>
      </c>
      <c r="B2882" s="20">
        <v>1435</v>
      </c>
      <c r="C2882" s="21">
        <v>45217</v>
      </c>
      <c r="D2882" s="20">
        <v>3291.84</v>
      </c>
      <c r="E2882" s="22" t="s">
        <v>10</v>
      </c>
      <c r="F2882" s="22" t="s">
        <v>11</v>
      </c>
      <c r="G2882" s="22" t="s">
        <v>15</v>
      </c>
    </row>
    <row r="2883" ht="15.15" spans="1:7">
      <c r="A2883" s="20">
        <v>2881</v>
      </c>
      <c r="B2883" s="20">
        <v>9140</v>
      </c>
      <c r="C2883" s="21">
        <v>45171</v>
      </c>
      <c r="D2883" s="20">
        <v>3291.84</v>
      </c>
      <c r="E2883" s="22" t="s">
        <v>10</v>
      </c>
      <c r="F2883" s="22" t="s">
        <v>16</v>
      </c>
      <c r="G2883" s="22" t="s">
        <v>20</v>
      </c>
    </row>
    <row r="2884" ht="15.15" spans="1:7">
      <c r="A2884" s="20">
        <v>2882</v>
      </c>
      <c r="B2884" s="20">
        <v>97</v>
      </c>
      <c r="C2884" s="21">
        <v>45252</v>
      </c>
      <c r="D2884" s="20">
        <v>3291.84</v>
      </c>
      <c r="E2884" s="22" t="s">
        <v>10</v>
      </c>
      <c r="F2884" s="22" t="s">
        <v>18</v>
      </c>
      <c r="G2884" s="22" t="s">
        <v>12</v>
      </c>
    </row>
    <row r="2885" ht="15.15" spans="1:7">
      <c r="A2885" s="20">
        <v>2883</v>
      </c>
      <c r="B2885" s="20">
        <v>5499</v>
      </c>
      <c r="C2885" s="21">
        <v>45282</v>
      </c>
      <c r="D2885" s="20">
        <v>3291.84</v>
      </c>
      <c r="E2885" s="22" t="s">
        <v>21</v>
      </c>
      <c r="F2885" s="22" t="s">
        <v>11</v>
      </c>
      <c r="G2885" s="22" t="s">
        <v>15</v>
      </c>
    </row>
    <row r="2886" ht="15.15" spans="1:7">
      <c r="A2886" s="20">
        <v>2884</v>
      </c>
      <c r="B2886" s="20">
        <v>6919</v>
      </c>
      <c r="C2886" s="21">
        <v>45286</v>
      </c>
      <c r="D2886" s="20">
        <v>3291.84</v>
      </c>
      <c r="E2886" s="22" t="s">
        <v>10</v>
      </c>
      <c r="F2886" s="22" t="s">
        <v>16</v>
      </c>
      <c r="G2886" s="22" t="s">
        <v>20</v>
      </c>
    </row>
    <row r="2887" ht="15.15" spans="1:7">
      <c r="A2887" s="20">
        <v>2885</v>
      </c>
      <c r="B2887" s="20">
        <v>459</v>
      </c>
      <c r="C2887" s="21">
        <v>45261</v>
      </c>
      <c r="D2887" s="20">
        <v>3291.84</v>
      </c>
      <c r="E2887" s="22" t="s">
        <v>10</v>
      </c>
      <c r="F2887" s="22" t="s">
        <v>11</v>
      </c>
      <c r="G2887" s="22" t="s">
        <v>15</v>
      </c>
    </row>
    <row r="2888" ht="15.15" spans="1:7">
      <c r="A2888" s="20">
        <v>2886</v>
      </c>
      <c r="B2888" s="20">
        <v>217</v>
      </c>
      <c r="C2888" s="21">
        <v>45071</v>
      </c>
      <c r="D2888" s="20">
        <v>3291.84</v>
      </c>
      <c r="E2888" s="22" t="s">
        <v>10</v>
      </c>
      <c r="F2888" s="22" t="s">
        <v>13</v>
      </c>
      <c r="G2888" s="22" t="s">
        <v>15</v>
      </c>
    </row>
    <row r="2889" ht="15.15" spans="1:7">
      <c r="A2889" s="20">
        <v>2887</v>
      </c>
      <c r="B2889" s="20">
        <v>5405</v>
      </c>
      <c r="C2889" s="21">
        <v>44992</v>
      </c>
      <c r="D2889" s="20">
        <v>3291.84</v>
      </c>
      <c r="E2889" s="22" t="s">
        <v>10</v>
      </c>
      <c r="F2889" s="22" t="s">
        <v>11</v>
      </c>
      <c r="G2889" s="22" t="s">
        <v>20</v>
      </c>
    </row>
    <row r="2890" ht="15.15" spans="1:7">
      <c r="A2890" s="20">
        <v>2888</v>
      </c>
      <c r="B2890" s="20">
        <v>9522</v>
      </c>
      <c r="C2890" s="21">
        <v>45048</v>
      </c>
      <c r="D2890" s="20">
        <v>3291.84</v>
      </c>
      <c r="E2890" s="22" t="s">
        <v>10</v>
      </c>
      <c r="F2890" s="22" t="s">
        <v>14</v>
      </c>
      <c r="G2890" s="22" t="s">
        <v>20</v>
      </c>
    </row>
    <row r="2891" ht="15.15" spans="1:7">
      <c r="A2891" s="20">
        <v>2889</v>
      </c>
      <c r="B2891" s="20">
        <v>659</v>
      </c>
      <c r="C2891" s="21">
        <v>45096</v>
      </c>
      <c r="D2891" s="20">
        <v>3291.84</v>
      </c>
      <c r="E2891" s="22" t="s">
        <v>10</v>
      </c>
      <c r="F2891" s="22" t="s">
        <v>14</v>
      </c>
      <c r="G2891" s="22" t="s">
        <v>12</v>
      </c>
    </row>
    <row r="2892" ht="15.15" spans="1:7">
      <c r="A2892" s="20">
        <v>2890</v>
      </c>
      <c r="B2892" s="20">
        <v>9974</v>
      </c>
      <c r="C2892" s="21">
        <v>45177</v>
      </c>
      <c r="D2892" s="20">
        <v>3291.84</v>
      </c>
      <c r="E2892" s="22" t="s">
        <v>10</v>
      </c>
      <c r="F2892" s="22" t="s">
        <v>16</v>
      </c>
      <c r="G2892" s="22" t="s">
        <v>17</v>
      </c>
    </row>
    <row r="2893" ht="15.15" spans="1:7">
      <c r="A2893" s="20">
        <v>2891</v>
      </c>
      <c r="B2893" s="20">
        <v>5057</v>
      </c>
      <c r="C2893" s="21">
        <v>45265</v>
      </c>
      <c r="D2893" s="20">
        <v>3291.84</v>
      </c>
      <c r="E2893" s="22" t="s">
        <v>10</v>
      </c>
      <c r="F2893" s="22" t="s">
        <v>14</v>
      </c>
      <c r="G2893" s="22" t="s">
        <v>20</v>
      </c>
    </row>
    <row r="2894" ht="15.15" spans="1:7">
      <c r="A2894" s="20">
        <v>2892</v>
      </c>
      <c r="B2894" s="20">
        <v>9947</v>
      </c>
      <c r="C2894" s="21">
        <v>45138</v>
      </c>
      <c r="D2894" s="20">
        <v>3291.84</v>
      </c>
      <c r="E2894" s="22" t="s">
        <v>10</v>
      </c>
      <c r="F2894" s="22" t="s">
        <v>14</v>
      </c>
      <c r="G2894" s="22" t="s">
        <v>12</v>
      </c>
    </row>
    <row r="2895" ht="15.15" spans="1:7">
      <c r="A2895" s="20">
        <v>2893</v>
      </c>
      <c r="B2895" s="20">
        <v>4268</v>
      </c>
      <c r="C2895" s="21">
        <v>45183</v>
      </c>
      <c r="D2895" s="20">
        <v>3291.84</v>
      </c>
      <c r="E2895" s="22" t="s">
        <v>10</v>
      </c>
      <c r="F2895" s="22" t="s">
        <v>13</v>
      </c>
      <c r="G2895" s="22" t="s">
        <v>17</v>
      </c>
    </row>
    <row r="2896" ht="15.15" spans="1:7">
      <c r="A2896" s="20">
        <v>2894</v>
      </c>
      <c r="B2896" s="20">
        <v>916</v>
      </c>
      <c r="C2896" s="21">
        <v>45192</v>
      </c>
      <c r="D2896" s="20">
        <v>3291.84</v>
      </c>
      <c r="E2896" s="22" t="s">
        <v>10</v>
      </c>
      <c r="F2896" s="22" t="s">
        <v>19</v>
      </c>
      <c r="G2896" s="22" t="s">
        <v>12</v>
      </c>
    </row>
    <row r="2897" ht="15.15" spans="1:7">
      <c r="A2897" s="20">
        <v>2895</v>
      </c>
      <c r="B2897" s="20">
        <v>7302</v>
      </c>
      <c r="C2897" s="21">
        <v>45064</v>
      </c>
      <c r="D2897" s="20">
        <v>3291.84</v>
      </c>
      <c r="E2897" s="22" t="s">
        <v>10</v>
      </c>
      <c r="F2897" s="22" t="s">
        <v>13</v>
      </c>
      <c r="G2897" s="22" t="s">
        <v>12</v>
      </c>
    </row>
    <row r="2898" ht="15.15" spans="1:7">
      <c r="A2898" s="20">
        <v>2896</v>
      </c>
      <c r="B2898" s="20">
        <v>2241</v>
      </c>
      <c r="C2898" s="21">
        <v>45022</v>
      </c>
      <c r="D2898" s="20">
        <v>3291.84</v>
      </c>
      <c r="E2898" s="22" t="s">
        <v>10</v>
      </c>
      <c r="F2898" s="22" t="s">
        <v>19</v>
      </c>
      <c r="G2898" s="22" t="s">
        <v>12</v>
      </c>
    </row>
    <row r="2899" ht="15.15" spans="1:7">
      <c r="A2899" s="20">
        <v>2897</v>
      </c>
      <c r="B2899" s="20">
        <v>7332</v>
      </c>
      <c r="C2899" s="21">
        <v>45130</v>
      </c>
      <c r="D2899" s="20">
        <v>3291.84</v>
      </c>
      <c r="E2899" s="22" t="s">
        <v>10</v>
      </c>
      <c r="F2899" s="22" t="s">
        <v>13</v>
      </c>
      <c r="G2899" s="22" t="s">
        <v>17</v>
      </c>
    </row>
    <row r="2900" ht="15.15" spans="1:7">
      <c r="A2900" s="20">
        <v>2898</v>
      </c>
      <c r="B2900" s="20">
        <v>644</v>
      </c>
      <c r="C2900" s="21">
        <v>45020</v>
      </c>
      <c r="D2900" s="20">
        <v>3291.84</v>
      </c>
      <c r="E2900" s="22" t="s">
        <v>10</v>
      </c>
      <c r="F2900" s="22" t="s">
        <v>13</v>
      </c>
      <c r="G2900" s="22" t="s">
        <v>12</v>
      </c>
    </row>
    <row r="2901" ht="15.15" spans="1:7">
      <c r="A2901" s="20">
        <v>2899</v>
      </c>
      <c r="B2901" s="20">
        <v>9584</v>
      </c>
      <c r="C2901" s="21">
        <v>45060</v>
      </c>
      <c r="D2901" s="20">
        <v>3291.84</v>
      </c>
      <c r="E2901" s="22" t="s">
        <v>10</v>
      </c>
      <c r="F2901" s="22" t="s">
        <v>14</v>
      </c>
      <c r="G2901" s="22" t="s">
        <v>15</v>
      </c>
    </row>
    <row r="2902" ht="15.15" spans="1:7">
      <c r="A2902" s="20">
        <v>2900</v>
      </c>
      <c r="B2902" s="20">
        <v>8837</v>
      </c>
      <c r="C2902" s="21">
        <v>45249</v>
      </c>
      <c r="D2902" s="20">
        <v>3291.84</v>
      </c>
      <c r="E2902" s="22" t="s">
        <v>10</v>
      </c>
      <c r="F2902" s="22" t="s">
        <v>13</v>
      </c>
      <c r="G2902" s="22" t="s">
        <v>15</v>
      </c>
    </row>
    <row r="2903" ht="15.15" spans="1:7">
      <c r="A2903" s="20">
        <v>2901</v>
      </c>
      <c r="B2903" s="20">
        <v>8999</v>
      </c>
      <c r="C2903" s="21">
        <v>45030</v>
      </c>
      <c r="D2903" s="20">
        <v>3291.84</v>
      </c>
      <c r="E2903" s="22" t="s">
        <v>10</v>
      </c>
      <c r="F2903" s="22" t="s">
        <v>18</v>
      </c>
      <c r="G2903" s="22" t="s">
        <v>20</v>
      </c>
    </row>
    <row r="2904" ht="15.15" spans="1:7">
      <c r="A2904" s="20">
        <v>2902</v>
      </c>
      <c r="B2904" s="20">
        <v>564</v>
      </c>
      <c r="C2904" s="21">
        <v>45234</v>
      </c>
      <c r="D2904" s="20">
        <v>3291.84</v>
      </c>
      <c r="E2904" s="22" t="s">
        <v>10</v>
      </c>
      <c r="F2904" s="22" t="s">
        <v>16</v>
      </c>
      <c r="G2904" s="22" t="s">
        <v>12</v>
      </c>
    </row>
    <row r="2905" ht="15.15" spans="1:7">
      <c r="A2905" s="20">
        <v>2903</v>
      </c>
      <c r="B2905" s="20">
        <v>6082</v>
      </c>
      <c r="C2905" s="21">
        <v>44938</v>
      </c>
      <c r="D2905" s="20">
        <v>3291.84</v>
      </c>
      <c r="E2905" s="22" t="s">
        <v>10</v>
      </c>
      <c r="F2905" s="22" t="s">
        <v>18</v>
      </c>
      <c r="G2905" s="22" t="s">
        <v>12</v>
      </c>
    </row>
    <row r="2906" ht="15.15" spans="1:7">
      <c r="A2906" s="20">
        <v>2904</v>
      </c>
      <c r="B2906" s="20">
        <v>7240</v>
      </c>
      <c r="C2906" s="21">
        <v>44938</v>
      </c>
      <c r="D2906" s="20">
        <v>3291.84</v>
      </c>
      <c r="E2906" s="22" t="s">
        <v>10</v>
      </c>
      <c r="F2906" s="22" t="s">
        <v>16</v>
      </c>
      <c r="G2906" s="22" t="s">
        <v>17</v>
      </c>
    </row>
    <row r="2907" ht="15.15" spans="1:7">
      <c r="A2907" s="20">
        <v>2905</v>
      </c>
      <c r="B2907" s="20">
        <v>1564</v>
      </c>
      <c r="C2907" s="21">
        <v>45238</v>
      </c>
      <c r="D2907" s="20">
        <v>3291.84</v>
      </c>
      <c r="E2907" s="22" t="s">
        <v>10</v>
      </c>
      <c r="F2907" s="22" t="s">
        <v>18</v>
      </c>
      <c r="G2907" s="22" t="s">
        <v>20</v>
      </c>
    </row>
    <row r="2908" ht="15.15" spans="1:7">
      <c r="A2908" s="20">
        <v>2906</v>
      </c>
      <c r="B2908" s="20">
        <v>3512</v>
      </c>
      <c r="C2908" s="21">
        <v>45242</v>
      </c>
      <c r="D2908" s="20">
        <v>3291.84</v>
      </c>
      <c r="E2908" s="22" t="s">
        <v>10</v>
      </c>
      <c r="F2908" s="22" t="s">
        <v>13</v>
      </c>
      <c r="G2908" s="22" t="s">
        <v>15</v>
      </c>
    </row>
    <row r="2909" ht="15.15" spans="1:7">
      <c r="A2909" s="20">
        <v>2907</v>
      </c>
      <c r="B2909" s="20">
        <v>2390</v>
      </c>
      <c r="C2909" s="21">
        <v>44996</v>
      </c>
      <c r="D2909" s="20">
        <v>3291.84</v>
      </c>
      <c r="E2909" s="22" t="s">
        <v>10</v>
      </c>
      <c r="F2909" s="22" t="s">
        <v>11</v>
      </c>
      <c r="G2909" s="22" t="s">
        <v>15</v>
      </c>
    </row>
    <row r="2910" ht="15.15" spans="1:7">
      <c r="A2910" s="20">
        <v>2908</v>
      </c>
      <c r="B2910" s="20">
        <v>5775</v>
      </c>
      <c r="C2910" s="21">
        <v>45290</v>
      </c>
      <c r="D2910" s="20">
        <v>3291.84</v>
      </c>
      <c r="E2910" s="22" t="s">
        <v>10</v>
      </c>
      <c r="F2910" s="22" t="s">
        <v>16</v>
      </c>
      <c r="G2910" s="22" t="s">
        <v>12</v>
      </c>
    </row>
    <row r="2911" ht="15.15" spans="1:7">
      <c r="A2911" s="20">
        <v>2909</v>
      </c>
      <c r="B2911" s="20">
        <v>3778</v>
      </c>
      <c r="C2911" s="21">
        <v>45240</v>
      </c>
      <c r="D2911" s="20">
        <v>3291.84</v>
      </c>
      <c r="E2911" s="22" t="s">
        <v>10</v>
      </c>
      <c r="F2911" s="22" t="s">
        <v>11</v>
      </c>
      <c r="G2911" s="22" t="s">
        <v>15</v>
      </c>
    </row>
    <row r="2912" ht="15.15" spans="1:7">
      <c r="A2912" s="20">
        <v>2910</v>
      </c>
      <c r="B2912" s="20">
        <v>2821</v>
      </c>
      <c r="C2912" s="21">
        <v>45159</v>
      </c>
      <c r="D2912" s="20">
        <v>3291.84</v>
      </c>
      <c r="E2912" s="22" t="s">
        <v>10</v>
      </c>
      <c r="F2912" s="22" t="s">
        <v>13</v>
      </c>
      <c r="G2912" s="22" t="s">
        <v>17</v>
      </c>
    </row>
    <row r="2913" ht="15.15" spans="1:7">
      <c r="A2913" s="20">
        <v>2911</v>
      </c>
      <c r="B2913" s="20">
        <v>5676</v>
      </c>
      <c r="C2913" s="21">
        <v>45098</v>
      </c>
      <c r="D2913" s="20">
        <v>3291.84</v>
      </c>
      <c r="E2913" s="22" t="s">
        <v>10</v>
      </c>
      <c r="F2913" s="22" t="s">
        <v>14</v>
      </c>
      <c r="G2913" s="22" t="s">
        <v>20</v>
      </c>
    </row>
    <row r="2914" ht="15.15" spans="1:7">
      <c r="A2914" s="20">
        <v>2912</v>
      </c>
      <c r="B2914" s="20">
        <v>9713</v>
      </c>
      <c r="C2914" s="21">
        <v>45265</v>
      </c>
      <c r="D2914" s="20">
        <v>3291.84</v>
      </c>
      <c r="E2914" s="22" t="s">
        <v>10</v>
      </c>
      <c r="F2914" s="22" t="s">
        <v>11</v>
      </c>
      <c r="G2914" s="22" t="s">
        <v>20</v>
      </c>
    </row>
    <row r="2915" ht="15.15" spans="1:7">
      <c r="A2915" s="20">
        <v>2913</v>
      </c>
      <c r="B2915" s="20">
        <v>6916</v>
      </c>
      <c r="C2915" s="21">
        <v>45208</v>
      </c>
      <c r="D2915" s="20">
        <v>3291.84</v>
      </c>
      <c r="E2915" s="22" t="s">
        <v>10</v>
      </c>
      <c r="F2915" s="22" t="s">
        <v>16</v>
      </c>
      <c r="G2915" s="22" t="s">
        <v>12</v>
      </c>
    </row>
    <row r="2916" ht="15.15" spans="1:7">
      <c r="A2916" s="20">
        <v>2914</v>
      </c>
      <c r="B2916" s="20">
        <v>6143</v>
      </c>
      <c r="C2916" s="21">
        <v>44970</v>
      </c>
      <c r="D2916" s="20">
        <v>3291.84</v>
      </c>
      <c r="E2916" s="22" t="s">
        <v>10</v>
      </c>
      <c r="F2916" s="22" t="s">
        <v>16</v>
      </c>
      <c r="G2916" s="22" t="s">
        <v>15</v>
      </c>
    </row>
    <row r="2917" ht="15.15" spans="1:7">
      <c r="A2917" s="20">
        <v>2915</v>
      </c>
      <c r="B2917" s="20">
        <v>4835</v>
      </c>
      <c r="C2917" s="21">
        <v>45015</v>
      </c>
      <c r="D2917" s="20">
        <v>3291.84</v>
      </c>
      <c r="E2917" s="22" t="s">
        <v>10</v>
      </c>
      <c r="F2917" s="22" t="s">
        <v>16</v>
      </c>
      <c r="G2917" s="22" t="s">
        <v>15</v>
      </c>
    </row>
    <row r="2918" ht="15.15" spans="1:7">
      <c r="A2918" s="20">
        <v>2916</v>
      </c>
      <c r="B2918" s="20">
        <v>6326</v>
      </c>
      <c r="C2918" s="21">
        <v>45271</v>
      </c>
      <c r="D2918" s="20">
        <v>3291.84</v>
      </c>
      <c r="E2918" s="22" t="s">
        <v>10</v>
      </c>
      <c r="F2918" s="22" t="s">
        <v>11</v>
      </c>
      <c r="G2918" s="22" t="s">
        <v>15</v>
      </c>
    </row>
    <row r="2919" ht="15.15" spans="1:7">
      <c r="A2919" s="20">
        <v>2917</v>
      </c>
      <c r="B2919" s="20">
        <v>4350</v>
      </c>
      <c r="C2919" s="21">
        <v>45196</v>
      </c>
      <c r="D2919" s="20">
        <v>3291.84</v>
      </c>
      <c r="E2919" s="22" t="s">
        <v>10</v>
      </c>
      <c r="F2919" s="22" t="s">
        <v>14</v>
      </c>
      <c r="G2919" s="22" t="s">
        <v>12</v>
      </c>
    </row>
    <row r="2920" ht="15.15" spans="1:7">
      <c r="A2920" s="20">
        <v>2918</v>
      </c>
      <c r="B2920" s="20">
        <v>367</v>
      </c>
      <c r="C2920" s="21">
        <v>44968</v>
      </c>
      <c r="D2920" s="20">
        <v>3291.84</v>
      </c>
      <c r="E2920" s="22" t="s">
        <v>10</v>
      </c>
      <c r="F2920" s="22" t="s">
        <v>13</v>
      </c>
      <c r="G2920" s="22" t="s">
        <v>15</v>
      </c>
    </row>
    <row r="2921" ht="15.15" spans="1:7">
      <c r="A2921" s="20">
        <v>2919</v>
      </c>
      <c r="B2921" s="20">
        <v>5065</v>
      </c>
      <c r="C2921" s="21">
        <v>45254</v>
      </c>
      <c r="D2921" s="20">
        <v>3291.84</v>
      </c>
      <c r="E2921" s="22" t="s">
        <v>10</v>
      </c>
      <c r="F2921" s="22" t="s">
        <v>13</v>
      </c>
      <c r="G2921" s="22" t="s">
        <v>12</v>
      </c>
    </row>
    <row r="2922" ht="15.15" spans="1:7">
      <c r="A2922" s="20">
        <v>2920</v>
      </c>
      <c r="B2922" s="20">
        <v>8138</v>
      </c>
      <c r="C2922" s="21">
        <v>45163</v>
      </c>
      <c r="D2922" s="20">
        <v>3291.84</v>
      </c>
      <c r="E2922" s="22" t="s">
        <v>10</v>
      </c>
      <c r="F2922" s="22" t="s">
        <v>14</v>
      </c>
      <c r="G2922" s="22" t="s">
        <v>20</v>
      </c>
    </row>
    <row r="2923" ht="15.15" spans="1:7">
      <c r="A2923" s="20">
        <v>2921</v>
      </c>
      <c r="B2923" s="20">
        <v>3732</v>
      </c>
      <c r="C2923" s="21">
        <v>45271</v>
      </c>
      <c r="D2923" s="20">
        <v>3291.84</v>
      </c>
      <c r="E2923" s="22" t="s">
        <v>10</v>
      </c>
      <c r="F2923" s="22" t="s">
        <v>13</v>
      </c>
      <c r="G2923" s="22" t="s">
        <v>12</v>
      </c>
    </row>
    <row r="2924" ht="15.15" spans="1:7">
      <c r="A2924" s="20">
        <v>2922</v>
      </c>
      <c r="B2924" s="20">
        <v>4689</v>
      </c>
      <c r="C2924" s="21">
        <v>44940</v>
      </c>
      <c r="D2924" s="20">
        <v>3291.84</v>
      </c>
      <c r="E2924" s="22" t="s">
        <v>10</v>
      </c>
      <c r="F2924" s="22" t="s">
        <v>14</v>
      </c>
      <c r="G2924" s="22" t="s">
        <v>12</v>
      </c>
    </row>
    <row r="2925" ht="15.15" spans="1:7">
      <c r="A2925" s="20">
        <v>2923</v>
      </c>
      <c r="B2925" s="20">
        <v>3218</v>
      </c>
      <c r="C2925" s="21">
        <v>45263</v>
      </c>
      <c r="D2925" s="20">
        <v>3291.84</v>
      </c>
      <c r="E2925" s="22" t="s">
        <v>10</v>
      </c>
      <c r="F2925" s="22" t="s">
        <v>14</v>
      </c>
      <c r="G2925" s="22" t="s">
        <v>20</v>
      </c>
    </row>
    <row r="2926" ht="15.15" spans="1:7">
      <c r="A2926" s="20">
        <v>2924</v>
      </c>
      <c r="B2926" s="20">
        <v>1669</v>
      </c>
      <c r="C2926" s="21">
        <v>45209</v>
      </c>
      <c r="D2926" s="20">
        <v>3291.84</v>
      </c>
      <c r="E2926" s="22" t="s">
        <v>10</v>
      </c>
      <c r="F2926" s="22" t="s">
        <v>16</v>
      </c>
      <c r="G2926" s="22" t="s">
        <v>17</v>
      </c>
    </row>
    <row r="2927" ht="15.15" spans="1:7">
      <c r="A2927" s="20">
        <v>2925</v>
      </c>
      <c r="B2927" s="20">
        <v>5368</v>
      </c>
      <c r="C2927" s="21">
        <v>45274</v>
      </c>
      <c r="D2927" s="20">
        <v>3291.84</v>
      </c>
      <c r="E2927" s="22" t="s">
        <v>10</v>
      </c>
      <c r="F2927" s="22" t="s">
        <v>19</v>
      </c>
      <c r="G2927" s="22" t="s">
        <v>15</v>
      </c>
    </row>
    <row r="2928" ht="15.15" spans="1:7">
      <c r="A2928" s="20">
        <v>2926</v>
      </c>
      <c r="B2928" s="20">
        <v>561</v>
      </c>
      <c r="C2928" s="21">
        <v>45253</v>
      </c>
      <c r="D2928" s="20">
        <v>3291.84</v>
      </c>
      <c r="E2928" s="22" t="s">
        <v>10</v>
      </c>
      <c r="F2928" s="22" t="s">
        <v>13</v>
      </c>
      <c r="G2928" s="22" t="s">
        <v>17</v>
      </c>
    </row>
    <row r="2929" ht="15.15" spans="1:7">
      <c r="A2929" s="20">
        <v>2927</v>
      </c>
      <c r="B2929" s="20">
        <v>4265</v>
      </c>
      <c r="C2929" s="21">
        <v>45251</v>
      </c>
      <c r="D2929" s="20">
        <v>3291.84</v>
      </c>
      <c r="E2929" s="22" t="s">
        <v>10</v>
      </c>
      <c r="F2929" s="22" t="s">
        <v>13</v>
      </c>
      <c r="G2929" s="22" t="s">
        <v>15</v>
      </c>
    </row>
    <row r="2930" ht="15.15" spans="1:7">
      <c r="A2930" s="20">
        <v>2928</v>
      </c>
      <c r="B2930" s="20">
        <v>7203</v>
      </c>
      <c r="C2930" s="21">
        <v>45012</v>
      </c>
      <c r="D2930" s="20">
        <v>3291.84</v>
      </c>
      <c r="E2930" s="22" t="s">
        <v>10</v>
      </c>
      <c r="F2930" s="22" t="s">
        <v>13</v>
      </c>
      <c r="G2930" s="22" t="s">
        <v>12</v>
      </c>
    </row>
    <row r="2931" ht="15.15" spans="1:7">
      <c r="A2931" s="20">
        <v>2929</v>
      </c>
      <c r="B2931" s="20">
        <v>7385</v>
      </c>
      <c r="C2931" s="21">
        <v>44955</v>
      </c>
      <c r="D2931" s="20">
        <v>3291.84</v>
      </c>
      <c r="E2931" s="22" t="s">
        <v>10</v>
      </c>
      <c r="F2931" s="22" t="s">
        <v>13</v>
      </c>
      <c r="G2931" s="22" t="s">
        <v>20</v>
      </c>
    </row>
    <row r="2932" ht="15.15" spans="1:7">
      <c r="A2932" s="20">
        <v>2930</v>
      </c>
      <c r="B2932" s="20">
        <v>9000</v>
      </c>
      <c r="C2932" s="21">
        <v>45051</v>
      </c>
      <c r="D2932" s="20">
        <v>3291.84</v>
      </c>
      <c r="E2932" s="22" t="s">
        <v>10</v>
      </c>
      <c r="F2932" s="22" t="s">
        <v>18</v>
      </c>
      <c r="G2932" s="22" t="s">
        <v>12</v>
      </c>
    </row>
    <row r="2933" ht="15.15" spans="1:7">
      <c r="A2933" s="20">
        <v>2931</v>
      </c>
      <c r="B2933" s="20">
        <v>5644</v>
      </c>
      <c r="C2933" s="21">
        <v>45271</v>
      </c>
      <c r="D2933" s="20">
        <v>3291.84</v>
      </c>
      <c r="E2933" s="22" t="s">
        <v>10</v>
      </c>
      <c r="F2933" s="22" t="s">
        <v>19</v>
      </c>
      <c r="G2933" s="22" t="s">
        <v>15</v>
      </c>
    </row>
    <row r="2934" ht="15.15" spans="1:7">
      <c r="A2934" s="20">
        <v>2932</v>
      </c>
      <c r="B2934" s="20">
        <v>2231</v>
      </c>
      <c r="C2934" s="21">
        <v>44934</v>
      </c>
      <c r="D2934" s="20">
        <v>3291.84</v>
      </c>
      <c r="E2934" s="22" t="s">
        <v>10</v>
      </c>
      <c r="F2934" s="22" t="s">
        <v>18</v>
      </c>
      <c r="G2934" s="22" t="s">
        <v>12</v>
      </c>
    </row>
    <row r="2935" ht="15.15" spans="1:7">
      <c r="A2935" s="20">
        <v>2933</v>
      </c>
      <c r="B2935" s="20">
        <v>7356</v>
      </c>
      <c r="C2935" s="21">
        <v>44972</v>
      </c>
      <c r="D2935" s="20">
        <v>3291.84</v>
      </c>
      <c r="E2935" s="22" t="s">
        <v>10</v>
      </c>
      <c r="F2935" s="22" t="s">
        <v>13</v>
      </c>
      <c r="G2935" s="22" t="s">
        <v>17</v>
      </c>
    </row>
    <row r="2936" ht="15.15" spans="1:7">
      <c r="A2936" s="20">
        <v>2934</v>
      </c>
      <c r="B2936" s="20">
        <v>7688</v>
      </c>
      <c r="C2936" s="21">
        <v>45249</v>
      </c>
      <c r="D2936" s="20">
        <v>3291.84</v>
      </c>
      <c r="E2936" s="22" t="s">
        <v>10</v>
      </c>
      <c r="F2936" s="22" t="s">
        <v>18</v>
      </c>
      <c r="G2936" s="22" t="s">
        <v>20</v>
      </c>
    </row>
    <row r="2937" ht="15.15" spans="1:7">
      <c r="A2937" s="20">
        <v>2935</v>
      </c>
      <c r="B2937" s="20">
        <v>8165</v>
      </c>
      <c r="C2937" s="21">
        <v>45255</v>
      </c>
      <c r="D2937" s="20">
        <v>3291.84</v>
      </c>
      <c r="E2937" s="22" t="s">
        <v>10</v>
      </c>
      <c r="F2937" s="22" t="s">
        <v>11</v>
      </c>
      <c r="G2937" s="22" t="s">
        <v>17</v>
      </c>
    </row>
    <row r="2938" ht="15.15" spans="1:7">
      <c r="A2938" s="20">
        <v>2936</v>
      </c>
      <c r="B2938" s="20">
        <v>6638</v>
      </c>
      <c r="C2938" s="21">
        <v>45202</v>
      </c>
      <c r="D2938" s="20">
        <v>3291.84</v>
      </c>
      <c r="E2938" s="22" t="s">
        <v>22</v>
      </c>
      <c r="F2938" s="22" t="s">
        <v>18</v>
      </c>
      <c r="G2938" s="22" t="s">
        <v>17</v>
      </c>
    </row>
    <row r="2939" ht="15.15" spans="1:7">
      <c r="A2939" s="20">
        <v>2937</v>
      </c>
      <c r="B2939" s="20">
        <v>3618</v>
      </c>
      <c r="C2939" s="21">
        <v>45066</v>
      </c>
      <c r="D2939" s="20">
        <v>3291.84</v>
      </c>
      <c r="E2939" s="22" t="s">
        <v>21</v>
      </c>
      <c r="F2939" s="22" t="s">
        <v>18</v>
      </c>
      <c r="G2939" s="22" t="s">
        <v>17</v>
      </c>
    </row>
    <row r="2940" ht="15.15" spans="1:7">
      <c r="A2940" s="20">
        <v>2938</v>
      </c>
      <c r="B2940" s="20">
        <v>3635</v>
      </c>
      <c r="C2940" s="21">
        <v>44942</v>
      </c>
      <c r="D2940" s="20">
        <v>3291.84</v>
      </c>
      <c r="E2940" s="22" t="s">
        <v>10</v>
      </c>
      <c r="F2940" s="22" t="s">
        <v>14</v>
      </c>
      <c r="G2940" s="22" t="s">
        <v>20</v>
      </c>
    </row>
    <row r="2941" ht="15.15" spans="1:7">
      <c r="A2941" s="20">
        <v>2939</v>
      </c>
      <c r="B2941" s="20">
        <v>4136</v>
      </c>
      <c r="C2941" s="21">
        <v>45171</v>
      </c>
      <c r="D2941" s="20">
        <v>3291.84</v>
      </c>
      <c r="E2941" s="22" t="s">
        <v>10</v>
      </c>
      <c r="F2941" s="22" t="s">
        <v>13</v>
      </c>
      <c r="G2941" s="22" t="s">
        <v>15</v>
      </c>
    </row>
    <row r="2942" ht="15.15" spans="1:7">
      <c r="A2942" s="20">
        <v>2940</v>
      </c>
      <c r="B2942" s="20">
        <v>2341</v>
      </c>
      <c r="C2942" s="21">
        <v>45200</v>
      </c>
      <c r="D2942" s="20">
        <v>3291.84</v>
      </c>
      <c r="E2942" s="22" t="s">
        <v>10</v>
      </c>
      <c r="F2942" s="22" t="s">
        <v>18</v>
      </c>
      <c r="G2942" s="22" t="s">
        <v>12</v>
      </c>
    </row>
    <row r="2943" ht="15.15" spans="1:7">
      <c r="A2943" s="20">
        <v>2941</v>
      </c>
      <c r="B2943" s="20">
        <v>5467</v>
      </c>
      <c r="C2943" s="21">
        <v>45008</v>
      </c>
      <c r="D2943" s="20">
        <v>3291.84</v>
      </c>
      <c r="E2943" s="22" t="s">
        <v>10</v>
      </c>
      <c r="F2943" s="22" t="s">
        <v>14</v>
      </c>
      <c r="G2943" s="22" t="s">
        <v>15</v>
      </c>
    </row>
    <row r="2944" ht="15.15" spans="1:7">
      <c r="A2944" s="20">
        <v>2942</v>
      </c>
      <c r="B2944" s="20">
        <v>4622</v>
      </c>
      <c r="C2944" s="21">
        <v>45054</v>
      </c>
      <c r="D2944" s="20">
        <v>3291.84</v>
      </c>
      <c r="E2944" s="22" t="s">
        <v>10</v>
      </c>
      <c r="F2944" s="22" t="s">
        <v>13</v>
      </c>
      <c r="G2944" s="22" t="s">
        <v>15</v>
      </c>
    </row>
    <row r="2945" ht="15.15" spans="1:7">
      <c r="A2945" s="20">
        <v>2943</v>
      </c>
      <c r="B2945" s="20">
        <v>5850</v>
      </c>
      <c r="C2945" s="21">
        <v>44979</v>
      </c>
      <c r="D2945" s="20">
        <v>3291.84</v>
      </c>
      <c r="E2945" s="22" t="s">
        <v>10</v>
      </c>
      <c r="F2945" s="22" t="s">
        <v>18</v>
      </c>
      <c r="G2945" s="22" t="s">
        <v>17</v>
      </c>
    </row>
    <row r="2946" ht="15.15" spans="1:7">
      <c r="A2946" s="20">
        <v>2944</v>
      </c>
      <c r="B2946" s="20">
        <v>8283</v>
      </c>
      <c r="C2946" s="21">
        <v>45228</v>
      </c>
      <c r="D2946" s="20">
        <v>3291.84</v>
      </c>
      <c r="E2946" s="22" t="s">
        <v>10</v>
      </c>
      <c r="F2946" s="22" t="s">
        <v>14</v>
      </c>
      <c r="G2946" s="22" t="s">
        <v>17</v>
      </c>
    </row>
    <row r="2947" ht="15.15" spans="1:7">
      <c r="A2947" s="20">
        <v>2945</v>
      </c>
      <c r="B2947" s="20">
        <v>606</v>
      </c>
      <c r="C2947" s="21">
        <v>45265</v>
      </c>
      <c r="D2947" s="20">
        <v>3291.84</v>
      </c>
      <c r="E2947" s="22" t="s">
        <v>10</v>
      </c>
      <c r="F2947" s="22" t="s">
        <v>16</v>
      </c>
      <c r="G2947" s="22" t="s">
        <v>17</v>
      </c>
    </row>
    <row r="2948" ht="15.15" spans="1:7">
      <c r="A2948" s="20">
        <v>2946</v>
      </c>
      <c r="B2948" s="20">
        <v>5804</v>
      </c>
      <c r="C2948" s="21">
        <v>45238</v>
      </c>
      <c r="D2948" s="20">
        <v>3291.84</v>
      </c>
      <c r="E2948" s="22" t="s">
        <v>10</v>
      </c>
      <c r="F2948" s="22" t="s">
        <v>11</v>
      </c>
      <c r="G2948" s="22" t="s">
        <v>17</v>
      </c>
    </row>
    <row r="2949" ht="15.15" spans="1:7">
      <c r="A2949" s="20">
        <v>2947</v>
      </c>
      <c r="B2949" s="20">
        <v>945</v>
      </c>
      <c r="C2949" s="21">
        <v>45259</v>
      </c>
      <c r="D2949" s="20">
        <v>3291.84</v>
      </c>
      <c r="E2949" s="22" t="s">
        <v>10</v>
      </c>
      <c r="F2949" s="22" t="s">
        <v>13</v>
      </c>
      <c r="G2949" s="22" t="s">
        <v>15</v>
      </c>
    </row>
    <row r="2950" ht="15.15" spans="1:7">
      <c r="A2950" s="20">
        <v>2948</v>
      </c>
      <c r="B2950" s="20">
        <v>8277</v>
      </c>
      <c r="C2950" s="21">
        <v>45127</v>
      </c>
      <c r="D2950" s="20">
        <v>3291.84</v>
      </c>
      <c r="E2950" s="22" t="s">
        <v>10</v>
      </c>
      <c r="F2950" s="22" t="s">
        <v>13</v>
      </c>
      <c r="G2950" s="22" t="s">
        <v>12</v>
      </c>
    </row>
    <row r="2951" ht="15.15" spans="1:7">
      <c r="A2951" s="20">
        <v>2949</v>
      </c>
      <c r="B2951" s="20">
        <v>2392</v>
      </c>
      <c r="C2951" s="21">
        <v>45017</v>
      </c>
      <c r="D2951" s="20">
        <v>3291.84</v>
      </c>
      <c r="E2951" s="22" t="s">
        <v>10</v>
      </c>
      <c r="F2951" s="22" t="s">
        <v>18</v>
      </c>
      <c r="G2951" s="22" t="s">
        <v>17</v>
      </c>
    </row>
    <row r="2952" ht="15.15" spans="1:7">
      <c r="A2952" s="20">
        <v>2950</v>
      </c>
      <c r="B2952" s="20">
        <v>2324</v>
      </c>
      <c r="C2952" s="21">
        <v>45133</v>
      </c>
      <c r="D2952" s="20">
        <v>3291.84</v>
      </c>
      <c r="E2952" s="22" t="s">
        <v>10</v>
      </c>
      <c r="F2952" s="22" t="s">
        <v>13</v>
      </c>
      <c r="G2952" s="22" t="s">
        <v>17</v>
      </c>
    </row>
    <row r="2953" ht="15.15" spans="1:7">
      <c r="A2953" s="20">
        <v>2951</v>
      </c>
      <c r="B2953" s="20">
        <v>1942</v>
      </c>
      <c r="C2953" s="21">
        <v>44937</v>
      </c>
      <c r="D2953" s="20">
        <v>3291.84</v>
      </c>
      <c r="E2953" s="22" t="s">
        <v>10</v>
      </c>
      <c r="F2953" s="22" t="s">
        <v>14</v>
      </c>
      <c r="G2953" s="22" t="s">
        <v>17</v>
      </c>
    </row>
    <row r="2954" ht="15.15" spans="1:7">
      <c r="A2954" s="20">
        <v>2952</v>
      </c>
      <c r="B2954" s="20">
        <v>6215</v>
      </c>
      <c r="C2954" s="21">
        <v>44993</v>
      </c>
      <c r="D2954" s="20">
        <v>3291.84</v>
      </c>
      <c r="E2954" s="22" t="s">
        <v>10</v>
      </c>
      <c r="F2954" s="22" t="s">
        <v>18</v>
      </c>
      <c r="G2954" s="22" t="s">
        <v>12</v>
      </c>
    </row>
    <row r="2955" ht="15.15" spans="1:7">
      <c r="A2955" s="20">
        <v>2953</v>
      </c>
      <c r="B2955" s="20">
        <v>1620</v>
      </c>
      <c r="C2955" s="21">
        <v>45240</v>
      </c>
      <c r="D2955" s="20">
        <v>3291.84</v>
      </c>
      <c r="E2955" s="22" t="s">
        <v>10</v>
      </c>
      <c r="F2955" s="22" t="s">
        <v>13</v>
      </c>
      <c r="G2955" s="22" t="s">
        <v>12</v>
      </c>
    </row>
    <row r="2956" ht="15.15" spans="1:7">
      <c r="A2956" s="20">
        <v>2954</v>
      </c>
      <c r="B2956" s="20">
        <v>306</v>
      </c>
      <c r="C2956" s="21">
        <v>44940</v>
      </c>
      <c r="D2956" s="20">
        <v>3291.84</v>
      </c>
      <c r="E2956" s="22" t="s">
        <v>21</v>
      </c>
      <c r="F2956" s="22" t="s">
        <v>13</v>
      </c>
      <c r="G2956" s="22" t="s">
        <v>15</v>
      </c>
    </row>
    <row r="2957" ht="15.15" spans="1:7">
      <c r="A2957" s="20">
        <v>2955</v>
      </c>
      <c r="B2957" s="20">
        <v>2770</v>
      </c>
      <c r="C2957" s="21">
        <v>44944</v>
      </c>
      <c r="D2957" s="20">
        <v>3291.84</v>
      </c>
      <c r="E2957" s="22" t="s">
        <v>10</v>
      </c>
      <c r="F2957" s="22" t="s">
        <v>16</v>
      </c>
      <c r="G2957" s="22" t="s">
        <v>20</v>
      </c>
    </row>
    <row r="2958" ht="15.15" spans="1:7">
      <c r="A2958" s="20">
        <v>2956</v>
      </c>
      <c r="B2958" s="20">
        <v>9895</v>
      </c>
      <c r="C2958" s="21">
        <v>45232</v>
      </c>
      <c r="D2958" s="20">
        <v>3291.84</v>
      </c>
      <c r="E2958" s="22" t="s">
        <v>10</v>
      </c>
      <c r="F2958" s="22" t="s">
        <v>11</v>
      </c>
      <c r="G2958" s="22" t="s">
        <v>15</v>
      </c>
    </row>
    <row r="2959" ht="15.15" spans="1:7">
      <c r="A2959" s="20">
        <v>2957</v>
      </c>
      <c r="B2959" s="20">
        <v>1183</v>
      </c>
      <c r="C2959" s="21">
        <v>45290</v>
      </c>
      <c r="D2959" s="20">
        <v>3291.84</v>
      </c>
      <c r="E2959" s="22" t="s">
        <v>10</v>
      </c>
      <c r="F2959" s="22" t="s">
        <v>16</v>
      </c>
      <c r="G2959" s="22" t="s">
        <v>20</v>
      </c>
    </row>
    <row r="2960" ht="15.15" spans="1:7">
      <c r="A2960" s="20">
        <v>2958</v>
      </c>
      <c r="B2960" s="20">
        <v>7964</v>
      </c>
      <c r="C2960" s="21">
        <v>45276</v>
      </c>
      <c r="D2960" s="20">
        <v>3291.84</v>
      </c>
      <c r="E2960" s="22" t="s">
        <v>10</v>
      </c>
      <c r="F2960" s="22" t="s">
        <v>13</v>
      </c>
      <c r="G2960" s="22" t="s">
        <v>20</v>
      </c>
    </row>
    <row r="2961" ht="15.15" spans="1:7">
      <c r="A2961" s="20">
        <v>2959</v>
      </c>
      <c r="B2961" s="20">
        <v>3886</v>
      </c>
      <c r="C2961" s="21">
        <v>45140</v>
      </c>
      <c r="D2961" s="20">
        <v>3291.84</v>
      </c>
      <c r="E2961" s="22" t="s">
        <v>10</v>
      </c>
      <c r="F2961" s="22" t="s">
        <v>13</v>
      </c>
      <c r="G2961" s="22" t="s">
        <v>15</v>
      </c>
    </row>
    <row r="2962" ht="15.15" spans="1:7">
      <c r="A2962" s="20">
        <v>2960</v>
      </c>
      <c r="B2962" s="20">
        <v>1230</v>
      </c>
      <c r="C2962" s="21">
        <v>44987</v>
      </c>
      <c r="D2962" s="20">
        <v>3291.84</v>
      </c>
      <c r="E2962" s="22" t="s">
        <v>10</v>
      </c>
      <c r="F2962" s="22" t="s">
        <v>16</v>
      </c>
      <c r="G2962" s="22" t="s">
        <v>15</v>
      </c>
    </row>
    <row r="2963" ht="15.15" spans="1:7">
      <c r="A2963" s="20">
        <v>2961</v>
      </c>
      <c r="B2963" s="20">
        <v>2861</v>
      </c>
      <c r="C2963" s="21">
        <v>45059</v>
      </c>
      <c r="D2963" s="20">
        <v>3291.84</v>
      </c>
      <c r="E2963" s="22" t="s">
        <v>10</v>
      </c>
      <c r="F2963" s="22" t="s">
        <v>14</v>
      </c>
      <c r="G2963" s="22" t="s">
        <v>15</v>
      </c>
    </row>
    <row r="2964" ht="15.15" spans="1:7">
      <c r="A2964" s="20">
        <v>2962</v>
      </c>
      <c r="B2964" s="20">
        <v>1682</v>
      </c>
      <c r="C2964" s="21">
        <v>45254</v>
      </c>
      <c r="D2964" s="20">
        <v>3291.84</v>
      </c>
      <c r="E2964" s="22" t="s">
        <v>10</v>
      </c>
      <c r="F2964" s="22" t="s">
        <v>16</v>
      </c>
      <c r="G2964" s="22" t="s">
        <v>15</v>
      </c>
    </row>
    <row r="2965" ht="15.15" spans="1:7">
      <c r="A2965" s="20">
        <v>2963</v>
      </c>
      <c r="B2965" s="20">
        <v>5558</v>
      </c>
      <c r="C2965" s="21">
        <v>45134</v>
      </c>
      <c r="D2965" s="20">
        <v>3291.84</v>
      </c>
      <c r="E2965" s="22" t="s">
        <v>10</v>
      </c>
      <c r="F2965" s="22" t="s">
        <v>16</v>
      </c>
      <c r="G2965" s="22" t="s">
        <v>17</v>
      </c>
    </row>
    <row r="2966" ht="15.15" spans="1:7">
      <c r="A2966" s="20">
        <v>2964</v>
      </c>
      <c r="B2966" s="20">
        <v>595</v>
      </c>
      <c r="C2966" s="21">
        <v>45024</v>
      </c>
      <c r="D2966" s="20">
        <v>3291.84</v>
      </c>
      <c r="E2966" s="22" t="s">
        <v>10</v>
      </c>
      <c r="F2966" s="22" t="s">
        <v>14</v>
      </c>
      <c r="G2966" s="22" t="s">
        <v>20</v>
      </c>
    </row>
    <row r="2967" ht="15.15" spans="1:7">
      <c r="A2967" s="20">
        <v>2965</v>
      </c>
      <c r="B2967" s="20">
        <v>2734</v>
      </c>
      <c r="C2967" s="21">
        <v>45019</v>
      </c>
      <c r="D2967" s="20">
        <v>3291.84</v>
      </c>
      <c r="E2967" s="22" t="s">
        <v>10</v>
      </c>
      <c r="F2967" s="22" t="s">
        <v>16</v>
      </c>
      <c r="G2967" s="22" t="s">
        <v>12</v>
      </c>
    </row>
    <row r="2968" ht="15.15" spans="1:7">
      <c r="A2968" s="20">
        <v>2966</v>
      </c>
      <c r="B2968" s="20">
        <v>9664</v>
      </c>
      <c r="C2968" s="21">
        <v>45233</v>
      </c>
      <c r="D2968" s="20">
        <v>3291.84</v>
      </c>
      <c r="E2968" s="22" t="s">
        <v>10</v>
      </c>
      <c r="F2968" s="22" t="s">
        <v>11</v>
      </c>
      <c r="G2968" s="22" t="s">
        <v>20</v>
      </c>
    </row>
    <row r="2969" ht="15.15" spans="1:7">
      <c r="A2969" s="20">
        <v>2967</v>
      </c>
      <c r="B2969" s="20">
        <v>6242</v>
      </c>
      <c r="C2969" s="21">
        <v>45248</v>
      </c>
      <c r="D2969" s="20">
        <v>3291.84</v>
      </c>
      <c r="E2969" s="22" t="s">
        <v>10</v>
      </c>
      <c r="F2969" s="22" t="s">
        <v>16</v>
      </c>
      <c r="G2969" s="22" t="s">
        <v>12</v>
      </c>
    </row>
    <row r="2970" ht="15.15" spans="1:7">
      <c r="A2970" s="20">
        <v>2968</v>
      </c>
      <c r="B2970" s="20">
        <v>5242</v>
      </c>
      <c r="C2970" s="21">
        <v>45203</v>
      </c>
      <c r="D2970" s="20">
        <v>3291.84</v>
      </c>
      <c r="E2970" s="22" t="s">
        <v>10</v>
      </c>
      <c r="F2970" s="22" t="s">
        <v>18</v>
      </c>
      <c r="G2970" s="22" t="s">
        <v>20</v>
      </c>
    </row>
    <row r="2971" ht="15.15" spans="1:7">
      <c r="A2971" s="20">
        <v>2969</v>
      </c>
      <c r="B2971" s="20">
        <v>4637</v>
      </c>
      <c r="C2971" s="21">
        <v>45286</v>
      </c>
      <c r="D2971" s="20">
        <v>3291.84</v>
      </c>
      <c r="E2971" s="22" t="s">
        <v>10</v>
      </c>
      <c r="F2971" s="22" t="s">
        <v>14</v>
      </c>
      <c r="G2971" s="22" t="s">
        <v>20</v>
      </c>
    </row>
    <row r="2972" ht="15.15" spans="1:7">
      <c r="A2972" s="20">
        <v>2970</v>
      </c>
      <c r="B2972" s="20">
        <v>6463</v>
      </c>
      <c r="C2972" s="21">
        <v>45124</v>
      </c>
      <c r="D2972" s="20">
        <v>3291.84</v>
      </c>
      <c r="E2972" s="22" t="s">
        <v>10</v>
      </c>
      <c r="F2972" s="22" t="s">
        <v>18</v>
      </c>
      <c r="G2972" s="22" t="s">
        <v>17</v>
      </c>
    </row>
    <row r="2973" ht="15.15" spans="1:7">
      <c r="A2973" s="20">
        <v>2971</v>
      </c>
      <c r="B2973" s="20">
        <v>4974</v>
      </c>
      <c r="C2973" s="21">
        <v>44978</v>
      </c>
      <c r="D2973" s="20">
        <v>3291.84</v>
      </c>
      <c r="E2973" s="22" t="s">
        <v>10</v>
      </c>
      <c r="F2973" s="22" t="s">
        <v>11</v>
      </c>
      <c r="G2973" s="22" t="s">
        <v>20</v>
      </c>
    </row>
    <row r="2974" ht="15.15" spans="1:7">
      <c r="A2974" s="20">
        <v>2972</v>
      </c>
      <c r="B2974" s="20">
        <v>5092</v>
      </c>
      <c r="C2974" s="21">
        <v>44973</v>
      </c>
      <c r="D2974" s="20">
        <v>3291.84</v>
      </c>
      <c r="E2974" s="22" t="s">
        <v>10</v>
      </c>
      <c r="F2974" s="22" t="s">
        <v>18</v>
      </c>
      <c r="G2974" s="22" t="s">
        <v>17</v>
      </c>
    </row>
    <row r="2975" ht="15.15" spans="1:7">
      <c r="A2975" s="20">
        <v>2973</v>
      </c>
      <c r="B2975" s="20">
        <v>8518</v>
      </c>
      <c r="C2975" s="21">
        <v>45128</v>
      </c>
      <c r="D2975" s="20">
        <v>3291.84</v>
      </c>
      <c r="E2975" s="22" t="s">
        <v>10</v>
      </c>
      <c r="F2975" s="22" t="s">
        <v>16</v>
      </c>
      <c r="G2975" s="22" t="s">
        <v>17</v>
      </c>
    </row>
    <row r="2976" ht="15.15" spans="1:7">
      <c r="A2976" s="20">
        <v>2974</v>
      </c>
      <c r="B2976" s="20">
        <v>8121</v>
      </c>
      <c r="C2976" s="21">
        <v>45197</v>
      </c>
      <c r="D2976" s="20">
        <v>3291.84</v>
      </c>
      <c r="E2976" s="22" t="s">
        <v>10</v>
      </c>
      <c r="F2976" s="22" t="s">
        <v>19</v>
      </c>
      <c r="G2976" s="22" t="s">
        <v>15</v>
      </c>
    </row>
    <row r="2977" ht="15.15" spans="1:7">
      <c r="A2977" s="20">
        <v>2975</v>
      </c>
      <c r="B2977" s="20">
        <v>723</v>
      </c>
      <c r="C2977" s="21">
        <v>45055</v>
      </c>
      <c r="D2977" s="20">
        <v>3291.84</v>
      </c>
      <c r="E2977" s="22" t="s">
        <v>10</v>
      </c>
      <c r="F2977" s="22" t="s">
        <v>11</v>
      </c>
      <c r="G2977" s="22" t="s">
        <v>20</v>
      </c>
    </row>
    <row r="2978" ht="15.15" spans="1:7">
      <c r="A2978" s="20">
        <v>2976</v>
      </c>
      <c r="B2978" s="20">
        <v>9082</v>
      </c>
      <c r="C2978" s="21">
        <v>44995</v>
      </c>
      <c r="D2978" s="20">
        <v>3291.84</v>
      </c>
      <c r="E2978" s="22" t="s">
        <v>22</v>
      </c>
      <c r="F2978" s="22" t="s">
        <v>16</v>
      </c>
      <c r="G2978" s="22" t="s">
        <v>15</v>
      </c>
    </row>
    <row r="2979" ht="15.15" spans="1:7">
      <c r="A2979" s="20">
        <v>2977</v>
      </c>
      <c r="B2979" s="20">
        <v>1934</v>
      </c>
      <c r="C2979" s="21">
        <v>45151</v>
      </c>
      <c r="D2979" s="20">
        <v>3291.84</v>
      </c>
      <c r="E2979" s="22" t="s">
        <v>10</v>
      </c>
      <c r="F2979" s="22" t="s">
        <v>11</v>
      </c>
      <c r="G2979" s="22" t="s">
        <v>17</v>
      </c>
    </row>
    <row r="2980" ht="15.15" spans="1:7">
      <c r="A2980" s="20">
        <v>2978</v>
      </c>
      <c r="B2980" s="20">
        <v>5729</v>
      </c>
      <c r="C2980" s="21">
        <v>45059</v>
      </c>
      <c r="D2980" s="20">
        <v>3291.84</v>
      </c>
      <c r="E2980" s="22" t="s">
        <v>10</v>
      </c>
      <c r="F2980" s="22" t="s">
        <v>18</v>
      </c>
      <c r="G2980" s="22" t="s">
        <v>20</v>
      </c>
    </row>
    <row r="2981" ht="15.15" spans="1:7">
      <c r="A2981" s="20">
        <v>2979</v>
      </c>
      <c r="B2981" s="20">
        <v>8494</v>
      </c>
      <c r="C2981" s="21">
        <v>44950</v>
      </c>
      <c r="D2981" s="20">
        <v>3291.84</v>
      </c>
      <c r="E2981" s="22" t="s">
        <v>10</v>
      </c>
      <c r="F2981" s="22" t="s">
        <v>11</v>
      </c>
      <c r="G2981" s="22" t="s">
        <v>12</v>
      </c>
    </row>
    <row r="2982" ht="15.15" spans="1:7">
      <c r="A2982" s="20">
        <v>2980</v>
      </c>
      <c r="B2982" s="20">
        <v>8911</v>
      </c>
      <c r="C2982" s="21">
        <v>45221</v>
      </c>
      <c r="D2982" s="20">
        <v>3291.84</v>
      </c>
      <c r="E2982" s="22" t="s">
        <v>10</v>
      </c>
      <c r="F2982" s="22" t="s">
        <v>14</v>
      </c>
      <c r="G2982" s="22" t="s">
        <v>12</v>
      </c>
    </row>
    <row r="2983" ht="15.15" spans="1:7">
      <c r="A2983" s="20">
        <v>2981</v>
      </c>
      <c r="B2983" s="20">
        <v>5337</v>
      </c>
      <c r="C2983" s="21">
        <v>45288</v>
      </c>
      <c r="D2983" s="20">
        <v>3291.84</v>
      </c>
      <c r="E2983" s="22" t="s">
        <v>10</v>
      </c>
      <c r="F2983" s="22" t="s">
        <v>14</v>
      </c>
      <c r="G2983" s="22" t="s">
        <v>17</v>
      </c>
    </row>
    <row r="2984" ht="15.15" spans="1:7">
      <c r="A2984" s="20">
        <v>2982</v>
      </c>
      <c r="B2984" s="20">
        <v>9705</v>
      </c>
      <c r="C2984" s="21">
        <v>45061</v>
      </c>
      <c r="D2984" s="20">
        <v>3291.84</v>
      </c>
      <c r="E2984" s="22" t="s">
        <v>10</v>
      </c>
      <c r="F2984" s="22" t="s">
        <v>11</v>
      </c>
      <c r="G2984" s="22" t="s">
        <v>15</v>
      </c>
    </row>
    <row r="2985" ht="15.15" spans="1:7">
      <c r="A2985" s="20">
        <v>2983</v>
      </c>
      <c r="B2985" s="20">
        <v>1853</v>
      </c>
      <c r="C2985" s="21">
        <v>45253</v>
      </c>
      <c r="D2985" s="20">
        <v>3291.84</v>
      </c>
      <c r="E2985" s="22" t="s">
        <v>10</v>
      </c>
      <c r="F2985" s="22" t="s">
        <v>18</v>
      </c>
      <c r="G2985" s="22" t="s">
        <v>15</v>
      </c>
    </row>
    <row r="2986" ht="15.15" spans="1:7">
      <c r="A2986" s="20">
        <v>2984</v>
      </c>
      <c r="B2986" s="20">
        <v>3132</v>
      </c>
      <c r="C2986" s="21">
        <v>45258</v>
      </c>
      <c r="D2986" s="20">
        <v>3291.84</v>
      </c>
      <c r="E2986" s="22" t="s">
        <v>10</v>
      </c>
      <c r="F2986" s="22" t="s">
        <v>13</v>
      </c>
      <c r="G2986" s="22" t="s">
        <v>20</v>
      </c>
    </row>
    <row r="2987" ht="15.15" spans="1:7">
      <c r="A2987" s="20">
        <v>2985</v>
      </c>
      <c r="B2987" s="20">
        <v>5422</v>
      </c>
      <c r="C2987" s="21">
        <v>45070</v>
      </c>
      <c r="D2987" s="20">
        <v>3291.84</v>
      </c>
      <c r="E2987" s="22" t="s">
        <v>10</v>
      </c>
      <c r="F2987" s="22" t="s">
        <v>18</v>
      </c>
      <c r="G2987" s="22" t="s">
        <v>20</v>
      </c>
    </row>
    <row r="2988" ht="15.15" spans="1:7">
      <c r="A2988" s="20">
        <v>2986</v>
      </c>
      <c r="B2988" s="20">
        <v>6341</v>
      </c>
      <c r="C2988" s="21">
        <v>45083</v>
      </c>
      <c r="D2988" s="20">
        <v>3291.84</v>
      </c>
      <c r="E2988" s="22" t="s">
        <v>10</v>
      </c>
      <c r="F2988" s="22" t="s">
        <v>14</v>
      </c>
      <c r="G2988" s="22" t="s">
        <v>20</v>
      </c>
    </row>
    <row r="2989" ht="15.15" spans="1:7">
      <c r="A2989" s="20">
        <v>2987</v>
      </c>
      <c r="B2989" s="20">
        <v>1160</v>
      </c>
      <c r="C2989" s="21">
        <v>45144</v>
      </c>
      <c r="D2989" s="20">
        <v>3291.84</v>
      </c>
      <c r="E2989" s="22" t="s">
        <v>10</v>
      </c>
      <c r="F2989" s="22" t="s">
        <v>13</v>
      </c>
      <c r="G2989" s="22" t="s">
        <v>12</v>
      </c>
    </row>
    <row r="2990" ht="15.15" spans="1:7">
      <c r="A2990" s="20">
        <v>2988</v>
      </c>
      <c r="B2990" s="20">
        <v>3106</v>
      </c>
      <c r="C2990" s="21">
        <v>45035</v>
      </c>
      <c r="D2990" s="20">
        <v>3291.84</v>
      </c>
      <c r="E2990" s="22" t="s">
        <v>10</v>
      </c>
      <c r="F2990" s="22" t="s">
        <v>13</v>
      </c>
      <c r="G2990" s="22" t="s">
        <v>12</v>
      </c>
    </row>
    <row r="2991" ht="15.15" spans="1:7">
      <c r="A2991" s="20">
        <v>2989</v>
      </c>
      <c r="B2991" s="20">
        <v>8757</v>
      </c>
      <c r="C2991" s="21">
        <v>45108</v>
      </c>
      <c r="D2991" s="20">
        <v>3291.84</v>
      </c>
      <c r="E2991" s="22" t="s">
        <v>10</v>
      </c>
      <c r="F2991" s="22" t="s">
        <v>18</v>
      </c>
      <c r="G2991" s="22" t="s">
        <v>17</v>
      </c>
    </row>
    <row r="2992" ht="15.15" spans="1:7">
      <c r="A2992" s="20">
        <v>2990</v>
      </c>
      <c r="B2992" s="20">
        <v>1873</v>
      </c>
      <c r="C2992" s="21">
        <v>45039</v>
      </c>
      <c r="D2992" s="20">
        <v>3291.84</v>
      </c>
      <c r="E2992" s="22" t="s">
        <v>10</v>
      </c>
      <c r="F2992" s="22" t="s">
        <v>14</v>
      </c>
      <c r="G2992" s="22" t="s">
        <v>20</v>
      </c>
    </row>
    <row r="2993" ht="15.15" spans="1:7">
      <c r="A2993" s="20">
        <v>2991</v>
      </c>
      <c r="B2993" s="20">
        <v>4860</v>
      </c>
      <c r="C2993" s="21">
        <v>45265</v>
      </c>
      <c r="D2993" s="20">
        <v>3291.84</v>
      </c>
      <c r="E2993" s="22" t="s">
        <v>10</v>
      </c>
      <c r="F2993" s="22" t="s">
        <v>18</v>
      </c>
      <c r="G2993" s="22" t="s">
        <v>17</v>
      </c>
    </row>
    <row r="2994" ht="15.15" spans="1:7">
      <c r="A2994" s="20">
        <v>2992</v>
      </c>
      <c r="B2994" s="20">
        <v>1177</v>
      </c>
      <c r="C2994" s="21">
        <v>44970</v>
      </c>
      <c r="D2994" s="20">
        <v>3291.84</v>
      </c>
      <c r="E2994" s="22" t="s">
        <v>10</v>
      </c>
      <c r="F2994" s="22" t="s">
        <v>13</v>
      </c>
      <c r="G2994" s="22" t="s">
        <v>15</v>
      </c>
    </row>
    <row r="2995" ht="15.15" spans="1:7">
      <c r="A2995" s="20">
        <v>2993</v>
      </c>
      <c r="B2995" s="20">
        <v>1308</v>
      </c>
      <c r="C2995" s="21">
        <v>45176</v>
      </c>
      <c r="D2995" s="20">
        <v>3291.84</v>
      </c>
      <c r="E2995" s="22" t="s">
        <v>10</v>
      </c>
      <c r="F2995" s="22" t="s">
        <v>16</v>
      </c>
      <c r="G2995" s="22" t="s">
        <v>15</v>
      </c>
    </row>
    <row r="2996" ht="15.15" spans="1:7">
      <c r="A2996" s="20">
        <v>2994</v>
      </c>
      <c r="B2996" s="20">
        <v>2365</v>
      </c>
      <c r="C2996" s="21">
        <v>45185</v>
      </c>
      <c r="D2996" s="20">
        <v>3291.84</v>
      </c>
      <c r="E2996" s="22" t="s">
        <v>10</v>
      </c>
      <c r="F2996" s="22" t="s">
        <v>11</v>
      </c>
      <c r="G2996" s="22" t="s">
        <v>20</v>
      </c>
    </row>
    <row r="2997" ht="15.15" spans="1:7">
      <c r="A2997" s="20">
        <v>2995</v>
      </c>
      <c r="B2997" s="20">
        <v>6783</v>
      </c>
      <c r="C2997" s="21">
        <v>45123</v>
      </c>
      <c r="D2997" s="20">
        <v>3291.84</v>
      </c>
      <c r="E2997" s="22" t="s">
        <v>10</v>
      </c>
      <c r="F2997" s="22" t="s">
        <v>13</v>
      </c>
      <c r="G2997" s="22" t="s">
        <v>15</v>
      </c>
    </row>
    <row r="2998" ht="15.15" spans="1:7">
      <c r="A2998" s="20">
        <v>2996</v>
      </c>
      <c r="B2998" s="20">
        <v>5158</v>
      </c>
      <c r="C2998" s="21">
        <v>45156</v>
      </c>
      <c r="D2998" s="20">
        <v>3291.84</v>
      </c>
      <c r="E2998" s="22" t="s">
        <v>10</v>
      </c>
      <c r="F2998" s="22" t="s">
        <v>16</v>
      </c>
      <c r="G2998" s="22" t="s">
        <v>15</v>
      </c>
    </row>
    <row r="2999" ht="15.15" spans="1:7">
      <c r="A2999" s="20">
        <v>2997</v>
      </c>
      <c r="B2999" s="20">
        <v>8259</v>
      </c>
      <c r="C2999" s="21">
        <v>45011</v>
      </c>
      <c r="D2999" s="20">
        <v>3291.84</v>
      </c>
      <c r="E2999" s="22" t="s">
        <v>10</v>
      </c>
      <c r="F2999" s="22" t="s">
        <v>11</v>
      </c>
      <c r="G2999" s="22" t="s">
        <v>12</v>
      </c>
    </row>
    <row r="3000" ht="15.15" spans="1:7">
      <c r="A3000" s="20">
        <v>2998</v>
      </c>
      <c r="B3000" s="20">
        <v>1094</v>
      </c>
      <c r="C3000" s="21">
        <v>44992</v>
      </c>
      <c r="D3000" s="20">
        <v>3291.84</v>
      </c>
      <c r="E3000" s="22" t="s">
        <v>10</v>
      </c>
      <c r="F3000" s="22" t="s">
        <v>18</v>
      </c>
      <c r="G3000" s="22" t="s">
        <v>20</v>
      </c>
    </row>
    <row r="3001" ht="15.15" spans="1:7">
      <c r="A3001" s="20">
        <v>2999</v>
      </c>
      <c r="B3001" s="20">
        <v>579</v>
      </c>
      <c r="C3001" s="21">
        <v>45244</v>
      </c>
      <c r="D3001" s="20">
        <v>3291.84</v>
      </c>
      <c r="E3001" s="22" t="s">
        <v>10</v>
      </c>
      <c r="F3001" s="22" t="s">
        <v>18</v>
      </c>
      <c r="G3001" s="22" t="s">
        <v>15</v>
      </c>
    </row>
    <row r="3002" ht="15.15" spans="1:7">
      <c r="A3002" s="20">
        <v>3000</v>
      </c>
      <c r="B3002" s="20">
        <v>6142</v>
      </c>
      <c r="C3002" s="21">
        <v>45082</v>
      </c>
      <c r="D3002" s="20">
        <v>3291.84</v>
      </c>
      <c r="E3002" s="22" t="s">
        <v>10</v>
      </c>
      <c r="F3002" s="22" t="s">
        <v>14</v>
      </c>
      <c r="G3002" s="22" t="s">
        <v>20</v>
      </c>
    </row>
    <row r="3003" ht="15.15" spans="1:7">
      <c r="A3003" s="20">
        <v>3001</v>
      </c>
      <c r="B3003" s="20">
        <v>7638</v>
      </c>
      <c r="C3003" s="21">
        <v>45005</v>
      </c>
      <c r="D3003" s="20">
        <v>3291.84</v>
      </c>
      <c r="E3003" s="22" t="s">
        <v>10</v>
      </c>
      <c r="F3003" s="22" t="s">
        <v>11</v>
      </c>
      <c r="G3003" s="22" t="s">
        <v>17</v>
      </c>
    </row>
    <row r="3004" ht="15.15" spans="1:7">
      <c r="A3004" s="20">
        <v>3002</v>
      </c>
      <c r="B3004" s="20">
        <v>236</v>
      </c>
      <c r="C3004" s="21">
        <v>45069</v>
      </c>
      <c r="D3004" s="20">
        <v>3291.84</v>
      </c>
      <c r="E3004" s="22" t="s">
        <v>10</v>
      </c>
      <c r="F3004" s="22" t="s">
        <v>13</v>
      </c>
      <c r="G3004" s="22" t="s">
        <v>20</v>
      </c>
    </row>
    <row r="3005" ht="15.15" spans="1:7">
      <c r="A3005" s="20">
        <v>3003</v>
      </c>
      <c r="B3005" s="20">
        <v>8087</v>
      </c>
      <c r="C3005" s="21">
        <v>45274</v>
      </c>
      <c r="D3005" s="20">
        <v>3291.84</v>
      </c>
      <c r="E3005" s="22" t="s">
        <v>10</v>
      </c>
      <c r="F3005" s="22" t="s">
        <v>11</v>
      </c>
      <c r="G3005" s="22" t="s">
        <v>12</v>
      </c>
    </row>
    <row r="3006" ht="15.15" spans="1:7">
      <c r="A3006" s="20">
        <v>3004</v>
      </c>
      <c r="B3006" s="20">
        <v>9759</v>
      </c>
      <c r="C3006" s="21">
        <v>45162</v>
      </c>
      <c r="D3006" s="20">
        <v>3291.84</v>
      </c>
      <c r="E3006" s="22" t="s">
        <v>10</v>
      </c>
      <c r="F3006" s="22" t="s">
        <v>16</v>
      </c>
      <c r="G3006" s="22" t="s">
        <v>12</v>
      </c>
    </row>
    <row r="3007" ht="15.15" spans="1:7">
      <c r="A3007" s="20">
        <v>3005</v>
      </c>
      <c r="B3007" s="20">
        <v>6346</v>
      </c>
      <c r="C3007" s="21">
        <v>45111</v>
      </c>
      <c r="D3007" s="20">
        <v>3291.84</v>
      </c>
      <c r="E3007" s="22" t="s">
        <v>10</v>
      </c>
      <c r="F3007" s="22" t="s">
        <v>16</v>
      </c>
      <c r="G3007" s="22" t="s">
        <v>20</v>
      </c>
    </row>
    <row r="3008" ht="15.15" spans="1:7">
      <c r="A3008" s="20">
        <v>3006</v>
      </c>
      <c r="B3008" s="20">
        <v>8437</v>
      </c>
      <c r="C3008" s="21">
        <v>45083</v>
      </c>
      <c r="D3008" s="20">
        <v>3291.84</v>
      </c>
      <c r="E3008" s="22" t="s">
        <v>10</v>
      </c>
      <c r="F3008" s="22" t="s">
        <v>18</v>
      </c>
      <c r="G3008" s="22" t="s">
        <v>20</v>
      </c>
    </row>
    <row r="3009" ht="15.15" spans="1:7">
      <c r="A3009" s="20">
        <v>3007</v>
      </c>
      <c r="B3009" s="20">
        <v>7487</v>
      </c>
      <c r="C3009" s="21">
        <v>45001</v>
      </c>
      <c r="D3009" s="20">
        <v>3291.84</v>
      </c>
      <c r="E3009" s="22" t="s">
        <v>10</v>
      </c>
      <c r="F3009" s="22" t="s">
        <v>14</v>
      </c>
      <c r="G3009" s="22" t="s">
        <v>20</v>
      </c>
    </row>
    <row r="3010" ht="15.15" spans="1:7">
      <c r="A3010" s="20">
        <v>3008</v>
      </c>
      <c r="B3010" s="20">
        <v>2491</v>
      </c>
      <c r="C3010" s="21">
        <v>45053</v>
      </c>
      <c r="D3010" s="20">
        <v>3291.84</v>
      </c>
      <c r="E3010" s="22" t="s">
        <v>10</v>
      </c>
      <c r="F3010" s="22" t="s">
        <v>11</v>
      </c>
      <c r="G3010" s="22" t="s">
        <v>20</v>
      </c>
    </row>
    <row r="3011" ht="15.15" spans="1:7">
      <c r="A3011" s="20">
        <v>3009</v>
      </c>
      <c r="B3011" s="20">
        <v>824</v>
      </c>
      <c r="C3011" s="21">
        <v>45085</v>
      </c>
      <c r="D3011" s="20">
        <v>3291.84</v>
      </c>
      <c r="E3011" s="22" t="s">
        <v>10</v>
      </c>
      <c r="F3011" s="22" t="s">
        <v>19</v>
      </c>
      <c r="G3011" s="22" t="s">
        <v>20</v>
      </c>
    </row>
    <row r="3012" ht="15.15" spans="1:7">
      <c r="A3012" s="20">
        <v>3010</v>
      </c>
      <c r="B3012" s="20">
        <v>2392</v>
      </c>
      <c r="C3012" s="21">
        <v>45031</v>
      </c>
      <c r="D3012" s="20">
        <v>3291.84</v>
      </c>
      <c r="E3012" s="22" t="s">
        <v>10</v>
      </c>
      <c r="F3012" s="22" t="s">
        <v>18</v>
      </c>
      <c r="G3012" s="22" t="s">
        <v>12</v>
      </c>
    </row>
    <row r="3013" ht="15.15" spans="1:7">
      <c r="A3013" s="20">
        <v>3011</v>
      </c>
      <c r="B3013" s="20">
        <v>1440</v>
      </c>
      <c r="C3013" s="21">
        <v>45185</v>
      </c>
      <c r="D3013" s="20">
        <v>3291.84</v>
      </c>
      <c r="E3013" s="22" t="s">
        <v>10</v>
      </c>
      <c r="F3013" s="22" t="s">
        <v>18</v>
      </c>
      <c r="G3013" s="22" t="s">
        <v>20</v>
      </c>
    </row>
    <row r="3014" ht="15.15" spans="1:7">
      <c r="A3014" s="20">
        <v>3012</v>
      </c>
      <c r="B3014" s="20">
        <v>716</v>
      </c>
      <c r="C3014" s="21">
        <v>45251</v>
      </c>
      <c r="D3014" s="20">
        <v>3291.84</v>
      </c>
      <c r="E3014" s="22" t="s">
        <v>10</v>
      </c>
      <c r="F3014" s="22" t="s">
        <v>11</v>
      </c>
      <c r="G3014" s="22" t="s">
        <v>12</v>
      </c>
    </row>
    <row r="3015" ht="15.15" spans="1:7">
      <c r="A3015" s="20">
        <v>3013</v>
      </c>
      <c r="B3015" s="20">
        <v>7148</v>
      </c>
      <c r="C3015" s="21">
        <v>45219</v>
      </c>
      <c r="D3015" s="20">
        <v>3291.84</v>
      </c>
      <c r="E3015" s="22" t="s">
        <v>22</v>
      </c>
      <c r="F3015" s="22" t="s">
        <v>18</v>
      </c>
      <c r="G3015" s="22" t="s">
        <v>15</v>
      </c>
    </row>
    <row r="3016" ht="15.15" spans="1:7">
      <c r="A3016" s="20">
        <v>3014</v>
      </c>
      <c r="B3016" s="20">
        <v>3558</v>
      </c>
      <c r="C3016" s="21">
        <v>45278</v>
      </c>
      <c r="D3016" s="20">
        <v>3291.84</v>
      </c>
      <c r="E3016" s="22" t="s">
        <v>10</v>
      </c>
      <c r="F3016" s="22" t="s">
        <v>18</v>
      </c>
      <c r="G3016" s="22" t="s">
        <v>15</v>
      </c>
    </row>
    <row r="3017" ht="15.15" spans="1:7">
      <c r="A3017" s="20">
        <v>3015</v>
      </c>
      <c r="B3017" s="20">
        <v>3454</v>
      </c>
      <c r="C3017" s="21">
        <v>45267</v>
      </c>
      <c r="D3017" s="20">
        <v>3291.84</v>
      </c>
      <c r="E3017" s="22" t="s">
        <v>21</v>
      </c>
      <c r="F3017" s="22" t="s">
        <v>11</v>
      </c>
      <c r="G3017" s="22" t="s">
        <v>17</v>
      </c>
    </row>
    <row r="3018" ht="15.15" spans="1:7">
      <c r="A3018" s="20">
        <v>3016</v>
      </c>
      <c r="B3018" s="20">
        <v>333</v>
      </c>
      <c r="C3018" s="21">
        <v>45152</v>
      </c>
      <c r="D3018" s="20">
        <v>3291.84</v>
      </c>
      <c r="E3018" s="22" t="s">
        <v>10</v>
      </c>
      <c r="F3018" s="22" t="s">
        <v>18</v>
      </c>
      <c r="G3018" s="22" t="s">
        <v>15</v>
      </c>
    </row>
    <row r="3019" ht="15.15" spans="1:7">
      <c r="A3019" s="20">
        <v>3017</v>
      </c>
      <c r="B3019" s="20">
        <v>6701</v>
      </c>
      <c r="C3019" s="21">
        <v>45214</v>
      </c>
      <c r="D3019" s="20">
        <v>3291.84</v>
      </c>
      <c r="E3019" s="22" t="s">
        <v>10</v>
      </c>
      <c r="F3019" s="22" t="s">
        <v>16</v>
      </c>
      <c r="G3019" s="22" t="s">
        <v>12</v>
      </c>
    </row>
    <row r="3020" ht="15.15" spans="1:7">
      <c r="A3020" s="20">
        <v>3018</v>
      </c>
      <c r="B3020" s="20">
        <v>8383</v>
      </c>
      <c r="C3020" s="21">
        <v>45030</v>
      </c>
      <c r="D3020" s="20">
        <v>3291.84</v>
      </c>
      <c r="E3020" s="22" t="s">
        <v>10</v>
      </c>
      <c r="F3020" s="22" t="s">
        <v>11</v>
      </c>
      <c r="G3020" s="22" t="s">
        <v>12</v>
      </c>
    </row>
    <row r="3021" ht="15.15" spans="1:7">
      <c r="A3021" s="20">
        <v>3019</v>
      </c>
      <c r="B3021" s="20">
        <v>7070</v>
      </c>
      <c r="C3021" s="21">
        <v>45220</v>
      </c>
      <c r="D3021" s="20">
        <v>3291.84</v>
      </c>
      <c r="E3021" s="22" t="s">
        <v>10</v>
      </c>
      <c r="F3021" s="22" t="s">
        <v>16</v>
      </c>
      <c r="G3021" s="22" t="s">
        <v>17</v>
      </c>
    </row>
    <row r="3022" ht="15.15" spans="1:7">
      <c r="A3022" s="20">
        <v>3020</v>
      </c>
      <c r="B3022" s="20">
        <v>6363</v>
      </c>
      <c r="C3022" s="21">
        <v>44988</v>
      </c>
      <c r="D3022" s="20">
        <v>3291.84</v>
      </c>
      <c r="E3022" s="22" t="s">
        <v>10</v>
      </c>
      <c r="F3022" s="22" t="s">
        <v>16</v>
      </c>
      <c r="G3022" s="22" t="s">
        <v>17</v>
      </c>
    </row>
    <row r="3023" ht="15.15" spans="1:7">
      <c r="A3023" s="20">
        <v>3021</v>
      </c>
      <c r="B3023" s="20">
        <v>5804</v>
      </c>
      <c r="C3023" s="21">
        <v>45139</v>
      </c>
      <c r="D3023" s="20">
        <v>3291.84</v>
      </c>
      <c r="E3023" s="22" t="s">
        <v>10</v>
      </c>
      <c r="F3023" s="22" t="s">
        <v>11</v>
      </c>
      <c r="G3023" s="22" t="s">
        <v>15</v>
      </c>
    </row>
    <row r="3024" ht="15.15" spans="1:7">
      <c r="A3024" s="20">
        <v>3022</v>
      </c>
      <c r="B3024" s="20">
        <v>6861</v>
      </c>
      <c r="C3024" s="21">
        <v>45039</v>
      </c>
      <c r="D3024" s="20">
        <v>3291.84</v>
      </c>
      <c r="E3024" s="22" t="s">
        <v>10</v>
      </c>
      <c r="F3024" s="22" t="s">
        <v>18</v>
      </c>
      <c r="G3024" s="22" t="s">
        <v>15</v>
      </c>
    </row>
    <row r="3025" ht="15.15" spans="1:7">
      <c r="A3025" s="20">
        <v>3023</v>
      </c>
      <c r="B3025" s="20">
        <v>3657</v>
      </c>
      <c r="C3025" s="21">
        <v>45130</v>
      </c>
      <c r="D3025" s="20">
        <v>3291.84</v>
      </c>
      <c r="E3025" s="22" t="s">
        <v>10</v>
      </c>
      <c r="F3025" s="22" t="s">
        <v>13</v>
      </c>
      <c r="G3025" s="22" t="s">
        <v>15</v>
      </c>
    </row>
    <row r="3026" ht="15.15" spans="1:7">
      <c r="A3026" s="20">
        <v>3024</v>
      </c>
      <c r="B3026" s="20">
        <v>3316</v>
      </c>
      <c r="C3026" s="21">
        <v>44976</v>
      </c>
      <c r="D3026" s="20">
        <v>3291.84</v>
      </c>
      <c r="E3026" s="22" t="s">
        <v>10</v>
      </c>
      <c r="F3026" s="22" t="s">
        <v>19</v>
      </c>
      <c r="G3026" s="22" t="s">
        <v>17</v>
      </c>
    </row>
    <row r="3027" ht="15.15" spans="1:7">
      <c r="A3027" s="20">
        <v>3025</v>
      </c>
      <c r="B3027" s="20">
        <v>2094</v>
      </c>
      <c r="C3027" s="21">
        <v>44986</v>
      </c>
      <c r="D3027" s="20">
        <v>3291.84</v>
      </c>
      <c r="E3027" s="22" t="s">
        <v>10</v>
      </c>
      <c r="F3027" s="22" t="s">
        <v>18</v>
      </c>
      <c r="G3027" s="22" t="s">
        <v>17</v>
      </c>
    </row>
    <row r="3028" ht="15.15" spans="1:7">
      <c r="A3028" s="20">
        <v>3026</v>
      </c>
      <c r="B3028" s="20">
        <v>4002</v>
      </c>
      <c r="C3028" s="21">
        <v>45117</v>
      </c>
      <c r="D3028" s="20">
        <v>3291.84</v>
      </c>
      <c r="E3028" s="22" t="s">
        <v>10</v>
      </c>
      <c r="F3028" s="22" t="s">
        <v>16</v>
      </c>
      <c r="G3028" s="22" t="s">
        <v>17</v>
      </c>
    </row>
    <row r="3029" ht="15.15" spans="1:7">
      <c r="A3029" s="20">
        <v>3027</v>
      </c>
      <c r="B3029" s="20">
        <v>2775</v>
      </c>
      <c r="C3029" s="21">
        <v>44992</v>
      </c>
      <c r="D3029" s="20">
        <v>3291.84</v>
      </c>
      <c r="E3029" s="22" t="s">
        <v>21</v>
      </c>
      <c r="F3029" s="22" t="s">
        <v>13</v>
      </c>
      <c r="G3029" s="22" t="s">
        <v>12</v>
      </c>
    </row>
    <row r="3030" ht="15.15" spans="1:7">
      <c r="A3030" s="20">
        <v>3028</v>
      </c>
      <c r="B3030" s="20">
        <v>2877</v>
      </c>
      <c r="C3030" s="21">
        <v>45284</v>
      </c>
      <c r="D3030" s="20">
        <v>3291.84</v>
      </c>
      <c r="E3030" s="22" t="s">
        <v>10</v>
      </c>
      <c r="F3030" s="22" t="s">
        <v>18</v>
      </c>
      <c r="G3030" s="22" t="s">
        <v>20</v>
      </c>
    </row>
    <row r="3031" ht="15.15" spans="1:7">
      <c r="A3031" s="20">
        <v>3029</v>
      </c>
      <c r="B3031" s="20">
        <v>7423</v>
      </c>
      <c r="C3031" s="21">
        <v>44976</v>
      </c>
      <c r="D3031" s="20">
        <v>3291.84</v>
      </c>
      <c r="E3031" s="22" t="s">
        <v>10</v>
      </c>
      <c r="F3031" s="22" t="s">
        <v>14</v>
      </c>
      <c r="G3031" s="22" t="s">
        <v>20</v>
      </c>
    </row>
    <row r="3032" ht="15.15" spans="1:7">
      <c r="A3032" s="20">
        <v>3030</v>
      </c>
      <c r="B3032" s="20">
        <v>414</v>
      </c>
      <c r="C3032" s="21">
        <v>45190</v>
      </c>
      <c r="D3032" s="20">
        <v>3291.84</v>
      </c>
      <c r="E3032" s="22" t="s">
        <v>10</v>
      </c>
      <c r="F3032" s="22" t="s">
        <v>14</v>
      </c>
      <c r="G3032" s="22" t="s">
        <v>17</v>
      </c>
    </row>
    <row r="3033" ht="15.15" spans="1:7">
      <c r="A3033" s="20">
        <v>3031</v>
      </c>
      <c r="B3033" s="20">
        <v>1451</v>
      </c>
      <c r="C3033" s="21">
        <v>45002</v>
      </c>
      <c r="D3033" s="20">
        <v>3291.84</v>
      </c>
      <c r="E3033" s="22" t="s">
        <v>10</v>
      </c>
      <c r="F3033" s="22" t="s">
        <v>13</v>
      </c>
      <c r="G3033" s="22" t="s">
        <v>20</v>
      </c>
    </row>
    <row r="3034" ht="15.15" spans="1:7">
      <c r="A3034" s="20">
        <v>3032</v>
      </c>
      <c r="B3034" s="20">
        <v>2287</v>
      </c>
      <c r="C3034" s="21">
        <v>45006</v>
      </c>
      <c r="D3034" s="20">
        <v>3291.84</v>
      </c>
      <c r="E3034" s="22" t="s">
        <v>10</v>
      </c>
      <c r="F3034" s="22" t="s">
        <v>16</v>
      </c>
      <c r="G3034" s="22" t="s">
        <v>17</v>
      </c>
    </row>
    <row r="3035" ht="15.15" spans="1:7">
      <c r="A3035" s="20">
        <v>3033</v>
      </c>
      <c r="B3035" s="20">
        <v>8464</v>
      </c>
      <c r="C3035" s="21">
        <v>45178</v>
      </c>
      <c r="D3035" s="20">
        <v>3291.84</v>
      </c>
      <c r="E3035" s="22" t="s">
        <v>10</v>
      </c>
      <c r="F3035" s="22" t="s">
        <v>13</v>
      </c>
      <c r="G3035" s="22" t="s">
        <v>15</v>
      </c>
    </row>
    <row r="3036" ht="15.15" spans="1:7">
      <c r="A3036" s="20">
        <v>3034</v>
      </c>
      <c r="B3036" s="20">
        <v>8217</v>
      </c>
      <c r="C3036" s="21">
        <v>45051</v>
      </c>
      <c r="D3036" s="20">
        <v>3291.84</v>
      </c>
      <c r="E3036" s="22" t="s">
        <v>10</v>
      </c>
      <c r="F3036" s="22" t="s">
        <v>18</v>
      </c>
      <c r="G3036" s="22" t="s">
        <v>15</v>
      </c>
    </row>
    <row r="3037" ht="15.15" spans="1:7">
      <c r="A3037" s="20">
        <v>3035</v>
      </c>
      <c r="B3037" s="20">
        <v>7200</v>
      </c>
      <c r="C3037" s="21">
        <v>45154</v>
      </c>
      <c r="D3037" s="20">
        <v>3291.84</v>
      </c>
      <c r="E3037" s="22" t="s">
        <v>10</v>
      </c>
      <c r="F3037" s="22" t="s">
        <v>18</v>
      </c>
      <c r="G3037" s="22" t="s">
        <v>15</v>
      </c>
    </row>
    <row r="3038" ht="15.15" spans="1:7">
      <c r="A3038" s="20">
        <v>3036</v>
      </c>
      <c r="B3038" s="20">
        <v>4965</v>
      </c>
      <c r="C3038" s="21">
        <v>45115</v>
      </c>
      <c r="D3038" s="20">
        <v>3291.84</v>
      </c>
      <c r="E3038" s="22" t="s">
        <v>10</v>
      </c>
      <c r="F3038" s="22" t="s">
        <v>13</v>
      </c>
      <c r="G3038" s="22" t="s">
        <v>17</v>
      </c>
    </row>
    <row r="3039" ht="15.15" spans="1:7">
      <c r="A3039" s="20">
        <v>3037</v>
      </c>
      <c r="B3039" s="20">
        <v>6459</v>
      </c>
      <c r="C3039" s="21">
        <v>45076</v>
      </c>
      <c r="D3039" s="20">
        <v>3291.84</v>
      </c>
      <c r="E3039" s="22" t="s">
        <v>10</v>
      </c>
      <c r="F3039" s="22" t="s">
        <v>16</v>
      </c>
      <c r="G3039" s="22" t="s">
        <v>20</v>
      </c>
    </row>
    <row r="3040" ht="15.15" spans="1:7">
      <c r="A3040" s="20">
        <v>3038</v>
      </c>
      <c r="B3040" s="20">
        <v>4813</v>
      </c>
      <c r="C3040" s="21">
        <v>45279</v>
      </c>
      <c r="D3040" s="20">
        <v>3291.84</v>
      </c>
      <c r="E3040" s="22" t="s">
        <v>10</v>
      </c>
      <c r="F3040" s="22" t="s">
        <v>11</v>
      </c>
      <c r="G3040" s="22" t="s">
        <v>20</v>
      </c>
    </row>
    <row r="3041" ht="15.15" spans="1:7">
      <c r="A3041" s="20">
        <v>3039</v>
      </c>
      <c r="B3041" s="20">
        <v>1126</v>
      </c>
      <c r="C3041" s="21">
        <v>45214</v>
      </c>
      <c r="D3041" s="20">
        <v>3291.84</v>
      </c>
      <c r="E3041" s="22" t="s">
        <v>22</v>
      </c>
      <c r="F3041" s="22" t="s">
        <v>11</v>
      </c>
      <c r="G3041" s="22" t="s">
        <v>17</v>
      </c>
    </row>
    <row r="3042" ht="15.15" spans="1:7">
      <c r="A3042" s="20">
        <v>3040</v>
      </c>
      <c r="B3042" s="20">
        <v>2146</v>
      </c>
      <c r="C3042" s="21">
        <v>44968</v>
      </c>
      <c r="D3042" s="20">
        <v>3291.84</v>
      </c>
      <c r="E3042" s="22" t="s">
        <v>10</v>
      </c>
      <c r="F3042" s="22" t="s">
        <v>13</v>
      </c>
      <c r="G3042" s="22" t="s">
        <v>15</v>
      </c>
    </row>
    <row r="3043" ht="15.15" spans="1:7">
      <c r="A3043" s="20">
        <v>3041</v>
      </c>
      <c r="B3043" s="20">
        <v>2810</v>
      </c>
      <c r="C3043" s="21">
        <v>44977</v>
      </c>
      <c r="D3043" s="20">
        <v>3291.84</v>
      </c>
      <c r="E3043" s="22" t="s">
        <v>10</v>
      </c>
      <c r="F3043" s="22" t="s">
        <v>13</v>
      </c>
      <c r="G3043" s="22" t="s">
        <v>17</v>
      </c>
    </row>
    <row r="3044" ht="15.15" spans="1:7">
      <c r="A3044" s="20">
        <v>3042</v>
      </c>
      <c r="B3044" s="20">
        <v>6907</v>
      </c>
      <c r="C3044" s="21">
        <v>45202</v>
      </c>
      <c r="D3044" s="20">
        <v>3291.84</v>
      </c>
      <c r="E3044" s="22" t="s">
        <v>10</v>
      </c>
      <c r="F3044" s="22" t="s">
        <v>14</v>
      </c>
      <c r="G3044" s="22" t="s">
        <v>12</v>
      </c>
    </row>
    <row r="3045" ht="15.15" spans="1:7">
      <c r="A3045" s="20">
        <v>3043</v>
      </c>
      <c r="B3045" s="20">
        <v>8616</v>
      </c>
      <c r="C3045" s="21">
        <v>45109</v>
      </c>
      <c r="D3045" s="20">
        <v>3291.84</v>
      </c>
      <c r="E3045" s="22" t="s">
        <v>10</v>
      </c>
      <c r="F3045" s="22" t="s">
        <v>11</v>
      </c>
      <c r="G3045" s="22" t="s">
        <v>20</v>
      </c>
    </row>
    <row r="3046" ht="15.15" spans="1:7">
      <c r="A3046" s="20">
        <v>3044</v>
      </c>
      <c r="B3046" s="20">
        <v>9012</v>
      </c>
      <c r="C3046" s="21">
        <v>45253</v>
      </c>
      <c r="D3046" s="20">
        <v>3291.84</v>
      </c>
      <c r="E3046" s="22" t="s">
        <v>10</v>
      </c>
      <c r="F3046" s="22" t="s">
        <v>13</v>
      </c>
      <c r="G3046" s="22" t="s">
        <v>15</v>
      </c>
    </row>
    <row r="3047" ht="15.15" spans="1:7">
      <c r="A3047" s="20">
        <v>3045</v>
      </c>
      <c r="B3047" s="20">
        <v>4585</v>
      </c>
      <c r="C3047" s="21">
        <v>45167</v>
      </c>
      <c r="D3047" s="20">
        <v>3291.84</v>
      </c>
      <c r="E3047" s="22" t="s">
        <v>10</v>
      </c>
      <c r="F3047" s="22" t="s">
        <v>11</v>
      </c>
      <c r="G3047" s="22" t="s">
        <v>17</v>
      </c>
    </row>
    <row r="3048" ht="15.15" spans="1:7">
      <c r="A3048" s="20">
        <v>3046</v>
      </c>
      <c r="B3048" s="20">
        <v>5771</v>
      </c>
      <c r="C3048" s="21">
        <v>45269</v>
      </c>
      <c r="D3048" s="20">
        <v>3291.84</v>
      </c>
      <c r="E3048" s="22" t="s">
        <v>10</v>
      </c>
      <c r="F3048" s="22" t="s">
        <v>14</v>
      </c>
      <c r="G3048" s="22" t="s">
        <v>20</v>
      </c>
    </row>
    <row r="3049" ht="15.15" spans="1:7">
      <c r="A3049" s="20">
        <v>3047</v>
      </c>
      <c r="B3049" s="20">
        <v>2246</v>
      </c>
      <c r="C3049" s="21">
        <v>45270</v>
      </c>
      <c r="D3049" s="20">
        <v>3291.84</v>
      </c>
      <c r="E3049" s="22" t="s">
        <v>10</v>
      </c>
      <c r="F3049" s="22" t="s">
        <v>18</v>
      </c>
      <c r="G3049" s="22" t="s">
        <v>12</v>
      </c>
    </row>
    <row r="3050" ht="15.15" spans="1:7">
      <c r="A3050" s="20">
        <v>3048</v>
      </c>
      <c r="B3050" s="20">
        <v>8100</v>
      </c>
      <c r="C3050" s="21">
        <v>45274</v>
      </c>
      <c r="D3050" s="20">
        <v>3291.84</v>
      </c>
      <c r="E3050" s="22" t="s">
        <v>10</v>
      </c>
      <c r="F3050" s="22" t="s">
        <v>14</v>
      </c>
      <c r="G3050" s="22" t="s">
        <v>20</v>
      </c>
    </row>
    <row r="3051" ht="15.15" spans="1:7">
      <c r="A3051" s="20">
        <v>3049</v>
      </c>
      <c r="B3051" s="20">
        <v>5399</v>
      </c>
      <c r="C3051" s="21">
        <v>44948</v>
      </c>
      <c r="D3051" s="20">
        <v>3291.84</v>
      </c>
      <c r="E3051" s="22" t="s">
        <v>10</v>
      </c>
      <c r="F3051" s="22" t="s">
        <v>16</v>
      </c>
      <c r="G3051" s="22" t="s">
        <v>12</v>
      </c>
    </row>
    <row r="3052" ht="15.15" spans="1:7">
      <c r="A3052" s="20">
        <v>3050</v>
      </c>
      <c r="B3052" s="20">
        <v>8890</v>
      </c>
      <c r="C3052" s="21">
        <v>45086</v>
      </c>
      <c r="D3052" s="20">
        <v>3291.84</v>
      </c>
      <c r="E3052" s="22" t="s">
        <v>10</v>
      </c>
      <c r="F3052" s="22" t="s">
        <v>11</v>
      </c>
      <c r="G3052" s="22" t="s">
        <v>20</v>
      </c>
    </row>
    <row r="3053" ht="15.15" spans="1:7">
      <c r="A3053" s="20">
        <v>3051</v>
      </c>
      <c r="B3053" s="20">
        <v>1265</v>
      </c>
      <c r="C3053" s="21">
        <v>45162</v>
      </c>
      <c r="D3053" s="20">
        <v>3291.84</v>
      </c>
      <c r="E3053" s="22" t="s">
        <v>10</v>
      </c>
      <c r="F3053" s="22" t="s">
        <v>13</v>
      </c>
      <c r="G3053" s="22" t="s">
        <v>12</v>
      </c>
    </row>
    <row r="3054" ht="15.15" spans="1:7">
      <c r="A3054" s="20">
        <v>3052</v>
      </c>
      <c r="B3054" s="20">
        <v>4764</v>
      </c>
      <c r="C3054" s="21">
        <v>45220</v>
      </c>
      <c r="D3054" s="20">
        <v>3291.84</v>
      </c>
      <c r="E3054" s="22" t="s">
        <v>10</v>
      </c>
      <c r="F3054" s="22" t="s">
        <v>13</v>
      </c>
      <c r="G3054" s="22" t="s">
        <v>12</v>
      </c>
    </row>
    <row r="3055" ht="15.15" spans="1:7">
      <c r="A3055" s="20">
        <v>3053</v>
      </c>
      <c r="B3055" s="20">
        <v>7784</v>
      </c>
      <c r="C3055" s="21">
        <v>44957</v>
      </c>
      <c r="D3055" s="20">
        <v>3291.84</v>
      </c>
      <c r="E3055" s="22" t="s">
        <v>10</v>
      </c>
      <c r="F3055" s="22" t="s">
        <v>18</v>
      </c>
      <c r="G3055" s="22" t="s">
        <v>17</v>
      </c>
    </row>
    <row r="3056" ht="15.15" spans="1:7">
      <c r="A3056" s="20">
        <v>3054</v>
      </c>
      <c r="B3056" s="20">
        <v>3680</v>
      </c>
      <c r="C3056" s="21">
        <v>45111</v>
      </c>
      <c r="D3056" s="20">
        <v>3291.84</v>
      </c>
      <c r="E3056" s="22" t="s">
        <v>10</v>
      </c>
      <c r="F3056" s="22" t="s">
        <v>14</v>
      </c>
      <c r="G3056" s="22" t="s">
        <v>15</v>
      </c>
    </row>
    <row r="3057" ht="15.15" spans="1:7">
      <c r="A3057" s="20">
        <v>3055</v>
      </c>
      <c r="B3057" s="20">
        <v>4527</v>
      </c>
      <c r="C3057" s="21">
        <v>45076</v>
      </c>
      <c r="D3057" s="20">
        <v>3291.84</v>
      </c>
      <c r="E3057" s="22" t="s">
        <v>10</v>
      </c>
      <c r="F3057" s="22" t="s">
        <v>16</v>
      </c>
      <c r="G3057" s="22" t="s">
        <v>17</v>
      </c>
    </row>
    <row r="3058" ht="15.15" spans="1:7">
      <c r="A3058" s="20">
        <v>3056</v>
      </c>
      <c r="B3058" s="20">
        <v>1352</v>
      </c>
      <c r="C3058" s="21">
        <v>45261</v>
      </c>
      <c r="D3058" s="20">
        <v>3291.84</v>
      </c>
      <c r="E3058" s="22" t="s">
        <v>10</v>
      </c>
      <c r="F3058" s="22" t="s">
        <v>18</v>
      </c>
      <c r="G3058" s="22" t="s">
        <v>17</v>
      </c>
    </row>
    <row r="3059" ht="15.15" spans="1:7">
      <c r="A3059" s="20">
        <v>3057</v>
      </c>
      <c r="B3059" s="20">
        <v>657</v>
      </c>
      <c r="C3059" s="21">
        <v>45004</v>
      </c>
      <c r="D3059" s="20">
        <v>3291.84</v>
      </c>
      <c r="E3059" s="22" t="s">
        <v>10</v>
      </c>
      <c r="F3059" s="22" t="s">
        <v>11</v>
      </c>
      <c r="G3059" s="22" t="s">
        <v>17</v>
      </c>
    </row>
    <row r="3060" ht="15.15" spans="1:7">
      <c r="A3060" s="20">
        <v>3058</v>
      </c>
      <c r="B3060" s="20">
        <v>9596</v>
      </c>
      <c r="C3060" s="21">
        <v>45285</v>
      </c>
      <c r="D3060" s="20">
        <v>3291.84</v>
      </c>
      <c r="E3060" s="22" t="s">
        <v>10</v>
      </c>
      <c r="F3060" s="22" t="s">
        <v>16</v>
      </c>
      <c r="G3060" s="22" t="s">
        <v>15</v>
      </c>
    </row>
    <row r="3061" ht="15.15" spans="1:7">
      <c r="A3061" s="20">
        <v>3059</v>
      </c>
      <c r="B3061" s="20">
        <v>3592</v>
      </c>
      <c r="C3061" s="21">
        <v>45033</v>
      </c>
      <c r="D3061" s="20">
        <v>3291.84</v>
      </c>
      <c r="E3061" s="22" t="s">
        <v>10</v>
      </c>
      <c r="F3061" s="22" t="s">
        <v>18</v>
      </c>
      <c r="G3061" s="22" t="s">
        <v>20</v>
      </c>
    </row>
    <row r="3062" ht="15.15" spans="1:7">
      <c r="A3062" s="20">
        <v>3060</v>
      </c>
      <c r="B3062" s="20">
        <v>287</v>
      </c>
      <c r="C3062" s="21">
        <v>45282</v>
      </c>
      <c r="D3062" s="20">
        <v>3291.84</v>
      </c>
      <c r="E3062" s="22" t="s">
        <v>10</v>
      </c>
      <c r="F3062" s="22" t="s">
        <v>13</v>
      </c>
      <c r="G3062" s="22" t="s">
        <v>17</v>
      </c>
    </row>
    <row r="3063" ht="15.15" spans="1:7">
      <c r="A3063" s="20">
        <v>3061</v>
      </c>
      <c r="B3063" s="20">
        <v>1709</v>
      </c>
      <c r="C3063" s="21">
        <v>45278</v>
      </c>
      <c r="D3063" s="20">
        <v>3291.84</v>
      </c>
      <c r="E3063" s="22" t="s">
        <v>10</v>
      </c>
      <c r="F3063" s="22" t="s">
        <v>16</v>
      </c>
      <c r="G3063" s="22" t="s">
        <v>15</v>
      </c>
    </row>
    <row r="3064" ht="15.15" spans="1:7">
      <c r="A3064" s="20">
        <v>3062</v>
      </c>
      <c r="B3064" s="20">
        <v>9705</v>
      </c>
      <c r="C3064" s="21">
        <v>45214</v>
      </c>
      <c r="D3064" s="20">
        <v>3291.84</v>
      </c>
      <c r="E3064" s="22" t="s">
        <v>10</v>
      </c>
      <c r="F3064" s="22" t="s">
        <v>11</v>
      </c>
      <c r="G3064" s="22" t="s">
        <v>12</v>
      </c>
    </row>
    <row r="3065" ht="15.15" spans="1:7">
      <c r="A3065" s="20">
        <v>3063</v>
      </c>
      <c r="B3065" s="20">
        <v>9589</v>
      </c>
      <c r="C3065" s="21">
        <v>45206</v>
      </c>
      <c r="D3065" s="20">
        <v>3291.84</v>
      </c>
      <c r="E3065" s="22" t="s">
        <v>22</v>
      </c>
      <c r="F3065" s="22" t="s">
        <v>14</v>
      </c>
      <c r="G3065" s="22" t="s">
        <v>20</v>
      </c>
    </row>
    <row r="3066" ht="15.15" spans="1:7">
      <c r="A3066" s="20">
        <v>3064</v>
      </c>
      <c r="B3066" s="20">
        <v>8478</v>
      </c>
      <c r="C3066" s="21">
        <v>44941</v>
      </c>
      <c r="D3066" s="20">
        <v>3291.84</v>
      </c>
      <c r="E3066" s="22" t="s">
        <v>10</v>
      </c>
      <c r="F3066" s="22" t="s">
        <v>11</v>
      </c>
      <c r="G3066" s="22" t="s">
        <v>12</v>
      </c>
    </row>
    <row r="3067" ht="15.15" spans="1:7">
      <c r="A3067" s="20">
        <v>3065</v>
      </c>
      <c r="B3067" s="20">
        <v>5490</v>
      </c>
      <c r="C3067" s="21">
        <v>44934</v>
      </c>
      <c r="D3067" s="20">
        <v>3291.84</v>
      </c>
      <c r="E3067" s="22" t="s">
        <v>10</v>
      </c>
      <c r="F3067" s="22" t="s">
        <v>18</v>
      </c>
      <c r="G3067" s="22" t="s">
        <v>17</v>
      </c>
    </row>
    <row r="3068" ht="15.15" spans="1:7">
      <c r="A3068" s="20">
        <v>3066</v>
      </c>
      <c r="B3068" s="20">
        <v>8049</v>
      </c>
      <c r="C3068" s="21">
        <v>45270</v>
      </c>
      <c r="D3068" s="20">
        <v>3291.84</v>
      </c>
      <c r="E3068" s="22" t="s">
        <v>10</v>
      </c>
      <c r="F3068" s="22" t="s">
        <v>14</v>
      </c>
      <c r="G3068" s="22" t="s">
        <v>12</v>
      </c>
    </row>
    <row r="3069" ht="15.15" spans="1:7">
      <c r="A3069" s="20">
        <v>3067</v>
      </c>
      <c r="B3069" s="20">
        <v>3336</v>
      </c>
      <c r="C3069" s="21">
        <v>45259</v>
      </c>
      <c r="D3069" s="20">
        <v>3291.84</v>
      </c>
      <c r="E3069" s="22" t="s">
        <v>21</v>
      </c>
      <c r="F3069" s="22" t="s">
        <v>18</v>
      </c>
      <c r="G3069" s="22" t="s">
        <v>15</v>
      </c>
    </row>
    <row r="3070" ht="15.15" spans="1:7">
      <c r="A3070" s="20">
        <v>3068</v>
      </c>
      <c r="B3070" s="20">
        <v>8345</v>
      </c>
      <c r="C3070" s="21">
        <v>45116</v>
      </c>
      <c r="D3070" s="20">
        <v>3291.84</v>
      </c>
      <c r="E3070" s="22" t="s">
        <v>10</v>
      </c>
      <c r="F3070" s="22" t="s">
        <v>13</v>
      </c>
      <c r="G3070" s="22" t="s">
        <v>20</v>
      </c>
    </row>
    <row r="3071" ht="15.15" spans="1:7">
      <c r="A3071" s="20">
        <v>3069</v>
      </c>
      <c r="B3071" s="20">
        <v>6912</v>
      </c>
      <c r="C3071" s="21">
        <v>45185</v>
      </c>
      <c r="D3071" s="20">
        <v>3291.84</v>
      </c>
      <c r="E3071" s="22" t="s">
        <v>10</v>
      </c>
      <c r="F3071" s="22" t="s">
        <v>11</v>
      </c>
      <c r="G3071" s="22" t="s">
        <v>12</v>
      </c>
    </row>
    <row r="3072" ht="15.15" spans="1:7">
      <c r="A3072" s="20">
        <v>3070</v>
      </c>
      <c r="B3072" s="20">
        <v>7369</v>
      </c>
      <c r="C3072" s="21">
        <v>45198</v>
      </c>
      <c r="D3072" s="20">
        <v>3291.84</v>
      </c>
      <c r="E3072" s="22" t="s">
        <v>10</v>
      </c>
      <c r="F3072" s="22" t="s">
        <v>14</v>
      </c>
      <c r="G3072" s="22" t="s">
        <v>17</v>
      </c>
    </row>
    <row r="3073" ht="15.15" spans="1:7">
      <c r="A3073" s="20">
        <v>3071</v>
      </c>
      <c r="B3073" s="20">
        <v>5566</v>
      </c>
      <c r="C3073" s="21">
        <v>45075</v>
      </c>
      <c r="D3073" s="20">
        <v>3291.84</v>
      </c>
      <c r="E3073" s="22" t="s">
        <v>10</v>
      </c>
      <c r="F3073" s="22" t="s">
        <v>14</v>
      </c>
      <c r="G3073" s="22" t="s">
        <v>17</v>
      </c>
    </row>
    <row r="3074" ht="15.15" spans="1:7">
      <c r="A3074" s="20">
        <v>3072</v>
      </c>
      <c r="B3074" s="20">
        <v>4014</v>
      </c>
      <c r="C3074" s="21">
        <v>44973</v>
      </c>
      <c r="D3074" s="20">
        <v>3291.84</v>
      </c>
      <c r="E3074" s="22" t="s">
        <v>10</v>
      </c>
      <c r="F3074" s="22" t="s">
        <v>16</v>
      </c>
      <c r="G3074" s="22" t="s">
        <v>17</v>
      </c>
    </row>
    <row r="3075" ht="15.15" spans="1:7">
      <c r="A3075" s="20">
        <v>3073</v>
      </c>
      <c r="B3075" s="20">
        <v>5869</v>
      </c>
      <c r="C3075" s="21">
        <v>45025</v>
      </c>
      <c r="D3075" s="20">
        <v>3291.84</v>
      </c>
      <c r="E3075" s="22" t="s">
        <v>10</v>
      </c>
      <c r="F3075" s="22" t="s">
        <v>16</v>
      </c>
      <c r="G3075" s="22" t="s">
        <v>15</v>
      </c>
    </row>
    <row r="3076" ht="15.15" spans="1:7">
      <c r="A3076" s="20">
        <v>3074</v>
      </c>
      <c r="B3076" s="20">
        <v>5907</v>
      </c>
      <c r="C3076" s="21">
        <v>45099</v>
      </c>
      <c r="D3076" s="20">
        <v>3291.84</v>
      </c>
      <c r="E3076" s="22" t="s">
        <v>10</v>
      </c>
      <c r="F3076" s="22" t="s">
        <v>16</v>
      </c>
      <c r="G3076" s="22" t="s">
        <v>12</v>
      </c>
    </row>
    <row r="3077" ht="15.15" spans="1:7">
      <c r="A3077" s="20">
        <v>3075</v>
      </c>
      <c r="B3077" s="20">
        <v>6477</v>
      </c>
      <c r="C3077" s="21">
        <v>45106</v>
      </c>
      <c r="D3077" s="20">
        <v>3291.84</v>
      </c>
      <c r="E3077" s="22" t="s">
        <v>10</v>
      </c>
      <c r="F3077" s="22" t="s">
        <v>14</v>
      </c>
      <c r="G3077" s="22" t="s">
        <v>17</v>
      </c>
    </row>
    <row r="3078" ht="15.15" spans="1:7">
      <c r="A3078" s="20">
        <v>3076</v>
      </c>
      <c r="B3078" s="20">
        <v>3278</v>
      </c>
      <c r="C3078" s="21">
        <v>44974</v>
      </c>
      <c r="D3078" s="20">
        <v>3291.84</v>
      </c>
      <c r="E3078" s="22" t="s">
        <v>10</v>
      </c>
      <c r="F3078" s="22" t="s">
        <v>14</v>
      </c>
      <c r="G3078" s="22" t="s">
        <v>20</v>
      </c>
    </row>
    <row r="3079" ht="15.15" spans="1:7">
      <c r="A3079" s="20">
        <v>3077</v>
      </c>
      <c r="B3079" s="20">
        <v>2133</v>
      </c>
      <c r="C3079" s="21">
        <v>44971</v>
      </c>
      <c r="D3079" s="20">
        <v>3291.84</v>
      </c>
      <c r="E3079" s="22" t="s">
        <v>10</v>
      </c>
      <c r="F3079" s="22" t="s">
        <v>18</v>
      </c>
      <c r="G3079" s="22" t="s">
        <v>12</v>
      </c>
    </row>
    <row r="3080" ht="15.15" spans="1:7">
      <c r="A3080" s="20">
        <v>3078</v>
      </c>
      <c r="B3080" s="20">
        <v>9000</v>
      </c>
      <c r="C3080" s="21">
        <v>45261</v>
      </c>
      <c r="D3080" s="20">
        <v>3291.84</v>
      </c>
      <c r="E3080" s="22" t="s">
        <v>10</v>
      </c>
      <c r="F3080" s="22" t="s">
        <v>18</v>
      </c>
      <c r="G3080" s="22" t="s">
        <v>17</v>
      </c>
    </row>
    <row r="3081" ht="15.15" spans="1:7">
      <c r="A3081" s="20">
        <v>3079</v>
      </c>
      <c r="B3081" s="20">
        <v>5897</v>
      </c>
      <c r="C3081" s="21">
        <v>45057</v>
      </c>
      <c r="D3081" s="20">
        <v>3291.84</v>
      </c>
      <c r="E3081" s="22" t="s">
        <v>10</v>
      </c>
      <c r="F3081" s="22" t="s">
        <v>16</v>
      </c>
      <c r="G3081" s="22" t="s">
        <v>12</v>
      </c>
    </row>
    <row r="3082" ht="15.15" spans="1:7">
      <c r="A3082" s="20">
        <v>3080</v>
      </c>
      <c r="B3082" s="20">
        <v>9816</v>
      </c>
      <c r="C3082" s="21">
        <v>45209</v>
      </c>
      <c r="D3082" s="20">
        <v>3291.84</v>
      </c>
      <c r="E3082" s="22" t="s">
        <v>10</v>
      </c>
      <c r="F3082" s="22" t="s">
        <v>11</v>
      </c>
      <c r="G3082" s="22" t="s">
        <v>20</v>
      </c>
    </row>
    <row r="3083" ht="15.15" spans="1:7">
      <c r="A3083" s="20">
        <v>3081</v>
      </c>
      <c r="B3083" s="20">
        <v>7032</v>
      </c>
      <c r="C3083" s="21">
        <v>45055</v>
      </c>
      <c r="D3083" s="20">
        <v>3291.84</v>
      </c>
      <c r="E3083" s="22" t="s">
        <v>10</v>
      </c>
      <c r="F3083" s="22" t="s">
        <v>16</v>
      </c>
      <c r="G3083" s="22" t="s">
        <v>15</v>
      </c>
    </row>
    <row r="3084" ht="15.15" spans="1:7">
      <c r="A3084" s="20">
        <v>3082</v>
      </c>
      <c r="B3084" s="20">
        <v>7008</v>
      </c>
      <c r="C3084" s="21">
        <v>45276</v>
      </c>
      <c r="D3084" s="20">
        <v>3291.84</v>
      </c>
      <c r="E3084" s="22" t="s">
        <v>10</v>
      </c>
      <c r="F3084" s="22" t="s">
        <v>13</v>
      </c>
      <c r="G3084" s="22" t="s">
        <v>20</v>
      </c>
    </row>
    <row r="3085" ht="15.15" spans="1:7">
      <c r="A3085" s="20">
        <v>3083</v>
      </c>
      <c r="B3085" s="20">
        <v>916</v>
      </c>
      <c r="C3085" s="21">
        <v>45192</v>
      </c>
      <c r="D3085" s="20">
        <v>3291.84</v>
      </c>
      <c r="E3085" s="22" t="s">
        <v>10</v>
      </c>
      <c r="F3085" s="22" t="s">
        <v>11</v>
      </c>
      <c r="G3085" s="22" t="s">
        <v>15</v>
      </c>
    </row>
    <row r="3086" ht="15.15" spans="1:7">
      <c r="A3086" s="20">
        <v>3084</v>
      </c>
      <c r="B3086" s="20">
        <v>6452</v>
      </c>
      <c r="C3086" s="21">
        <v>45269</v>
      </c>
      <c r="D3086" s="20">
        <v>3291.84</v>
      </c>
      <c r="E3086" s="22" t="s">
        <v>10</v>
      </c>
      <c r="F3086" s="22" t="s">
        <v>13</v>
      </c>
      <c r="G3086" s="22" t="s">
        <v>20</v>
      </c>
    </row>
    <row r="3087" ht="15.15" spans="1:7">
      <c r="A3087" s="20">
        <v>3085</v>
      </c>
      <c r="B3087" s="20">
        <v>5798</v>
      </c>
      <c r="C3087" s="21">
        <v>45202</v>
      </c>
      <c r="D3087" s="20">
        <v>3291.84</v>
      </c>
      <c r="E3087" s="22" t="s">
        <v>10</v>
      </c>
      <c r="F3087" s="22" t="s">
        <v>14</v>
      </c>
      <c r="G3087" s="22" t="s">
        <v>12</v>
      </c>
    </row>
    <row r="3088" ht="15.15" spans="1:7">
      <c r="A3088" s="20">
        <v>3086</v>
      </c>
      <c r="B3088" s="20">
        <v>8588</v>
      </c>
      <c r="C3088" s="21">
        <v>45202</v>
      </c>
      <c r="D3088" s="20">
        <v>3291.84</v>
      </c>
      <c r="E3088" s="22" t="s">
        <v>10</v>
      </c>
      <c r="F3088" s="22" t="s">
        <v>16</v>
      </c>
      <c r="G3088" s="22" t="s">
        <v>12</v>
      </c>
    </row>
    <row r="3089" ht="15.15" spans="1:7">
      <c r="A3089" s="20">
        <v>3087</v>
      </c>
      <c r="B3089" s="20">
        <v>28</v>
      </c>
      <c r="C3089" s="21">
        <v>45002</v>
      </c>
      <c r="D3089" s="20">
        <v>3291.84</v>
      </c>
      <c r="E3089" s="22" t="s">
        <v>10</v>
      </c>
      <c r="F3089" s="22" t="s">
        <v>11</v>
      </c>
      <c r="G3089" s="22" t="s">
        <v>20</v>
      </c>
    </row>
    <row r="3090" ht="15.15" spans="1:7">
      <c r="A3090" s="20">
        <v>3088</v>
      </c>
      <c r="B3090" s="20">
        <v>4605</v>
      </c>
      <c r="C3090" s="21">
        <v>45199</v>
      </c>
      <c r="D3090" s="20">
        <v>3291.84</v>
      </c>
      <c r="E3090" s="22" t="s">
        <v>10</v>
      </c>
      <c r="F3090" s="22" t="s">
        <v>13</v>
      </c>
      <c r="G3090" s="22" t="s">
        <v>20</v>
      </c>
    </row>
    <row r="3091" ht="15.15" spans="1:7">
      <c r="A3091" s="20">
        <v>3089</v>
      </c>
      <c r="B3091" s="20">
        <v>5529</v>
      </c>
      <c r="C3091" s="21">
        <v>45189</v>
      </c>
      <c r="D3091" s="20">
        <v>3291.84</v>
      </c>
      <c r="E3091" s="22" t="s">
        <v>10</v>
      </c>
      <c r="F3091" s="22" t="s">
        <v>14</v>
      </c>
      <c r="G3091" s="22" t="s">
        <v>12</v>
      </c>
    </row>
    <row r="3092" ht="15.15" spans="1:7">
      <c r="A3092" s="20">
        <v>3090</v>
      </c>
      <c r="B3092" s="20">
        <v>4242</v>
      </c>
      <c r="C3092" s="21">
        <v>45167</v>
      </c>
      <c r="D3092" s="20">
        <v>3291.84</v>
      </c>
      <c r="E3092" s="22" t="s">
        <v>10</v>
      </c>
      <c r="F3092" s="22" t="s">
        <v>18</v>
      </c>
      <c r="G3092" s="22" t="s">
        <v>12</v>
      </c>
    </row>
    <row r="3093" ht="15.15" spans="1:7">
      <c r="A3093" s="20">
        <v>3091</v>
      </c>
      <c r="B3093" s="20">
        <v>6070</v>
      </c>
      <c r="C3093" s="21">
        <v>45095</v>
      </c>
      <c r="D3093" s="20">
        <v>3291.84</v>
      </c>
      <c r="E3093" s="22" t="s">
        <v>10</v>
      </c>
      <c r="F3093" s="22" t="s">
        <v>18</v>
      </c>
      <c r="G3093" s="22" t="s">
        <v>20</v>
      </c>
    </row>
    <row r="3094" ht="15.15" spans="1:7">
      <c r="A3094" s="20">
        <v>3092</v>
      </c>
      <c r="B3094" s="20">
        <v>1321</v>
      </c>
      <c r="C3094" s="21">
        <v>45118</v>
      </c>
      <c r="D3094" s="20">
        <v>3291.84</v>
      </c>
      <c r="E3094" s="22" t="s">
        <v>10</v>
      </c>
      <c r="F3094" s="22" t="s">
        <v>14</v>
      </c>
      <c r="G3094" s="22" t="s">
        <v>15</v>
      </c>
    </row>
    <row r="3095" ht="15.15" spans="1:7">
      <c r="A3095" s="20">
        <v>3093</v>
      </c>
      <c r="B3095" s="20">
        <v>1814</v>
      </c>
      <c r="C3095" s="21">
        <v>45268</v>
      </c>
      <c r="D3095" s="20">
        <v>3291.84</v>
      </c>
      <c r="E3095" s="22" t="s">
        <v>10</v>
      </c>
      <c r="F3095" s="22" t="s">
        <v>11</v>
      </c>
      <c r="G3095" s="22" t="s">
        <v>12</v>
      </c>
    </row>
    <row r="3096" ht="15.15" spans="1:7">
      <c r="A3096" s="20">
        <v>3094</v>
      </c>
      <c r="B3096" s="20">
        <v>4666</v>
      </c>
      <c r="C3096" s="21">
        <v>45278</v>
      </c>
      <c r="D3096" s="20">
        <v>3291.84</v>
      </c>
      <c r="E3096" s="22" t="s">
        <v>10</v>
      </c>
      <c r="F3096" s="22" t="s">
        <v>14</v>
      </c>
      <c r="G3096" s="22" t="s">
        <v>17</v>
      </c>
    </row>
    <row r="3097" ht="15.15" spans="1:7">
      <c r="A3097" s="20">
        <v>3095</v>
      </c>
      <c r="B3097" s="20">
        <v>5337</v>
      </c>
      <c r="C3097" s="21">
        <v>45060</v>
      </c>
      <c r="D3097" s="20">
        <v>3291.84</v>
      </c>
      <c r="E3097" s="22" t="s">
        <v>10</v>
      </c>
      <c r="F3097" s="22" t="s">
        <v>14</v>
      </c>
      <c r="G3097" s="22" t="s">
        <v>17</v>
      </c>
    </row>
    <row r="3098" ht="15.15" spans="1:7">
      <c r="A3098" s="20">
        <v>3096</v>
      </c>
      <c r="B3098" s="20">
        <v>8232</v>
      </c>
      <c r="C3098" s="21">
        <v>45250</v>
      </c>
      <c r="D3098" s="20">
        <v>3291.84</v>
      </c>
      <c r="E3098" s="22" t="s">
        <v>10</v>
      </c>
      <c r="F3098" s="22" t="s">
        <v>18</v>
      </c>
      <c r="G3098" s="22" t="s">
        <v>20</v>
      </c>
    </row>
    <row r="3099" ht="15.15" spans="1:7">
      <c r="A3099" s="20">
        <v>3097</v>
      </c>
      <c r="B3099" s="20">
        <v>8417</v>
      </c>
      <c r="C3099" s="21">
        <v>45278</v>
      </c>
      <c r="D3099" s="20">
        <v>3291.84</v>
      </c>
      <c r="E3099" s="22" t="s">
        <v>10</v>
      </c>
      <c r="F3099" s="22" t="s">
        <v>16</v>
      </c>
      <c r="G3099" s="22" t="s">
        <v>12</v>
      </c>
    </row>
    <row r="3100" ht="15.15" spans="1:7">
      <c r="A3100" s="20">
        <v>3098</v>
      </c>
      <c r="B3100" s="20">
        <v>4145</v>
      </c>
      <c r="C3100" s="21">
        <v>45168</v>
      </c>
      <c r="D3100" s="20">
        <v>3291.84</v>
      </c>
      <c r="E3100" s="22" t="s">
        <v>10</v>
      </c>
      <c r="F3100" s="22" t="s">
        <v>14</v>
      </c>
      <c r="G3100" s="22" t="s">
        <v>15</v>
      </c>
    </row>
    <row r="3101" ht="15.15" spans="1:7">
      <c r="A3101" s="20">
        <v>3099</v>
      </c>
      <c r="B3101" s="20">
        <v>8945</v>
      </c>
      <c r="C3101" s="21">
        <v>45110</v>
      </c>
      <c r="D3101" s="20">
        <v>3291.84</v>
      </c>
      <c r="E3101" s="22" t="s">
        <v>10</v>
      </c>
      <c r="F3101" s="22" t="s">
        <v>18</v>
      </c>
      <c r="G3101" s="22" t="s">
        <v>15</v>
      </c>
    </row>
    <row r="3102" ht="15.15" spans="1:7">
      <c r="A3102" s="20">
        <v>3100</v>
      </c>
      <c r="B3102" s="20">
        <v>7793</v>
      </c>
      <c r="C3102" s="21">
        <v>45284</v>
      </c>
      <c r="D3102" s="20">
        <v>3291.84</v>
      </c>
      <c r="E3102" s="22" t="s">
        <v>21</v>
      </c>
      <c r="F3102" s="22" t="s">
        <v>13</v>
      </c>
      <c r="G3102" s="22" t="s">
        <v>12</v>
      </c>
    </row>
    <row r="3103" ht="15.15" spans="1:7">
      <c r="A3103" s="20">
        <v>3101</v>
      </c>
      <c r="B3103" s="20">
        <v>1499</v>
      </c>
      <c r="C3103" s="21">
        <v>45274</v>
      </c>
      <c r="D3103" s="20">
        <v>3291.84</v>
      </c>
      <c r="E3103" s="22" t="s">
        <v>10</v>
      </c>
      <c r="F3103" s="22" t="s">
        <v>11</v>
      </c>
      <c r="G3103" s="22" t="s">
        <v>12</v>
      </c>
    </row>
    <row r="3104" ht="15.15" spans="1:7">
      <c r="A3104" s="20">
        <v>3102</v>
      </c>
      <c r="B3104" s="20">
        <v>192</v>
      </c>
      <c r="C3104" s="21">
        <v>45087</v>
      </c>
      <c r="D3104" s="20">
        <v>3291.84</v>
      </c>
      <c r="E3104" s="22" t="s">
        <v>22</v>
      </c>
      <c r="F3104" s="22" t="s">
        <v>11</v>
      </c>
      <c r="G3104" s="22" t="s">
        <v>20</v>
      </c>
    </row>
    <row r="3105" ht="15.15" spans="1:7">
      <c r="A3105" s="20">
        <v>3103</v>
      </c>
      <c r="B3105" s="20">
        <v>9518</v>
      </c>
      <c r="C3105" s="21">
        <v>44996</v>
      </c>
      <c r="D3105" s="20">
        <v>3291.84</v>
      </c>
      <c r="E3105" s="22" t="s">
        <v>10</v>
      </c>
      <c r="F3105" s="22" t="s">
        <v>16</v>
      </c>
      <c r="G3105" s="22" t="s">
        <v>20</v>
      </c>
    </row>
    <row r="3106" ht="15.15" spans="1:7">
      <c r="A3106" s="20">
        <v>3104</v>
      </c>
      <c r="B3106" s="20">
        <v>2529</v>
      </c>
      <c r="C3106" s="21">
        <v>45164</v>
      </c>
      <c r="D3106" s="20">
        <v>3291.84</v>
      </c>
      <c r="E3106" s="22" t="s">
        <v>10</v>
      </c>
      <c r="F3106" s="22" t="s">
        <v>16</v>
      </c>
      <c r="G3106" s="22" t="s">
        <v>17</v>
      </c>
    </row>
    <row r="3107" ht="15.15" spans="1:7">
      <c r="A3107" s="20">
        <v>3105</v>
      </c>
      <c r="B3107" s="20">
        <v>1974</v>
      </c>
      <c r="C3107" s="21">
        <v>45258</v>
      </c>
      <c r="D3107" s="20">
        <v>3291.84</v>
      </c>
      <c r="E3107" s="22" t="s">
        <v>10</v>
      </c>
      <c r="F3107" s="22" t="s">
        <v>13</v>
      </c>
      <c r="G3107" s="22" t="s">
        <v>20</v>
      </c>
    </row>
    <row r="3108" ht="15.15" spans="1:7">
      <c r="A3108" s="20">
        <v>3106</v>
      </c>
      <c r="B3108" s="20">
        <v>5376</v>
      </c>
      <c r="C3108" s="21">
        <v>44997</v>
      </c>
      <c r="D3108" s="20">
        <v>3291.84</v>
      </c>
      <c r="E3108" s="22" t="s">
        <v>10</v>
      </c>
      <c r="F3108" s="22" t="s">
        <v>16</v>
      </c>
      <c r="G3108" s="22" t="s">
        <v>17</v>
      </c>
    </row>
    <row r="3109" ht="15.15" spans="1:7">
      <c r="A3109" s="20">
        <v>3107</v>
      </c>
      <c r="B3109" s="20">
        <v>2679</v>
      </c>
      <c r="C3109" s="21">
        <v>45141</v>
      </c>
      <c r="D3109" s="20">
        <v>3291.84</v>
      </c>
      <c r="E3109" s="22" t="s">
        <v>10</v>
      </c>
      <c r="F3109" s="22" t="s">
        <v>13</v>
      </c>
      <c r="G3109" s="22" t="s">
        <v>12</v>
      </c>
    </row>
    <row r="3110" ht="15.15" spans="1:7">
      <c r="A3110" s="20">
        <v>3108</v>
      </c>
      <c r="B3110" s="20">
        <v>3776</v>
      </c>
      <c r="C3110" s="21">
        <v>45090</v>
      </c>
      <c r="D3110" s="20">
        <v>3291.84</v>
      </c>
      <c r="E3110" s="22" t="s">
        <v>10</v>
      </c>
      <c r="F3110" s="22" t="s">
        <v>14</v>
      </c>
      <c r="G3110" s="22" t="s">
        <v>17</v>
      </c>
    </row>
    <row r="3111" ht="15.15" spans="1:7">
      <c r="A3111" s="20">
        <v>3109</v>
      </c>
      <c r="B3111" s="20">
        <v>8493</v>
      </c>
      <c r="C3111" s="21">
        <v>45035</v>
      </c>
      <c r="D3111" s="20">
        <v>3291.84</v>
      </c>
      <c r="E3111" s="22" t="s">
        <v>10</v>
      </c>
      <c r="F3111" s="22" t="s">
        <v>13</v>
      </c>
      <c r="G3111" s="22" t="s">
        <v>12</v>
      </c>
    </row>
    <row r="3112" ht="15.15" spans="1:7">
      <c r="A3112" s="20">
        <v>3110</v>
      </c>
      <c r="B3112" s="20">
        <v>865</v>
      </c>
      <c r="C3112" s="21">
        <v>45242</v>
      </c>
      <c r="D3112" s="20">
        <v>3291.84</v>
      </c>
      <c r="E3112" s="22" t="s">
        <v>10</v>
      </c>
      <c r="F3112" s="22" t="s">
        <v>13</v>
      </c>
      <c r="G3112" s="22" t="s">
        <v>15</v>
      </c>
    </row>
    <row r="3113" ht="15.15" spans="1:7">
      <c r="A3113" s="20">
        <v>3111</v>
      </c>
      <c r="B3113" s="20">
        <v>3960</v>
      </c>
      <c r="C3113" s="21">
        <v>45074</v>
      </c>
      <c r="D3113" s="20">
        <v>3291.84</v>
      </c>
      <c r="E3113" s="22" t="s">
        <v>10</v>
      </c>
      <c r="F3113" s="22" t="s">
        <v>11</v>
      </c>
      <c r="G3113" s="22" t="s">
        <v>17</v>
      </c>
    </row>
    <row r="3114" ht="15.15" spans="1:7">
      <c r="A3114" s="20">
        <v>3112</v>
      </c>
      <c r="B3114" s="20">
        <v>4220</v>
      </c>
      <c r="C3114" s="21">
        <v>45011</v>
      </c>
      <c r="D3114" s="20">
        <v>3291.84</v>
      </c>
      <c r="E3114" s="22" t="s">
        <v>10</v>
      </c>
      <c r="F3114" s="22" t="s">
        <v>13</v>
      </c>
      <c r="G3114" s="22" t="s">
        <v>12</v>
      </c>
    </row>
    <row r="3115" ht="15.15" spans="1:7">
      <c r="A3115" s="20">
        <v>3113</v>
      </c>
      <c r="B3115" s="20">
        <v>881</v>
      </c>
      <c r="C3115" s="21">
        <v>45187</v>
      </c>
      <c r="D3115" s="20">
        <v>3291.84</v>
      </c>
      <c r="E3115" s="22" t="s">
        <v>10</v>
      </c>
      <c r="F3115" s="22" t="s">
        <v>18</v>
      </c>
      <c r="G3115" s="22" t="s">
        <v>15</v>
      </c>
    </row>
    <row r="3116" ht="15.15" spans="1:7">
      <c r="A3116" s="20">
        <v>3114</v>
      </c>
      <c r="B3116" s="20">
        <v>3515</v>
      </c>
      <c r="C3116" s="21">
        <v>45185</v>
      </c>
      <c r="D3116" s="20">
        <v>3291.84</v>
      </c>
      <c r="E3116" s="22" t="s">
        <v>10</v>
      </c>
      <c r="F3116" s="22" t="s">
        <v>13</v>
      </c>
      <c r="G3116" s="22" t="s">
        <v>12</v>
      </c>
    </row>
    <row r="3117" ht="15.15" spans="1:7">
      <c r="A3117" s="20">
        <v>3115</v>
      </c>
      <c r="B3117" s="20">
        <v>7495</v>
      </c>
      <c r="C3117" s="21">
        <v>45230</v>
      </c>
      <c r="D3117" s="20">
        <v>3291.84</v>
      </c>
      <c r="E3117" s="22" t="s">
        <v>10</v>
      </c>
      <c r="F3117" s="22" t="s">
        <v>18</v>
      </c>
      <c r="G3117" s="22" t="s">
        <v>17</v>
      </c>
    </row>
    <row r="3118" ht="15.15" spans="1:7">
      <c r="A3118" s="20">
        <v>3116</v>
      </c>
      <c r="B3118" s="20">
        <v>2163</v>
      </c>
      <c r="C3118" s="21">
        <v>45010</v>
      </c>
      <c r="D3118" s="20">
        <v>3291.84</v>
      </c>
      <c r="E3118" s="22" t="s">
        <v>10</v>
      </c>
      <c r="F3118" s="22" t="s">
        <v>11</v>
      </c>
      <c r="G3118" s="22" t="s">
        <v>17</v>
      </c>
    </row>
    <row r="3119" ht="15.15" spans="1:7">
      <c r="A3119" s="20">
        <v>3117</v>
      </c>
      <c r="B3119" s="20">
        <v>9326</v>
      </c>
      <c r="C3119" s="21">
        <v>45278</v>
      </c>
      <c r="D3119" s="20">
        <v>3291.84</v>
      </c>
      <c r="E3119" s="22" t="s">
        <v>21</v>
      </c>
      <c r="F3119" s="22" t="s">
        <v>14</v>
      </c>
      <c r="G3119" s="22" t="s">
        <v>12</v>
      </c>
    </row>
    <row r="3120" ht="15.15" spans="1:7">
      <c r="A3120" s="20">
        <v>3118</v>
      </c>
      <c r="B3120" s="20">
        <v>9001</v>
      </c>
      <c r="C3120" s="21">
        <v>45020</v>
      </c>
      <c r="D3120" s="20">
        <v>3291.84</v>
      </c>
      <c r="E3120" s="22" t="s">
        <v>21</v>
      </c>
      <c r="F3120" s="22" t="s">
        <v>11</v>
      </c>
      <c r="G3120" s="22" t="s">
        <v>15</v>
      </c>
    </row>
    <row r="3121" ht="15.15" spans="1:7">
      <c r="A3121" s="20">
        <v>3119</v>
      </c>
      <c r="B3121" s="20">
        <v>8262</v>
      </c>
      <c r="C3121" s="21">
        <v>45232</v>
      </c>
      <c r="D3121" s="20">
        <v>3291.84</v>
      </c>
      <c r="E3121" s="22" t="s">
        <v>10</v>
      </c>
      <c r="F3121" s="22" t="s">
        <v>16</v>
      </c>
      <c r="G3121" s="22" t="s">
        <v>17</v>
      </c>
    </row>
    <row r="3122" ht="15.15" spans="1:7">
      <c r="A3122" s="20">
        <v>3120</v>
      </c>
      <c r="B3122" s="20">
        <v>1750</v>
      </c>
      <c r="C3122" s="21">
        <v>45141</v>
      </c>
      <c r="D3122" s="20">
        <v>3291.84</v>
      </c>
      <c r="E3122" s="22" t="s">
        <v>10</v>
      </c>
      <c r="F3122" s="22" t="s">
        <v>13</v>
      </c>
      <c r="G3122" s="22" t="s">
        <v>12</v>
      </c>
    </row>
    <row r="3123" ht="15.15" spans="1:7">
      <c r="A3123" s="20">
        <v>3121</v>
      </c>
      <c r="B3123" s="20">
        <v>8211</v>
      </c>
      <c r="C3123" s="21">
        <v>45004</v>
      </c>
      <c r="D3123" s="20">
        <v>3291.84</v>
      </c>
      <c r="E3123" s="22" t="s">
        <v>10</v>
      </c>
      <c r="F3123" s="22" t="s">
        <v>14</v>
      </c>
      <c r="G3123" s="22" t="s">
        <v>17</v>
      </c>
    </row>
    <row r="3124" ht="15.15" spans="1:7">
      <c r="A3124" s="20">
        <v>3122</v>
      </c>
      <c r="B3124" s="20">
        <v>3759</v>
      </c>
      <c r="C3124" s="21">
        <v>45135</v>
      </c>
      <c r="D3124" s="20">
        <v>3291.84</v>
      </c>
      <c r="E3124" s="22" t="s">
        <v>10</v>
      </c>
      <c r="F3124" s="22" t="s">
        <v>11</v>
      </c>
      <c r="G3124" s="22" t="s">
        <v>20</v>
      </c>
    </row>
    <row r="3125" ht="15.15" spans="1:7">
      <c r="A3125" s="20">
        <v>3123</v>
      </c>
      <c r="B3125" s="20">
        <v>1247</v>
      </c>
      <c r="C3125" s="21">
        <v>45043</v>
      </c>
      <c r="D3125" s="20">
        <v>3291.84</v>
      </c>
      <c r="E3125" s="22" t="s">
        <v>10</v>
      </c>
      <c r="F3125" s="22" t="s">
        <v>16</v>
      </c>
      <c r="G3125" s="22" t="s">
        <v>15</v>
      </c>
    </row>
    <row r="3126" ht="15.15" spans="1:7">
      <c r="A3126" s="20">
        <v>3124</v>
      </c>
      <c r="B3126" s="20">
        <v>2943</v>
      </c>
      <c r="C3126" s="21">
        <v>44955</v>
      </c>
      <c r="D3126" s="20">
        <v>3291.84</v>
      </c>
      <c r="E3126" s="22" t="s">
        <v>10</v>
      </c>
      <c r="F3126" s="22" t="s">
        <v>11</v>
      </c>
      <c r="G3126" s="22" t="s">
        <v>20</v>
      </c>
    </row>
    <row r="3127" ht="15.15" spans="1:7">
      <c r="A3127" s="20">
        <v>3125</v>
      </c>
      <c r="B3127" s="20">
        <v>3851</v>
      </c>
      <c r="C3127" s="21">
        <v>44957</v>
      </c>
      <c r="D3127" s="20">
        <v>3291.84</v>
      </c>
      <c r="E3127" s="22" t="s">
        <v>10</v>
      </c>
      <c r="F3127" s="22" t="s">
        <v>18</v>
      </c>
      <c r="G3127" s="22" t="s">
        <v>17</v>
      </c>
    </row>
    <row r="3128" ht="15.15" spans="1:7">
      <c r="A3128" s="20">
        <v>3126</v>
      </c>
      <c r="B3128" s="20">
        <v>9164</v>
      </c>
      <c r="C3128" s="21">
        <v>45063</v>
      </c>
      <c r="D3128" s="20">
        <v>3291.84</v>
      </c>
      <c r="E3128" s="22" t="s">
        <v>10</v>
      </c>
      <c r="F3128" s="22" t="s">
        <v>18</v>
      </c>
      <c r="G3128" s="22" t="s">
        <v>17</v>
      </c>
    </row>
    <row r="3129" ht="15.15" spans="1:7">
      <c r="A3129" s="20">
        <v>3127</v>
      </c>
      <c r="B3129" s="20">
        <v>6691</v>
      </c>
      <c r="C3129" s="21">
        <v>45032</v>
      </c>
      <c r="D3129" s="20">
        <v>3291.84</v>
      </c>
      <c r="E3129" s="22" t="s">
        <v>10</v>
      </c>
      <c r="F3129" s="22" t="s">
        <v>16</v>
      </c>
      <c r="G3129" s="22" t="s">
        <v>12</v>
      </c>
    </row>
    <row r="3130" ht="15.15" spans="1:7">
      <c r="A3130" s="20">
        <v>3128</v>
      </c>
      <c r="B3130" s="20">
        <v>6086</v>
      </c>
      <c r="C3130" s="21">
        <v>44982</v>
      </c>
      <c r="D3130" s="20">
        <v>3291.84</v>
      </c>
      <c r="E3130" s="22" t="s">
        <v>10</v>
      </c>
      <c r="F3130" s="22" t="s">
        <v>13</v>
      </c>
      <c r="G3130" s="22" t="s">
        <v>17</v>
      </c>
    </row>
    <row r="3131" ht="15.15" spans="1:7">
      <c r="A3131" s="20">
        <v>3129</v>
      </c>
      <c r="B3131" s="20">
        <v>9946</v>
      </c>
      <c r="C3131" s="21">
        <v>45287</v>
      </c>
      <c r="D3131" s="20">
        <v>3291.84</v>
      </c>
      <c r="E3131" s="22" t="s">
        <v>10</v>
      </c>
      <c r="F3131" s="22" t="s">
        <v>18</v>
      </c>
      <c r="G3131" s="22" t="s">
        <v>20</v>
      </c>
    </row>
    <row r="3132" ht="15.15" spans="1:7">
      <c r="A3132" s="20">
        <v>3130</v>
      </c>
      <c r="B3132" s="20">
        <v>4891</v>
      </c>
      <c r="C3132" s="21">
        <v>45259</v>
      </c>
      <c r="D3132" s="20">
        <v>3291.84</v>
      </c>
      <c r="E3132" s="22" t="s">
        <v>10</v>
      </c>
      <c r="F3132" s="22" t="s">
        <v>13</v>
      </c>
      <c r="G3132" s="22" t="s">
        <v>20</v>
      </c>
    </row>
    <row r="3133" ht="15.15" spans="1:7">
      <c r="A3133" s="20">
        <v>3131</v>
      </c>
      <c r="B3133" s="20">
        <v>8345</v>
      </c>
      <c r="C3133" s="21">
        <v>45214</v>
      </c>
      <c r="D3133" s="20">
        <v>3291.84</v>
      </c>
      <c r="E3133" s="22" t="s">
        <v>10</v>
      </c>
      <c r="F3133" s="22" t="s">
        <v>13</v>
      </c>
      <c r="G3133" s="22" t="s">
        <v>15</v>
      </c>
    </row>
    <row r="3134" ht="15.15" spans="1:7">
      <c r="A3134" s="20">
        <v>3132</v>
      </c>
      <c r="B3134" s="20">
        <v>4591</v>
      </c>
      <c r="C3134" s="21">
        <v>45069</v>
      </c>
      <c r="D3134" s="20">
        <v>3291.84</v>
      </c>
      <c r="E3134" s="22" t="s">
        <v>10</v>
      </c>
      <c r="F3134" s="22" t="s">
        <v>18</v>
      </c>
      <c r="G3134" s="22" t="s">
        <v>20</v>
      </c>
    </row>
    <row r="3135" ht="15.15" spans="1:7">
      <c r="A3135" s="20">
        <v>3133</v>
      </c>
      <c r="B3135" s="20">
        <v>5228</v>
      </c>
      <c r="C3135" s="21">
        <v>45118</v>
      </c>
      <c r="D3135" s="20">
        <v>3291.84</v>
      </c>
      <c r="E3135" s="22" t="s">
        <v>10</v>
      </c>
      <c r="F3135" s="22" t="s">
        <v>16</v>
      </c>
      <c r="G3135" s="22" t="s">
        <v>20</v>
      </c>
    </row>
    <row r="3136" ht="15.15" spans="1:7">
      <c r="A3136" s="20">
        <v>3134</v>
      </c>
      <c r="B3136" s="20">
        <v>7253</v>
      </c>
      <c r="C3136" s="21">
        <v>45174</v>
      </c>
      <c r="D3136" s="20">
        <v>3291.84</v>
      </c>
      <c r="E3136" s="22" t="s">
        <v>10</v>
      </c>
      <c r="F3136" s="22" t="s">
        <v>13</v>
      </c>
      <c r="G3136" s="22" t="s">
        <v>17</v>
      </c>
    </row>
    <row r="3137" ht="15.15" spans="1:7">
      <c r="A3137" s="20">
        <v>3135</v>
      </c>
      <c r="B3137" s="20">
        <v>8607</v>
      </c>
      <c r="C3137" s="21">
        <v>45077</v>
      </c>
      <c r="D3137" s="20">
        <v>3291.84</v>
      </c>
      <c r="E3137" s="22" t="s">
        <v>10</v>
      </c>
      <c r="F3137" s="22" t="s">
        <v>18</v>
      </c>
      <c r="G3137" s="22" t="s">
        <v>15</v>
      </c>
    </row>
    <row r="3138" ht="15.15" spans="1:7">
      <c r="A3138" s="20">
        <v>3136</v>
      </c>
      <c r="B3138" s="20">
        <v>4249</v>
      </c>
      <c r="C3138" s="21">
        <v>44975</v>
      </c>
      <c r="D3138" s="20">
        <v>3291.84</v>
      </c>
      <c r="E3138" s="22" t="s">
        <v>10</v>
      </c>
      <c r="F3138" s="22" t="s">
        <v>16</v>
      </c>
      <c r="G3138" s="22" t="s">
        <v>15</v>
      </c>
    </row>
    <row r="3139" ht="15.15" spans="1:7">
      <c r="A3139" s="20">
        <v>3137</v>
      </c>
      <c r="B3139" s="20">
        <v>4901</v>
      </c>
      <c r="C3139" s="21">
        <v>45196</v>
      </c>
      <c r="D3139" s="20">
        <v>3291.84</v>
      </c>
      <c r="E3139" s="22" t="s">
        <v>10</v>
      </c>
      <c r="F3139" s="22" t="s">
        <v>18</v>
      </c>
      <c r="G3139" s="22" t="s">
        <v>20</v>
      </c>
    </row>
    <row r="3140" ht="15.15" spans="1:7">
      <c r="A3140" s="20">
        <v>3138</v>
      </c>
      <c r="B3140" s="20">
        <v>9073</v>
      </c>
      <c r="C3140" s="21">
        <v>45061</v>
      </c>
      <c r="D3140" s="20">
        <v>3291.84</v>
      </c>
      <c r="E3140" s="22" t="s">
        <v>10</v>
      </c>
      <c r="F3140" s="22" t="s">
        <v>14</v>
      </c>
      <c r="G3140" s="22" t="s">
        <v>15</v>
      </c>
    </row>
    <row r="3141" ht="15.15" spans="1:7">
      <c r="A3141" s="20">
        <v>3139</v>
      </c>
      <c r="B3141" s="20">
        <v>6489</v>
      </c>
      <c r="C3141" s="21">
        <v>45190</v>
      </c>
      <c r="D3141" s="20">
        <v>3291.84</v>
      </c>
      <c r="E3141" s="22" t="s">
        <v>10</v>
      </c>
      <c r="F3141" s="22" t="s">
        <v>18</v>
      </c>
      <c r="G3141" s="22" t="s">
        <v>20</v>
      </c>
    </row>
    <row r="3142" ht="15.15" spans="1:7">
      <c r="A3142" s="20">
        <v>3140</v>
      </c>
      <c r="B3142" s="20">
        <v>822</v>
      </c>
      <c r="C3142" s="21">
        <v>45240</v>
      </c>
      <c r="D3142" s="20">
        <v>3291.84</v>
      </c>
      <c r="E3142" s="22" t="s">
        <v>22</v>
      </c>
      <c r="F3142" s="22" t="s">
        <v>11</v>
      </c>
      <c r="G3142" s="22" t="s">
        <v>17</v>
      </c>
    </row>
    <row r="3143" ht="15.15" spans="1:7">
      <c r="A3143" s="20">
        <v>3141</v>
      </c>
      <c r="B3143" s="20">
        <v>9342</v>
      </c>
      <c r="C3143" s="21">
        <v>44935</v>
      </c>
      <c r="D3143" s="20">
        <v>3291.84</v>
      </c>
      <c r="E3143" s="22" t="s">
        <v>10</v>
      </c>
      <c r="F3143" s="22" t="s">
        <v>18</v>
      </c>
      <c r="G3143" s="22" t="s">
        <v>17</v>
      </c>
    </row>
    <row r="3144" ht="15.15" spans="1:7">
      <c r="A3144" s="20">
        <v>3142</v>
      </c>
      <c r="B3144" s="20">
        <v>9349</v>
      </c>
      <c r="C3144" s="21">
        <v>44989</v>
      </c>
      <c r="D3144" s="20">
        <v>3291.84</v>
      </c>
      <c r="E3144" s="22" t="s">
        <v>10</v>
      </c>
      <c r="F3144" s="22" t="s">
        <v>16</v>
      </c>
      <c r="G3144" s="22" t="s">
        <v>20</v>
      </c>
    </row>
    <row r="3145" ht="15.15" spans="1:7">
      <c r="A3145" s="20">
        <v>3143</v>
      </c>
      <c r="B3145" s="20">
        <v>1265</v>
      </c>
      <c r="C3145" s="21">
        <v>45059</v>
      </c>
      <c r="D3145" s="20">
        <v>3291.84</v>
      </c>
      <c r="E3145" s="22" t="s">
        <v>10</v>
      </c>
      <c r="F3145" s="22" t="s">
        <v>13</v>
      </c>
      <c r="G3145" s="22" t="s">
        <v>12</v>
      </c>
    </row>
    <row r="3146" ht="15.15" spans="1:7">
      <c r="A3146" s="20">
        <v>3144</v>
      </c>
      <c r="B3146" s="20">
        <v>1787</v>
      </c>
      <c r="C3146" s="21">
        <v>45285</v>
      </c>
      <c r="D3146" s="20">
        <v>3291.84</v>
      </c>
      <c r="E3146" s="22" t="s">
        <v>10</v>
      </c>
      <c r="F3146" s="22" t="s">
        <v>13</v>
      </c>
      <c r="G3146" s="22" t="s">
        <v>12</v>
      </c>
    </row>
    <row r="3147" ht="15.15" spans="1:7">
      <c r="A3147" s="20">
        <v>3145</v>
      </c>
      <c r="B3147" s="20">
        <v>5205</v>
      </c>
      <c r="C3147" s="21">
        <v>45029</v>
      </c>
      <c r="D3147" s="20">
        <v>3291.84</v>
      </c>
      <c r="E3147" s="22" t="s">
        <v>10</v>
      </c>
      <c r="F3147" s="22" t="s">
        <v>13</v>
      </c>
      <c r="G3147" s="22" t="s">
        <v>15</v>
      </c>
    </row>
    <row r="3148" ht="15.15" spans="1:7">
      <c r="A3148" s="20">
        <v>3146</v>
      </c>
      <c r="B3148" s="20">
        <v>5138</v>
      </c>
      <c r="C3148" s="21">
        <v>45108</v>
      </c>
      <c r="D3148" s="20">
        <v>3291.84</v>
      </c>
      <c r="E3148" s="22" t="s">
        <v>10</v>
      </c>
      <c r="F3148" s="22" t="s">
        <v>11</v>
      </c>
      <c r="G3148" s="22" t="s">
        <v>15</v>
      </c>
    </row>
    <row r="3149" ht="15.15" spans="1:7">
      <c r="A3149" s="20">
        <v>3147</v>
      </c>
      <c r="B3149" s="20">
        <v>9089</v>
      </c>
      <c r="C3149" s="21">
        <v>45241</v>
      </c>
      <c r="D3149" s="20">
        <v>3291.84</v>
      </c>
      <c r="E3149" s="22" t="s">
        <v>10</v>
      </c>
      <c r="F3149" s="22" t="s">
        <v>16</v>
      </c>
      <c r="G3149" s="22" t="s">
        <v>17</v>
      </c>
    </row>
    <row r="3150" ht="15.15" spans="1:7">
      <c r="A3150" s="20">
        <v>3148</v>
      </c>
      <c r="B3150" s="20">
        <v>8520</v>
      </c>
      <c r="C3150" s="21">
        <v>45258</v>
      </c>
      <c r="D3150" s="20">
        <v>3291.84</v>
      </c>
      <c r="E3150" s="22" t="s">
        <v>10</v>
      </c>
      <c r="F3150" s="22" t="s">
        <v>18</v>
      </c>
      <c r="G3150" s="22" t="s">
        <v>12</v>
      </c>
    </row>
    <row r="3151" ht="15.15" spans="1:7">
      <c r="A3151" s="20">
        <v>3149</v>
      </c>
      <c r="B3151" s="20">
        <v>9109</v>
      </c>
      <c r="C3151" s="21">
        <v>45112</v>
      </c>
      <c r="D3151" s="20">
        <v>3291.84</v>
      </c>
      <c r="E3151" s="22" t="s">
        <v>10</v>
      </c>
      <c r="F3151" s="22" t="s">
        <v>16</v>
      </c>
      <c r="G3151" s="22" t="s">
        <v>12</v>
      </c>
    </row>
    <row r="3152" ht="15.15" spans="1:7">
      <c r="A3152" s="20">
        <v>3150</v>
      </c>
      <c r="B3152" s="20">
        <v>848</v>
      </c>
      <c r="C3152" s="21">
        <v>45240</v>
      </c>
      <c r="D3152" s="20">
        <v>3291.84</v>
      </c>
      <c r="E3152" s="22" t="s">
        <v>10</v>
      </c>
      <c r="F3152" s="22" t="s">
        <v>16</v>
      </c>
      <c r="G3152" s="22" t="s">
        <v>15</v>
      </c>
    </row>
    <row r="3153" ht="15.15" spans="1:7">
      <c r="A3153" s="20">
        <v>3151</v>
      </c>
      <c r="B3153" s="20">
        <v>9548</v>
      </c>
      <c r="C3153" s="21">
        <v>44959</v>
      </c>
      <c r="D3153" s="20">
        <v>3291.84</v>
      </c>
      <c r="E3153" s="22" t="s">
        <v>10</v>
      </c>
      <c r="F3153" s="22" t="s">
        <v>11</v>
      </c>
      <c r="G3153" s="22" t="s">
        <v>12</v>
      </c>
    </row>
    <row r="3154" ht="15.15" spans="1:7">
      <c r="A3154" s="20">
        <v>3152</v>
      </c>
      <c r="B3154" s="20">
        <v>1504</v>
      </c>
      <c r="C3154" s="21">
        <v>45041</v>
      </c>
      <c r="D3154" s="20">
        <v>3291.84</v>
      </c>
      <c r="E3154" s="22" t="s">
        <v>10</v>
      </c>
      <c r="F3154" s="22" t="s">
        <v>14</v>
      </c>
      <c r="G3154" s="22" t="s">
        <v>15</v>
      </c>
    </row>
    <row r="3155" ht="15.15" spans="1:7">
      <c r="A3155" s="20">
        <v>3153</v>
      </c>
      <c r="B3155" s="20">
        <v>2671</v>
      </c>
      <c r="C3155" s="21">
        <v>45238</v>
      </c>
      <c r="D3155" s="20">
        <v>3291.84</v>
      </c>
      <c r="E3155" s="22" t="s">
        <v>10</v>
      </c>
      <c r="F3155" s="22" t="s">
        <v>11</v>
      </c>
      <c r="G3155" s="22" t="s">
        <v>17</v>
      </c>
    </row>
    <row r="3156" ht="15.15" spans="1:7">
      <c r="A3156" s="20">
        <v>3154</v>
      </c>
      <c r="B3156" s="20">
        <v>6754</v>
      </c>
      <c r="C3156" s="21">
        <v>44939</v>
      </c>
      <c r="D3156" s="20">
        <v>3291.84</v>
      </c>
      <c r="E3156" s="22" t="s">
        <v>10</v>
      </c>
      <c r="F3156" s="22" t="s">
        <v>18</v>
      </c>
      <c r="G3156" s="22" t="s">
        <v>20</v>
      </c>
    </row>
    <row r="3157" ht="15.15" spans="1:7">
      <c r="A3157" s="20">
        <v>3155</v>
      </c>
      <c r="B3157" s="20">
        <v>741</v>
      </c>
      <c r="C3157" s="21">
        <v>45157</v>
      </c>
      <c r="D3157" s="20">
        <v>3291.84</v>
      </c>
      <c r="E3157" s="22" t="s">
        <v>10</v>
      </c>
      <c r="F3157" s="22" t="s">
        <v>13</v>
      </c>
      <c r="G3157" s="22" t="s">
        <v>12</v>
      </c>
    </row>
    <row r="3158" ht="15.15" spans="1:7">
      <c r="A3158" s="20">
        <v>3156</v>
      </c>
      <c r="B3158" s="20">
        <v>1744</v>
      </c>
      <c r="C3158" s="21">
        <v>45125</v>
      </c>
      <c r="D3158" s="20">
        <v>3291.84</v>
      </c>
      <c r="E3158" s="22" t="s">
        <v>10</v>
      </c>
      <c r="F3158" s="22" t="s">
        <v>16</v>
      </c>
      <c r="G3158" s="22" t="s">
        <v>12</v>
      </c>
    </row>
    <row r="3159" ht="15.15" spans="1:7">
      <c r="A3159" s="20">
        <v>3157</v>
      </c>
      <c r="B3159" s="20">
        <v>4128</v>
      </c>
      <c r="C3159" s="21">
        <v>45248</v>
      </c>
      <c r="D3159" s="20">
        <v>3291.84</v>
      </c>
      <c r="E3159" s="22" t="s">
        <v>10</v>
      </c>
      <c r="F3159" s="22" t="s">
        <v>18</v>
      </c>
      <c r="G3159" s="22" t="s">
        <v>17</v>
      </c>
    </row>
    <row r="3160" ht="15.15" spans="1:7">
      <c r="A3160" s="20">
        <v>3158</v>
      </c>
      <c r="B3160" s="20">
        <v>3553</v>
      </c>
      <c r="C3160" s="21">
        <v>45093</v>
      </c>
      <c r="D3160" s="20">
        <v>3291.84</v>
      </c>
      <c r="E3160" s="22" t="s">
        <v>10</v>
      </c>
      <c r="F3160" s="22" t="s">
        <v>11</v>
      </c>
      <c r="G3160" s="22" t="s">
        <v>12</v>
      </c>
    </row>
    <row r="3161" ht="15.15" spans="1:7">
      <c r="A3161" s="20">
        <v>3159</v>
      </c>
      <c r="B3161" s="20">
        <v>9871</v>
      </c>
      <c r="C3161" s="21">
        <v>45210</v>
      </c>
      <c r="D3161" s="20">
        <v>3291.84</v>
      </c>
      <c r="E3161" s="22" t="s">
        <v>21</v>
      </c>
      <c r="F3161" s="22" t="s">
        <v>16</v>
      </c>
      <c r="G3161" s="22" t="s">
        <v>20</v>
      </c>
    </row>
    <row r="3162" ht="15.15" spans="1:7">
      <c r="A3162" s="20">
        <v>3160</v>
      </c>
      <c r="B3162" s="20">
        <v>1374</v>
      </c>
      <c r="C3162" s="21">
        <v>45178</v>
      </c>
      <c r="D3162" s="20">
        <v>3291.84</v>
      </c>
      <c r="E3162" s="22" t="s">
        <v>10</v>
      </c>
      <c r="F3162" s="22" t="s">
        <v>16</v>
      </c>
      <c r="G3162" s="22" t="s">
        <v>12</v>
      </c>
    </row>
    <row r="3163" ht="15.15" spans="1:7">
      <c r="A3163" s="20">
        <v>3161</v>
      </c>
      <c r="B3163" s="20">
        <v>8781</v>
      </c>
      <c r="C3163" s="21">
        <v>45167</v>
      </c>
      <c r="D3163" s="20">
        <v>3291.84</v>
      </c>
      <c r="E3163" s="22" t="s">
        <v>10</v>
      </c>
      <c r="F3163" s="22" t="s">
        <v>13</v>
      </c>
      <c r="G3163" s="22" t="s">
        <v>12</v>
      </c>
    </row>
    <row r="3164" ht="15.15" spans="1:7">
      <c r="A3164" s="20">
        <v>3162</v>
      </c>
      <c r="B3164" s="20">
        <v>3564</v>
      </c>
      <c r="C3164" s="21">
        <v>45229</v>
      </c>
      <c r="D3164" s="20">
        <v>3291.84</v>
      </c>
      <c r="E3164" s="22" t="s">
        <v>10</v>
      </c>
      <c r="F3164" s="22" t="s">
        <v>16</v>
      </c>
      <c r="G3164" s="22" t="s">
        <v>15</v>
      </c>
    </row>
    <row r="3165" ht="15.15" spans="1:7">
      <c r="A3165" s="20">
        <v>3163</v>
      </c>
      <c r="B3165" s="20">
        <v>4319</v>
      </c>
      <c r="C3165" s="21">
        <v>44984</v>
      </c>
      <c r="D3165" s="20">
        <v>3291.84</v>
      </c>
      <c r="E3165" s="22" t="s">
        <v>10</v>
      </c>
      <c r="F3165" s="22" t="s">
        <v>14</v>
      </c>
      <c r="G3165" s="22" t="s">
        <v>15</v>
      </c>
    </row>
    <row r="3166" ht="15.15" spans="1:7">
      <c r="A3166" s="20">
        <v>3164</v>
      </c>
      <c r="B3166" s="20">
        <v>4292</v>
      </c>
      <c r="C3166" s="21">
        <v>45217</v>
      </c>
      <c r="D3166" s="20">
        <v>3291.84</v>
      </c>
      <c r="E3166" s="22" t="s">
        <v>10</v>
      </c>
      <c r="F3166" s="22" t="s">
        <v>18</v>
      </c>
      <c r="G3166" s="22" t="s">
        <v>17</v>
      </c>
    </row>
    <row r="3167" ht="15.15" spans="1:7">
      <c r="A3167" s="20">
        <v>3165</v>
      </c>
      <c r="B3167" s="20">
        <v>1099</v>
      </c>
      <c r="C3167" s="21">
        <v>45269</v>
      </c>
      <c r="D3167" s="20">
        <v>3291.84</v>
      </c>
      <c r="E3167" s="22" t="s">
        <v>10</v>
      </c>
      <c r="F3167" s="22" t="s">
        <v>13</v>
      </c>
      <c r="G3167" s="22" t="s">
        <v>17</v>
      </c>
    </row>
    <row r="3168" ht="15.15" spans="1:7">
      <c r="A3168" s="20">
        <v>3166</v>
      </c>
      <c r="B3168" s="20">
        <v>3663</v>
      </c>
      <c r="C3168" s="21">
        <v>45023</v>
      </c>
      <c r="D3168" s="20">
        <v>3291.84</v>
      </c>
      <c r="E3168" s="22" t="s">
        <v>10</v>
      </c>
      <c r="F3168" s="22" t="s">
        <v>18</v>
      </c>
      <c r="G3168" s="22" t="s">
        <v>12</v>
      </c>
    </row>
    <row r="3169" ht="15.15" spans="1:7">
      <c r="A3169" s="20">
        <v>3167</v>
      </c>
      <c r="B3169" s="20">
        <v>5330</v>
      </c>
      <c r="C3169" s="21">
        <v>45078</v>
      </c>
      <c r="D3169" s="20">
        <v>3291.84</v>
      </c>
      <c r="E3169" s="22" t="s">
        <v>10</v>
      </c>
      <c r="F3169" s="22" t="s">
        <v>18</v>
      </c>
      <c r="G3169" s="22" t="s">
        <v>15</v>
      </c>
    </row>
    <row r="3170" ht="15.15" spans="1:7">
      <c r="A3170" s="20">
        <v>3168</v>
      </c>
      <c r="B3170" s="20">
        <v>6448</v>
      </c>
      <c r="C3170" s="21">
        <v>45159</v>
      </c>
      <c r="D3170" s="20">
        <v>3291.84</v>
      </c>
      <c r="E3170" s="22" t="s">
        <v>22</v>
      </c>
      <c r="F3170" s="22" t="s">
        <v>16</v>
      </c>
      <c r="G3170" s="22" t="s">
        <v>15</v>
      </c>
    </row>
    <row r="3171" ht="15.15" spans="1:7">
      <c r="A3171" s="20">
        <v>3169</v>
      </c>
      <c r="B3171" s="20">
        <v>6249</v>
      </c>
      <c r="C3171" s="21">
        <v>45070</v>
      </c>
      <c r="D3171" s="20">
        <v>3291.84</v>
      </c>
      <c r="E3171" s="22" t="s">
        <v>10</v>
      </c>
      <c r="F3171" s="22" t="s">
        <v>16</v>
      </c>
      <c r="G3171" s="22" t="s">
        <v>17</v>
      </c>
    </row>
    <row r="3172" ht="15.15" spans="1:7">
      <c r="A3172" s="20">
        <v>3170</v>
      </c>
      <c r="B3172" s="20">
        <v>5637</v>
      </c>
      <c r="C3172" s="21">
        <v>45001</v>
      </c>
      <c r="D3172" s="20">
        <v>3291.84</v>
      </c>
      <c r="E3172" s="22" t="s">
        <v>10</v>
      </c>
      <c r="F3172" s="22" t="s">
        <v>14</v>
      </c>
      <c r="G3172" s="22" t="s">
        <v>20</v>
      </c>
    </row>
    <row r="3173" ht="15.15" spans="1:7">
      <c r="A3173" s="20">
        <v>3171</v>
      </c>
      <c r="B3173" s="20">
        <v>1481</v>
      </c>
      <c r="C3173" s="21">
        <v>45117</v>
      </c>
      <c r="D3173" s="20">
        <v>3291.84</v>
      </c>
      <c r="E3173" s="22" t="s">
        <v>10</v>
      </c>
      <c r="F3173" s="22" t="s">
        <v>14</v>
      </c>
      <c r="G3173" s="22" t="s">
        <v>20</v>
      </c>
    </row>
    <row r="3174" ht="15.15" spans="1:7">
      <c r="A3174" s="20">
        <v>3172</v>
      </c>
      <c r="B3174" s="20">
        <v>7374</v>
      </c>
      <c r="C3174" s="21">
        <v>45150</v>
      </c>
      <c r="D3174" s="20">
        <v>3291.84</v>
      </c>
      <c r="E3174" s="22" t="s">
        <v>10</v>
      </c>
      <c r="F3174" s="22" t="s">
        <v>16</v>
      </c>
      <c r="G3174" s="22" t="s">
        <v>12</v>
      </c>
    </row>
    <row r="3175" ht="15.15" spans="1:7">
      <c r="A3175" s="20">
        <v>3173</v>
      </c>
      <c r="B3175" s="20">
        <v>8288</v>
      </c>
      <c r="C3175" s="21">
        <v>45052</v>
      </c>
      <c r="D3175" s="20">
        <v>3291.84</v>
      </c>
      <c r="E3175" s="22" t="s">
        <v>10</v>
      </c>
      <c r="F3175" s="22" t="s">
        <v>19</v>
      </c>
      <c r="G3175" s="22" t="s">
        <v>20</v>
      </c>
    </row>
    <row r="3176" ht="15.15" spans="1:7">
      <c r="A3176" s="20">
        <v>3174</v>
      </c>
      <c r="B3176" s="20">
        <v>5451</v>
      </c>
      <c r="C3176" s="21">
        <v>45279</v>
      </c>
      <c r="D3176" s="20">
        <v>3291.84</v>
      </c>
      <c r="E3176" s="22" t="s">
        <v>10</v>
      </c>
      <c r="F3176" s="22" t="s">
        <v>14</v>
      </c>
      <c r="G3176" s="22" t="s">
        <v>17</v>
      </c>
    </row>
    <row r="3177" ht="15.15" spans="1:7">
      <c r="A3177" s="20">
        <v>3175</v>
      </c>
      <c r="B3177" s="20">
        <v>7359</v>
      </c>
      <c r="C3177" s="21">
        <v>45280</v>
      </c>
      <c r="D3177" s="20">
        <v>3291.84</v>
      </c>
      <c r="E3177" s="22" t="s">
        <v>10</v>
      </c>
      <c r="F3177" s="22" t="s">
        <v>11</v>
      </c>
      <c r="G3177" s="22" t="s">
        <v>12</v>
      </c>
    </row>
    <row r="3178" ht="15.15" spans="1:7">
      <c r="A3178" s="20">
        <v>3176</v>
      </c>
      <c r="B3178" s="20">
        <v>6588</v>
      </c>
      <c r="C3178" s="21">
        <v>45145</v>
      </c>
      <c r="D3178" s="20">
        <v>3291.84</v>
      </c>
      <c r="E3178" s="22" t="s">
        <v>10</v>
      </c>
      <c r="F3178" s="22" t="s">
        <v>18</v>
      </c>
      <c r="G3178" s="22" t="s">
        <v>12</v>
      </c>
    </row>
    <row r="3179" ht="15.15" spans="1:7">
      <c r="A3179" s="20">
        <v>3177</v>
      </c>
      <c r="B3179" s="20">
        <v>3314</v>
      </c>
      <c r="C3179" s="21">
        <v>45125</v>
      </c>
      <c r="D3179" s="20">
        <v>3291.84</v>
      </c>
      <c r="E3179" s="22" t="s">
        <v>10</v>
      </c>
      <c r="F3179" s="22" t="s">
        <v>16</v>
      </c>
      <c r="G3179" s="22" t="s">
        <v>15</v>
      </c>
    </row>
    <row r="3180" ht="15.15" spans="1:7">
      <c r="A3180" s="20">
        <v>3178</v>
      </c>
      <c r="B3180" s="20">
        <v>5054</v>
      </c>
      <c r="C3180" s="21">
        <v>45119</v>
      </c>
      <c r="D3180" s="20">
        <v>3291.84</v>
      </c>
      <c r="E3180" s="22" t="s">
        <v>10</v>
      </c>
      <c r="F3180" s="22" t="s">
        <v>11</v>
      </c>
      <c r="G3180" s="22" t="s">
        <v>17</v>
      </c>
    </row>
    <row r="3181" ht="15.15" spans="1:7">
      <c r="A3181" s="20">
        <v>3179</v>
      </c>
      <c r="B3181" s="20">
        <v>1627</v>
      </c>
      <c r="C3181" s="21">
        <v>45063</v>
      </c>
      <c r="D3181" s="20">
        <v>3291.84</v>
      </c>
      <c r="E3181" s="22" t="s">
        <v>10</v>
      </c>
      <c r="F3181" s="22" t="s">
        <v>11</v>
      </c>
      <c r="G3181" s="22" t="s">
        <v>15</v>
      </c>
    </row>
    <row r="3182" ht="15.15" spans="1:7">
      <c r="A3182" s="20">
        <v>3180</v>
      </c>
      <c r="B3182" s="20">
        <v>6696</v>
      </c>
      <c r="C3182" s="21">
        <v>45131</v>
      </c>
      <c r="D3182" s="20">
        <v>3291.84</v>
      </c>
      <c r="E3182" s="22" t="s">
        <v>10</v>
      </c>
      <c r="F3182" s="22" t="s">
        <v>11</v>
      </c>
      <c r="G3182" s="22" t="s">
        <v>12</v>
      </c>
    </row>
    <row r="3183" ht="15.15" spans="1:7">
      <c r="A3183" s="20">
        <v>3181</v>
      </c>
      <c r="B3183" s="20">
        <v>6919</v>
      </c>
      <c r="C3183" s="21">
        <v>45224</v>
      </c>
      <c r="D3183" s="20">
        <v>3291.84</v>
      </c>
      <c r="E3183" s="22" t="s">
        <v>10</v>
      </c>
      <c r="F3183" s="22" t="s">
        <v>16</v>
      </c>
      <c r="G3183" s="22" t="s">
        <v>15</v>
      </c>
    </row>
    <row r="3184" ht="15.15" spans="1:7">
      <c r="A3184" s="20">
        <v>3182</v>
      </c>
      <c r="B3184" s="20">
        <v>2549</v>
      </c>
      <c r="C3184" s="21">
        <v>44974</v>
      </c>
      <c r="D3184" s="20">
        <v>3291.84</v>
      </c>
      <c r="E3184" s="22" t="s">
        <v>10</v>
      </c>
      <c r="F3184" s="22" t="s">
        <v>13</v>
      </c>
      <c r="G3184" s="22" t="s">
        <v>15</v>
      </c>
    </row>
    <row r="3185" ht="15.15" spans="1:7">
      <c r="A3185" s="20">
        <v>3183</v>
      </c>
      <c r="B3185" s="20">
        <v>9835</v>
      </c>
      <c r="C3185" s="21">
        <v>45132</v>
      </c>
      <c r="D3185" s="20">
        <v>3291.84</v>
      </c>
      <c r="E3185" s="22" t="s">
        <v>10</v>
      </c>
      <c r="F3185" s="22" t="s">
        <v>16</v>
      </c>
      <c r="G3185" s="22" t="s">
        <v>17</v>
      </c>
    </row>
    <row r="3186" ht="15.15" spans="1:7">
      <c r="A3186" s="20">
        <v>3184</v>
      </c>
      <c r="B3186" s="20">
        <v>4373</v>
      </c>
      <c r="C3186" s="21">
        <v>45266</v>
      </c>
      <c r="D3186" s="20">
        <v>3291.84</v>
      </c>
      <c r="E3186" s="22" t="s">
        <v>10</v>
      </c>
      <c r="F3186" s="22" t="s">
        <v>18</v>
      </c>
      <c r="G3186" s="22" t="s">
        <v>20</v>
      </c>
    </row>
    <row r="3187" ht="15.15" spans="1:7">
      <c r="A3187" s="20">
        <v>3185</v>
      </c>
      <c r="B3187" s="20">
        <v>1786</v>
      </c>
      <c r="C3187" s="21">
        <v>45211</v>
      </c>
      <c r="D3187" s="20">
        <v>3291.84</v>
      </c>
      <c r="E3187" s="22" t="s">
        <v>10</v>
      </c>
      <c r="F3187" s="22" t="s">
        <v>14</v>
      </c>
      <c r="G3187" s="22" t="s">
        <v>15</v>
      </c>
    </row>
    <row r="3188" ht="15.15" spans="1:7">
      <c r="A3188" s="20">
        <v>3186</v>
      </c>
      <c r="B3188" s="20">
        <v>6498</v>
      </c>
      <c r="C3188" s="21">
        <v>45288</v>
      </c>
      <c r="D3188" s="20">
        <v>3291.84</v>
      </c>
      <c r="E3188" s="22" t="s">
        <v>10</v>
      </c>
      <c r="F3188" s="22" t="s">
        <v>16</v>
      </c>
      <c r="G3188" s="22" t="s">
        <v>20</v>
      </c>
    </row>
    <row r="3189" ht="15.15" spans="1:7">
      <c r="A3189" s="20">
        <v>3187</v>
      </c>
      <c r="B3189" s="20">
        <v>8768</v>
      </c>
      <c r="C3189" s="21">
        <v>44957</v>
      </c>
      <c r="D3189" s="20">
        <v>3291.84</v>
      </c>
      <c r="E3189" s="22" t="s">
        <v>10</v>
      </c>
      <c r="F3189" s="22" t="s">
        <v>13</v>
      </c>
      <c r="G3189" s="22" t="s">
        <v>12</v>
      </c>
    </row>
    <row r="3190" ht="15.15" spans="1:7">
      <c r="A3190" s="20">
        <v>3188</v>
      </c>
      <c r="B3190" s="20">
        <v>9047</v>
      </c>
      <c r="C3190" s="21">
        <v>45286</v>
      </c>
      <c r="D3190" s="20">
        <v>3291.84</v>
      </c>
      <c r="E3190" s="22" t="s">
        <v>10</v>
      </c>
      <c r="F3190" s="22" t="s">
        <v>13</v>
      </c>
      <c r="G3190" s="22" t="s">
        <v>12</v>
      </c>
    </row>
    <row r="3191" ht="15.15" spans="1:7">
      <c r="A3191" s="20">
        <v>3189</v>
      </c>
      <c r="B3191" s="20">
        <v>206</v>
      </c>
      <c r="C3191" s="21">
        <v>45242</v>
      </c>
      <c r="D3191" s="20">
        <v>3291.84</v>
      </c>
      <c r="E3191" s="22" t="s">
        <v>10</v>
      </c>
      <c r="F3191" s="22" t="s">
        <v>18</v>
      </c>
      <c r="G3191" s="22" t="s">
        <v>17</v>
      </c>
    </row>
    <row r="3192" ht="15.15" spans="1:7">
      <c r="A3192" s="20">
        <v>3190</v>
      </c>
      <c r="B3192" s="20">
        <v>6046</v>
      </c>
      <c r="C3192" s="21">
        <v>44965</v>
      </c>
      <c r="D3192" s="20">
        <v>3291.84</v>
      </c>
      <c r="E3192" s="22" t="s">
        <v>10</v>
      </c>
      <c r="F3192" s="22" t="s">
        <v>13</v>
      </c>
      <c r="G3192" s="22" t="s">
        <v>12</v>
      </c>
    </row>
    <row r="3193" ht="15.15" spans="1:7">
      <c r="A3193" s="20">
        <v>3191</v>
      </c>
      <c r="B3193" s="20">
        <v>6143</v>
      </c>
      <c r="C3193" s="21">
        <v>45106</v>
      </c>
      <c r="D3193" s="20">
        <v>3291.84</v>
      </c>
      <c r="E3193" s="22" t="s">
        <v>10</v>
      </c>
      <c r="F3193" s="22" t="s">
        <v>16</v>
      </c>
      <c r="G3193" s="22" t="s">
        <v>20</v>
      </c>
    </row>
    <row r="3194" ht="15.15" spans="1:7">
      <c r="A3194" s="20">
        <v>3192</v>
      </c>
      <c r="B3194" s="20">
        <v>9543</v>
      </c>
      <c r="C3194" s="21">
        <v>45150</v>
      </c>
      <c r="D3194" s="20">
        <v>3291.84</v>
      </c>
      <c r="E3194" s="22" t="s">
        <v>10</v>
      </c>
      <c r="F3194" s="22" t="s">
        <v>16</v>
      </c>
      <c r="G3194" s="22" t="s">
        <v>12</v>
      </c>
    </row>
    <row r="3195" ht="15.15" spans="1:7">
      <c r="A3195" s="20">
        <v>3193</v>
      </c>
      <c r="B3195" s="20">
        <v>223</v>
      </c>
      <c r="C3195" s="21">
        <v>44951</v>
      </c>
      <c r="D3195" s="20">
        <v>3291.84</v>
      </c>
      <c r="E3195" s="22" t="s">
        <v>10</v>
      </c>
      <c r="F3195" s="22" t="s">
        <v>11</v>
      </c>
      <c r="G3195" s="22" t="s">
        <v>20</v>
      </c>
    </row>
    <row r="3196" ht="15.15" spans="1:7">
      <c r="A3196" s="20">
        <v>3194</v>
      </c>
      <c r="B3196" s="20">
        <v>1602</v>
      </c>
      <c r="C3196" s="21">
        <v>45262</v>
      </c>
      <c r="D3196" s="20">
        <v>3291.84</v>
      </c>
      <c r="E3196" s="22" t="s">
        <v>10</v>
      </c>
      <c r="F3196" s="22" t="s">
        <v>18</v>
      </c>
      <c r="G3196" s="22" t="s">
        <v>17</v>
      </c>
    </row>
    <row r="3197" ht="15.15" spans="1:7">
      <c r="A3197" s="20">
        <v>3195</v>
      </c>
      <c r="B3197" s="20">
        <v>5453</v>
      </c>
      <c r="C3197" s="21">
        <v>45275</v>
      </c>
      <c r="D3197" s="20">
        <v>3291.84</v>
      </c>
      <c r="E3197" s="22" t="s">
        <v>10</v>
      </c>
      <c r="F3197" s="22" t="s">
        <v>18</v>
      </c>
      <c r="G3197" s="22" t="s">
        <v>15</v>
      </c>
    </row>
    <row r="3198" ht="15.15" spans="1:7">
      <c r="A3198" s="20">
        <v>3196</v>
      </c>
      <c r="B3198" s="20">
        <v>2915</v>
      </c>
      <c r="C3198" s="21">
        <v>45127</v>
      </c>
      <c r="D3198" s="20">
        <v>3291.84</v>
      </c>
      <c r="E3198" s="22" t="s">
        <v>10</v>
      </c>
      <c r="F3198" s="22" t="s">
        <v>16</v>
      </c>
      <c r="G3198" s="22" t="s">
        <v>20</v>
      </c>
    </row>
    <row r="3199" ht="15.15" spans="1:7">
      <c r="A3199" s="20">
        <v>3197</v>
      </c>
      <c r="B3199" s="20">
        <v>2491</v>
      </c>
      <c r="C3199" s="21">
        <v>45206</v>
      </c>
      <c r="D3199" s="20">
        <v>3291.84</v>
      </c>
      <c r="E3199" s="22" t="s">
        <v>10</v>
      </c>
      <c r="F3199" s="22" t="s">
        <v>11</v>
      </c>
      <c r="G3199" s="22" t="s">
        <v>20</v>
      </c>
    </row>
    <row r="3200" ht="15.15" spans="1:7">
      <c r="A3200" s="20">
        <v>3198</v>
      </c>
      <c r="B3200" s="20">
        <v>3606</v>
      </c>
      <c r="C3200" s="21">
        <v>45201</v>
      </c>
      <c r="D3200" s="20">
        <v>3291.84</v>
      </c>
      <c r="E3200" s="22" t="s">
        <v>10</v>
      </c>
      <c r="F3200" s="22" t="s">
        <v>16</v>
      </c>
      <c r="G3200" s="22" t="s">
        <v>17</v>
      </c>
    </row>
    <row r="3201" ht="15.15" spans="1:7">
      <c r="A3201" s="20">
        <v>3199</v>
      </c>
      <c r="B3201" s="20">
        <v>3633</v>
      </c>
      <c r="C3201" s="21">
        <v>45151</v>
      </c>
      <c r="D3201" s="20">
        <v>3291.84</v>
      </c>
      <c r="E3201" s="22" t="s">
        <v>10</v>
      </c>
      <c r="F3201" s="22" t="s">
        <v>16</v>
      </c>
      <c r="G3201" s="22" t="s">
        <v>17</v>
      </c>
    </row>
    <row r="3202" ht="15.15" spans="1:7">
      <c r="A3202" s="20">
        <v>3200</v>
      </c>
      <c r="B3202" s="20">
        <v>7264</v>
      </c>
      <c r="C3202" s="21">
        <v>45205</v>
      </c>
      <c r="D3202" s="20">
        <v>3291.84</v>
      </c>
      <c r="E3202" s="22" t="s">
        <v>10</v>
      </c>
      <c r="F3202" s="22" t="s">
        <v>16</v>
      </c>
      <c r="G3202" s="22" t="s">
        <v>12</v>
      </c>
    </row>
    <row r="3203" ht="15.15" spans="1:7">
      <c r="A3203" s="20">
        <v>3201</v>
      </c>
      <c r="B3203" s="20">
        <v>9090</v>
      </c>
      <c r="C3203" s="21">
        <v>45258</v>
      </c>
      <c r="D3203" s="20">
        <v>3291.84</v>
      </c>
      <c r="E3203" s="22" t="s">
        <v>10</v>
      </c>
      <c r="F3203" s="22" t="s">
        <v>11</v>
      </c>
      <c r="G3203" s="22" t="s">
        <v>20</v>
      </c>
    </row>
    <row r="3204" ht="15.15" spans="1:7">
      <c r="A3204" s="20">
        <v>3202</v>
      </c>
      <c r="B3204" s="20">
        <v>1975</v>
      </c>
      <c r="C3204" s="21">
        <v>45275</v>
      </c>
      <c r="D3204" s="20">
        <v>3291.84</v>
      </c>
      <c r="E3204" s="22" t="s">
        <v>10</v>
      </c>
      <c r="F3204" s="22" t="s">
        <v>18</v>
      </c>
      <c r="G3204" s="22" t="s">
        <v>17</v>
      </c>
    </row>
    <row r="3205" ht="15.15" spans="1:7">
      <c r="A3205" s="20">
        <v>3203</v>
      </c>
      <c r="B3205" s="20">
        <v>7070</v>
      </c>
      <c r="C3205" s="21">
        <v>45231</v>
      </c>
      <c r="D3205" s="20">
        <v>3291.84</v>
      </c>
      <c r="E3205" s="22" t="s">
        <v>10</v>
      </c>
      <c r="F3205" s="22" t="s">
        <v>16</v>
      </c>
      <c r="G3205" s="22" t="s">
        <v>17</v>
      </c>
    </row>
    <row r="3206" ht="15.15" spans="1:7">
      <c r="A3206" s="20">
        <v>3204</v>
      </c>
      <c r="B3206" s="20">
        <v>4511</v>
      </c>
      <c r="C3206" s="21">
        <v>45146</v>
      </c>
      <c r="D3206" s="20">
        <v>3291.84</v>
      </c>
      <c r="E3206" s="22" t="s">
        <v>10</v>
      </c>
      <c r="F3206" s="22" t="s">
        <v>13</v>
      </c>
      <c r="G3206" s="22" t="s">
        <v>17</v>
      </c>
    </row>
    <row r="3207" ht="15.15" spans="1:7">
      <c r="A3207" s="20">
        <v>3205</v>
      </c>
      <c r="B3207" s="20">
        <v>7908</v>
      </c>
      <c r="C3207" s="21">
        <v>45126</v>
      </c>
      <c r="D3207" s="20">
        <v>3291.84</v>
      </c>
      <c r="E3207" s="22" t="s">
        <v>10</v>
      </c>
      <c r="F3207" s="22" t="s">
        <v>16</v>
      </c>
      <c r="G3207" s="22" t="s">
        <v>15</v>
      </c>
    </row>
    <row r="3208" ht="15.15" spans="1:7">
      <c r="A3208" s="20">
        <v>3206</v>
      </c>
      <c r="B3208" s="20">
        <v>3314</v>
      </c>
      <c r="C3208" s="21">
        <v>45015</v>
      </c>
      <c r="D3208" s="20">
        <v>3291.84</v>
      </c>
      <c r="E3208" s="22" t="s">
        <v>10</v>
      </c>
      <c r="F3208" s="22" t="s">
        <v>16</v>
      </c>
      <c r="G3208" s="22" t="s">
        <v>12</v>
      </c>
    </row>
    <row r="3209" ht="15.15" spans="1:7">
      <c r="A3209" s="20">
        <v>3207</v>
      </c>
      <c r="B3209" s="20">
        <v>2952</v>
      </c>
      <c r="C3209" s="21">
        <v>45117</v>
      </c>
      <c r="D3209" s="20">
        <v>3291.84</v>
      </c>
      <c r="E3209" s="22" t="s">
        <v>10</v>
      </c>
      <c r="F3209" s="22" t="s">
        <v>13</v>
      </c>
      <c r="G3209" s="22" t="s">
        <v>20</v>
      </c>
    </row>
    <row r="3210" ht="15.15" spans="1:7">
      <c r="A3210" s="20">
        <v>3208</v>
      </c>
      <c r="B3210" s="20">
        <v>4823</v>
      </c>
      <c r="C3210" s="21">
        <v>45107</v>
      </c>
      <c r="D3210" s="20">
        <v>3291.84</v>
      </c>
      <c r="E3210" s="22" t="s">
        <v>10</v>
      </c>
      <c r="F3210" s="22" t="s">
        <v>16</v>
      </c>
      <c r="G3210" s="22" t="s">
        <v>20</v>
      </c>
    </row>
    <row r="3211" ht="15.15" spans="1:7">
      <c r="A3211" s="20">
        <v>3209</v>
      </c>
      <c r="B3211" s="20">
        <v>9315</v>
      </c>
      <c r="C3211" s="21">
        <v>45170</v>
      </c>
      <c r="D3211" s="20">
        <v>3291.84</v>
      </c>
      <c r="E3211" s="22" t="s">
        <v>10</v>
      </c>
      <c r="F3211" s="22" t="s">
        <v>18</v>
      </c>
      <c r="G3211" s="22" t="s">
        <v>17</v>
      </c>
    </row>
    <row r="3212" ht="15.15" spans="1:7">
      <c r="A3212" s="20">
        <v>3210</v>
      </c>
      <c r="B3212" s="20">
        <v>5852</v>
      </c>
      <c r="C3212" s="21">
        <v>45268</v>
      </c>
      <c r="D3212" s="20">
        <v>3291.84</v>
      </c>
      <c r="E3212" s="22" t="s">
        <v>10</v>
      </c>
      <c r="F3212" s="22" t="s">
        <v>16</v>
      </c>
      <c r="G3212" s="22" t="s">
        <v>20</v>
      </c>
    </row>
    <row r="3213" ht="15.15" spans="1:7">
      <c r="A3213" s="20">
        <v>3211</v>
      </c>
      <c r="B3213" s="20">
        <v>7021</v>
      </c>
      <c r="C3213" s="21">
        <v>45124</v>
      </c>
      <c r="D3213" s="20">
        <v>3291.84</v>
      </c>
      <c r="E3213" s="22" t="s">
        <v>10</v>
      </c>
      <c r="F3213" s="22" t="s">
        <v>16</v>
      </c>
      <c r="G3213" s="22" t="s">
        <v>12</v>
      </c>
    </row>
    <row r="3214" ht="15.15" spans="1:7">
      <c r="A3214" s="20">
        <v>3212</v>
      </c>
      <c r="B3214" s="20">
        <v>1921</v>
      </c>
      <c r="C3214" s="21">
        <v>45125</v>
      </c>
      <c r="D3214" s="20">
        <v>3291.84</v>
      </c>
      <c r="E3214" s="22" t="s">
        <v>10</v>
      </c>
      <c r="F3214" s="22" t="s">
        <v>18</v>
      </c>
      <c r="G3214" s="22" t="s">
        <v>17</v>
      </c>
    </row>
    <row r="3215" ht="15.15" spans="1:7">
      <c r="A3215" s="20">
        <v>3213</v>
      </c>
      <c r="B3215" s="20">
        <v>7786</v>
      </c>
      <c r="C3215" s="21">
        <v>45182</v>
      </c>
      <c r="D3215" s="20">
        <v>3291.84</v>
      </c>
      <c r="E3215" s="22" t="s">
        <v>10</v>
      </c>
      <c r="F3215" s="22" t="s">
        <v>16</v>
      </c>
      <c r="G3215" s="22" t="s">
        <v>17</v>
      </c>
    </row>
    <row r="3216" ht="15.15" spans="1:7">
      <c r="A3216" s="20">
        <v>3214</v>
      </c>
      <c r="B3216" s="20">
        <v>8194</v>
      </c>
      <c r="C3216" s="21">
        <v>45279</v>
      </c>
      <c r="D3216" s="20">
        <v>3291.84</v>
      </c>
      <c r="E3216" s="22" t="s">
        <v>10</v>
      </c>
      <c r="F3216" s="22" t="s">
        <v>14</v>
      </c>
      <c r="G3216" s="22" t="s">
        <v>20</v>
      </c>
    </row>
    <row r="3217" ht="15.15" spans="1:7">
      <c r="A3217" s="20">
        <v>3215</v>
      </c>
      <c r="B3217" s="20">
        <v>6886</v>
      </c>
      <c r="C3217" s="21">
        <v>45007</v>
      </c>
      <c r="D3217" s="20">
        <v>3291.84</v>
      </c>
      <c r="E3217" s="22" t="s">
        <v>10</v>
      </c>
      <c r="F3217" s="22" t="s">
        <v>16</v>
      </c>
      <c r="G3217" s="22" t="s">
        <v>20</v>
      </c>
    </row>
    <row r="3218" ht="15.15" spans="1:7">
      <c r="A3218" s="20">
        <v>3216</v>
      </c>
      <c r="B3218" s="20">
        <v>7496</v>
      </c>
      <c r="C3218" s="21">
        <v>45182</v>
      </c>
      <c r="D3218" s="20">
        <v>3291.84</v>
      </c>
      <c r="E3218" s="22" t="s">
        <v>10</v>
      </c>
      <c r="F3218" s="22" t="s">
        <v>13</v>
      </c>
      <c r="G3218" s="22" t="s">
        <v>15</v>
      </c>
    </row>
    <row r="3219" ht="15.15" spans="1:7">
      <c r="A3219" s="20">
        <v>3217</v>
      </c>
      <c r="B3219" s="20">
        <v>1240</v>
      </c>
      <c r="C3219" s="21">
        <v>45170</v>
      </c>
      <c r="D3219" s="20">
        <v>3291.84</v>
      </c>
      <c r="E3219" s="22" t="s">
        <v>10</v>
      </c>
      <c r="F3219" s="22" t="s">
        <v>11</v>
      </c>
      <c r="G3219" s="22" t="s">
        <v>17</v>
      </c>
    </row>
    <row r="3220" ht="15.15" spans="1:7">
      <c r="A3220" s="20">
        <v>3218</v>
      </c>
      <c r="B3220" s="20">
        <v>8450</v>
      </c>
      <c r="C3220" s="21">
        <v>45190</v>
      </c>
      <c r="D3220" s="20">
        <v>3291.84</v>
      </c>
      <c r="E3220" s="22" t="s">
        <v>10</v>
      </c>
      <c r="F3220" s="22" t="s">
        <v>11</v>
      </c>
      <c r="G3220" s="22" t="s">
        <v>20</v>
      </c>
    </row>
    <row r="3221" ht="15.15" spans="1:7">
      <c r="A3221" s="20">
        <v>3219</v>
      </c>
      <c r="B3221" s="20">
        <v>7842</v>
      </c>
      <c r="C3221" s="21">
        <v>45236</v>
      </c>
      <c r="D3221" s="20">
        <v>3291.84</v>
      </c>
      <c r="E3221" s="22" t="s">
        <v>10</v>
      </c>
      <c r="F3221" s="22" t="s">
        <v>16</v>
      </c>
      <c r="G3221" s="22" t="s">
        <v>15</v>
      </c>
    </row>
    <row r="3222" ht="15.15" spans="1:7">
      <c r="A3222" s="20">
        <v>3220</v>
      </c>
      <c r="B3222" s="20">
        <v>9503</v>
      </c>
      <c r="C3222" s="21">
        <v>44951</v>
      </c>
      <c r="D3222" s="20">
        <v>3291.84</v>
      </c>
      <c r="E3222" s="22" t="s">
        <v>10</v>
      </c>
      <c r="F3222" s="22" t="s">
        <v>14</v>
      </c>
      <c r="G3222" s="22" t="s">
        <v>12</v>
      </c>
    </row>
    <row r="3223" ht="15.15" spans="1:7">
      <c r="A3223" s="20">
        <v>3221</v>
      </c>
      <c r="B3223" s="20">
        <v>4138</v>
      </c>
      <c r="C3223" s="21">
        <v>45149</v>
      </c>
      <c r="D3223" s="20">
        <v>3291.84</v>
      </c>
      <c r="E3223" s="22" t="s">
        <v>10</v>
      </c>
      <c r="F3223" s="22" t="s">
        <v>18</v>
      </c>
      <c r="G3223" s="22" t="s">
        <v>12</v>
      </c>
    </row>
    <row r="3224" ht="15.15" spans="1:7">
      <c r="A3224" s="20">
        <v>3222</v>
      </c>
      <c r="B3224" s="20">
        <v>6987</v>
      </c>
      <c r="C3224" s="21">
        <v>45253</v>
      </c>
      <c r="D3224" s="20">
        <v>3291.84</v>
      </c>
      <c r="E3224" s="22" t="s">
        <v>22</v>
      </c>
      <c r="F3224" s="22" t="s">
        <v>14</v>
      </c>
      <c r="G3224" s="22" t="s">
        <v>15</v>
      </c>
    </row>
    <row r="3225" ht="15.15" spans="1:7">
      <c r="A3225" s="20">
        <v>3223</v>
      </c>
      <c r="B3225" s="20">
        <v>5899</v>
      </c>
      <c r="C3225" s="21">
        <v>45260</v>
      </c>
      <c r="D3225" s="20">
        <v>3291.84</v>
      </c>
      <c r="E3225" s="22" t="s">
        <v>10</v>
      </c>
      <c r="F3225" s="22" t="s">
        <v>13</v>
      </c>
      <c r="G3225" s="22" t="s">
        <v>12</v>
      </c>
    </row>
    <row r="3226" ht="15.15" spans="1:7">
      <c r="A3226" s="20">
        <v>3224</v>
      </c>
      <c r="B3226" s="20">
        <v>4406</v>
      </c>
      <c r="C3226" s="21">
        <v>45167</v>
      </c>
      <c r="D3226" s="20">
        <v>3291.84</v>
      </c>
      <c r="E3226" s="22" t="s">
        <v>10</v>
      </c>
      <c r="F3226" s="22" t="s">
        <v>18</v>
      </c>
      <c r="G3226" s="22" t="s">
        <v>17</v>
      </c>
    </row>
    <row r="3227" ht="15.15" spans="1:7">
      <c r="A3227" s="20">
        <v>3225</v>
      </c>
      <c r="B3227" s="20">
        <v>8087</v>
      </c>
      <c r="C3227" s="21">
        <v>45168</v>
      </c>
      <c r="D3227" s="20">
        <v>3291.84</v>
      </c>
      <c r="E3227" s="22" t="s">
        <v>10</v>
      </c>
      <c r="F3227" s="22" t="s">
        <v>11</v>
      </c>
      <c r="G3227" s="22" t="s">
        <v>15</v>
      </c>
    </row>
    <row r="3228" ht="15.15" spans="1:7">
      <c r="A3228" s="20">
        <v>3226</v>
      </c>
      <c r="B3228" s="20">
        <v>4208</v>
      </c>
      <c r="C3228" s="21">
        <v>44991</v>
      </c>
      <c r="D3228" s="20">
        <v>3291.84</v>
      </c>
      <c r="E3228" s="22" t="s">
        <v>10</v>
      </c>
      <c r="F3228" s="22" t="s">
        <v>13</v>
      </c>
      <c r="G3228" s="22" t="s">
        <v>17</v>
      </c>
    </row>
    <row r="3229" ht="15.15" spans="1:7">
      <c r="A3229" s="20">
        <v>3227</v>
      </c>
      <c r="B3229" s="20">
        <v>2160</v>
      </c>
      <c r="C3229" s="21">
        <v>45073</v>
      </c>
      <c r="D3229" s="20">
        <v>3291.84</v>
      </c>
      <c r="E3229" s="22" t="s">
        <v>10</v>
      </c>
      <c r="F3229" s="22" t="s">
        <v>16</v>
      </c>
      <c r="G3229" s="22" t="s">
        <v>12</v>
      </c>
    </row>
    <row r="3230" ht="15.15" spans="1:7">
      <c r="A3230" s="20">
        <v>3228</v>
      </c>
      <c r="B3230" s="20">
        <v>5825</v>
      </c>
      <c r="C3230" s="21">
        <v>45282</v>
      </c>
      <c r="D3230" s="20">
        <v>3291.84</v>
      </c>
      <c r="E3230" s="22" t="s">
        <v>10</v>
      </c>
      <c r="F3230" s="22" t="s">
        <v>14</v>
      </c>
      <c r="G3230" s="22" t="s">
        <v>20</v>
      </c>
    </row>
    <row r="3231" ht="15.15" spans="1:7">
      <c r="A3231" s="20">
        <v>3229</v>
      </c>
      <c r="B3231" s="20">
        <v>7225</v>
      </c>
      <c r="C3231" s="21">
        <v>45095</v>
      </c>
      <c r="D3231" s="20">
        <v>3291.84</v>
      </c>
      <c r="E3231" s="22" t="s">
        <v>10</v>
      </c>
      <c r="F3231" s="22" t="s">
        <v>16</v>
      </c>
      <c r="G3231" s="22" t="s">
        <v>17</v>
      </c>
    </row>
    <row r="3232" ht="15.15" spans="1:7">
      <c r="A3232" s="20">
        <v>3230</v>
      </c>
      <c r="B3232" s="20">
        <v>610</v>
      </c>
      <c r="C3232" s="21">
        <v>45131</v>
      </c>
      <c r="D3232" s="20">
        <v>3291.84</v>
      </c>
      <c r="E3232" s="22" t="s">
        <v>10</v>
      </c>
      <c r="F3232" s="22" t="s">
        <v>14</v>
      </c>
      <c r="G3232" s="22" t="s">
        <v>20</v>
      </c>
    </row>
    <row r="3233" ht="15.15" spans="1:7">
      <c r="A3233" s="20">
        <v>3231</v>
      </c>
      <c r="B3233" s="20">
        <v>5208</v>
      </c>
      <c r="C3233" s="21">
        <v>45042</v>
      </c>
      <c r="D3233" s="20">
        <v>3291.84</v>
      </c>
      <c r="E3233" s="22" t="s">
        <v>10</v>
      </c>
      <c r="F3233" s="22" t="s">
        <v>14</v>
      </c>
      <c r="G3233" s="22" t="s">
        <v>20</v>
      </c>
    </row>
    <row r="3234" ht="15.15" spans="1:7">
      <c r="A3234" s="20">
        <v>3232</v>
      </c>
      <c r="B3234" s="20">
        <v>7829</v>
      </c>
      <c r="C3234" s="21">
        <v>45193</v>
      </c>
      <c r="D3234" s="20">
        <v>3291.84</v>
      </c>
      <c r="E3234" s="22" t="s">
        <v>10</v>
      </c>
      <c r="F3234" s="22" t="s">
        <v>16</v>
      </c>
      <c r="G3234" s="22" t="s">
        <v>15</v>
      </c>
    </row>
    <row r="3235" ht="15.15" spans="1:7">
      <c r="A3235" s="20">
        <v>3233</v>
      </c>
      <c r="B3235" s="20">
        <v>8322</v>
      </c>
      <c r="C3235" s="21">
        <v>45032</v>
      </c>
      <c r="D3235" s="20">
        <v>3291.84</v>
      </c>
      <c r="E3235" s="22" t="s">
        <v>10</v>
      </c>
      <c r="F3235" s="22" t="s">
        <v>14</v>
      </c>
      <c r="G3235" s="22" t="s">
        <v>12</v>
      </c>
    </row>
    <row r="3236" ht="15.15" spans="1:7">
      <c r="A3236" s="20">
        <v>3234</v>
      </c>
      <c r="B3236" s="20">
        <v>8759</v>
      </c>
      <c r="C3236" s="21">
        <v>45247</v>
      </c>
      <c r="D3236" s="20">
        <v>3291.84</v>
      </c>
      <c r="E3236" s="22" t="s">
        <v>10</v>
      </c>
      <c r="F3236" s="22" t="s">
        <v>16</v>
      </c>
      <c r="G3236" s="22" t="s">
        <v>12</v>
      </c>
    </row>
    <row r="3237" ht="15.15" spans="1:7">
      <c r="A3237" s="20">
        <v>3235</v>
      </c>
      <c r="B3237" s="20">
        <v>7678</v>
      </c>
      <c r="C3237" s="21">
        <v>44996</v>
      </c>
      <c r="D3237" s="20">
        <v>3291.84</v>
      </c>
      <c r="E3237" s="22" t="s">
        <v>22</v>
      </c>
      <c r="F3237" s="22" t="s">
        <v>11</v>
      </c>
      <c r="G3237" s="22" t="s">
        <v>15</v>
      </c>
    </row>
    <row r="3238" ht="15.15" spans="1:7">
      <c r="A3238" s="20">
        <v>3236</v>
      </c>
      <c r="B3238" s="20">
        <v>1054</v>
      </c>
      <c r="C3238" s="21">
        <v>44999</v>
      </c>
      <c r="D3238" s="20">
        <v>3291.84</v>
      </c>
      <c r="E3238" s="22" t="s">
        <v>10</v>
      </c>
      <c r="F3238" s="22" t="s">
        <v>14</v>
      </c>
      <c r="G3238" s="22" t="s">
        <v>20</v>
      </c>
    </row>
    <row r="3239" ht="15.15" spans="1:7">
      <c r="A3239" s="20">
        <v>3237</v>
      </c>
      <c r="B3239" s="20">
        <v>3835</v>
      </c>
      <c r="C3239" s="21">
        <v>45270</v>
      </c>
      <c r="D3239" s="20">
        <v>3291.84</v>
      </c>
      <c r="E3239" s="22" t="s">
        <v>10</v>
      </c>
      <c r="F3239" s="22" t="s">
        <v>14</v>
      </c>
      <c r="G3239" s="22" t="s">
        <v>17</v>
      </c>
    </row>
    <row r="3240" ht="15.15" spans="1:7">
      <c r="A3240" s="20">
        <v>3238</v>
      </c>
      <c r="B3240" s="20">
        <v>4234</v>
      </c>
      <c r="C3240" s="21">
        <v>45233</v>
      </c>
      <c r="D3240" s="20">
        <v>3291.84</v>
      </c>
      <c r="E3240" s="22" t="s">
        <v>10</v>
      </c>
      <c r="F3240" s="22" t="s">
        <v>18</v>
      </c>
      <c r="G3240" s="22" t="s">
        <v>15</v>
      </c>
    </row>
    <row r="3241" ht="15.15" spans="1:7">
      <c r="A3241" s="20">
        <v>3239</v>
      </c>
      <c r="B3241" s="20">
        <v>6322</v>
      </c>
      <c r="C3241" s="21">
        <v>45241</v>
      </c>
      <c r="D3241" s="20">
        <v>3291.84</v>
      </c>
      <c r="E3241" s="22" t="s">
        <v>10</v>
      </c>
      <c r="F3241" s="22" t="s">
        <v>16</v>
      </c>
      <c r="G3241" s="22" t="s">
        <v>20</v>
      </c>
    </row>
    <row r="3242" ht="15.15" spans="1:7">
      <c r="A3242" s="20">
        <v>3240</v>
      </c>
      <c r="B3242" s="20">
        <v>7359</v>
      </c>
      <c r="C3242" s="21">
        <v>45082</v>
      </c>
      <c r="D3242" s="20">
        <v>3291.84</v>
      </c>
      <c r="E3242" s="22" t="s">
        <v>10</v>
      </c>
      <c r="F3242" s="22" t="s">
        <v>11</v>
      </c>
      <c r="G3242" s="22" t="s">
        <v>20</v>
      </c>
    </row>
    <row r="3243" ht="15.15" spans="1:7">
      <c r="A3243" s="20">
        <v>3241</v>
      </c>
      <c r="B3243" s="20">
        <v>8832</v>
      </c>
      <c r="C3243" s="21">
        <v>44931</v>
      </c>
      <c r="D3243" s="20">
        <v>3291.84</v>
      </c>
      <c r="E3243" s="22" t="s">
        <v>10</v>
      </c>
      <c r="F3243" s="22" t="s">
        <v>14</v>
      </c>
      <c r="G3243" s="22" t="s">
        <v>15</v>
      </c>
    </row>
    <row r="3244" ht="15.15" spans="1:7">
      <c r="A3244" s="20">
        <v>3242</v>
      </c>
      <c r="B3244" s="20">
        <v>3259</v>
      </c>
      <c r="C3244" s="21">
        <v>45285</v>
      </c>
      <c r="D3244" s="20">
        <v>3291.84</v>
      </c>
      <c r="E3244" s="22" t="s">
        <v>10</v>
      </c>
      <c r="F3244" s="22" t="s">
        <v>16</v>
      </c>
      <c r="G3244" s="22" t="s">
        <v>12</v>
      </c>
    </row>
    <row r="3245" ht="15.15" spans="1:7">
      <c r="A3245" s="20">
        <v>3243</v>
      </c>
      <c r="B3245" s="20">
        <v>4710</v>
      </c>
      <c r="C3245" s="21">
        <v>45264</v>
      </c>
      <c r="D3245" s="20">
        <v>3291.84</v>
      </c>
      <c r="E3245" s="22" t="s">
        <v>10</v>
      </c>
      <c r="F3245" s="22" t="s">
        <v>14</v>
      </c>
      <c r="G3245" s="22" t="s">
        <v>17</v>
      </c>
    </row>
    <row r="3246" ht="15.15" spans="1:7">
      <c r="A3246" s="20">
        <v>3244</v>
      </c>
      <c r="B3246" s="20">
        <v>8173</v>
      </c>
      <c r="C3246" s="21">
        <v>45286</v>
      </c>
      <c r="D3246" s="20">
        <v>3291.84</v>
      </c>
      <c r="E3246" s="22" t="s">
        <v>10</v>
      </c>
      <c r="F3246" s="22" t="s">
        <v>13</v>
      </c>
      <c r="G3246" s="22" t="s">
        <v>17</v>
      </c>
    </row>
    <row r="3247" ht="15.15" spans="1:7">
      <c r="A3247" s="20">
        <v>3245</v>
      </c>
      <c r="B3247" s="20">
        <v>9498</v>
      </c>
      <c r="C3247" s="21">
        <v>45282</v>
      </c>
      <c r="D3247" s="20">
        <v>3291.84</v>
      </c>
      <c r="E3247" s="22" t="s">
        <v>10</v>
      </c>
      <c r="F3247" s="22" t="s">
        <v>13</v>
      </c>
      <c r="G3247" s="22" t="s">
        <v>15</v>
      </c>
    </row>
    <row r="3248" ht="15.15" spans="1:7">
      <c r="A3248" s="20">
        <v>3246</v>
      </c>
      <c r="B3248" s="20">
        <v>6315</v>
      </c>
      <c r="C3248" s="21">
        <v>45135</v>
      </c>
      <c r="D3248" s="20">
        <v>3291.84</v>
      </c>
      <c r="E3248" s="22" t="s">
        <v>10</v>
      </c>
      <c r="F3248" s="22" t="s">
        <v>16</v>
      </c>
      <c r="G3248" s="22" t="s">
        <v>20</v>
      </c>
    </row>
    <row r="3249" ht="15.15" spans="1:7">
      <c r="A3249" s="20">
        <v>3247</v>
      </c>
      <c r="B3249" s="20">
        <v>8998</v>
      </c>
      <c r="C3249" s="21">
        <v>44995</v>
      </c>
      <c r="D3249" s="20">
        <v>3291.84</v>
      </c>
      <c r="E3249" s="22" t="s">
        <v>10</v>
      </c>
      <c r="F3249" s="22" t="s">
        <v>16</v>
      </c>
      <c r="G3249" s="22" t="s">
        <v>12</v>
      </c>
    </row>
    <row r="3250" ht="15.15" spans="1:7">
      <c r="A3250" s="20">
        <v>3248</v>
      </c>
      <c r="B3250" s="20">
        <v>3267</v>
      </c>
      <c r="C3250" s="21">
        <v>45124</v>
      </c>
      <c r="D3250" s="20">
        <v>3291.84</v>
      </c>
      <c r="E3250" s="22" t="s">
        <v>21</v>
      </c>
      <c r="F3250" s="22" t="s">
        <v>18</v>
      </c>
      <c r="G3250" s="22" t="s">
        <v>12</v>
      </c>
    </row>
    <row r="3251" ht="15.15" spans="1:7">
      <c r="A3251" s="20">
        <v>3249</v>
      </c>
      <c r="B3251" s="20">
        <v>863</v>
      </c>
      <c r="C3251" s="21">
        <v>45277</v>
      </c>
      <c r="D3251" s="20">
        <v>3291.84</v>
      </c>
      <c r="E3251" s="22" t="s">
        <v>22</v>
      </c>
      <c r="F3251" s="22" t="s">
        <v>14</v>
      </c>
      <c r="G3251" s="22" t="s">
        <v>20</v>
      </c>
    </row>
    <row r="3252" ht="15.15" spans="1:7">
      <c r="A3252" s="20">
        <v>3250</v>
      </c>
      <c r="B3252" s="20">
        <v>3102</v>
      </c>
      <c r="C3252" s="21">
        <v>44992</v>
      </c>
      <c r="D3252" s="20">
        <v>3291.84</v>
      </c>
      <c r="E3252" s="22" t="s">
        <v>10</v>
      </c>
      <c r="F3252" s="22" t="s">
        <v>18</v>
      </c>
      <c r="G3252" s="22" t="s">
        <v>12</v>
      </c>
    </row>
    <row r="3253" ht="15.15" spans="1:7">
      <c r="A3253" s="20">
        <v>3251</v>
      </c>
      <c r="B3253" s="20">
        <v>6699</v>
      </c>
      <c r="C3253" s="21">
        <v>44965</v>
      </c>
      <c r="D3253" s="20">
        <v>3291.84</v>
      </c>
      <c r="E3253" s="22" t="s">
        <v>10</v>
      </c>
      <c r="F3253" s="22" t="s">
        <v>11</v>
      </c>
      <c r="G3253" s="22" t="s">
        <v>17</v>
      </c>
    </row>
    <row r="3254" ht="15.15" spans="1:7">
      <c r="A3254" s="20">
        <v>3252</v>
      </c>
      <c r="B3254" s="20">
        <v>4713</v>
      </c>
      <c r="C3254" s="21">
        <v>45262</v>
      </c>
      <c r="D3254" s="20">
        <v>3291.84</v>
      </c>
      <c r="E3254" s="22" t="s">
        <v>10</v>
      </c>
      <c r="F3254" s="22" t="s">
        <v>18</v>
      </c>
      <c r="G3254" s="22" t="s">
        <v>17</v>
      </c>
    </row>
    <row r="3255" ht="15.15" spans="1:7">
      <c r="A3255" s="20">
        <v>3253</v>
      </c>
      <c r="B3255" s="20">
        <v>1201</v>
      </c>
      <c r="C3255" s="21">
        <v>45079</v>
      </c>
      <c r="D3255" s="20">
        <v>3291.84</v>
      </c>
      <c r="E3255" s="22" t="s">
        <v>10</v>
      </c>
      <c r="F3255" s="22" t="s">
        <v>11</v>
      </c>
      <c r="G3255" s="22" t="s">
        <v>20</v>
      </c>
    </row>
    <row r="3256" ht="15.15" spans="1:7">
      <c r="A3256" s="20">
        <v>3254</v>
      </c>
      <c r="B3256" s="20">
        <v>4569</v>
      </c>
      <c r="C3256" s="21">
        <v>45232</v>
      </c>
      <c r="D3256" s="20">
        <v>3291.84</v>
      </c>
      <c r="E3256" s="22" t="s">
        <v>10</v>
      </c>
      <c r="F3256" s="22" t="s">
        <v>18</v>
      </c>
      <c r="G3256" s="22" t="s">
        <v>12</v>
      </c>
    </row>
    <row r="3257" ht="15.15" spans="1:7">
      <c r="A3257" s="20">
        <v>3255</v>
      </c>
      <c r="B3257" s="20">
        <v>169</v>
      </c>
      <c r="C3257" s="21">
        <v>44985</v>
      </c>
      <c r="D3257" s="20">
        <v>3291.84</v>
      </c>
      <c r="E3257" s="22" t="s">
        <v>10</v>
      </c>
      <c r="F3257" s="22" t="s">
        <v>19</v>
      </c>
      <c r="G3257" s="22" t="s">
        <v>17</v>
      </c>
    </row>
    <row r="3258" ht="15.15" spans="1:7">
      <c r="A3258" s="20">
        <v>3256</v>
      </c>
      <c r="B3258" s="20">
        <v>5837</v>
      </c>
      <c r="C3258" s="21">
        <v>45005</v>
      </c>
      <c r="D3258" s="20">
        <v>3291.84</v>
      </c>
      <c r="E3258" s="22" t="s">
        <v>10</v>
      </c>
      <c r="F3258" s="22" t="s">
        <v>18</v>
      </c>
      <c r="G3258" s="22" t="s">
        <v>20</v>
      </c>
    </row>
    <row r="3259" ht="15.15" spans="1:7">
      <c r="A3259" s="20">
        <v>3257</v>
      </c>
      <c r="B3259" s="20">
        <v>4856</v>
      </c>
      <c r="C3259" s="21">
        <v>45092</v>
      </c>
      <c r="D3259" s="20">
        <v>3291.84</v>
      </c>
      <c r="E3259" s="22" t="s">
        <v>10</v>
      </c>
      <c r="F3259" s="22" t="s">
        <v>18</v>
      </c>
      <c r="G3259" s="22" t="s">
        <v>17</v>
      </c>
    </row>
    <row r="3260" ht="15.15" spans="1:7">
      <c r="A3260" s="20">
        <v>3258</v>
      </c>
      <c r="B3260" s="20">
        <v>5177</v>
      </c>
      <c r="C3260" s="21">
        <v>45279</v>
      </c>
      <c r="D3260" s="20">
        <v>3291.84</v>
      </c>
      <c r="E3260" s="22" t="s">
        <v>10</v>
      </c>
      <c r="F3260" s="22" t="s">
        <v>11</v>
      </c>
      <c r="G3260" s="22" t="s">
        <v>17</v>
      </c>
    </row>
    <row r="3261" ht="15.15" spans="1:7">
      <c r="A3261" s="20">
        <v>3259</v>
      </c>
      <c r="B3261" s="20">
        <v>581</v>
      </c>
      <c r="C3261" s="21">
        <v>45289</v>
      </c>
      <c r="D3261" s="20">
        <v>3291.84</v>
      </c>
      <c r="E3261" s="22" t="s">
        <v>10</v>
      </c>
      <c r="F3261" s="22" t="s">
        <v>16</v>
      </c>
      <c r="G3261" s="22" t="s">
        <v>20</v>
      </c>
    </row>
    <row r="3262" ht="15.15" spans="1:7">
      <c r="A3262" s="20">
        <v>3260</v>
      </c>
      <c r="B3262" s="20">
        <v>42</v>
      </c>
      <c r="C3262" s="21">
        <v>45009</v>
      </c>
      <c r="D3262" s="20">
        <v>3291.84</v>
      </c>
      <c r="E3262" s="22" t="s">
        <v>10</v>
      </c>
      <c r="F3262" s="22" t="s">
        <v>16</v>
      </c>
      <c r="G3262" s="22" t="s">
        <v>12</v>
      </c>
    </row>
    <row r="3263" ht="15.15" spans="1:7">
      <c r="A3263" s="20">
        <v>3261</v>
      </c>
      <c r="B3263" s="20">
        <v>4492</v>
      </c>
      <c r="C3263" s="21">
        <v>44966</v>
      </c>
      <c r="D3263" s="20">
        <v>3291.84</v>
      </c>
      <c r="E3263" s="22" t="s">
        <v>10</v>
      </c>
      <c r="F3263" s="22" t="s">
        <v>11</v>
      </c>
      <c r="G3263" s="22" t="s">
        <v>12</v>
      </c>
    </row>
    <row r="3264" ht="15.15" spans="1:7">
      <c r="A3264" s="20">
        <v>3262</v>
      </c>
      <c r="B3264" s="20">
        <v>2523</v>
      </c>
      <c r="C3264" s="21">
        <v>45123</v>
      </c>
      <c r="D3264" s="20">
        <v>3291.84</v>
      </c>
      <c r="E3264" s="22" t="s">
        <v>10</v>
      </c>
      <c r="F3264" s="22" t="s">
        <v>11</v>
      </c>
      <c r="G3264" s="22" t="s">
        <v>12</v>
      </c>
    </row>
    <row r="3265" ht="15.15" spans="1:7">
      <c r="A3265" s="20">
        <v>3263</v>
      </c>
      <c r="B3265" s="20">
        <v>9009</v>
      </c>
      <c r="C3265" s="21">
        <v>45070</v>
      </c>
      <c r="D3265" s="20">
        <v>3291.84</v>
      </c>
      <c r="E3265" s="22" t="s">
        <v>10</v>
      </c>
      <c r="F3265" s="22" t="s">
        <v>11</v>
      </c>
      <c r="G3265" s="22" t="s">
        <v>12</v>
      </c>
    </row>
    <row r="3266" ht="15.15" spans="1:7">
      <c r="A3266" s="20">
        <v>3264</v>
      </c>
      <c r="B3266" s="20">
        <v>3513</v>
      </c>
      <c r="C3266" s="21">
        <v>45136</v>
      </c>
      <c r="D3266" s="20">
        <v>3291.84</v>
      </c>
      <c r="E3266" s="22" t="s">
        <v>10</v>
      </c>
      <c r="F3266" s="22" t="s">
        <v>11</v>
      </c>
      <c r="G3266" s="22" t="s">
        <v>12</v>
      </c>
    </row>
    <row r="3267" ht="15.15" spans="1:7">
      <c r="A3267" s="20">
        <v>3265</v>
      </c>
      <c r="B3267" s="20">
        <v>1921</v>
      </c>
      <c r="C3267" s="21">
        <v>45049</v>
      </c>
      <c r="D3267" s="20">
        <v>3291.84</v>
      </c>
      <c r="E3267" s="22" t="s">
        <v>10</v>
      </c>
      <c r="F3267" s="22" t="s">
        <v>18</v>
      </c>
      <c r="G3267" s="22" t="s">
        <v>12</v>
      </c>
    </row>
    <row r="3268" ht="15.15" spans="1:7">
      <c r="A3268" s="20">
        <v>3266</v>
      </c>
      <c r="B3268" s="20">
        <v>9732</v>
      </c>
      <c r="C3268" s="21">
        <v>45258</v>
      </c>
      <c r="D3268" s="20">
        <v>3291.84</v>
      </c>
      <c r="E3268" s="22" t="s">
        <v>10</v>
      </c>
      <c r="F3268" s="22" t="s">
        <v>11</v>
      </c>
      <c r="G3268" s="22" t="s">
        <v>12</v>
      </c>
    </row>
    <row r="3269" ht="15.15" spans="1:7">
      <c r="A3269" s="20">
        <v>3267</v>
      </c>
      <c r="B3269" s="20">
        <v>7155</v>
      </c>
      <c r="C3269" s="21">
        <v>45225</v>
      </c>
      <c r="D3269" s="20">
        <v>3291.84</v>
      </c>
      <c r="E3269" s="22" t="s">
        <v>10</v>
      </c>
      <c r="F3269" s="22" t="s">
        <v>16</v>
      </c>
      <c r="G3269" s="22" t="s">
        <v>20</v>
      </c>
    </row>
    <row r="3270" ht="15.15" spans="1:7">
      <c r="A3270" s="20">
        <v>3268</v>
      </c>
      <c r="B3270" s="20">
        <v>5289</v>
      </c>
      <c r="C3270" s="21">
        <v>44948</v>
      </c>
      <c r="D3270" s="20">
        <v>3291.84</v>
      </c>
      <c r="E3270" s="22" t="s">
        <v>10</v>
      </c>
      <c r="F3270" s="22" t="s">
        <v>16</v>
      </c>
      <c r="G3270" s="22" t="s">
        <v>20</v>
      </c>
    </row>
    <row r="3271" ht="15.15" spans="1:7">
      <c r="A3271" s="20">
        <v>3269</v>
      </c>
      <c r="B3271" s="20">
        <v>4419</v>
      </c>
      <c r="C3271" s="21">
        <v>45185</v>
      </c>
      <c r="D3271" s="20">
        <v>3291.84</v>
      </c>
      <c r="E3271" s="22" t="s">
        <v>10</v>
      </c>
      <c r="F3271" s="22" t="s">
        <v>16</v>
      </c>
      <c r="G3271" s="22" t="s">
        <v>15</v>
      </c>
    </row>
    <row r="3272" ht="15.15" spans="1:7">
      <c r="A3272" s="20">
        <v>3270</v>
      </c>
      <c r="B3272" s="20">
        <v>5246</v>
      </c>
      <c r="C3272" s="21">
        <v>45274</v>
      </c>
      <c r="D3272" s="20">
        <v>3291.84</v>
      </c>
      <c r="E3272" s="22" t="s">
        <v>10</v>
      </c>
      <c r="F3272" s="22" t="s">
        <v>19</v>
      </c>
      <c r="G3272" s="22" t="s">
        <v>17</v>
      </c>
    </row>
    <row r="3273" ht="15.15" spans="1:7">
      <c r="A3273" s="20">
        <v>3271</v>
      </c>
      <c r="B3273" s="20">
        <v>4847</v>
      </c>
      <c r="C3273" s="21">
        <v>45011</v>
      </c>
      <c r="D3273" s="20">
        <v>3291.84</v>
      </c>
      <c r="E3273" s="22" t="s">
        <v>10</v>
      </c>
      <c r="F3273" s="22" t="s">
        <v>14</v>
      </c>
      <c r="G3273" s="22" t="s">
        <v>20</v>
      </c>
    </row>
    <row r="3274" ht="15.15" spans="1:7">
      <c r="A3274" s="20">
        <v>3272</v>
      </c>
      <c r="B3274" s="20">
        <v>2627</v>
      </c>
      <c r="C3274" s="21">
        <v>45283</v>
      </c>
      <c r="D3274" s="20">
        <v>3291.84</v>
      </c>
      <c r="E3274" s="22" t="s">
        <v>10</v>
      </c>
      <c r="F3274" s="22" t="s">
        <v>11</v>
      </c>
      <c r="G3274" s="22" t="s">
        <v>15</v>
      </c>
    </row>
    <row r="3275" ht="15.15" spans="1:7">
      <c r="A3275" s="20">
        <v>3273</v>
      </c>
      <c r="B3275" s="20">
        <v>4110</v>
      </c>
      <c r="C3275" s="21">
        <v>45203</v>
      </c>
      <c r="D3275" s="20">
        <v>3291.84</v>
      </c>
      <c r="E3275" s="22" t="s">
        <v>10</v>
      </c>
      <c r="F3275" s="22" t="s">
        <v>14</v>
      </c>
      <c r="G3275" s="22" t="s">
        <v>12</v>
      </c>
    </row>
    <row r="3276" ht="15.15" spans="1:7">
      <c r="A3276" s="20">
        <v>3274</v>
      </c>
      <c r="B3276" s="20">
        <v>9923</v>
      </c>
      <c r="C3276" s="21">
        <v>45072</v>
      </c>
      <c r="D3276" s="20">
        <v>3291.84</v>
      </c>
      <c r="E3276" s="22" t="s">
        <v>10</v>
      </c>
      <c r="F3276" s="22" t="s">
        <v>14</v>
      </c>
      <c r="G3276" s="22" t="s">
        <v>17</v>
      </c>
    </row>
    <row r="3277" ht="15.15" spans="1:7">
      <c r="A3277" s="20">
        <v>3275</v>
      </c>
      <c r="B3277" s="20">
        <v>4208</v>
      </c>
      <c r="C3277" s="21">
        <v>45060</v>
      </c>
      <c r="D3277" s="20">
        <v>3291.84</v>
      </c>
      <c r="E3277" s="22" t="s">
        <v>10</v>
      </c>
      <c r="F3277" s="22" t="s">
        <v>13</v>
      </c>
      <c r="G3277" s="22" t="s">
        <v>20</v>
      </c>
    </row>
    <row r="3278" ht="15.15" spans="1:7">
      <c r="A3278" s="20">
        <v>3276</v>
      </c>
      <c r="B3278" s="20">
        <v>5635</v>
      </c>
      <c r="C3278" s="21">
        <v>45242</v>
      </c>
      <c r="D3278" s="20">
        <v>3291.84</v>
      </c>
      <c r="E3278" s="22" t="s">
        <v>10</v>
      </c>
      <c r="F3278" s="22" t="s">
        <v>16</v>
      </c>
      <c r="G3278" s="22" t="s">
        <v>15</v>
      </c>
    </row>
    <row r="3279" ht="15.15" spans="1:7">
      <c r="A3279" s="20">
        <v>3277</v>
      </c>
      <c r="B3279" s="20">
        <v>8741</v>
      </c>
      <c r="C3279" s="21">
        <v>45267</v>
      </c>
      <c r="D3279" s="20">
        <v>3291.84</v>
      </c>
      <c r="E3279" s="22" t="s">
        <v>10</v>
      </c>
      <c r="F3279" s="22" t="s">
        <v>16</v>
      </c>
      <c r="G3279" s="22" t="s">
        <v>12</v>
      </c>
    </row>
    <row r="3280" ht="15.15" spans="1:7">
      <c r="A3280" s="20">
        <v>3278</v>
      </c>
      <c r="B3280" s="20">
        <v>253</v>
      </c>
      <c r="C3280" s="21">
        <v>45143</v>
      </c>
      <c r="D3280" s="20">
        <v>3291.84</v>
      </c>
      <c r="E3280" s="22" t="s">
        <v>10</v>
      </c>
      <c r="F3280" s="22" t="s">
        <v>11</v>
      </c>
      <c r="G3280" s="22" t="s">
        <v>15</v>
      </c>
    </row>
    <row r="3281" ht="15.15" spans="1:7">
      <c r="A3281" s="20">
        <v>3279</v>
      </c>
      <c r="B3281" s="20">
        <v>7875</v>
      </c>
      <c r="C3281" s="21">
        <v>44933</v>
      </c>
      <c r="D3281" s="20">
        <v>3291.84</v>
      </c>
      <c r="E3281" s="22" t="s">
        <v>10</v>
      </c>
      <c r="F3281" s="22" t="s">
        <v>14</v>
      </c>
      <c r="G3281" s="22" t="s">
        <v>17</v>
      </c>
    </row>
    <row r="3282" ht="15.15" spans="1:7">
      <c r="A3282" s="20">
        <v>3280</v>
      </c>
      <c r="B3282" s="20">
        <v>8099</v>
      </c>
      <c r="C3282" s="21">
        <v>45168</v>
      </c>
      <c r="D3282" s="20">
        <v>3291.84</v>
      </c>
      <c r="E3282" s="22" t="s">
        <v>10</v>
      </c>
      <c r="F3282" s="22" t="s">
        <v>13</v>
      </c>
      <c r="G3282" s="22" t="s">
        <v>12</v>
      </c>
    </row>
    <row r="3283" ht="15.15" spans="1:7">
      <c r="A3283" s="20">
        <v>3281</v>
      </c>
      <c r="B3283" s="20">
        <v>6232</v>
      </c>
      <c r="C3283" s="21">
        <v>45290</v>
      </c>
      <c r="D3283" s="20">
        <v>3291.84</v>
      </c>
      <c r="E3283" s="22" t="s">
        <v>10</v>
      </c>
      <c r="F3283" s="22" t="s">
        <v>11</v>
      </c>
      <c r="G3283" s="22" t="s">
        <v>20</v>
      </c>
    </row>
    <row r="3284" ht="15.15" spans="1:7">
      <c r="A3284" s="20">
        <v>3282</v>
      </c>
      <c r="B3284" s="20">
        <v>9281</v>
      </c>
      <c r="C3284" s="21">
        <v>45260</v>
      </c>
      <c r="D3284" s="20">
        <v>3291.84</v>
      </c>
      <c r="E3284" s="22" t="s">
        <v>10</v>
      </c>
      <c r="F3284" s="22" t="s">
        <v>14</v>
      </c>
      <c r="G3284" s="22" t="s">
        <v>12</v>
      </c>
    </row>
    <row r="3285" ht="15.15" spans="1:7">
      <c r="A3285" s="20">
        <v>3283</v>
      </c>
      <c r="B3285" s="20">
        <v>3520</v>
      </c>
      <c r="C3285" s="21">
        <v>45121</v>
      </c>
      <c r="D3285" s="20">
        <v>3291.84</v>
      </c>
      <c r="E3285" s="22" t="s">
        <v>10</v>
      </c>
      <c r="F3285" s="22" t="s">
        <v>18</v>
      </c>
      <c r="G3285" s="22" t="s">
        <v>17</v>
      </c>
    </row>
    <row r="3286" ht="15.15" spans="1:7">
      <c r="A3286" s="20">
        <v>3284</v>
      </c>
      <c r="B3286" s="20">
        <v>8260</v>
      </c>
      <c r="C3286" s="21">
        <v>45206</v>
      </c>
      <c r="D3286" s="20">
        <v>3291.84</v>
      </c>
      <c r="E3286" s="22" t="s">
        <v>10</v>
      </c>
      <c r="F3286" s="22" t="s">
        <v>18</v>
      </c>
      <c r="G3286" s="22" t="s">
        <v>17</v>
      </c>
    </row>
    <row r="3287" ht="15.15" spans="1:7">
      <c r="A3287" s="20">
        <v>3285</v>
      </c>
      <c r="B3287" s="20">
        <v>5188</v>
      </c>
      <c r="C3287" s="21">
        <v>45078</v>
      </c>
      <c r="D3287" s="20">
        <v>3291.84</v>
      </c>
      <c r="E3287" s="22" t="s">
        <v>10</v>
      </c>
      <c r="F3287" s="22" t="s">
        <v>14</v>
      </c>
      <c r="G3287" s="22" t="s">
        <v>17</v>
      </c>
    </row>
    <row r="3288" ht="15.15" spans="1:7">
      <c r="A3288" s="20">
        <v>3286</v>
      </c>
      <c r="B3288" s="20">
        <v>5862</v>
      </c>
      <c r="C3288" s="21">
        <v>45050</v>
      </c>
      <c r="D3288" s="20">
        <v>3291.84</v>
      </c>
      <c r="E3288" s="22" t="s">
        <v>10</v>
      </c>
      <c r="F3288" s="22" t="s">
        <v>11</v>
      </c>
      <c r="G3288" s="22" t="s">
        <v>20</v>
      </c>
    </row>
    <row r="3289" ht="15.15" spans="1:7">
      <c r="A3289" s="20">
        <v>3287</v>
      </c>
      <c r="B3289" s="20">
        <v>954</v>
      </c>
      <c r="C3289" s="21">
        <v>44927</v>
      </c>
      <c r="D3289" s="20">
        <v>3291.84</v>
      </c>
      <c r="E3289" s="22" t="s">
        <v>10</v>
      </c>
      <c r="F3289" s="22" t="s">
        <v>16</v>
      </c>
      <c r="G3289" s="22" t="s">
        <v>15</v>
      </c>
    </row>
    <row r="3290" ht="15.15" spans="1:7">
      <c r="A3290" s="20">
        <v>3288</v>
      </c>
      <c r="B3290" s="20">
        <v>8691</v>
      </c>
      <c r="C3290" s="21">
        <v>45268</v>
      </c>
      <c r="D3290" s="20">
        <v>3291.84</v>
      </c>
      <c r="E3290" s="22" t="s">
        <v>21</v>
      </c>
      <c r="F3290" s="22" t="s">
        <v>13</v>
      </c>
      <c r="G3290" s="22" t="s">
        <v>17</v>
      </c>
    </row>
    <row r="3291" ht="15.15" spans="1:7">
      <c r="A3291" s="20">
        <v>3289</v>
      </c>
      <c r="B3291" s="20">
        <v>3123</v>
      </c>
      <c r="C3291" s="21">
        <v>45243</v>
      </c>
      <c r="D3291" s="20">
        <v>3291.84</v>
      </c>
      <c r="E3291" s="22" t="s">
        <v>10</v>
      </c>
      <c r="F3291" s="22" t="s">
        <v>18</v>
      </c>
      <c r="G3291" s="22" t="s">
        <v>15</v>
      </c>
    </row>
    <row r="3292" ht="15.15" spans="1:7">
      <c r="A3292" s="20">
        <v>3290</v>
      </c>
      <c r="B3292" s="20">
        <v>8445</v>
      </c>
      <c r="C3292" s="21">
        <v>45237</v>
      </c>
      <c r="D3292" s="20">
        <v>3291.84</v>
      </c>
      <c r="E3292" s="22" t="s">
        <v>10</v>
      </c>
      <c r="F3292" s="22" t="s">
        <v>13</v>
      </c>
      <c r="G3292" s="22" t="s">
        <v>15</v>
      </c>
    </row>
    <row r="3293" ht="15.15" spans="1:7">
      <c r="A3293" s="20">
        <v>3291</v>
      </c>
      <c r="B3293" s="20">
        <v>7286</v>
      </c>
      <c r="C3293" s="21">
        <v>44997</v>
      </c>
      <c r="D3293" s="20">
        <v>3291.84</v>
      </c>
      <c r="E3293" s="22" t="s">
        <v>10</v>
      </c>
      <c r="F3293" s="22" t="s">
        <v>18</v>
      </c>
      <c r="G3293" s="22" t="s">
        <v>15</v>
      </c>
    </row>
    <row r="3294" ht="15.15" spans="1:7">
      <c r="A3294" s="20">
        <v>3292</v>
      </c>
      <c r="B3294" s="20">
        <v>498</v>
      </c>
      <c r="C3294" s="21">
        <v>45096</v>
      </c>
      <c r="D3294" s="20">
        <v>3291.84</v>
      </c>
      <c r="E3294" s="22" t="s">
        <v>10</v>
      </c>
      <c r="F3294" s="22" t="s">
        <v>14</v>
      </c>
      <c r="G3294" s="22" t="s">
        <v>15</v>
      </c>
    </row>
    <row r="3295" ht="15.15" spans="1:7">
      <c r="A3295" s="20">
        <v>3293</v>
      </c>
      <c r="B3295" s="20">
        <v>1059</v>
      </c>
      <c r="C3295" s="21">
        <v>45183</v>
      </c>
      <c r="D3295" s="20">
        <v>3291.84</v>
      </c>
      <c r="E3295" s="22" t="s">
        <v>10</v>
      </c>
      <c r="F3295" s="22" t="s">
        <v>18</v>
      </c>
      <c r="G3295" s="22" t="s">
        <v>20</v>
      </c>
    </row>
    <row r="3296" ht="15.15" spans="1:7">
      <c r="A3296" s="20">
        <v>3294</v>
      </c>
      <c r="B3296" s="20">
        <v>9630</v>
      </c>
      <c r="C3296" s="21">
        <v>45219</v>
      </c>
      <c r="D3296" s="20">
        <v>3291.84</v>
      </c>
      <c r="E3296" s="22" t="s">
        <v>10</v>
      </c>
      <c r="F3296" s="22" t="s">
        <v>16</v>
      </c>
      <c r="G3296" s="22" t="s">
        <v>17</v>
      </c>
    </row>
    <row r="3297" ht="15.15" spans="1:7">
      <c r="A3297" s="20">
        <v>3295</v>
      </c>
      <c r="B3297" s="20">
        <v>8464</v>
      </c>
      <c r="C3297" s="21">
        <v>45048</v>
      </c>
      <c r="D3297" s="20">
        <v>3291.84</v>
      </c>
      <c r="E3297" s="22" t="s">
        <v>22</v>
      </c>
      <c r="F3297" s="22" t="s">
        <v>13</v>
      </c>
      <c r="G3297" s="22" t="s">
        <v>20</v>
      </c>
    </row>
    <row r="3298" ht="15.15" spans="1:7">
      <c r="A3298" s="20">
        <v>3296</v>
      </c>
      <c r="B3298" s="20">
        <v>2319</v>
      </c>
      <c r="C3298" s="21">
        <v>45013</v>
      </c>
      <c r="D3298" s="20">
        <v>3291.84</v>
      </c>
      <c r="E3298" s="22" t="s">
        <v>10</v>
      </c>
      <c r="F3298" s="22" t="s">
        <v>11</v>
      </c>
      <c r="G3298" s="22" t="s">
        <v>20</v>
      </c>
    </row>
    <row r="3299" ht="15.15" spans="1:7">
      <c r="A3299" s="20">
        <v>3297</v>
      </c>
      <c r="B3299" s="20">
        <v>1926</v>
      </c>
      <c r="C3299" s="21">
        <v>44943</v>
      </c>
      <c r="D3299" s="20">
        <v>3291.84</v>
      </c>
      <c r="E3299" s="22" t="s">
        <v>10</v>
      </c>
      <c r="F3299" s="22" t="s">
        <v>16</v>
      </c>
      <c r="G3299" s="22" t="s">
        <v>17</v>
      </c>
    </row>
    <row r="3300" ht="15.15" spans="1:7">
      <c r="A3300" s="20">
        <v>3298</v>
      </c>
      <c r="B3300" s="20">
        <v>2411</v>
      </c>
      <c r="C3300" s="21">
        <v>44999</v>
      </c>
      <c r="D3300" s="20">
        <v>3291.84</v>
      </c>
      <c r="E3300" s="22" t="s">
        <v>22</v>
      </c>
      <c r="F3300" s="22" t="s">
        <v>13</v>
      </c>
      <c r="G3300" s="22" t="s">
        <v>12</v>
      </c>
    </row>
    <row r="3301" ht="15.15" spans="1:7">
      <c r="A3301" s="20">
        <v>3299</v>
      </c>
      <c r="B3301" s="20">
        <v>4829</v>
      </c>
      <c r="C3301" s="21">
        <v>45045</v>
      </c>
      <c r="D3301" s="20">
        <v>3291.84</v>
      </c>
      <c r="E3301" s="22" t="s">
        <v>10</v>
      </c>
      <c r="F3301" s="22" t="s">
        <v>13</v>
      </c>
      <c r="G3301" s="22" t="s">
        <v>20</v>
      </c>
    </row>
    <row r="3302" ht="15.15" spans="1:7">
      <c r="A3302" s="20">
        <v>3300</v>
      </c>
      <c r="B3302" s="20">
        <v>3692</v>
      </c>
      <c r="C3302" s="21">
        <v>45024</v>
      </c>
      <c r="D3302" s="20">
        <v>3291.84</v>
      </c>
      <c r="E3302" s="22" t="s">
        <v>10</v>
      </c>
      <c r="F3302" s="22" t="s">
        <v>13</v>
      </c>
      <c r="G3302" s="22" t="s">
        <v>12</v>
      </c>
    </row>
    <row r="3303" ht="15.15" spans="1:7">
      <c r="A3303" s="20">
        <v>3301</v>
      </c>
      <c r="B3303" s="20">
        <v>5504</v>
      </c>
      <c r="C3303" s="21">
        <v>45258</v>
      </c>
      <c r="D3303" s="20">
        <v>3291.84</v>
      </c>
      <c r="E3303" s="22" t="s">
        <v>10</v>
      </c>
      <c r="F3303" s="22" t="s">
        <v>14</v>
      </c>
      <c r="G3303" s="22" t="s">
        <v>12</v>
      </c>
    </row>
    <row r="3304" ht="15.15" spans="1:7">
      <c r="A3304" s="20">
        <v>3302</v>
      </c>
      <c r="B3304" s="20">
        <v>516</v>
      </c>
      <c r="C3304" s="21">
        <v>45141</v>
      </c>
      <c r="D3304" s="20">
        <v>3291.84</v>
      </c>
      <c r="E3304" s="22" t="s">
        <v>10</v>
      </c>
      <c r="F3304" s="22" t="s">
        <v>14</v>
      </c>
      <c r="G3304" s="22" t="s">
        <v>15</v>
      </c>
    </row>
    <row r="3305" ht="15.15" spans="1:7">
      <c r="A3305" s="20">
        <v>3303</v>
      </c>
      <c r="B3305" s="20">
        <v>461</v>
      </c>
      <c r="C3305" s="21">
        <v>45097</v>
      </c>
      <c r="D3305" s="20">
        <v>3291.84</v>
      </c>
      <c r="E3305" s="22" t="s">
        <v>10</v>
      </c>
      <c r="F3305" s="22" t="s">
        <v>13</v>
      </c>
      <c r="G3305" s="22" t="s">
        <v>20</v>
      </c>
    </row>
    <row r="3306" ht="15.15" spans="1:7">
      <c r="A3306" s="20">
        <v>3304</v>
      </c>
      <c r="B3306" s="20">
        <v>1265</v>
      </c>
      <c r="C3306" s="21">
        <v>45211</v>
      </c>
      <c r="D3306" s="20">
        <v>3291.84</v>
      </c>
      <c r="E3306" s="22" t="s">
        <v>10</v>
      </c>
      <c r="F3306" s="22" t="s">
        <v>13</v>
      </c>
      <c r="G3306" s="22" t="s">
        <v>20</v>
      </c>
    </row>
    <row r="3307" ht="15.15" spans="1:7">
      <c r="A3307" s="20">
        <v>3305</v>
      </c>
      <c r="B3307" s="20">
        <v>2422</v>
      </c>
      <c r="C3307" s="21">
        <v>45028</v>
      </c>
      <c r="D3307" s="20">
        <v>3291.84</v>
      </c>
      <c r="E3307" s="22" t="s">
        <v>10</v>
      </c>
      <c r="F3307" s="22" t="s">
        <v>11</v>
      </c>
      <c r="G3307" s="22" t="s">
        <v>15</v>
      </c>
    </row>
    <row r="3308" ht="15.15" spans="1:7">
      <c r="A3308" s="20">
        <v>3306</v>
      </c>
      <c r="B3308" s="20">
        <v>9197</v>
      </c>
      <c r="C3308" s="21">
        <v>44972</v>
      </c>
      <c r="D3308" s="20">
        <v>3291.84</v>
      </c>
      <c r="E3308" s="22" t="s">
        <v>10</v>
      </c>
      <c r="F3308" s="22" t="s">
        <v>11</v>
      </c>
      <c r="G3308" s="22" t="s">
        <v>17</v>
      </c>
    </row>
    <row r="3309" ht="15.15" spans="1:7">
      <c r="A3309" s="20">
        <v>3307</v>
      </c>
      <c r="B3309" s="20">
        <v>4783</v>
      </c>
      <c r="C3309" s="21">
        <v>45279</v>
      </c>
      <c r="D3309" s="20">
        <v>3291.84</v>
      </c>
      <c r="E3309" s="22" t="s">
        <v>10</v>
      </c>
      <c r="F3309" s="22" t="s">
        <v>16</v>
      </c>
      <c r="G3309" s="22" t="s">
        <v>20</v>
      </c>
    </row>
    <row r="3310" ht="15.15" spans="1:7">
      <c r="A3310" s="20">
        <v>3308</v>
      </c>
      <c r="B3310" s="20">
        <v>7352</v>
      </c>
      <c r="C3310" s="21">
        <v>45241</v>
      </c>
      <c r="D3310" s="20">
        <v>3291.84</v>
      </c>
      <c r="E3310" s="22" t="s">
        <v>10</v>
      </c>
      <c r="F3310" s="22" t="s">
        <v>18</v>
      </c>
      <c r="G3310" s="22" t="s">
        <v>20</v>
      </c>
    </row>
    <row r="3311" ht="15.15" spans="1:7">
      <c r="A3311" s="20">
        <v>3309</v>
      </c>
      <c r="B3311" s="20">
        <v>2132</v>
      </c>
      <c r="C3311" s="21">
        <v>44930</v>
      </c>
      <c r="D3311" s="20">
        <v>3291.84</v>
      </c>
      <c r="E3311" s="22" t="s">
        <v>10</v>
      </c>
      <c r="F3311" s="22" t="s">
        <v>16</v>
      </c>
      <c r="G3311" s="22" t="s">
        <v>17</v>
      </c>
    </row>
    <row r="3312" ht="15.15" spans="1:7">
      <c r="A3312" s="20">
        <v>3310</v>
      </c>
      <c r="B3312" s="20">
        <v>8657</v>
      </c>
      <c r="C3312" s="21">
        <v>45267</v>
      </c>
      <c r="D3312" s="20">
        <v>3291.84</v>
      </c>
      <c r="E3312" s="22" t="s">
        <v>10</v>
      </c>
      <c r="F3312" s="22" t="s">
        <v>13</v>
      </c>
      <c r="G3312" s="22" t="s">
        <v>20</v>
      </c>
    </row>
    <row r="3313" ht="15.15" spans="1:7">
      <c r="A3313" s="20">
        <v>3311</v>
      </c>
      <c r="B3313" s="20">
        <v>4321</v>
      </c>
      <c r="C3313" s="21">
        <v>45146</v>
      </c>
      <c r="D3313" s="20">
        <v>3291.84</v>
      </c>
      <c r="E3313" s="22" t="s">
        <v>10</v>
      </c>
      <c r="F3313" s="22" t="s">
        <v>18</v>
      </c>
      <c r="G3313" s="22" t="s">
        <v>12</v>
      </c>
    </row>
    <row r="3314" ht="15.15" spans="1:7">
      <c r="A3314" s="20">
        <v>3312</v>
      </c>
      <c r="B3314" s="20">
        <v>9522</v>
      </c>
      <c r="C3314" s="21">
        <v>45041</v>
      </c>
      <c r="D3314" s="20">
        <v>3291.84</v>
      </c>
      <c r="E3314" s="22" t="s">
        <v>10</v>
      </c>
      <c r="F3314" s="22" t="s">
        <v>14</v>
      </c>
      <c r="G3314" s="22" t="s">
        <v>20</v>
      </c>
    </row>
    <row r="3315" ht="15.15" spans="1:7">
      <c r="A3315" s="20">
        <v>3313</v>
      </c>
      <c r="B3315" s="20">
        <v>2841</v>
      </c>
      <c r="C3315" s="21">
        <v>45004</v>
      </c>
      <c r="D3315" s="20">
        <v>3291.84</v>
      </c>
      <c r="E3315" s="22" t="s">
        <v>10</v>
      </c>
      <c r="F3315" s="22" t="s">
        <v>18</v>
      </c>
      <c r="G3315" s="22" t="s">
        <v>20</v>
      </c>
    </row>
    <row r="3316" ht="15.15" spans="1:7">
      <c r="A3316" s="20">
        <v>3314</v>
      </c>
      <c r="B3316" s="20">
        <v>7307</v>
      </c>
      <c r="C3316" s="21">
        <v>44994</v>
      </c>
      <c r="D3316" s="20">
        <v>3291.84</v>
      </c>
      <c r="E3316" s="22" t="s">
        <v>10</v>
      </c>
      <c r="F3316" s="22" t="s">
        <v>14</v>
      </c>
      <c r="G3316" s="22" t="s">
        <v>17</v>
      </c>
    </row>
    <row r="3317" ht="15.15" spans="1:7">
      <c r="A3317" s="20">
        <v>3315</v>
      </c>
      <c r="B3317" s="20">
        <v>8183</v>
      </c>
      <c r="C3317" s="21">
        <v>45055</v>
      </c>
      <c r="D3317" s="20">
        <v>3291.84</v>
      </c>
      <c r="E3317" s="22" t="s">
        <v>10</v>
      </c>
      <c r="F3317" s="22" t="s">
        <v>16</v>
      </c>
      <c r="G3317" s="22" t="s">
        <v>15</v>
      </c>
    </row>
    <row r="3318" ht="15.15" spans="1:7">
      <c r="A3318" s="20">
        <v>3316</v>
      </c>
      <c r="B3318" s="20">
        <v>7688</v>
      </c>
      <c r="C3318" s="21">
        <v>44977</v>
      </c>
      <c r="D3318" s="20">
        <v>3291.84</v>
      </c>
      <c r="E3318" s="22" t="s">
        <v>10</v>
      </c>
      <c r="F3318" s="22" t="s">
        <v>18</v>
      </c>
      <c r="G3318" s="22" t="s">
        <v>17</v>
      </c>
    </row>
    <row r="3319" ht="15.15" spans="1:7">
      <c r="A3319" s="20">
        <v>3317</v>
      </c>
      <c r="B3319" s="20">
        <v>5692</v>
      </c>
      <c r="C3319" s="21">
        <v>45135</v>
      </c>
      <c r="D3319" s="20">
        <v>3291.84</v>
      </c>
      <c r="E3319" s="22" t="s">
        <v>10</v>
      </c>
      <c r="F3319" s="22" t="s">
        <v>13</v>
      </c>
      <c r="G3319" s="22" t="s">
        <v>20</v>
      </c>
    </row>
    <row r="3320" ht="15.15" spans="1:7">
      <c r="A3320" s="20">
        <v>3318</v>
      </c>
      <c r="B3320" s="20">
        <v>3252</v>
      </c>
      <c r="C3320" s="21">
        <v>44967</v>
      </c>
      <c r="D3320" s="20">
        <v>3291.84</v>
      </c>
      <c r="E3320" s="22" t="s">
        <v>10</v>
      </c>
      <c r="F3320" s="22" t="s">
        <v>14</v>
      </c>
      <c r="G3320" s="22" t="s">
        <v>15</v>
      </c>
    </row>
    <row r="3321" ht="15.15" spans="1:7">
      <c r="A3321" s="20">
        <v>3319</v>
      </c>
      <c r="B3321" s="20">
        <v>8046</v>
      </c>
      <c r="C3321" s="21">
        <v>45225</v>
      </c>
      <c r="D3321" s="20">
        <v>3291.84</v>
      </c>
      <c r="E3321" s="22" t="s">
        <v>10</v>
      </c>
      <c r="F3321" s="22" t="s">
        <v>18</v>
      </c>
      <c r="G3321" s="22" t="s">
        <v>15</v>
      </c>
    </row>
    <row r="3322" ht="15.15" spans="1:7">
      <c r="A3322" s="20">
        <v>3320</v>
      </c>
      <c r="B3322" s="20">
        <v>8286</v>
      </c>
      <c r="C3322" s="21">
        <v>45130</v>
      </c>
      <c r="D3322" s="20">
        <v>3291.84</v>
      </c>
      <c r="E3322" s="22" t="s">
        <v>10</v>
      </c>
      <c r="F3322" s="22" t="s">
        <v>16</v>
      </c>
      <c r="G3322" s="22" t="s">
        <v>12</v>
      </c>
    </row>
    <row r="3323" ht="15.15" spans="1:7">
      <c r="A3323" s="20">
        <v>3321</v>
      </c>
      <c r="B3323" s="20">
        <v>3891</v>
      </c>
      <c r="C3323" s="21">
        <v>44952</v>
      </c>
      <c r="D3323" s="20">
        <v>3291.84</v>
      </c>
      <c r="E3323" s="22" t="s">
        <v>10</v>
      </c>
      <c r="F3323" s="22" t="s">
        <v>14</v>
      </c>
      <c r="G3323" s="22" t="s">
        <v>15</v>
      </c>
    </row>
    <row r="3324" ht="15.15" spans="1:7">
      <c r="A3324" s="20">
        <v>3322</v>
      </c>
      <c r="B3324" s="20">
        <v>6125</v>
      </c>
      <c r="C3324" s="21">
        <v>45081</v>
      </c>
      <c r="D3324" s="20">
        <v>3291.84</v>
      </c>
      <c r="E3324" s="22" t="s">
        <v>10</v>
      </c>
      <c r="F3324" s="22" t="s">
        <v>18</v>
      </c>
      <c r="G3324" s="22" t="s">
        <v>12</v>
      </c>
    </row>
    <row r="3325" ht="15.15" spans="1:7">
      <c r="A3325" s="20">
        <v>3323</v>
      </c>
      <c r="B3325" s="20">
        <v>6309</v>
      </c>
      <c r="C3325" s="21">
        <v>45022</v>
      </c>
      <c r="D3325" s="20">
        <v>3291.84</v>
      </c>
      <c r="E3325" s="22" t="s">
        <v>10</v>
      </c>
      <c r="F3325" s="22" t="s">
        <v>13</v>
      </c>
      <c r="G3325" s="22" t="s">
        <v>15</v>
      </c>
    </row>
    <row r="3326" ht="15.15" spans="1:7">
      <c r="A3326" s="20">
        <v>3324</v>
      </c>
      <c r="B3326" s="20">
        <v>4042</v>
      </c>
      <c r="C3326" s="21">
        <v>44965</v>
      </c>
      <c r="D3326" s="20">
        <v>3291.84</v>
      </c>
      <c r="E3326" s="22" t="s">
        <v>10</v>
      </c>
      <c r="F3326" s="22" t="s">
        <v>11</v>
      </c>
      <c r="G3326" s="22" t="s">
        <v>15</v>
      </c>
    </row>
    <row r="3327" ht="15.15" spans="1:7">
      <c r="A3327" s="20">
        <v>3325</v>
      </c>
      <c r="B3327" s="20">
        <v>2198</v>
      </c>
      <c r="C3327" s="21">
        <v>45199</v>
      </c>
      <c r="D3327" s="20">
        <v>3291.84</v>
      </c>
      <c r="E3327" s="22" t="s">
        <v>10</v>
      </c>
      <c r="F3327" s="22" t="s">
        <v>14</v>
      </c>
      <c r="G3327" s="22" t="s">
        <v>12</v>
      </c>
    </row>
    <row r="3328" ht="15.15" spans="1:7">
      <c r="A3328" s="20">
        <v>3326</v>
      </c>
      <c r="B3328" s="20">
        <v>1045</v>
      </c>
      <c r="C3328" s="21">
        <v>45244</v>
      </c>
      <c r="D3328" s="20">
        <v>3291.84</v>
      </c>
      <c r="E3328" s="22" t="s">
        <v>10</v>
      </c>
      <c r="F3328" s="22" t="s">
        <v>16</v>
      </c>
      <c r="G3328" s="22" t="s">
        <v>12</v>
      </c>
    </row>
    <row r="3329" ht="15.15" spans="1:7">
      <c r="A3329" s="20">
        <v>3327</v>
      </c>
      <c r="B3329" s="20">
        <v>2107</v>
      </c>
      <c r="C3329" s="21">
        <v>45150</v>
      </c>
      <c r="D3329" s="20">
        <v>3291.84</v>
      </c>
      <c r="E3329" s="22" t="s">
        <v>10</v>
      </c>
      <c r="F3329" s="22" t="s">
        <v>11</v>
      </c>
      <c r="G3329" s="22" t="s">
        <v>20</v>
      </c>
    </row>
    <row r="3330" ht="15.15" spans="1:7">
      <c r="A3330" s="20">
        <v>3328</v>
      </c>
      <c r="B3330" s="20">
        <v>431</v>
      </c>
      <c r="C3330" s="21">
        <v>45024</v>
      </c>
      <c r="D3330" s="20">
        <v>3291.84</v>
      </c>
      <c r="E3330" s="22" t="s">
        <v>10</v>
      </c>
      <c r="F3330" s="22" t="s">
        <v>16</v>
      </c>
      <c r="G3330" s="22" t="s">
        <v>15</v>
      </c>
    </row>
    <row r="3331" ht="15.15" spans="1:7">
      <c r="A3331" s="20">
        <v>3329</v>
      </c>
      <c r="B3331" s="20">
        <v>5451</v>
      </c>
      <c r="C3331" s="21">
        <v>45214</v>
      </c>
      <c r="D3331" s="20">
        <v>3291.84</v>
      </c>
      <c r="E3331" s="22" t="s">
        <v>10</v>
      </c>
      <c r="F3331" s="22" t="s">
        <v>14</v>
      </c>
      <c r="G3331" s="22" t="s">
        <v>20</v>
      </c>
    </row>
    <row r="3332" ht="15.15" spans="1:7">
      <c r="A3332" s="20">
        <v>3330</v>
      </c>
      <c r="B3332" s="20">
        <v>9706</v>
      </c>
      <c r="C3332" s="21">
        <v>44946</v>
      </c>
      <c r="D3332" s="20">
        <v>3291.84</v>
      </c>
      <c r="E3332" s="22" t="s">
        <v>10</v>
      </c>
      <c r="F3332" s="22" t="s">
        <v>14</v>
      </c>
      <c r="G3332" s="22" t="s">
        <v>17</v>
      </c>
    </row>
    <row r="3333" ht="15.15" spans="1:7">
      <c r="A3333" s="20">
        <v>3331</v>
      </c>
      <c r="B3333" s="20">
        <v>1441</v>
      </c>
      <c r="C3333" s="21">
        <v>45246</v>
      </c>
      <c r="D3333" s="20">
        <v>3291.84</v>
      </c>
      <c r="E3333" s="22" t="s">
        <v>10</v>
      </c>
      <c r="F3333" s="22" t="s">
        <v>11</v>
      </c>
      <c r="G3333" s="22" t="s">
        <v>20</v>
      </c>
    </row>
    <row r="3334" ht="15.15" spans="1:7">
      <c r="A3334" s="20">
        <v>3332</v>
      </c>
      <c r="B3334" s="20">
        <v>584</v>
      </c>
      <c r="C3334" s="21">
        <v>45163</v>
      </c>
      <c r="D3334" s="20">
        <v>3291.84</v>
      </c>
      <c r="E3334" s="22" t="s">
        <v>10</v>
      </c>
      <c r="F3334" s="22" t="s">
        <v>18</v>
      </c>
      <c r="G3334" s="22" t="s">
        <v>15</v>
      </c>
    </row>
    <row r="3335" ht="15.15" spans="1:7">
      <c r="A3335" s="20">
        <v>3333</v>
      </c>
      <c r="B3335" s="20">
        <v>4278</v>
      </c>
      <c r="C3335" s="21">
        <v>45181</v>
      </c>
      <c r="D3335" s="20">
        <v>3291.84</v>
      </c>
      <c r="E3335" s="22" t="s">
        <v>10</v>
      </c>
      <c r="F3335" s="22" t="s">
        <v>11</v>
      </c>
      <c r="G3335" s="22" t="s">
        <v>17</v>
      </c>
    </row>
    <row r="3336" ht="15.15" spans="1:7">
      <c r="A3336" s="20">
        <v>3334</v>
      </c>
      <c r="B3336" s="20">
        <v>3236</v>
      </c>
      <c r="C3336" s="21">
        <v>45054</v>
      </c>
      <c r="D3336" s="20">
        <v>3291.84</v>
      </c>
      <c r="E3336" s="22" t="s">
        <v>10</v>
      </c>
      <c r="F3336" s="22" t="s">
        <v>18</v>
      </c>
      <c r="G3336" s="22" t="s">
        <v>12</v>
      </c>
    </row>
    <row r="3337" ht="15.15" spans="1:7">
      <c r="A3337" s="20">
        <v>3335</v>
      </c>
      <c r="B3337" s="20">
        <v>2292</v>
      </c>
      <c r="C3337" s="21">
        <v>45222</v>
      </c>
      <c r="D3337" s="20">
        <v>3291.84</v>
      </c>
      <c r="E3337" s="22" t="s">
        <v>10</v>
      </c>
      <c r="F3337" s="22" t="s">
        <v>16</v>
      </c>
      <c r="G3337" s="22" t="s">
        <v>17</v>
      </c>
    </row>
    <row r="3338" ht="15.15" spans="1:7">
      <c r="A3338" s="20">
        <v>3336</v>
      </c>
      <c r="B3338" s="20">
        <v>7621</v>
      </c>
      <c r="C3338" s="21">
        <v>45193</v>
      </c>
      <c r="D3338" s="20">
        <v>3291.84</v>
      </c>
      <c r="E3338" s="22" t="s">
        <v>10</v>
      </c>
      <c r="F3338" s="22" t="s">
        <v>14</v>
      </c>
      <c r="G3338" s="22" t="s">
        <v>20</v>
      </c>
    </row>
    <row r="3339" ht="15.15" spans="1:7">
      <c r="A3339" s="20">
        <v>3337</v>
      </c>
      <c r="B3339" s="20">
        <v>2136</v>
      </c>
      <c r="C3339" s="21">
        <v>45267</v>
      </c>
      <c r="D3339" s="20">
        <v>3291.84</v>
      </c>
      <c r="E3339" s="22" t="s">
        <v>10</v>
      </c>
      <c r="F3339" s="22" t="s">
        <v>18</v>
      </c>
      <c r="G3339" s="22" t="s">
        <v>15</v>
      </c>
    </row>
    <row r="3340" ht="15.15" spans="1:7">
      <c r="A3340" s="20">
        <v>3338</v>
      </c>
      <c r="B3340" s="20">
        <v>6833</v>
      </c>
      <c r="C3340" s="21">
        <v>44942</v>
      </c>
      <c r="D3340" s="20">
        <v>3291.84</v>
      </c>
      <c r="E3340" s="22" t="s">
        <v>10</v>
      </c>
      <c r="F3340" s="22" t="s">
        <v>16</v>
      </c>
      <c r="G3340" s="22" t="s">
        <v>20</v>
      </c>
    </row>
    <row r="3341" ht="15.15" spans="1:7">
      <c r="A3341" s="20">
        <v>3339</v>
      </c>
      <c r="B3341" s="20">
        <v>2094</v>
      </c>
      <c r="C3341" s="21">
        <v>45127</v>
      </c>
      <c r="D3341" s="20">
        <v>3291.84</v>
      </c>
      <c r="E3341" s="22" t="s">
        <v>10</v>
      </c>
      <c r="F3341" s="22" t="s">
        <v>18</v>
      </c>
      <c r="G3341" s="22" t="s">
        <v>15</v>
      </c>
    </row>
    <row r="3342" ht="15.15" spans="1:7">
      <c r="A3342" s="20">
        <v>3340</v>
      </c>
      <c r="B3342" s="20">
        <v>1954</v>
      </c>
      <c r="C3342" s="21">
        <v>45166</v>
      </c>
      <c r="D3342" s="20">
        <v>3291.84</v>
      </c>
      <c r="E3342" s="22" t="s">
        <v>10</v>
      </c>
      <c r="F3342" s="22" t="s">
        <v>16</v>
      </c>
      <c r="G3342" s="22" t="s">
        <v>12</v>
      </c>
    </row>
    <row r="3343" ht="15.15" spans="1:7">
      <c r="A3343" s="20">
        <v>3341</v>
      </c>
      <c r="B3343" s="20">
        <v>2583</v>
      </c>
      <c r="C3343" s="21">
        <v>45258</v>
      </c>
      <c r="D3343" s="20">
        <v>3291.84</v>
      </c>
      <c r="E3343" s="22" t="s">
        <v>10</v>
      </c>
      <c r="F3343" s="22" t="s">
        <v>13</v>
      </c>
      <c r="G3343" s="22" t="s">
        <v>15</v>
      </c>
    </row>
    <row r="3344" ht="15.15" spans="1:7">
      <c r="A3344" s="20">
        <v>3342</v>
      </c>
      <c r="B3344" s="20">
        <v>3397</v>
      </c>
      <c r="C3344" s="21">
        <v>45112</v>
      </c>
      <c r="D3344" s="20">
        <v>3291.84</v>
      </c>
      <c r="E3344" s="22" t="s">
        <v>10</v>
      </c>
      <c r="F3344" s="22" t="s">
        <v>11</v>
      </c>
      <c r="G3344" s="22" t="s">
        <v>12</v>
      </c>
    </row>
    <row r="3345" ht="15.15" spans="1:7">
      <c r="A3345" s="20">
        <v>3343</v>
      </c>
      <c r="B3345" s="20">
        <v>3896</v>
      </c>
      <c r="C3345" s="21">
        <v>45126</v>
      </c>
      <c r="D3345" s="20">
        <v>3291.84</v>
      </c>
      <c r="E3345" s="22" t="s">
        <v>21</v>
      </c>
      <c r="F3345" s="22" t="s">
        <v>14</v>
      </c>
      <c r="G3345" s="22" t="s">
        <v>20</v>
      </c>
    </row>
    <row r="3346" ht="15.15" spans="1:7">
      <c r="A3346" s="20">
        <v>3344</v>
      </c>
      <c r="B3346" s="20">
        <v>6526</v>
      </c>
      <c r="C3346" s="21">
        <v>44946</v>
      </c>
      <c r="D3346" s="20">
        <v>3291.84</v>
      </c>
      <c r="E3346" s="22" t="s">
        <v>10</v>
      </c>
      <c r="F3346" s="22" t="s">
        <v>11</v>
      </c>
      <c r="G3346" s="22" t="s">
        <v>17</v>
      </c>
    </row>
    <row r="3347" ht="15.15" spans="1:7">
      <c r="A3347" s="20">
        <v>3345</v>
      </c>
      <c r="B3347" s="20">
        <v>1263</v>
      </c>
      <c r="C3347" s="21">
        <v>45022</v>
      </c>
      <c r="D3347" s="20">
        <v>3291.84</v>
      </c>
      <c r="E3347" s="22" t="s">
        <v>10</v>
      </c>
      <c r="F3347" s="22" t="s">
        <v>11</v>
      </c>
      <c r="G3347" s="22" t="s">
        <v>15</v>
      </c>
    </row>
    <row r="3348" ht="15.15" spans="1:7">
      <c r="A3348" s="20">
        <v>3346</v>
      </c>
      <c r="B3348" s="20">
        <v>9865</v>
      </c>
      <c r="C3348" s="21">
        <v>45289</v>
      </c>
      <c r="D3348" s="20">
        <v>3291.84</v>
      </c>
      <c r="E3348" s="22" t="s">
        <v>10</v>
      </c>
      <c r="F3348" s="22" t="s">
        <v>13</v>
      </c>
      <c r="G3348" s="22" t="s">
        <v>12</v>
      </c>
    </row>
    <row r="3349" ht="15.15" spans="1:7">
      <c r="A3349" s="20">
        <v>3347</v>
      </c>
      <c r="B3349" s="20">
        <v>5511</v>
      </c>
      <c r="C3349" s="21">
        <v>45040</v>
      </c>
      <c r="D3349" s="20">
        <v>3291.84</v>
      </c>
      <c r="E3349" s="22" t="s">
        <v>21</v>
      </c>
      <c r="F3349" s="22" t="s">
        <v>14</v>
      </c>
      <c r="G3349" s="22" t="s">
        <v>17</v>
      </c>
    </row>
    <row r="3350" ht="15.15" spans="1:7">
      <c r="A3350" s="20">
        <v>3348</v>
      </c>
      <c r="B3350" s="20">
        <v>4252</v>
      </c>
      <c r="C3350" s="21">
        <v>45276</v>
      </c>
      <c r="D3350" s="20">
        <v>3291.84</v>
      </c>
      <c r="E3350" s="22" t="s">
        <v>10</v>
      </c>
      <c r="F3350" s="22" t="s">
        <v>11</v>
      </c>
      <c r="G3350" s="22" t="s">
        <v>12</v>
      </c>
    </row>
    <row r="3351" ht="15.15" spans="1:7">
      <c r="A3351" s="20">
        <v>3349</v>
      </c>
      <c r="B3351" s="20">
        <v>4298</v>
      </c>
      <c r="C3351" s="21">
        <v>45220</v>
      </c>
      <c r="D3351" s="20">
        <v>3291.84</v>
      </c>
      <c r="E3351" s="22" t="s">
        <v>10</v>
      </c>
      <c r="F3351" s="22" t="s">
        <v>14</v>
      </c>
      <c r="G3351" s="22" t="s">
        <v>15</v>
      </c>
    </row>
    <row r="3352" ht="15.15" spans="1:7">
      <c r="A3352" s="20">
        <v>3350</v>
      </c>
      <c r="B3352" s="20">
        <v>2074</v>
      </c>
      <c r="C3352" s="21">
        <v>45063</v>
      </c>
      <c r="D3352" s="20">
        <v>3291.84</v>
      </c>
      <c r="E3352" s="22" t="s">
        <v>10</v>
      </c>
      <c r="F3352" s="22" t="s">
        <v>14</v>
      </c>
      <c r="G3352" s="22" t="s">
        <v>12</v>
      </c>
    </row>
    <row r="3353" ht="15.15" spans="1:7">
      <c r="A3353" s="20">
        <v>3351</v>
      </c>
      <c r="B3353" s="20">
        <v>347</v>
      </c>
      <c r="C3353" s="21">
        <v>45027</v>
      </c>
      <c r="D3353" s="20">
        <v>3291.84</v>
      </c>
      <c r="E3353" s="22" t="s">
        <v>10</v>
      </c>
      <c r="F3353" s="22" t="s">
        <v>16</v>
      </c>
      <c r="G3353" s="22" t="s">
        <v>20</v>
      </c>
    </row>
    <row r="3354" ht="15.15" spans="1:7">
      <c r="A3354" s="20">
        <v>3352</v>
      </c>
      <c r="B3354" s="20">
        <v>5495</v>
      </c>
      <c r="C3354" s="21">
        <v>44935</v>
      </c>
      <c r="D3354" s="20">
        <v>3291.84</v>
      </c>
      <c r="E3354" s="22" t="s">
        <v>10</v>
      </c>
      <c r="F3354" s="22" t="s">
        <v>14</v>
      </c>
      <c r="G3354" s="22" t="s">
        <v>20</v>
      </c>
    </row>
    <row r="3355" ht="15.15" spans="1:7">
      <c r="A3355" s="20">
        <v>3353</v>
      </c>
      <c r="B3355" s="20">
        <v>476</v>
      </c>
      <c r="C3355" s="21">
        <v>45194</v>
      </c>
      <c r="D3355" s="20">
        <v>3291.84</v>
      </c>
      <c r="E3355" s="22" t="s">
        <v>10</v>
      </c>
      <c r="F3355" s="22" t="s">
        <v>16</v>
      </c>
      <c r="G3355" s="22" t="s">
        <v>17</v>
      </c>
    </row>
    <row r="3356" ht="15.15" spans="1:7">
      <c r="A3356" s="20">
        <v>3354</v>
      </c>
      <c r="B3356" s="20">
        <v>5073</v>
      </c>
      <c r="C3356" s="21">
        <v>45278</v>
      </c>
      <c r="D3356" s="20">
        <v>3291.84</v>
      </c>
      <c r="E3356" s="22" t="s">
        <v>10</v>
      </c>
      <c r="F3356" s="22" t="s">
        <v>18</v>
      </c>
      <c r="G3356" s="22" t="s">
        <v>12</v>
      </c>
    </row>
    <row r="3357" ht="15.15" spans="1:7">
      <c r="A3357" s="20">
        <v>3355</v>
      </c>
      <c r="B3357" s="20">
        <v>6233</v>
      </c>
      <c r="C3357" s="21">
        <v>45246</v>
      </c>
      <c r="D3357" s="20">
        <v>3291.84</v>
      </c>
      <c r="E3357" s="22" t="s">
        <v>10</v>
      </c>
      <c r="F3357" s="22" t="s">
        <v>14</v>
      </c>
      <c r="G3357" s="22" t="s">
        <v>12</v>
      </c>
    </row>
    <row r="3358" ht="15.15" spans="1:7">
      <c r="A3358" s="20">
        <v>3356</v>
      </c>
      <c r="B3358" s="20">
        <v>6733</v>
      </c>
      <c r="C3358" s="21">
        <v>45146</v>
      </c>
      <c r="D3358" s="20">
        <v>3291.84</v>
      </c>
      <c r="E3358" s="22" t="s">
        <v>10</v>
      </c>
      <c r="F3358" s="22" t="s">
        <v>11</v>
      </c>
      <c r="G3358" s="22" t="s">
        <v>12</v>
      </c>
    </row>
    <row r="3359" ht="15.15" spans="1:7">
      <c r="A3359" s="20">
        <v>3357</v>
      </c>
      <c r="B3359" s="20">
        <v>6046</v>
      </c>
      <c r="C3359" s="21">
        <v>45251</v>
      </c>
      <c r="D3359" s="20">
        <v>3291.84</v>
      </c>
      <c r="E3359" s="22" t="s">
        <v>10</v>
      </c>
      <c r="F3359" s="22" t="s">
        <v>13</v>
      </c>
      <c r="G3359" s="22" t="s">
        <v>17</v>
      </c>
    </row>
    <row r="3360" ht="15.15" spans="1:7">
      <c r="A3360" s="20">
        <v>3358</v>
      </c>
      <c r="B3360" s="20">
        <v>768</v>
      </c>
      <c r="C3360" s="21">
        <v>45244</v>
      </c>
      <c r="D3360" s="20">
        <v>3291.84</v>
      </c>
      <c r="E3360" s="22" t="s">
        <v>10</v>
      </c>
      <c r="F3360" s="22" t="s">
        <v>11</v>
      </c>
      <c r="G3360" s="22" t="s">
        <v>15</v>
      </c>
    </row>
    <row r="3361" ht="15.15" spans="1:7">
      <c r="A3361" s="20">
        <v>3359</v>
      </c>
      <c r="B3361" s="20">
        <v>1556</v>
      </c>
      <c r="C3361" s="21">
        <v>45226</v>
      </c>
      <c r="D3361" s="20">
        <v>3291.84</v>
      </c>
      <c r="E3361" s="22" t="s">
        <v>10</v>
      </c>
      <c r="F3361" s="22" t="s">
        <v>13</v>
      </c>
      <c r="G3361" s="22" t="s">
        <v>12</v>
      </c>
    </row>
    <row r="3362" ht="15.15" spans="1:7">
      <c r="A3362" s="20">
        <v>3360</v>
      </c>
      <c r="B3362" s="20">
        <v>3573</v>
      </c>
      <c r="C3362" s="21">
        <v>45158</v>
      </c>
      <c r="D3362" s="20">
        <v>3291.84</v>
      </c>
      <c r="E3362" s="22" t="s">
        <v>10</v>
      </c>
      <c r="F3362" s="22" t="s">
        <v>13</v>
      </c>
      <c r="G3362" s="22" t="s">
        <v>17</v>
      </c>
    </row>
    <row r="3363" ht="15.15" spans="1:7">
      <c r="A3363" s="20">
        <v>3361</v>
      </c>
      <c r="B3363" s="20">
        <v>297</v>
      </c>
      <c r="C3363" s="21">
        <v>45275</v>
      </c>
      <c r="D3363" s="20">
        <v>3291.84</v>
      </c>
      <c r="E3363" s="22" t="s">
        <v>10</v>
      </c>
      <c r="F3363" s="22" t="s">
        <v>11</v>
      </c>
      <c r="G3363" s="22" t="s">
        <v>15</v>
      </c>
    </row>
    <row r="3364" ht="15.15" spans="1:7">
      <c r="A3364" s="20">
        <v>3362</v>
      </c>
      <c r="B3364" s="20">
        <v>7569</v>
      </c>
      <c r="C3364" s="21">
        <v>45242</v>
      </c>
      <c r="D3364" s="20">
        <v>3291.84</v>
      </c>
      <c r="E3364" s="22" t="s">
        <v>10</v>
      </c>
      <c r="F3364" s="22" t="s">
        <v>11</v>
      </c>
      <c r="G3364" s="22" t="s">
        <v>20</v>
      </c>
    </row>
    <row r="3365" ht="15.15" spans="1:7">
      <c r="A3365" s="20">
        <v>3363</v>
      </c>
      <c r="B3365" s="20">
        <v>8541</v>
      </c>
      <c r="C3365" s="21">
        <v>45236</v>
      </c>
      <c r="D3365" s="20">
        <v>3291.84</v>
      </c>
      <c r="E3365" s="22" t="s">
        <v>10</v>
      </c>
      <c r="F3365" s="22" t="s">
        <v>14</v>
      </c>
      <c r="G3365" s="22" t="s">
        <v>15</v>
      </c>
    </row>
    <row r="3366" ht="15.15" spans="1:7">
      <c r="A3366" s="20">
        <v>3364</v>
      </c>
      <c r="B3366" s="20">
        <v>7235</v>
      </c>
      <c r="C3366" s="21">
        <v>45074</v>
      </c>
      <c r="D3366" s="20">
        <v>3291.84</v>
      </c>
      <c r="E3366" s="22" t="s">
        <v>10</v>
      </c>
      <c r="F3366" s="22" t="s">
        <v>13</v>
      </c>
      <c r="G3366" s="22" t="s">
        <v>20</v>
      </c>
    </row>
    <row r="3367" ht="15.15" spans="1:7">
      <c r="A3367" s="20">
        <v>3365</v>
      </c>
      <c r="B3367" s="20">
        <v>18</v>
      </c>
      <c r="C3367" s="21">
        <v>45268</v>
      </c>
      <c r="D3367" s="20">
        <v>3291.84</v>
      </c>
      <c r="E3367" s="22" t="s">
        <v>10</v>
      </c>
      <c r="F3367" s="22" t="s">
        <v>16</v>
      </c>
      <c r="G3367" s="22" t="s">
        <v>15</v>
      </c>
    </row>
    <row r="3368" ht="15.15" spans="1:7">
      <c r="A3368" s="20">
        <v>3366</v>
      </c>
      <c r="B3368" s="20">
        <v>1648</v>
      </c>
      <c r="C3368" s="21">
        <v>45141</v>
      </c>
      <c r="D3368" s="20">
        <v>3291.84</v>
      </c>
      <c r="E3368" s="22" t="s">
        <v>10</v>
      </c>
      <c r="F3368" s="22" t="s">
        <v>18</v>
      </c>
      <c r="G3368" s="22" t="s">
        <v>17</v>
      </c>
    </row>
    <row r="3369" ht="15.15" spans="1:7">
      <c r="A3369" s="20">
        <v>3367</v>
      </c>
      <c r="B3369" s="20">
        <v>1744</v>
      </c>
      <c r="C3369" s="21">
        <v>44959</v>
      </c>
      <c r="D3369" s="20">
        <v>3291.84</v>
      </c>
      <c r="E3369" s="22" t="s">
        <v>10</v>
      </c>
      <c r="F3369" s="22" t="s">
        <v>16</v>
      </c>
      <c r="G3369" s="22" t="s">
        <v>15</v>
      </c>
    </row>
    <row r="3370" ht="15.15" spans="1:7">
      <c r="A3370" s="20">
        <v>3368</v>
      </c>
      <c r="B3370" s="20">
        <v>4121</v>
      </c>
      <c r="C3370" s="21">
        <v>45114</v>
      </c>
      <c r="D3370" s="20">
        <v>3291.84</v>
      </c>
      <c r="E3370" s="22" t="s">
        <v>10</v>
      </c>
      <c r="F3370" s="22" t="s">
        <v>18</v>
      </c>
      <c r="G3370" s="22" t="s">
        <v>20</v>
      </c>
    </row>
    <row r="3371" ht="15.15" spans="1:7">
      <c r="A3371" s="20">
        <v>3369</v>
      </c>
      <c r="B3371" s="20">
        <v>5687</v>
      </c>
      <c r="C3371" s="21">
        <v>45283</v>
      </c>
      <c r="D3371" s="20">
        <v>3291.84</v>
      </c>
      <c r="E3371" s="22" t="s">
        <v>10</v>
      </c>
      <c r="F3371" s="22" t="s">
        <v>14</v>
      </c>
      <c r="G3371" s="22" t="s">
        <v>15</v>
      </c>
    </row>
    <row r="3372" ht="15.15" spans="1:7">
      <c r="A3372" s="20">
        <v>3370</v>
      </c>
      <c r="B3372" s="20">
        <v>4896</v>
      </c>
      <c r="C3372" s="21">
        <v>45164</v>
      </c>
      <c r="D3372" s="20">
        <v>3291.84</v>
      </c>
      <c r="E3372" s="22" t="s">
        <v>10</v>
      </c>
      <c r="F3372" s="22" t="s">
        <v>16</v>
      </c>
      <c r="G3372" s="22" t="s">
        <v>15</v>
      </c>
    </row>
    <row r="3373" ht="15.15" spans="1:7">
      <c r="A3373" s="20">
        <v>3371</v>
      </c>
      <c r="B3373" s="20">
        <v>7388</v>
      </c>
      <c r="C3373" s="21">
        <v>45284</v>
      </c>
      <c r="D3373" s="20">
        <v>3291.84</v>
      </c>
      <c r="E3373" s="22" t="s">
        <v>10</v>
      </c>
      <c r="F3373" s="22" t="s">
        <v>11</v>
      </c>
      <c r="G3373" s="22" t="s">
        <v>12</v>
      </c>
    </row>
    <row r="3374" ht="15.15" spans="1:7">
      <c r="A3374" s="20">
        <v>3372</v>
      </c>
      <c r="B3374" s="20">
        <v>2674</v>
      </c>
      <c r="C3374" s="21">
        <v>45266</v>
      </c>
      <c r="D3374" s="20">
        <v>3291.84</v>
      </c>
      <c r="E3374" s="22" t="s">
        <v>10</v>
      </c>
      <c r="F3374" s="22" t="s">
        <v>19</v>
      </c>
      <c r="G3374" s="22" t="s">
        <v>12</v>
      </c>
    </row>
    <row r="3375" ht="15.15" spans="1:7">
      <c r="A3375" s="20">
        <v>3373</v>
      </c>
      <c r="B3375" s="20">
        <v>9749</v>
      </c>
      <c r="C3375" s="21">
        <v>45021</v>
      </c>
      <c r="D3375" s="20">
        <v>3291.84</v>
      </c>
      <c r="E3375" s="22" t="s">
        <v>10</v>
      </c>
      <c r="F3375" s="22" t="s">
        <v>16</v>
      </c>
      <c r="G3375" s="22" t="s">
        <v>12</v>
      </c>
    </row>
    <row r="3376" ht="15.15" spans="1:7">
      <c r="A3376" s="20">
        <v>3374</v>
      </c>
      <c r="B3376" s="20">
        <v>3483</v>
      </c>
      <c r="C3376" s="21">
        <v>45226</v>
      </c>
      <c r="D3376" s="20">
        <v>3291.84</v>
      </c>
      <c r="E3376" s="22" t="s">
        <v>21</v>
      </c>
      <c r="F3376" s="22" t="s">
        <v>16</v>
      </c>
      <c r="G3376" s="22" t="s">
        <v>20</v>
      </c>
    </row>
    <row r="3377" ht="15.15" spans="1:7">
      <c r="A3377" s="20">
        <v>3375</v>
      </c>
      <c r="B3377" s="20">
        <v>4538</v>
      </c>
      <c r="C3377" s="21">
        <v>44942</v>
      </c>
      <c r="D3377" s="20">
        <v>3291.84</v>
      </c>
      <c r="E3377" s="22" t="s">
        <v>10</v>
      </c>
      <c r="F3377" s="22" t="s">
        <v>14</v>
      </c>
      <c r="G3377" s="22" t="s">
        <v>17</v>
      </c>
    </row>
    <row r="3378" ht="15.15" spans="1:7">
      <c r="A3378" s="20">
        <v>3376</v>
      </c>
      <c r="B3378" s="20">
        <v>5124</v>
      </c>
      <c r="C3378" s="21">
        <v>45263</v>
      </c>
      <c r="D3378" s="20">
        <v>3291.84</v>
      </c>
      <c r="E3378" s="22" t="s">
        <v>10</v>
      </c>
      <c r="F3378" s="22" t="s">
        <v>16</v>
      </c>
      <c r="G3378" s="22" t="s">
        <v>12</v>
      </c>
    </row>
    <row r="3379" ht="15.15" spans="1:7">
      <c r="A3379" s="20">
        <v>3377</v>
      </c>
      <c r="B3379" s="20">
        <v>7914</v>
      </c>
      <c r="C3379" s="21">
        <v>45174</v>
      </c>
      <c r="D3379" s="20">
        <v>3291.84</v>
      </c>
      <c r="E3379" s="22" t="s">
        <v>10</v>
      </c>
      <c r="F3379" s="22" t="s">
        <v>11</v>
      </c>
      <c r="G3379" s="22" t="s">
        <v>15</v>
      </c>
    </row>
    <row r="3380" ht="15.15" spans="1:7">
      <c r="A3380" s="20">
        <v>3378</v>
      </c>
      <c r="B3380" s="20">
        <v>7968</v>
      </c>
      <c r="C3380" s="21">
        <v>45213</v>
      </c>
      <c r="D3380" s="20">
        <v>3291.84</v>
      </c>
      <c r="E3380" s="22" t="s">
        <v>10</v>
      </c>
      <c r="F3380" s="22" t="s">
        <v>14</v>
      </c>
      <c r="G3380" s="22" t="s">
        <v>12</v>
      </c>
    </row>
    <row r="3381" ht="15.15" spans="1:7">
      <c r="A3381" s="20">
        <v>3379</v>
      </c>
      <c r="B3381" s="20">
        <v>3714</v>
      </c>
      <c r="C3381" s="21">
        <v>44963</v>
      </c>
      <c r="D3381" s="20">
        <v>3291.84</v>
      </c>
      <c r="E3381" s="22" t="s">
        <v>22</v>
      </c>
      <c r="F3381" s="22" t="s">
        <v>18</v>
      </c>
      <c r="G3381" s="22" t="s">
        <v>17</v>
      </c>
    </row>
    <row r="3382" ht="15.15" spans="1:7">
      <c r="A3382" s="20">
        <v>3380</v>
      </c>
      <c r="B3382" s="20">
        <v>5251</v>
      </c>
      <c r="C3382" s="21">
        <v>45214</v>
      </c>
      <c r="D3382" s="20">
        <v>3291.84</v>
      </c>
      <c r="E3382" s="22" t="s">
        <v>10</v>
      </c>
      <c r="F3382" s="22" t="s">
        <v>13</v>
      </c>
      <c r="G3382" s="22" t="s">
        <v>12</v>
      </c>
    </row>
    <row r="3383" ht="15.15" spans="1:7">
      <c r="A3383" s="20">
        <v>3381</v>
      </c>
      <c r="B3383" s="20">
        <v>7395</v>
      </c>
      <c r="C3383" s="21">
        <v>45191</v>
      </c>
      <c r="D3383" s="20">
        <v>3291.84</v>
      </c>
      <c r="E3383" s="22" t="s">
        <v>10</v>
      </c>
      <c r="F3383" s="22" t="s">
        <v>13</v>
      </c>
      <c r="G3383" s="22" t="s">
        <v>15</v>
      </c>
    </row>
    <row r="3384" ht="15.15" spans="1:7">
      <c r="A3384" s="20">
        <v>3382</v>
      </c>
      <c r="B3384" s="20">
        <v>954</v>
      </c>
      <c r="C3384" s="21">
        <v>45052</v>
      </c>
      <c r="D3384" s="20">
        <v>3291.84</v>
      </c>
      <c r="E3384" s="22" t="s">
        <v>10</v>
      </c>
      <c r="F3384" s="22" t="s">
        <v>16</v>
      </c>
      <c r="G3384" s="22" t="s">
        <v>12</v>
      </c>
    </row>
    <row r="3385" ht="15.15" spans="1:7">
      <c r="A3385" s="20">
        <v>3383</v>
      </c>
      <c r="B3385" s="20">
        <v>3006</v>
      </c>
      <c r="C3385" s="21">
        <v>45219</v>
      </c>
      <c r="D3385" s="20">
        <v>3291.84</v>
      </c>
      <c r="E3385" s="22" t="s">
        <v>10</v>
      </c>
      <c r="F3385" s="22" t="s">
        <v>16</v>
      </c>
      <c r="G3385" s="22" t="s">
        <v>17</v>
      </c>
    </row>
    <row r="3386" ht="15.15" spans="1:7">
      <c r="A3386" s="20">
        <v>3384</v>
      </c>
      <c r="B3386" s="20">
        <v>4786</v>
      </c>
      <c r="C3386" s="21">
        <v>45137</v>
      </c>
      <c r="D3386" s="20">
        <v>3291.84</v>
      </c>
      <c r="E3386" s="22" t="s">
        <v>10</v>
      </c>
      <c r="F3386" s="22" t="s">
        <v>13</v>
      </c>
      <c r="G3386" s="22" t="s">
        <v>15</v>
      </c>
    </row>
    <row r="3387" ht="15.15" spans="1:7">
      <c r="A3387" s="20">
        <v>3385</v>
      </c>
      <c r="B3387" s="20">
        <v>8730</v>
      </c>
      <c r="C3387" s="21">
        <v>45140</v>
      </c>
      <c r="D3387" s="20">
        <v>3291.84</v>
      </c>
      <c r="E3387" s="22" t="s">
        <v>10</v>
      </c>
      <c r="F3387" s="22" t="s">
        <v>11</v>
      </c>
      <c r="G3387" s="22" t="s">
        <v>17</v>
      </c>
    </row>
    <row r="3388" ht="15.15" spans="1:7">
      <c r="A3388" s="20">
        <v>3386</v>
      </c>
      <c r="B3388" s="20">
        <v>1047</v>
      </c>
      <c r="C3388" s="21">
        <v>44998</v>
      </c>
      <c r="D3388" s="20">
        <v>3291.84</v>
      </c>
      <c r="E3388" s="22" t="s">
        <v>22</v>
      </c>
      <c r="F3388" s="22" t="s">
        <v>14</v>
      </c>
      <c r="G3388" s="22" t="s">
        <v>20</v>
      </c>
    </row>
    <row r="3389" ht="15.15" spans="1:7">
      <c r="A3389" s="20">
        <v>3387</v>
      </c>
      <c r="B3389" s="20">
        <v>3406</v>
      </c>
      <c r="C3389" s="21">
        <v>44952</v>
      </c>
      <c r="D3389" s="20">
        <v>3291.84</v>
      </c>
      <c r="E3389" s="22" t="s">
        <v>10</v>
      </c>
      <c r="F3389" s="22" t="s">
        <v>13</v>
      </c>
      <c r="G3389" s="22" t="s">
        <v>12</v>
      </c>
    </row>
    <row r="3390" ht="15.15" spans="1:7">
      <c r="A3390" s="20">
        <v>3388</v>
      </c>
      <c r="B3390" s="20">
        <v>5206</v>
      </c>
      <c r="C3390" s="21">
        <v>45241</v>
      </c>
      <c r="D3390" s="20">
        <v>3291.84</v>
      </c>
      <c r="E3390" s="22" t="s">
        <v>10</v>
      </c>
      <c r="F3390" s="22" t="s">
        <v>16</v>
      </c>
      <c r="G3390" s="22" t="s">
        <v>15</v>
      </c>
    </row>
    <row r="3391" ht="15.15" spans="1:7">
      <c r="A3391" s="20">
        <v>3389</v>
      </c>
      <c r="B3391" s="20">
        <v>678</v>
      </c>
      <c r="C3391" s="21">
        <v>45042</v>
      </c>
      <c r="D3391" s="20">
        <v>3291.84</v>
      </c>
      <c r="E3391" s="22" t="s">
        <v>10</v>
      </c>
      <c r="F3391" s="22" t="s">
        <v>13</v>
      </c>
      <c r="G3391" s="22" t="s">
        <v>20</v>
      </c>
    </row>
    <row r="3392" ht="15.15" spans="1:7">
      <c r="A3392" s="20">
        <v>3390</v>
      </c>
      <c r="B3392" s="20">
        <v>4328</v>
      </c>
      <c r="C3392" s="21">
        <v>45225</v>
      </c>
      <c r="D3392" s="20">
        <v>3291.84</v>
      </c>
      <c r="E3392" s="22" t="s">
        <v>10</v>
      </c>
      <c r="F3392" s="22" t="s">
        <v>18</v>
      </c>
      <c r="G3392" s="22" t="s">
        <v>17</v>
      </c>
    </row>
    <row r="3393" ht="15.15" spans="1:7">
      <c r="A3393" s="20">
        <v>3391</v>
      </c>
      <c r="B3393" s="20">
        <v>7197</v>
      </c>
      <c r="C3393" s="21">
        <v>44974</v>
      </c>
      <c r="D3393" s="20">
        <v>3291.84</v>
      </c>
      <c r="E3393" s="22" t="s">
        <v>10</v>
      </c>
      <c r="F3393" s="22" t="s">
        <v>16</v>
      </c>
      <c r="G3393" s="22" t="s">
        <v>15</v>
      </c>
    </row>
    <row r="3394" ht="15.15" spans="1:7">
      <c r="A3394" s="20">
        <v>3392</v>
      </c>
      <c r="B3394" s="20">
        <v>4367</v>
      </c>
      <c r="C3394" s="21">
        <v>45183</v>
      </c>
      <c r="D3394" s="20">
        <v>3291.84</v>
      </c>
      <c r="E3394" s="22" t="s">
        <v>10</v>
      </c>
      <c r="F3394" s="22" t="s">
        <v>16</v>
      </c>
      <c r="G3394" s="22" t="s">
        <v>20</v>
      </c>
    </row>
    <row r="3395" ht="15.15" spans="1:7">
      <c r="A3395" s="20">
        <v>3393</v>
      </c>
      <c r="B3395" s="20">
        <v>8728</v>
      </c>
      <c r="C3395" s="21">
        <v>45022</v>
      </c>
      <c r="D3395" s="20">
        <v>3291.84</v>
      </c>
      <c r="E3395" s="22" t="s">
        <v>10</v>
      </c>
      <c r="F3395" s="22" t="s">
        <v>13</v>
      </c>
      <c r="G3395" s="22" t="s">
        <v>20</v>
      </c>
    </row>
    <row r="3396" ht="15.15" spans="1:7">
      <c r="A3396" s="20">
        <v>3394</v>
      </c>
      <c r="B3396" s="20">
        <v>4090</v>
      </c>
      <c r="C3396" s="21">
        <v>45094</v>
      </c>
      <c r="D3396" s="20">
        <v>3291.84</v>
      </c>
      <c r="E3396" s="22" t="s">
        <v>10</v>
      </c>
      <c r="F3396" s="22" t="s">
        <v>16</v>
      </c>
      <c r="G3396" s="22" t="s">
        <v>20</v>
      </c>
    </row>
    <row r="3397" ht="15.15" spans="1:7">
      <c r="A3397" s="20">
        <v>3395</v>
      </c>
      <c r="B3397" s="20">
        <v>2830</v>
      </c>
      <c r="C3397" s="21">
        <v>45289</v>
      </c>
      <c r="D3397" s="20">
        <v>3291.84</v>
      </c>
      <c r="E3397" s="22" t="s">
        <v>10</v>
      </c>
      <c r="F3397" s="22" t="s">
        <v>13</v>
      </c>
      <c r="G3397" s="22" t="s">
        <v>15</v>
      </c>
    </row>
    <row r="3398" ht="15.15" spans="1:7">
      <c r="A3398" s="20">
        <v>3396</v>
      </c>
      <c r="B3398" s="20">
        <v>6766</v>
      </c>
      <c r="C3398" s="21">
        <v>44934</v>
      </c>
      <c r="D3398" s="20">
        <v>3291.84</v>
      </c>
      <c r="E3398" s="22" t="s">
        <v>10</v>
      </c>
      <c r="F3398" s="22" t="s">
        <v>11</v>
      </c>
      <c r="G3398" s="22" t="s">
        <v>20</v>
      </c>
    </row>
    <row r="3399" ht="15.15" spans="1:7">
      <c r="A3399" s="20">
        <v>3397</v>
      </c>
      <c r="B3399" s="20">
        <v>4603</v>
      </c>
      <c r="C3399" s="21">
        <v>45288</v>
      </c>
      <c r="D3399" s="20">
        <v>3291.84</v>
      </c>
      <c r="E3399" s="22" t="s">
        <v>10</v>
      </c>
      <c r="F3399" s="22" t="s">
        <v>19</v>
      </c>
      <c r="G3399" s="22" t="s">
        <v>17</v>
      </c>
    </row>
    <row r="3400" ht="15.15" spans="1:7">
      <c r="A3400" s="20">
        <v>3398</v>
      </c>
      <c r="B3400" s="20">
        <v>4299</v>
      </c>
      <c r="C3400" s="21">
        <v>45251</v>
      </c>
      <c r="D3400" s="20">
        <v>3291.84</v>
      </c>
      <c r="E3400" s="22" t="s">
        <v>10</v>
      </c>
      <c r="F3400" s="22" t="s">
        <v>16</v>
      </c>
      <c r="G3400" s="22" t="s">
        <v>20</v>
      </c>
    </row>
    <row r="3401" ht="15.15" spans="1:7">
      <c r="A3401" s="20">
        <v>3399</v>
      </c>
      <c r="B3401" s="20">
        <v>3400</v>
      </c>
      <c r="C3401" s="21">
        <v>45201</v>
      </c>
      <c r="D3401" s="20">
        <v>3291.84</v>
      </c>
      <c r="E3401" s="22" t="s">
        <v>10</v>
      </c>
      <c r="F3401" s="22" t="s">
        <v>14</v>
      </c>
      <c r="G3401" s="22" t="s">
        <v>15</v>
      </c>
    </row>
    <row r="3402" ht="15.15" spans="1:7">
      <c r="A3402" s="20">
        <v>3400</v>
      </c>
      <c r="B3402" s="20">
        <v>9731</v>
      </c>
      <c r="C3402" s="21">
        <v>45190</v>
      </c>
      <c r="D3402" s="20">
        <v>3291.84</v>
      </c>
      <c r="E3402" s="22" t="s">
        <v>10</v>
      </c>
      <c r="F3402" s="22" t="s">
        <v>18</v>
      </c>
      <c r="G3402" s="22" t="s">
        <v>17</v>
      </c>
    </row>
    <row r="3403" ht="15.15" spans="1:7">
      <c r="A3403" s="20">
        <v>3401</v>
      </c>
      <c r="B3403" s="20">
        <v>5458</v>
      </c>
      <c r="C3403" s="21">
        <v>45286</v>
      </c>
      <c r="D3403" s="20">
        <v>3291.84</v>
      </c>
      <c r="E3403" s="22" t="s">
        <v>10</v>
      </c>
      <c r="F3403" s="22" t="s">
        <v>16</v>
      </c>
      <c r="G3403" s="22" t="s">
        <v>15</v>
      </c>
    </row>
    <row r="3404" ht="15.15" spans="1:7">
      <c r="A3404" s="20">
        <v>3402</v>
      </c>
      <c r="B3404" s="20">
        <v>5654</v>
      </c>
      <c r="C3404" s="21">
        <v>45161</v>
      </c>
      <c r="D3404" s="20">
        <v>3291.84</v>
      </c>
      <c r="E3404" s="22" t="s">
        <v>10</v>
      </c>
      <c r="F3404" s="22" t="s">
        <v>13</v>
      </c>
      <c r="G3404" s="22" t="s">
        <v>15</v>
      </c>
    </row>
    <row r="3405" ht="15.15" spans="1:7">
      <c r="A3405" s="20">
        <v>3403</v>
      </c>
      <c r="B3405" s="20">
        <v>4788</v>
      </c>
      <c r="C3405" s="21">
        <v>45130</v>
      </c>
      <c r="D3405" s="20">
        <v>3291.84</v>
      </c>
      <c r="E3405" s="22" t="s">
        <v>10</v>
      </c>
      <c r="F3405" s="22" t="s">
        <v>18</v>
      </c>
      <c r="G3405" s="22" t="s">
        <v>15</v>
      </c>
    </row>
    <row r="3406" ht="15.15" spans="1:7">
      <c r="A3406" s="20">
        <v>3404</v>
      </c>
      <c r="B3406" s="20">
        <v>7255</v>
      </c>
      <c r="C3406" s="21">
        <v>45001</v>
      </c>
      <c r="D3406" s="20">
        <v>3291.84</v>
      </c>
      <c r="E3406" s="22" t="s">
        <v>10</v>
      </c>
      <c r="F3406" s="22" t="s">
        <v>14</v>
      </c>
      <c r="G3406" s="22" t="s">
        <v>17</v>
      </c>
    </row>
    <row r="3407" ht="15.15" spans="1:7">
      <c r="A3407" s="20">
        <v>3405</v>
      </c>
      <c r="B3407" s="20">
        <v>3250</v>
      </c>
      <c r="C3407" s="21">
        <v>45238</v>
      </c>
      <c r="D3407" s="20">
        <v>3291.84</v>
      </c>
      <c r="E3407" s="22" t="s">
        <v>10</v>
      </c>
      <c r="F3407" s="22" t="s">
        <v>16</v>
      </c>
      <c r="G3407" s="22" t="s">
        <v>12</v>
      </c>
    </row>
    <row r="3408" ht="15.15" spans="1:7">
      <c r="A3408" s="20">
        <v>3406</v>
      </c>
      <c r="B3408" s="20">
        <v>946</v>
      </c>
      <c r="C3408" s="21">
        <v>45228</v>
      </c>
      <c r="D3408" s="20">
        <v>3291.84</v>
      </c>
      <c r="E3408" s="22" t="s">
        <v>10</v>
      </c>
      <c r="F3408" s="22" t="s">
        <v>14</v>
      </c>
      <c r="G3408" s="22" t="s">
        <v>20</v>
      </c>
    </row>
    <row r="3409" ht="15.15" spans="1:7">
      <c r="A3409" s="20">
        <v>3407</v>
      </c>
      <c r="B3409" s="20">
        <v>3601</v>
      </c>
      <c r="C3409" s="21">
        <v>45130</v>
      </c>
      <c r="D3409" s="20">
        <v>3291.84</v>
      </c>
      <c r="E3409" s="22" t="s">
        <v>10</v>
      </c>
      <c r="F3409" s="22" t="s">
        <v>18</v>
      </c>
      <c r="G3409" s="22" t="s">
        <v>12</v>
      </c>
    </row>
    <row r="3410" ht="15.15" spans="1:7">
      <c r="A3410" s="20">
        <v>3408</v>
      </c>
      <c r="B3410" s="20">
        <v>8498</v>
      </c>
      <c r="C3410" s="21">
        <v>45248</v>
      </c>
      <c r="D3410" s="20">
        <v>3291.84</v>
      </c>
      <c r="E3410" s="22" t="s">
        <v>21</v>
      </c>
      <c r="F3410" s="22" t="s">
        <v>18</v>
      </c>
      <c r="G3410" s="22" t="s">
        <v>12</v>
      </c>
    </row>
    <row r="3411" ht="15.15" spans="1:7">
      <c r="A3411" s="20">
        <v>3409</v>
      </c>
      <c r="B3411" s="20">
        <v>9069</v>
      </c>
      <c r="C3411" s="21">
        <v>44994</v>
      </c>
      <c r="D3411" s="20">
        <v>3291.84</v>
      </c>
      <c r="E3411" s="22" t="s">
        <v>10</v>
      </c>
      <c r="F3411" s="22" t="s">
        <v>16</v>
      </c>
      <c r="G3411" s="22" t="s">
        <v>15</v>
      </c>
    </row>
    <row r="3412" ht="15.15" spans="1:7">
      <c r="A3412" s="20">
        <v>3410</v>
      </c>
      <c r="B3412" s="20">
        <v>822</v>
      </c>
      <c r="C3412" s="21">
        <v>45081</v>
      </c>
      <c r="D3412" s="20">
        <v>3291.84</v>
      </c>
      <c r="E3412" s="22" t="s">
        <v>10</v>
      </c>
      <c r="F3412" s="22" t="s">
        <v>11</v>
      </c>
      <c r="G3412" s="22" t="s">
        <v>15</v>
      </c>
    </row>
    <row r="3413" ht="15.15" spans="1:7">
      <c r="A3413" s="20">
        <v>3411</v>
      </c>
      <c r="B3413" s="20">
        <v>7210</v>
      </c>
      <c r="C3413" s="21">
        <v>44986</v>
      </c>
      <c r="D3413" s="20">
        <v>3291.84</v>
      </c>
      <c r="E3413" s="22" t="s">
        <v>10</v>
      </c>
      <c r="F3413" s="22" t="s">
        <v>16</v>
      </c>
      <c r="G3413" s="22" t="s">
        <v>15</v>
      </c>
    </row>
    <row r="3414" ht="15.15" spans="1:7">
      <c r="A3414" s="20">
        <v>3412</v>
      </c>
      <c r="B3414" s="20">
        <v>44</v>
      </c>
      <c r="C3414" s="21">
        <v>44964</v>
      </c>
      <c r="D3414" s="20">
        <v>3291.84</v>
      </c>
      <c r="E3414" s="22" t="s">
        <v>10</v>
      </c>
      <c r="F3414" s="22" t="s">
        <v>13</v>
      </c>
      <c r="G3414" s="22" t="s">
        <v>15</v>
      </c>
    </row>
    <row r="3415" ht="15.15" spans="1:7">
      <c r="A3415" s="20">
        <v>3413</v>
      </c>
      <c r="B3415" s="20">
        <v>2624</v>
      </c>
      <c r="C3415" s="21">
        <v>44963</v>
      </c>
      <c r="D3415" s="20">
        <v>3291.84</v>
      </c>
      <c r="E3415" s="22" t="s">
        <v>10</v>
      </c>
      <c r="F3415" s="22" t="s">
        <v>16</v>
      </c>
      <c r="G3415" s="22" t="s">
        <v>17</v>
      </c>
    </row>
    <row r="3416" ht="15.15" spans="1:7">
      <c r="A3416" s="20">
        <v>3414</v>
      </c>
      <c r="B3416" s="20">
        <v>2219</v>
      </c>
      <c r="C3416" s="21">
        <v>45244</v>
      </c>
      <c r="D3416" s="20">
        <v>3291.84</v>
      </c>
      <c r="E3416" s="22" t="s">
        <v>10</v>
      </c>
      <c r="F3416" s="22" t="s">
        <v>18</v>
      </c>
      <c r="G3416" s="22" t="s">
        <v>12</v>
      </c>
    </row>
    <row r="3417" ht="15.15" spans="1:7">
      <c r="A3417" s="20">
        <v>3415</v>
      </c>
      <c r="B3417" s="20">
        <v>4379</v>
      </c>
      <c r="C3417" s="21">
        <v>45220</v>
      </c>
      <c r="D3417" s="20">
        <v>3291.84</v>
      </c>
      <c r="E3417" s="22" t="s">
        <v>10</v>
      </c>
      <c r="F3417" s="22" t="s">
        <v>11</v>
      </c>
      <c r="G3417" s="22" t="s">
        <v>17</v>
      </c>
    </row>
    <row r="3418" ht="15.15" spans="1:7">
      <c r="A3418" s="20">
        <v>3416</v>
      </c>
      <c r="B3418" s="20">
        <v>220</v>
      </c>
      <c r="C3418" s="21">
        <v>45029</v>
      </c>
      <c r="D3418" s="20">
        <v>3291.84</v>
      </c>
      <c r="E3418" s="22" t="s">
        <v>10</v>
      </c>
      <c r="F3418" s="22" t="s">
        <v>13</v>
      </c>
      <c r="G3418" s="22" t="s">
        <v>17</v>
      </c>
    </row>
    <row r="3419" ht="15.15" spans="1:7">
      <c r="A3419" s="20">
        <v>3417</v>
      </c>
      <c r="B3419" s="20">
        <v>1617</v>
      </c>
      <c r="C3419" s="21">
        <v>45243</v>
      </c>
      <c r="D3419" s="20">
        <v>3291.84</v>
      </c>
      <c r="E3419" s="22" t="s">
        <v>10</v>
      </c>
      <c r="F3419" s="22" t="s">
        <v>16</v>
      </c>
      <c r="G3419" s="22" t="s">
        <v>17</v>
      </c>
    </row>
    <row r="3420" ht="15.15" spans="1:7">
      <c r="A3420" s="20">
        <v>3418</v>
      </c>
      <c r="B3420" s="20">
        <v>5169</v>
      </c>
      <c r="C3420" s="21">
        <v>45241</v>
      </c>
      <c r="D3420" s="20">
        <v>3291.84</v>
      </c>
      <c r="E3420" s="22" t="s">
        <v>10</v>
      </c>
      <c r="F3420" s="22" t="s">
        <v>11</v>
      </c>
      <c r="G3420" s="22" t="s">
        <v>12</v>
      </c>
    </row>
    <row r="3421" ht="15.15" spans="1:7">
      <c r="A3421" s="20">
        <v>3419</v>
      </c>
      <c r="B3421" s="20">
        <v>1482</v>
      </c>
      <c r="C3421" s="21">
        <v>45107</v>
      </c>
      <c r="D3421" s="20">
        <v>3291.84</v>
      </c>
      <c r="E3421" s="22" t="s">
        <v>10</v>
      </c>
      <c r="F3421" s="22" t="s">
        <v>18</v>
      </c>
      <c r="G3421" s="22" t="s">
        <v>17</v>
      </c>
    </row>
    <row r="3422" ht="15.15" spans="1:7">
      <c r="A3422" s="20">
        <v>3420</v>
      </c>
      <c r="B3422" s="20">
        <v>720</v>
      </c>
      <c r="C3422" s="21">
        <v>45014</v>
      </c>
      <c r="D3422" s="20">
        <v>3291.84</v>
      </c>
      <c r="E3422" s="22" t="s">
        <v>10</v>
      </c>
      <c r="F3422" s="22" t="s">
        <v>18</v>
      </c>
      <c r="G3422" s="22" t="s">
        <v>15</v>
      </c>
    </row>
    <row r="3423" ht="15.15" spans="1:7">
      <c r="A3423" s="20">
        <v>3421</v>
      </c>
      <c r="B3423" s="20">
        <v>8005</v>
      </c>
      <c r="C3423" s="21">
        <v>45097</v>
      </c>
      <c r="D3423" s="20">
        <v>3291.84</v>
      </c>
      <c r="E3423" s="22" t="s">
        <v>10</v>
      </c>
      <c r="F3423" s="22" t="s">
        <v>13</v>
      </c>
      <c r="G3423" s="22" t="s">
        <v>20</v>
      </c>
    </row>
    <row r="3424" ht="15.15" spans="1:7">
      <c r="A3424" s="20">
        <v>3422</v>
      </c>
      <c r="B3424" s="20">
        <v>7807</v>
      </c>
      <c r="C3424" s="21">
        <v>45079</v>
      </c>
      <c r="D3424" s="20">
        <v>3291.84</v>
      </c>
      <c r="E3424" s="22" t="s">
        <v>10</v>
      </c>
      <c r="F3424" s="22" t="s">
        <v>18</v>
      </c>
      <c r="G3424" s="22" t="s">
        <v>12</v>
      </c>
    </row>
    <row r="3425" ht="15.15" spans="1:7">
      <c r="A3425" s="20">
        <v>3423</v>
      </c>
      <c r="B3425" s="20">
        <v>2301</v>
      </c>
      <c r="C3425" s="21">
        <v>45135</v>
      </c>
      <c r="D3425" s="20">
        <v>3291.84</v>
      </c>
      <c r="E3425" s="22" t="s">
        <v>10</v>
      </c>
      <c r="F3425" s="22" t="s">
        <v>11</v>
      </c>
      <c r="G3425" s="22" t="s">
        <v>17</v>
      </c>
    </row>
    <row r="3426" ht="15.15" spans="1:7">
      <c r="A3426" s="20">
        <v>3424</v>
      </c>
      <c r="B3426" s="20">
        <v>13</v>
      </c>
      <c r="C3426" s="21">
        <v>45227</v>
      </c>
      <c r="D3426" s="20">
        <v>3291.84</v>
      </c>
      <c r="E3426" s="22" t="s">
        <v>10</v>
      </c>
      <c r="F3426" s="22" t="s">
        <v>11</v>
      </c>
      <c r="G3426" s="22" t="s">
        <v>17</v>
      </c>
    </row>
    <row r="3427" ht="15.15" spans="1:7">
      <c r="A3427" s="20">
        <v>3425</v>
      </c>
      <c r="B3427" s="20">
        <v>7882</v>
      </c>
      <c r="C3427" s="21">
        <v>45226</v>
      </c>
      <c r="D3427" s="20">
        <v>3291.84</v>
      </c>
      <c r="E3427" s="22" t="s">
        <v>10</v>
      </c>
      <c r="F3427" s="22" t="s">
        <v>14</v>
      </c>
      <c r="G3427" s="22" t="s">
        <v>17</v>
      </c>
    </row>
    <row r="3428" ht="15.15" spans="1:7">
      <c r="A3428" s="20">
        <v>3426</v>
      </c>
      <c r="B3428" s="20">
        <v>9442</v>
      </c>
      <c r="C3428" s="21">
        <v>45210</v>
      </c>
      <c r="D3428" s="20">
        <v>3291.84</v>
      </c>
      <c r="E3428" s="22" t="s">
        <v>10</v>
      </c>
      <c r="F3428" s="22" t="s">
        <v>14</v>
      </c>
      <c r="G3428" s="22" t="s">
        <v>15</v>
      </c>
    </row>
    <row r="3429" ht="15.15" spans="1:7">
      <c r="A3429" s="20">
        <v>3427</v>
      </c>
      <c r="B3429" s="20">
        <v>6950</v>
      </c>
      <c r="C3429" s="21">
        <v>45076</v>
      </c>
      <c r="D3429" s="20">
        <v>3291.84</v>
      </c>
      <c r="E3429" s="22" t="s">
        <v>10</v>
      </c>
      <c r="F3429" s="22" t="s">
        <v>18</v>
      </c>
      <c r="G3429" s="22" t="s">
        <v>17</v>
      </c>
    </row>
    <row r="3430" ht="15.15" spans="1:7">
      <c r="A3430" s="20">
        <v>3428</v>
      </c>
      <c r="B3430" s="20">
        <v>426</v>
      </c>
      <c r="C3430" s="21">
        <v>45051</v>
      </c>
      <c r="D3430" s="20">
        <v>3291.84</v>
      </c>
      <c r="E3430" s="22" t="s">
        <v>10</v>
      </c>
      <c r="F3430" s="22" t="s">
        <v>16</v>
      </c>
      <c r="G3430" s="22" t="s">
        <v>20</v>
      </c>
    </row>
    <row r="3431" ht="15.15" spans="1:7">
      <c r="A3431" s="20">
        <v>3429</v>
      </c>
      <c r="B3431" s="20">
        <v>8695</v>
      </c>
      <c r="C3431" s="21">
        <v>45242</v>
      </c>
      <c r="D3431" s="20">
        <v>3291.84</v>
      </c>
      <c r="E3431" s="22" t="s">
        <v>10</v>
      </c>
      <c r="F3431" s="22" t="s">
        <v>14</v>
      </c>
      <c r="G3431" s="22" t="s">
        <v>12</v>
      </c>
    </row>
    <row r="3432" ht="15.15" spans="1:7">
      <c r="A3432" s="20">
        <v>3430</v>
      </c>
      <c r="B3432" s="20">
        <v>2924</v>
      </c>
      <c r="C3432" s="21">
        <v>45150</v>
      </c>
      <c r="D3432" s="20">
        <v>3291.84</v>
      </c>
      <c r="E3432" s="22" t="s">
        <v>10</v>
      </c>
      <c r="F3432" s="22" t="s">
        <v>18</v>
      </c>
      <c r="G3432" s="22" t="s">
        <v>15</v>
      </c>
    </row>
    <row r="3433" ht="15.15" spans="1:7">
      <c r="A3433" s="20">
        <v>3431</v>
      </c>
      <c r="B3433" s="20">
        <v>5992</v>
      </c>
      <c r="C3433" s="21">
        <v>45162</v>
      </c>
      <c r="D3433" s="20">
        <v>3291.84</v>
      </c>
      <c r="E3433" s="22" t="s">
        <v>10</v>
      </c>
      <c r="F3433" s="22" t="s">
        <v>13</v>
      </c>
      <c r="G3433" s="22" t="s">
        <v>20</v>
      </c>
    </row>
    <row r="3434" ht="15.15" spans="1:7">
      <c r="A3434" s="20">
        <v>3432</v>
      </c>
      <c r="B3434" s="20">
        <v>4808</v>
      </c>
      <c r="C3434" s="21">
        <v>45211</v>
      </c>
      <c r="D3434" s="20">
        <v>3291.84</v>
      </c>
      <c r="E3434" s="22" t="s">
        <v>10</v>
      </c>
      <c r="F3434" s="22" t="s">
        <v>19</v>
      </c>
      <c r="G3434" s="22" t="s">
        <v>12</v>
      </c>
    </row>
    <row r="3435" ht="15.15" spans="1:7">
      <c r="A3435" s="20">
        <v>3433</v>
      </c>
      <c r="B3435" s="20">
        <v>9956</v>
      </c>
      <c r="C3435" s="21">
        <v>45103</v>
      </c>
      <c r="D3435" s="20">
        <v>3291.84</v>
      </c>
      <c r="E3435" s="22" t="s">
        <v>10</v>
      </c>
      <c r="F3435" s="22" t="s">
        <v>16</v>
      </c>
      <c r="G3435" s="22" t="s">
        <v>15</v>
      </c>
    </row>
    <row r="3436" ht="15.15" spans="1:7">
      <c r="A3436" s="20">
        <v>3434</v>
      </c>
      <c r="B3436" s="20">
        <v>24</v>
      </c>
      <c r="C3436" s="21">
        <v>45164</v>
      </c>
      <c r="D3436" s="20">
        <v>3291.84</v>
      </c>
      <c r="E3436" s="22" t="s">
        <v>10</v>
      </c>
      <c r="F3436" s="22" t="s">
        <v>14</v>
      </c>
      <c r="G3436" s="22" t="s">
        <v>20</v>
      </c>
    </row>
    <row r="3437" ht="15.15" spans="1:7">
      <c r="A3437" s="20">
        <v>3435</v>
      </c>
      <c r="B3437" s="20">
        <v>4031</v>
      </c>
      <c r="C3437" s="21">
        <v>45074</v>
      </c>
      <c r="D3437" s="20">
        <v>3291.84</v>
      </c>
      <c r="E3437" s="22" t="s">
        <v>10</v>
      </c>
      <c r="F3437" s="22" t="s">
        <v>18</v>
      </c>
      <c r="G3437" s="22" t="s">
        <v>15</v>
      </c>
    </row>
    <row r="3438" ht="15.15" spans="1:7">
      <c r="A3438" s="20">
        <v>3436</v>
      </c>
      <c r="B3438" s="20">
        <v>875</v>
      </c>
      <c r="C3438" s="21">
        <v>45128</v>
      </c>
      <c r="D3438" s="20">
        <v>3291.84</v>
      </c>
      <c r="E3438" s="22" t="s">
        <v>10</v>
      </c>
      <c r="F3438" s="22" t="s">
        <v>18</v>
      </c>
      <c r="G3438" s="22" t="s">
        <v>12</v>
      </c>
    </row>
    <row r="3439" ht="15.15" spans="1:7">
      <c r="A3439" s="20">
        <v>3437</v>
      </c>
      <c r="B3439" s="20">
        <v>4105</v>
      </c>
      <c r="C3439" s="21">
        <v>44976</v>
      </c>
      <c r="D3439" s="20">
        <v>3291.84</v>
      </c>
      <c r="E3439" s="22" t="s">
        <v>10</v>
      </c>
      <c r="F3439" s="22" t="s">
        <v>18</v>
      </c>
      <c r="G3439" s="22" t="s">
        <v>17</v>
      </c>
    </row>
    <row r="3440" ht="15.15" spans="1:7">
      <c r="A3440" s="20">
        <v>3438</v>
      </c>
      <c r="B3440" s="20">
        <v>1654</v>
      </c>
      <c r="C3440" s="21">
        <v>45169</v>
      </c>
      <c r="D3440" s="20">
        <v>3291.84</v>
      </c>
      <c r="E3440" s="22" t="s">
        <v>10</v>
      </c>
      <c r="F3440" s="22" t="s">
        <v>16</v>
      </c>
      <c r="G3440" s="22" t="s">
        <v>17</v>
      </c>
    </row>
    <row r="3441" ht="15.15" spans="1:7">
      <c r="A3441" s="20">
        <v>3439</v>
      </c>
      <c r="B3441" s="20">
        <v>3234</v>
      </c>
      <c r="C3441" s="21">
        <v>44929</v>
      </c>
      <c r="D3441" s="20">
        <v>3291.84</v>
      </c>
      <c r="E3441" s="22" t="s">
        <v>10</v>
      </c>
      <c r="F3441" s="22" t="s">
        <v>16</v>
      </c>
      <c r="G3441" s="22" t="s">
        <v>17</v>
      </c>
    </row>
    <row r="3442" ht="15.15" spans="1:7">
      <c r="A3442" s="20">
        <v>3440</v>
      </c>
      <c r="B3442" s="20">
        <v>4642</v>
      </c>
      <c r="C3442" s="21">
        <v>44993</v>
      </c>
      <c r="D3442" s="20">
        <v>3291.84</v>
      </c>
      <c r="E3442" s="22" t="s">
        <v>10</v>
      </c>
      <c r="F3442" s="22" t="s">
        <v>18</v>
      </c>
      <c r="G3442" s="22" t="s">
        <v>20</v>
      </c>
    </row>
    <row r="3443" ht="15.15" spans="1:7">
      <c r="A3443" s="20">
        <v>3441</v>
      </c>
      <c r="B3443" s="20">
        <v>315</v>
      </c>
      <c r="C3443" s="21">
        <v>45225</v>
      </c>
      <c r="D3443" s="20">
        <v>3291.84</v>
      </c>
      <c r="E3443" s="22" t="s">
        <v>10</v>
      </c>
      <c r="F3443" s="22" t="s">
        <v>16</v>
      </c>
      <c r="G3443" s="22" t="s">
        <v>12</v>
      </c>
    </row>
    <row r="3444" ht="15.15" spans="1:7">
      <c r="A3444" s="20">
        <v>3442</v>
      </c>
      <c r="B3444" s="20">
        <v>168</v>
      </c>
      <c r="C3444" s="21">
        <v>45214</v>
      </c>
      <c r="D3444" s="20">
        <v>3291.84</v>
      </c>
      <c r="E3444" s="22" t="s">
        <v>10</v>
      </c>
      <c r="F3444" s="22" t="s">
        <v>16</v>
      </c>
      <c r="G3444" s="22" t="s">
        <v>17</v>
      </c>
    </row>
    <row r="3445" ht="15.15" spans="1:7">
      <c r="A3445" s="20">
        <v>3443</v>
      </c>
      <c r="B3445" s="20">
        <v>8234</v>
      </c>
      <c r="C3445" s="21">
        <v>45254</v>
      </c>
      <c r="D3445" s="20">
        <v>3291.84</v>
      </c>
      <c r="E3445" s="22" t="s">
        <v>10</v>
      </c>
      <c r="F3445" s="22" t="s">
        <v>11</v>
      </c>
      <c r="G3445" s="22" t="s">
        <v>12</v>
      </c>
    </row>
    <row r="3446" ht="15.15" spans="1:7">
      <c r="A3446" s="20">
        <v>3444</v>
      </c>
      <c r="B3446" s="20">
        <v>7681</v>
      </c>
      <c r="C3446" s="21">
        <v>45189</v>
      </c>
      <c r="D3446" s="20">
        <v>3291.84</v>
      </c>
      <c r="E3446" s="22" t="s">
        <v>10</v>
      </c>
      <c r="F3446" s="22" t="s">
        <v>16</v>
      </c>
      <c r="G3446" s="22" t="s">
        <v>20</v>
      </c>
    </row>
    <row r="3447" ht="15.15" spans="1:7">
      <c r="A3447" s="20">
        <v>3445</v>
      </c>
      <c r="B3447" s="20">
        <v>4810</v>
      </c>
      <c r="C3447" s="21">
        <v>45178</v>
      </c>
      <c r="D3447" s="20">
        <v>3291.84</v>
      </c>
      <c r="E3447" s="22" t="s">
        <v>22</v>
      </c>
      <c r="F3447" s="22" t="s">
        <v>16</v>
      </c>
      <c r="G3447" s="22" t="s">
        <v>15</v>
      </c>
    </row>
    <row r="3448" ht="15.15" spans="1:7">
      <c r="A3448" s="20">
        <v>3446</v>
      </c>
      <c r="B3448" s="20">
        <v>3093</v>
      </c>
      <c r="C3448" s="21">
        <v>45142</v>
      </c>
      <c r="D3448" s="20">
        <v>3291.84</v>
      </c>
      <c r="E3448" s="22" t="s">
        <v>10</v>
      </c>
      <c r="F3448" s="22" t="s">
        <v>13</v>
      </c>
      <c r="G3448" s="22" t="s">
        <v>17</v>
      </c>
    </row>
    <row r="3449" ht="15.15" spans="1:7">
      <c r="A3449" s="20">
        <v>3447</v>
      </c>
      <c r="B3449" s="20">
        <v>2118</v>
      </c>
      <c r="C3449" s="21">
        <v>45183</v>
      </c>
      <c r="D3449" s="20">
        <v>3291.84</v>
      </c>
      <c r="E3449" s="22" t="s">
        <v>10</v>
      </c>
      <c r="F3449" s="22" t="s">
        <v>11</v>
      </c>
      <c r="G3449" s="22" t="s">
        <v>12</v>
      </c>
    </row>
    <row r="3450" ht="15.15" spans="1:7">
      <c r="A3450" s="20">
        <v>3448</v>
      </c>
      <c r="B3450" s="20">
        <v>1227</v>
      </c>
      <c r="C3450" s="21">
        <v>45258</v>
      </c>
      <c r="D3450" s="20">
        <v>3291.84</v>
      </c>
      <c r="E3450" s="22" t="s">
        <v>10</v>
      </c>
      <c r="F3450" s="22" t="s">
        <v>13</v>
      </c>
      <c r="G3450" s="22" t="s">
        <v>15</v>
      </c>
    </row>
    <row r="3451" ht="15.15" spans="1:7">
      <c r="A3451" s="20">
        <v>3449</v>
      </c>
      <c r="B3451" s="20">
        <v>1117</v>
      </c>
      <c r="C3451" s="21">
        <v>45225</v>
      </c>
      <c r="D3451" s="20">
        <v>3291.84</v>
      </c>
      <c r="E3451" s="22" t="s">
        <v>10</v>
      </c>
      <c r="F3451" s="22" t="s">
        <v>16</v>
      </c>
      <c r="G3451" s="22" t="s">
        <v>20</v>
      </c>
    </row>
    <row r="3452" ht="15.15" spans="1:7">
      <c r="A3452" s="20">
        <v>3450</v>
      </c>
      <c r="B3452" s="20">
        <v>7339</v>
      </c>
      <c r="C3452" s="21">
        <v>45246</v>
      </c>
      <c r="D3452" s="20">
        <v>3291.84</v>
      </c>
      <c r="E3452" s="22" t="s">
        <v>10</v>
      </c>
      <c r="F3452" s="22" t="s">
        <v>16</v>
      </c>
      <c r="G3452" s="22" t="s">
        <v>17</v>
      </c>
    </row>
    <row r="3453" ht="15.15" spans="1:7">
      <c r="A3453" s="20">
        <v>3451</v>
      </c>
      <c r="B3453" s="20">
        <v>3858</v>
      </c>
      <c r="C3453" s="21">
        <v>45142</v>
      </c>
      <c r="D3453" s="20">
        <v>3291.84</v>
      </c>
      <c r="E3453" s="22" t="s">
        <v>10</v>
      </c>
      <c r="F3453" s="22" t="s">
        <v>14</v>
      </c>
      <c r="G3453" s="22" t="s">
        <v>17</v>
      </c>
    </row>
    <row r="3454" ht="15.15" spans="1:7">
      <c r="A3454" s="20">
        <v>3452</v>
      </c>
      <c r="B3454" s="20">
        <v>7493</v>
      </c>
      <c r="C3454" s="21">
        <v>45124</v>
      </c>
      <c r="D3454" s="20">
        <v>3291.84</v>
      </c>
      <c r="E3454" s="22" t="s">
        <v>10</v>
      </c>
      <c r="F3454" s="22" t="s">
        <v>11</v>
      </c>
      <c r="G3454" s="22" t="s">
        <v>15</v>
      </c>
    </row>
    <row r="3455" ht="15.15" spans="1:7">
      <c r="A3455" s="20">
        <v>3453</v>
      </c>
      <c r="B3455" s="20">
        <v>2798</v>
      </c>
      <c r="C3455" s="21">
        <v>44957</v>
      </c>
      <c r="D3455" s="20">
        <v>3291.84</v>
      </c>
      <c r="E3455" s="22" t="s">
        <v>10</v>
      </c>
      <c r="F3455" s="22" t="s">
        <v>13</v>
      </c>
      <c r="G3455" s="22" t="s">
        <v>20</v>
      </c>
    </row>
    <row r="3456" ht="15.15" spans="1:7">
      <c r="A3456" s="20">
        <v>3454</v>
      </c>
      <c r="B3456" s="20">
        <v>2468</v>
      </c>
      <c r="C3456" s="21">
        <v>45201</v>
      </c>
      <c r="D3456" s="20">
        <v>3291.84</v>
      </c>
      <c r="E3456" s="22" t="s">
        <v>10</v>
      </c>
      <c r="F3456" s="22" t="s">
        <v>14</v>
      </c>
      <c r="G3456" s="22" t="s">
        <v>17</v>
      </c>
    </row>
    <row r="3457" ht="15.15" spans="1:7">
      <c r="A3457" s="20">
        <v>3455</v>
      </c>
      <c r="B3457" s="20">
        <v>3439</v>
      </c>
      <c r="C3457" s="21">
        <v>44946</v>
      </c>
      <c r="D3457" s="20">
        <v>3291.84</v>
      </c>
      <c r="E3457" s="22" t="s">
        <v>10</v>
      </c>
      <c r="F3457" s="22" t="s">
        <v>13</v>
      </c>
      <c r="G3457" s="22" t="s">
        <v>12</v>
      </c>
    </row>
    <row r="3458" ht="15.15" spans="1:7">
      <c r="A3458" s="20">
        <v>3456</v>
      </c>
      <c r="B3458" s="20">
        <v>3748</v>
      </c>
      <c r="C3458" s="21">
        <v>45189</v>
      </c>
      <c r="D3458" s="20">
        <v>3291.84</v>
      </c>
      <c r="E3458" s="22" t="s">
        <v>10</v>
      </c>
      <c r="F3458" s="22" t="s">
        <v>16</v>
      </c>
      <c r="G3458" s="22" t="s">
        <v>17</v>
      </c>
    </row>
    <row r="3459" ht="15.15" spans="1:7">
      <c r="A3459" s="20">
        <v>3457</v>
      </c>
      <c r="B3459" s="20">
        <v>4745</v>
      </c>
      <c r="C3459" s="21">
        <v>45017</v>
      </c>
      <c r="D3459" s="20">
        <v>3291.84</v>
      </c>
      <c r="E3459" s="22" t="s">
        <v>10</v>
      </c>
      <c r="F3459" s="22" t="s">
        <v>13</v>
      </c>
      <c r="G3459" s="22" t="s">
        <v>15</v>
      </c>
    </row>
    <row r="3460" ht="15.15" spans="1:7">
      <c r="A3460" s="20">
        <v>3458</v>
      </c>
      <c r="B3460" s="20">
        <v>5162</v>
      </c>
      <c r="C3460" s="21">
        <v>45048</v>
      </c>
      <c r="D3460" s="20">
        <v>3291.84</v>
      </c>
      <c r="E3460" s="22" t="s">
        <v>10</v>
      </c>
      <c r="F3460" s="22" t="s">
        <v>13</v>
      </c>
      <c r="G3460" s="22" t="s">
        <v>20</v>
      </c>
    </row>
    <row r="3461" ht="15.15" spans="1:7">
      <c r="A3461" s="20">
        <v>3459</v>
      </c>
      <c r="B3461" s="20">
        <v>23</v>
      </c>
      <c r="C3461" s="21">
        <v>45163</v>
      </c>
      <c r="D3461" s="20">
        <v>3291.84</v>
      </c>
      <c r="E3461" s="22" t="s">
        <v>10</v>
      </c>
      <c r="F3461" s="22" t="s">
        <v>13</v>
      </c>
      <c r="G3461" s="22" t="s">
        <v>17</v>
      </c>
    </row>
    <row r="3462" ht="15.15" spans="1:7">
      <c r="A3462" s="20">
        <v>3460</v>
      </c>
      <c r="B3462" s="20">
        <v>4502</v>
      </c>
      <c r="C3462" s="21">
        <v>45217</v>
      </c>
      <c r="D3462" s="20">
        <v>3291.84</v>
      </c>
      <c r="E3462" s="22" t="s">
        <v>10</v>
      </c>
      <c r="F3462" s="22" t="s">
        <v>16</v>
      </c>
      <c r="G3462" s="22" t="s">
        <v>15</v>
      </c>
    </row>
    <row r="3463" ht="15.15" spans="1:7">
      <c r="A3463" s="20">
        <v>3461</v>
      </c>
      <c r="B3463" s="20">
        <v>5391</v>
      </c>
      <c r="C3463" s="21">
        <v>44999</v>
      </c>
      <c r="D3463" s="20">
        <v>3291.84</v>
      </c>
      <c r="E3463" s="22" t="s">
        <v>10</v>
      </c>
      <c r="F3463" s="22" t="s">
        <v>14</v>
      </c>
      <c r="G3463" s="22" t="s">
        <v>20</v>
      </c>
    </row>
    <row r="3464" ht="15.15" spans="1:7">
      <c r="A3464" s="20">
        <v>3462</v>
      </c>
      <c r="B3464" s="20">
        <v>5612</v>
      </c>
      <c r="C3464" s="21">
        <v>45141</v>
      </c>
      <c r="D3464" s="20">
        <v>3291.84</v>
      </c>
      <c r="E3464" s="22" t="s">
        <v>10</v>
      </c>
      <c r="F3464" s="22" t="s">
        <v>14</v>
      </c>
      <c r="G3464" s="22" t="s">
        <v>20</v>
      </c>
    </row>
    <row r="3465" ht="15.15" spans="1:7">
      <c r="A3465" s="20">
        <v>3463</v>
      </c>
      <c r="B3465" s="20">
        <v>9178</v>
      </c>
      <c r="C3465" s="21">
        <v>45239</v>
      </c>
      <c r="D3465" s="20">
        <v>3291.84</v>
      </c>
      <c r="E3465" s="22" t="s">
        <v>10</v>
      </c>
      <c r="F3465" s="22" t="s">
        <v>18</v>
      </c>
      <c r="G3465" s="22" t="s">
        <v>15</v>
      </c>
    </row>
    <row r="3466" ht="15.15" spans="1:7">
      <c r="A3466" s="20">
        <v>3464</v>
      </c>
      <c r="B3466" s="20">
        <v>2219</v>
      </c>
      <c r="C3466" s="21">
        <v>44989</v>
      </c>
      <c r="D3466" s="20">
        <v>3291.84</v>
      </c>
      <c r="E3466" s="22" t="s">
        <v>10</v>
      </c>
      <c r="F3466" s="22" t="s">
        <v>18</v>
      </c>
      <c r="G3466" s="22" t="s">
        <v>12</v>
      </c>
    </row>
    <row r="3467" ht="15.15" spans="1:7">
      <c r="A3467" s="20">
        <v>3465</v>
      </c>
      <c r="B3467" s="20">
        <v>9904</v>
      </c>
      <c r="C3467" s="21">
        <v>44990</v>
      </c>
      <c r="D3467" s="20">
        <v>3291.84</v>
      </c>
      <c r="E3467" s="22" t="s">
        <v>10</v>
      </c>
      <c r="F3467" s="22" t="s">
        <v>18</v>
      </c>
      <c r="G3467" s="22" t="s">
        <v>15</v>
      </c>
    </row>
    <row r="3468" ht="15.15" spans="1:7">
      <c r="A3468" s="20">
        <v>3466</v>
      </c>
      <c r="B3468" s="20">
        <v>7520</v>
      </c>
      <c r="C3468" s="21">
        <v>45001</v>
      </c>
      <c r="D3468" s="20">
        <v>3291.84</v>
      </c>
      <c r="E3468" s="22" t="s">
        <v>10</v>
      </c>
      <c r="F3468" s="22" t="s">
        <v>11</v>
      </c>
      <c r="G3468" s="22" t="s">
        <v>12</v>
      </c>
    </row>
    <row r="3469" ht="15.15" spans="1:7">
      <c r="A3469" s="20">
        <v>3467</v>
      </c>
      <c r="B3469" s="20">
        <v>1952</v>
      </c>
      <c r="C3469" s="21">
        <v>45200</v>
      </c>
      <c r="D3469" s="20">
        <v>3291.84</v>
      </c>
      <c r="E3469" s="22" t="s">
        <v>10</v>
      </c>
      <c r="F3469" s="22" t="s">
        <v>14</v>
      </c>
      <c r="G3469" s="22" t="s">
        <v>17</v>
      </c>
    </row>
    <row r="3470" ht="15.15" spans="1:7">
      <c r="A3470" s="20">
        <v>3468</v>
      </c>
      <c r="B3470" s="20">
        <v>7235</v>
      </c>
      <c r="C3470" s="21">
        <v>45190</v>
      </c>
      <c r="D3470" s="20">
        <v>3291.84</v>
      </c>
      <c r="E3470" s="22" t="s">
        <v>10</v>
      </c>
      <c r="F3470" s="22" t="s">
        <v>13</v>
      </c>
      <c r="G3470" s="22" t="s">
        <v>15</v>
      </c>
    </row>
    <row r="3471" ht="15.15" spans="1:7">
      <c r="A3471" s="20">
        <v>3469</v>
      </c>
      <c r="B3471" s="20">
        <v>7863</v>
      </c>
      <c r="C3471" s="21">
        <v>45110</v>
      </c>
      <c r="D3471" s="20">
        <v>3291.84</v>
      </c>
      <c r="E3471" s="22" t="s">
        <v>10</v>
      </c>
      <c r="F3471" s="22" t="s">
        <v>13</v>
      </c>
      <c r="G3471" s="22" t="s">
        <v>12</v>
      </c>
    </row>
    <row r="3472" ht="15.15" spans="1:7">
      <c r="A3472" s="20">
        <v>3470</v>
      </c>
      <c r="B3472" s="20">
        <v>1583</v>
      </c>
      <c r="C3472" s="21">
        <v>45005</v>
      </c>
      <c r="D3472" s="20">
        <v>3291.84</v>
      </c>
      <c r="E3472" s="22" t="s">
        <v>10</v>
      </c>
      <c r="F3472" s="22" t="s">
        <v>16</v>
      </c>
      <c r="G3472" s="22" t="s">
        <v>12</v>
      </c>
    </row>
    <row r="3473" ht="15.15" spans="1:7">
      <c r="A3473" s="20">
        <v>3471</v>
      </c>
      <c r="B3473" s="20">
        <v>1402</v>
      </c>
      <c r="C3473" s="21">
        <v>45051</v>
      </c>
      <c r="D3473" s="20">
        <v>3291.84</v>
      </c>
      <c r="E3473" s="22" t="s">
        <v>21</v>
      </c>
      <c r="F3473" s="22" t="s">
        <v>11</v>
      </c>
      <c r="G3473" s="22" t="s">
        <v>15</v>
      </c>
    </row>
    <row r="3474" ht="15.15" spans="1:7">
      <c r="A3474" s="20">
        <v>3472</v>
      </c>
      <c r="B3474" s="20">
        <v>4125</v>
      </c>
      <c r="C3474" s="21">
        <v>45258</v>
      </c>
      <c r="D3474" s="20">
        <v>3291.84</v>
      </c>
      <c r="E3474" s="22" t="s">
        <v>10</v>
      </c>
      <c r="F3474" s="22" t="s">
        <v>18</v>
      </c>
      <c r="G3474" s="22" t="s">
        <v>20</v>
      </c>
    </row>
    <row r="3475" ht="15.15" spans="1:7">
      <c r="A3475" s="20">
        <v>3473</v>
      </c>
      <c r="B3475" s="20">
        <v>4344</v>
      </c>
      <c r="C3475" s="21">
        <v>45195</v>
      </c>
      <c r="D3475" s="20">
        <v>3291.84</v>
      </c>
      <c r="E3475" s="22" t="s">
        <v>10</v>
      </c>
      <c r="F3475" s="22" t="s">
        <v>13</v>
      </c>
      <c r="G3475" s="22" t="s">
        <v>12</v>
      </c>
    </row>
    <row r="3476" ht="15.15" spans="1:7">
      <c r="A3476" s="20">
        <v>3474</v>
      </c>
      <c r="B3476" s="20">
        <v>6740</v>
      </c>
      <c r="C3476" s="21">
        <v>45044</v>
      </c>
      <c r="D3476" s="20">
        <v>3291.84</v>
      </c>
      <c r="E3476" s="22" t="s">
        <v>10</v>
      </c>
      <c r="F3476" s="22" t="s">
        <v>14</v>
      </c>
      <c r="G3476" s="22" t="s">
        <v>12</v>
      </c>
    </row>
    <row r="3477" ht="15.15" spans="1:7">
      <c r="A3477" s="20">
        <v>3475</v>
      </c>
      <c r="B3477" s="20">
        <v>5126</v>
      </c>
      <c r="C3477" s="21">
        <v>45246</v>
      </c>
      <c r="D3477" s="20">
        <v>3291.84</v>
      </c>
      <c r="E3477" s="22" t="s">
        <v>10</v>
      </c>
      <c r="F3477" s="22" t="s">
        <v>11</v>
      </c>
      <c r="G3477" s="22" t="s">
        <v>12</v>
      </c>
    </row>
    <row r="3478" ht="15.15" spans="1:7">
      <c r="A3478" s="20">
        <v>3476</v>
      </c>
      <c r="B3478" s="20">
        <v>6412</v>
      </c>
      <c r="C3478" s="21">
        <v>44933</v>
      </c>
      <c r="D3478" s="20">
        <v>3291.84</v>
      </c>
      <c r="E3478" s="22" t="s">
        <v>10</v>
      </c>
      <c r="F3478" s="22" t="s">
        <v>14</v>
      </c>
      <c r="G3478" s="22" t="s">
        <v>12</v>
      </c>
    </row>
    <row r="3479" ht="15.15" spans="1:7">
      <c r="A3479" s="20">
        <v>3477</v>
      </c>
      <c r="B3479" s="20">
        <v>1400</v>
      </c>
      <c r="C3479" s="21">
        <v>45187</v>
      </c>
      <c r="D3479" s="20">
        <v>3291.84</v>
      </c>
      <c r="E3479" s="22" t="s">
        <v>10</v>
      </c>
      <c r="F3479" s="22" t="s">
        <v>13</v>
      </c>
      <c r="G3479" s="22" t="s">
        <v>17</v>
      </c>
    </row>
    <row r="3480" ht="15.15" spans="1:7">
      <c r="A3480" s="20">
        <v>3478</v>
      </c>
      <c r="B3480" s="20">
        <v>163</v>
      </c>
      <c r="C3480" s="21">
        <v>45282</v>
      </c>
      <c r="D3480" s="20">
        <v>3291.84</v>
      </c>
      <c r="E3480" s="22" t="s">
        <v>10</v>
      </c>
      <c r="F3480" s="22" t="s">
        <v>11</v>
      </c>
      <c r="G3480" s="22" t="s">
        <v>17</v>
      </c>
    </row>
    <row r="3481" ht="15.15" spans="1:7">
      <c r="A3481" s="20">
        <v>3479</v>
      </c>
      <c r="B3481" s="20">
        <v>4650</v>
      </c>
      <c r="C3481" s="21">
        <v>44963</v>
      </c>
      <c r="D3481" s="20">
        <v>3291.84</v>
      </c>
      <c r="E3481" s="22" t="s">
        <v>10</v>
      </c>
      <c r="F3481" s="22" t="s">
        <v>11</v>
      </c>
      <c r="G3481" s="22" t="s">
        <v>12</v>
      </c>
    </row>
    <row r="3482" ht="15.15" spans="1:7">
      <c r="A3482" s="20">
        <v>3480</v>
      </c>
      <c r="B3482" s="20">
        <v>7087</v>
      </c>
      <c r="C3482" s="21">
        <v>45267</v>
      </c>
      <c r="D3482" s="20">
        <v>3291.84</v>
      </c>
      <c r="E3482" s="22" t="s">
        <v>10</v>
      </c>
      <c r="F3482" s="22" t="s">
        <v>13</v>
      </c>
      <c r="G3482" s="22" t="s">
        <v>15</v>
      </c>
    </row>
    <row r="3483" ht="15.15" spans="1:7">
      <c r="A3483" s="20">
        <v>3481</v>
      </c>
      <c r="B3483" s="20">
        <v>6205</v>
      </c>
      <c r="C3483" s="21">
        <v>44985</v>
      </c>
      <c r="D3483" s="20">
        <v>3291.84</v>
      </c>
      <c r="E3483" s="22" t="s">
        <v>10</v>
      </c>
      <c r="F3483" s="22" t="s">
        <v>18</v>
      </c>
      <c r="G3483" s="22" t="s">
        <v>12</v>
      </c>
    </row>
    <row r="3484" ht="15.15" spans="1:7">
      <c r="A3484" s="20">
        <v>3482</v>
      </c>
      <c r="B3484" s="20">
        <v>3410</v>
      </c>
      <c r="C3484" s="21">
        <v>45049</v>
      </c>
      <c r="D3484" s="20">
        <v>3291.84</v>
      </c>
      <c r="E3484" s="22" t="s">
        <v>10</v>
      </c>
      <c r="F3484" s="22" t="s">
        <v>18</v>
      </c>
      <c r="G3484" s="22" t="s">
        <v>12</v>
      </c>
    </row>
    <row r="3485" ht="15.15" spans="1:7">
      <c r="A3485" s="20">
        <v>3483</v>
      </c>
      <c r="B3485" s="20">
        <v>1319</v>
      </c>
      <c r="C3485" s="21">
        <v>45225</v>
      </c>
      <c r="D3485" s="20">
        <v>3291.84</v>
      </c>
      <c r="E3485" s="22" t="s">
        <v>10</v>
      </c>
      <c r="F3485" s="22" t="s">
        <v>13</v>
      </c>
      <c r="G3485" s="22" t="s">
        <v>12</v>
      </c>
    </row>
    <row r="3486" ht="15.15" spans="1:7">
      <c r="A3486" s="20">
        <v>3484</v>
      </c>
      <c r="B3486" s="20">
        <v>3896</v>
      </c>
      <c r="C3486" s="21">
        <v>45044</v>
      </c>
      <c r="D3486" s="20">
        <v>3291.84</v>
      </c>
      <c r="E3486" s="22" t="s">
        <v>10</v>
      </c>
      <c r="F3486" s="22" t="s">
        <v>14</v>
      </c>
      <c r="G3486" s="22" t="s">
        <v>12</v>
      </c>
    </row>
    <row r="3487" ht="15.15" spans="1:7">
      <c r="A3487" s="20">
        <v>3485</v>
      </c>
      <c r="B3487" s="20">
        <v>7726</v>
      </c>
      <c r="C3487" s="21">
        <v>45126</v>
      </c>
      <c r="D3487" s="20">
        <v>3291.84</v>
      </c>
      <c r="E3487" s="22" t="s">
        <v>10</v>
      </c>
      <c r="F3487" s="22" t="s">
        <v>11</v>
      </c>
      <c r="G3487" s="22" t="s">
        <v>15</v>
      </c>
    </row>
    <row r="3488" ht="15.15" spans="1:7">
      <c r="A3488" s="20">
        <v>3486</v>
      </c>
      <c r="B3488" s="20">
        <v>6670</v>
      </c>
      <c r="C3488" s="21">
        <v>45099</v>
      </c>
      <c r="D3488" s="20">
        <v>3291.84</v>
      </c>
      <c r="E3488" s="22" t="s">
        <v>10</v>
      </c>
      <c r="F3488" s="22" t="s">
        <v>16</v>
      </c>
      <c r="G3488" s="22" t="s">
        <v>15</v>
      </c>
    </row>
    <row r="3489" ht="15.15" spans="1:7">
      <c r="A3489" s="20">
        <v>3487</v>
      </c>
      <c r="B3489" s="20">
        <v>7843</v>
      </c>
      <c r="C3489" s="21">
        <v>45190</v>
      </c>
      <c r="D3489" s="20">
        <v>3291.84</v>
      </c>
      <c r="E3489" s="22" t="s">
        <v>10</v>
      </c>
      <c r="F3489" s="22" t="s">
        <v>19</v>
      </c>
      <c r="G3489" s="22" t="s">
        <v>17</v>
      </c>
    </row>
    <row r="3490" ht="15.15" spans="1:7">
      <c r="A3490" s="20">
        <v>3488</v>
      </c>
      <c r="B3490" s="20">
        <v>2665</v>
      </c>
      <c r="C3490" s="21">
        <v>44980</v>
      </c>
      <c r="D3490" s="20">
        <v>3291.84</v>
      </c>
      <c r="E3490" s="22" t="s">
        <v>10</v>
      </c>
      <c r="F3490" s="22" t="s">
        <v>16</v>
      </c>
      <c r="G3490" s="22" t="s">
        <v>20</v>
      </c>
    </row>
    <row r="3491" ht="15.15" spans="1:7">
      <c r="A3491" s="20">
        <v>3489</v>
      </c>
      <c r="B3491" s="20">
        <v>3825</v>
      </c>
      <c r="C3491" s="21">
        <v>44986</v>
      </c>
      <c r="D3491" s="20">
        <v>3291.84</v>
      </c>
      <c r="E3491" s="22" t="s">
        <v>10</v>
      </c>
      <c r="F3491" s="22" t="s">
        <v>18</v>
      </c>
      <c r="G3491" s="22" t="s">
        <v>15</v>
      </c>
    </row>
    <row r="3492" ht="15.15" spans="1:7">
      <c r="A3492" s="20">
        <v>3490</v>
      </c>
      <c r="B3492" s="20">
        <v>9529</v>
      </c>
      <c r="C3492" s="21">
        <v>45272</v>
      </c>
      <c r="D3492" s="20">
        <v>3291.84</v>
      </c>
      <c r="E3492" s="22" t="s">
        <v>10</v>
      </c>
      <c r="F3492" s="22" t="s">
        <v>18</v>
      </c>
      <c r="G3492" s="22" t="s">
        <v>15</v>
      </c>
    </row>
    <row r="3493" ht="15.15" spans="1:7">
      <c r="A3493" s="20">
        <v>3491</v>
      </c>
      <c r="B3493" s="20">
        <v>2592</v>
      </c>
      <c r="C3493" s="21">
        <v>44953</v>
      </c>
      <c r="D3493" s="20">
        <v>3291.84</v>
      </c>
      <c r="E3493" s="22" t="s">
        <v>10</v>
      </c>
      <c r="F3493" s="22" t="s">
        <v>11</v>
      </c>
      <c r="G3493" s="22" t="s">
        <v>12</v>
      </c>
    </row>
    <row r="3494" ht="15.15" spans="1:7">
      <c r="A3494" s="20">
        <v>3492</v>
      </c>
      <c r="B3494" s="20">
        <v>2626</v>
      </c>
      <c r="C3494" s="21">
        <v>45001</v>
      </c>
      <c r="D3494" s="20">
        <v>3291.84</v>
      </c>
      <c r="E3494" s="22" t="s">
        <v>10</v>
      </c>
      <c r="F3494" s="22" t="s">
        <v>16</v>
      </c>
      <c r="G3494" s="22" t="s">
        <v>20</v>
      </c>
    </row>
    <row r="3495" ht="15.15" spans="1:7">
      <c r="A3495" s="20">
        <v>3493</v>
      </c>
      <c r="B3495" s="20">
        <v>7366</v>
      </c>
      <c r="C3495" s="21">
        <v>45170</v>
      </c>
      <c r="D3495" s="20">
        <v>3291.84</v>
      </c>
      <c r="E3495" s="22" t="s">
        <v>10</v>
      </c>
      <c r="F3495" s="22" t="s">
        <v>13</v>
      </c>
      <c r="G3495" s="22" t="s">
        <v>12</v>
      </c>
    </row>
    <row r="3496" ht="15.15" spans="1:7">
      <c r="A3496" s="20">
        <v>3494</v>
      </c>
      <c r="B3496" s="20">
        <v>6773</v>
      </c>
      <c r="C3496" s="21">
        <v>45222</v>
      </c>
      <c r="D3496" s="20">
        <v>3291.84</v>
      </c>
      <c r="E3496" s="22" t="s">
        <v>10</v>
      </c>
      <c r="F3496" s="22" t="s">
        <v>11</v>
      </c>
      <c r="G3496" s="22" t="s">
        <v>12</v>
      </c>
    </row>
    <row r="3497" ht="15.15" spans="1:7">
      <c r="A3497" s="20">
        <v>3495</v>
      </c>
      <c r="B3497" s="20">
        <v>1250</v>
      </c>
      <c r="C3497" s="21">
        <v>45038</v>
      </c>
      <c r="D3497" s="20">
        <v>3291.84</v>
      </c>
      <c r="E3497" s="22" t="s">
        <v>22</v>
      </c>
      <c r="F3497" s="22" t="s">
        <v>16</v>
      </c>
      <c r="G3497" s="22" t="s">
        <v>12</v>
      </c>
    </row>
    <row r="3498" ht="15.15" spans="1:7">
      <c r="A3498" s="20">
        <v>3496</v>
      </c>
      <c r="B3498" s="20">
        <v>2504</v>
      </c>
      <c r="C3498" s="21">
        <v>45140</v>
      </c>
      <c r="D3498" s="20">
        <v>3291.84</v>
      </c>
      <c r="E3498" s="22" t="s">
        <v>10</v>
      </c>
      <c r="F3498" s="22" t="s">
        <v>18</v>
      </c>
      <c r="G3498" s="22" t="s">
        <v>15</v>
      </c>
    </row>
    <row r="3499" ht="15.15" spans="1:7">
      <c r="A3499" s="20">
        <v>3497</v>
      </c>
      <c r="B3499" s="20">
        <v>2871</v>
      </c>
      <c r="C3499" s="21">
        <v>44955</v>
      </c>
      <c r="D3499" s="20">
        <v>3291.84</v>
      </c>
      <c r="E3499" s="22" t="s">
        <v>10</v>
      </c>
      <c r="F3499" s="22" t="s">
        <v>14</v>
      </c>
      <c r="G3499" s="22" t="s">
        <v>12</v>
      </c>
    </row>
    <row r="3500" ht="15.15" spans="1:7">
      <c r="A3500" s="20">
        <v>3498</v>
      </c>
      <c r="B3500" s="20">
        <v>7859</v>
      </c>
      <c r="C3500" s="21">
        <v>45217</v>
      </c>
      <c r="D3500" s="20">
        <v>3291.84</v>
      </c>
      <c r="E3500" s="22" t="s">
        <v>10</v>
      </c>
      <c r="F3500" s="22" t="s">
        <v>14</v>
      </c>
      <c r="G3500" s="22" t="s">
        <v>12</v>
      </c>
    </row>
    <row r="3501" ht="15.15" spans="1:7">
      <c r="A3501" s="20">
        <v>3499</v>
      </c>
      <c r="B3501" s="20">
        <v>4763</v>
      </c>
      <c r="C3501" s="21">
        <v>45225</v>
      </c>
      <c r="D3501" s="20">
        <v>3291.84</v>
      </c>
      <c r="E3501" s="22" t="s">
        <v>10</v>
      </c>
      <c r="F3501" s="22" t="s">
        <v>14</v>
      </c>
      <c r="G3501" s="22" t="s">
        <v>17</v>
      </c>
    </row>
    <row r="3502" ht="15.15" spans="1:7">
      <c r="A3502" s="20">
        <v>3500</v>
      </c>
      <c r="B3502" s="20">
        <v>2749</v>
      </c>
      <c r="C3502" s="21">
        <v>45284</v>
      </c>
      <c r="D3502" s="20">
        <v>3291.84</v>
      </c>
      <c r="E3502" s="22" t="s">
        <v>10</v>
      </c>
      <c r="F3502" s="22" t="s">
        <v>11</v>
      </c>
      <c r="G3502" s="22" t="s">
        <v>12</v>
      </c>
    </row>
    <row r="3503" ht="15.15" spans="1:7">
      <c r="A3503" s="20">
        <v>3501</v>
      </c>
      <c r="B3503" s="20">
        <v>4912</v>
      </c>
      <c r="C3503" s="21">
        <v>45086</v>
      </c>
      <c r="D3503" s="20">
        <v>3291.84</v>
      </c>
      <c r="E3503" s="22" t="s">
        <v>22</v>
      </c>
      <c r="F3503" s="22" t="s">
        <v>13</v>
      </c>
      <c r="G3503" s="22" t="s">
        <v>15</v>
      </c>
    </row>
    <row r="3504" ht="15.15" spans="1:7">
      <c r="A3504" s="20">
        <v>3502</v>
      </c>
      <c r="B3504" s="20">
        <v>3514</v>
      </c>
      <c r="C3504" s="21">
        <v>45041</v>
      </c>
      <c r="D3504" s="20">
        <v>3291.84</v>
      </c>
      <c r="E3504" s="22" t="s">
        <v>10</v>
      </c>
      <c r="F3504" s="22" t="s">
        <v>18</v>
      </c>
      <c r="G3504" s="22" t="s">
        <v>20</v>
      </c>
    </row>
    <row r="3505" ht="15.15" spans="1:7">
      <c r="A3505" s="20">
        <v>3503</v>
      </c>
      <c r="B3505" s="20">
        <v>6825</v>
      </c>
      <c r="C3505" s="21">
        <v>45289</v>
      </c>
      <c r="D3505" s="20">
        <v>3291.84</v>
      </c>
      <c r="E3505" s="22" t="s">
        <v>10</v>
      </c>
      <c r="F3505" s="22" t="s">
        <v>13</v>
      </c>
      <c r="G3505" s="22" t="s">
        <v>12</v>
      </c>
    </row>
    <row r="3506" ht="15.15" spans="1:7">
      <c r="A3506" s="20">
        <v>3504</v>
      </c>
      <c r="B3506" s="20">
        <v>8046</v>
      </c>
      <c r="C3506" s="21">
        <v>45254</v>
      </c>
      <c r="D3506" s="20">
        <v>3291.84</v>
      </c>
      <c r="E3506" s="22" t="s">
        <v>10</v>
      </c>
      <c r="F3506" s="22" t="s">
        <v>18</v>
      </c>
      <c r="G3506" s="22" t="s">
        <v>12</v>
      </c>
    </row>
    <row r="3507" ht="15.15" spans="1:7">
      <c r="A3507" s="20">
        <v>3505</v>
      </c>
      <c r="B3507" s="20">
        <v>9927</v>
      </c>
      <c r="C3507" s="21">
        <v>45225</v>
      </c>
      <c r="D3507" s="20">
        <v>3291.84</v>
      </c>
      <c r="E3507" s="22" t="s">
        <v>10</v>
      </c>
      <c r="F3507" s="22" t="s">
        <v>11</v>
      </c>
      <c r="G3507" s="22" t="s">
        <v>12</v>
      </c>
    </row>
    <row r="3508" ht="15.15" spans="1:7">
      <c r="A3508" s="20">
        <v>3506</v>
      </c>
      <c r="B3508" s="20">
        <v>1864</v>
      </c>
      <c r="C3508" s="21">
        <v>45145</v>
      </c>
      <c r="D3508" s="20">
        <v>3291.84</v>
      </c>
      <c r="E3508" s="22" t="s">
        <v>10</v>
      </c>
      <c r="F3508" s="22" t="s">
        <v>13</v>
      </c>
      <c r="G3508" s="22" t="s">
        <v>20</v>
      </c>
    </row>
    <row r="3509" ht="15.15" spans="1:7">
      <c r="A3509" s="20">
        <v>3507</v>
      </c>
      <c r="B3509" s="20">
        <v>8814</v>
      </c>
      <c r="C3509" s="21">
        <v>45036</v>
      </c>
      <c r="D3509" s="20">
        <v>3291.84</v>
      </c>
      <c r="E3509" s="22" t="s">
        <v>10</v>
      </c>
      <c r="F3509" s="22" t="s">
        <v>11</v>
      </c>
      <c r="G3509" s="22" t="s">
        <v>20</v>
      </c>
    </row>
    <row r="3510" ht="15.15" spans="1:7">
      <c r="A3510" s="20">
        <v>3508</v>
      </c>
      <c r="B3510" s="20">
        <v>657</v>
      </c>
      <c r="C3510" s="21">
        <v>45139</v>
      </c>
      <c r="D3510" s="20">
        <v>3291.84</v>
      </c>
      <c r="E3510" s="22" t="s">
        <v>10</v>
      </c>
      <c r="F3510" s="22" t="s">
        <v>11</v>
      </c>
      <c r="G3510" s="22" t="s">
        <v>20</v>
      </c>
    </row>
    <row r="3511" ht="15.15" spans="1:7">
      <c r="A3511" s="20">
        <v>3509</v>
      </c>
      <c r="B3511" s="20">
        <v>5688</v>
      </c>
      <c r="C3511" s="21">
        <v>45134</v>
      </c>
      <c r="D3511" s="20">
        <v>3291.84</v>
      </c>
      <c r="E3511" s="22" t="s">
        <v>10</v>
      </c>
      <c r="F3511" s="22" t="s">
        <v>14</v>
      </c>
      <c r="G3511" s="22" t="s">
        <v>17</v>
      </c>
    </row>
    <row r="3512" ht="15.15" spans="1:7">
      <c r="A3512" s="20">
        <v>3510</v>
      </c>
      <c r="B3512" s="20">
        <v>1807</v>
      </c>
      <c r="C3512" s="21">
        <v>45024</v>
      </c>
      <c r="D3512" s="20">
        <v>3291.84</v>
      </c>
      <c r="E3512" s="22" t="s">
        <v>10</v>
      </c>
      <c r="F3512" s="22" t="s">
        <v>18</v>
      </c>
      <c r="G3512" s="22" t="s">
        <v>20</v>
      </c>
    </row>
    <row r="3513" ht="15.15" spans="1:7">
      <c r="A3513" s="20">
        <v>3511</v>
      </c>
      <c r="B3513" s="20">
        <v>1295</v>
      </c>
      <c r="C3513" s="21">
        <v>45123</v>
      </c>
      <c r="D3513" s="20">
        <v>3291.84</v>
      </c>
      <c r="E3513" s="22" t="s">
        <v>10</v>
      </c>
      <c r="F3513" s="22" t="s">
        <v>19</v>
      </c>
      <c r="G3513" s="22" t="s">
        <v>17</v>
      </c>
    </row>
    <row r="3514" ht="15.15" spans="1:7">
      <c r="A3514" s="20">
        <v>3512</v>
      </c>
      <c r="B3514" s="20">
        <v>5396</v>
      </c>
      <c r="C3514" s="21">
        <v>45021</v>
      </c>
      <c r="D3514" s="20">
        <v>3291.84</v>
      </c>
      <c r="E3514" s="22" t="s">
        <v>10</v>
      </c>
      <c r="F3514" s="22" t="s">
        <v>11</v>
      </c>
      <c r="G3514" s="22" t="s">
        <v>15</v>
      </c>
    </row>
    <row r="3515" ht="15.15" spans="1:7">
      <c r="A3515" s="20">
        <v>3513</v>
      </c>
      <c r="B3515" s="20">
        <v>4085</v>
      </c>
      <c r="C3515" s="21">
        <v>45234</v>
      </c>
      <c r="D3515" s="20">
        <v>3291.84</v>
      </c>
      <c r="E3515" s="22" t="s">
        <v>10</v>
      </c>
      <c r="F3515" s="22" t="s">
        <v>18</v>
      </c>
      <c r="G3515" s="22" t="s">
        <v>12</v>
      </c>
    </row>
    <row r="3516" ht="15.15" spans="1:7">
      <c r="A3516" s="20">
        <v>3514</v>
      </c>
      <c r="B3516" s="20">
        <v>5508</v>
      </c>
      <c r="C3516" s="21">
        <v>45252</v>
      </c>
      <c r="D3516" s="20">
        <v>3291.84</v>
      </c>
      <c r="E3516" s="22" t="s">
        <v>10</v>
      </c>
      <c r="F3516" s="22" t="s">
        <v>13</v>
      </c>
      <c r="G3516" s="22" t="s">
        <v>17</v>
      </c>
    </row>
    <row r="3517" ht="15.15" spans="1:7">
      <c r="A3517" s="20">
        <v>3515</v>
      </c>
      <c r="B3517" s="20">
        <v>5517</v>
      </c>
      <c r="C3517" s="21">
        <v>45154</v>
      </c>
      <c r="D3517" s="20">
        <v>3291.84</v>
      </c>
      <c r="E3517" s="22" t="s">
        <v>10</v>
      </c>
      <c r="F3517" s="22" t="s">
        <v>18</v>
      </c>
      <c r="G3517" s="22" t="s">
        <v>20</v>
      </c>
    </row>
    <row r="3518" ht="15.15" spans="1:7">
      <c r="A3518" s="20">
        <v>3516</v>
      </c>
      <c r="B3518" s="20">
        <v>5240</v>
      </c>
      <c r="C3518" s="21">
        <v>45103</v>
      </c>
      <c r="D3518" s="20">
        <v>3291.84</v>
      </c>
      <c r="E3518" s="22" t="s">
        <v>10</v>
      </c>
      <c r="F3518" s="22" t="s">
        <v>11</v>
      </c>
      <c r="G3518" s="22" t="s">
        <v>12</v>
      </c>
    </row>
    <row r="3519" ht="15.15" spans="1:7">
      <c r="A3519" s="20">
        <v>3517</v>
      </c>
      <c r="B3519" s="20">
        <v>6462</v>
      </c>
      <c r="C3519" s="21">
        <v>44982</v>
      </c>
      <c r="D3519" s="20">
        <v>3291.84</v>
      </c>
      <c r="E3519" s="22" t="s">
        <v>10</v>
      </c>
      <c r="F3519" s="22" t="s">
        <v>13</v>
      </c>
      <c r="G3519" s="22" t="s">
        <v>12</v>
      </c>
    </row>
    <row r="3520" ht="15.15" spans="1:7">
      <c r="A3520" s="20">
        <v>3518</v>
      </c>
      <c r="B3520" s="20">
        <v>6443</v>
      </c>
      <c r="C3520" s="21">
        <v>44957</v>
      </c>
      <c r="D3520" s="20">
        <v>3291.84</v>
      </c>
      <c r="E3520" s="22" t="s">
        <v>10</v>
      </c>
      <c r="F3520" s="22" t="s">
        <v>13</v>
      </c>
      <c r="G3520" s="22" t="s">
        <v>12</v>
      </c>
    </row>
    <row r="3521" ht="15.15" spans="1:7">
      <c r="A3521" s="20">
        <v>3519</v>
      </c>
      <c r="B3521" s="20">
        <v>1056</v>
      </c>
      <c r="C3521" s="21">
        <v>45268</v>
      </c>
      <c r="D3521" s="20">
        <v>3291.84</v>
      </c>
      <c r="E3521" s="22" t="s">
        <v>22</v>
      </c>
      <c r="F3521" s="22" t="s">
        <v>16</v>
      </c>
      <c r="G3521" s="22" t="s">
        <v>17</v>
      </c>
    </row>
    <row r="3522" ht="15.15" spans="1:7">
      <c r="A3522" s="20">
        <v>3520</v>
      </c>
      <c r="B3522" s="20">
        <v>7847</v>
      </c>
      <c r="C3522" s="21">
        <v>45098</v>
      </c>
      <c r="D3522" s="20">
        <v>3291.84</v>
      </c>
      <c r="E3522" s="22" t="s">
        <v>10</v>
      </c>
      <c r="F3522" s="22" t="s">
        <v>11</v>
      </c>
      <c r="G3522" s="22" t="s">
        <v>20</v>
      </c>
    </row>
    <row r="3523" ht="15.15" spans="1:7">
      <c r="A3523" s="20">
        <v>3521</v>
      </c>
      <c r="B3523" s="20">
        <v>2505</v>
      </c>
      <c r="C3523" s="21">
        <v>45107</v>
      </c>
      <c r="D3523" s="20">
        <v>3291.84</v>
      </c>
      <c r="E3523" s="22" t="s">
        <v>10</v>
      </c>
      <c r="F3523" s="22" t="s">
        <v>13</v>
      </c>
      <c r="G3523" s="22" t="s">
        <v>20</v>
      </c>
    </row>
    <row r="3524" ht="15.15" spans="1:7">
      <c r="A3524" s="20">
        <v>3522</v>
      </c>
      <c r="B3524" s="20">
        <v>8509</v>
      </c>
      <c r="C3524" s="21">
        <v>45276</v>
      </c>
      <c r="D3524" s="20">
        <v>3291.84</v>
      </c>
      <c r="E3524" s="22" t="s">
        <v>10</v>
      </c>
      <c r="F3524" s="22" t="s">
        <v>11</v>
      </c>
      <c r="G3524" s="22" t="s">
        <v>12</v>
      </c>
    </row>
    <row r="3525" ht="15.15" spans="1:7">
      <c r="A3525" s="20">
        <v>3523</v>
      </c>
      <c r="B3525" s="20">
        <v>6408</v>
      </c>
      <c r="C3525" s="21">
        <v>45280</v>
      </c>
      <c r="D3525" s="20">
        <v>3291.84</v>
      </c>
      <c r="E3525" s="22" t="s">
        <v>10</v>
      </c>
      <c r="F3525" s="22" t="s">
        <v>18</v>
      </c>
      <c r="G3525" s="22" t="s">
        <v>12</v>
      </c>
    </row>
    <row r="3526" ht="15.15" spans="1:7">
      <c r="A3526" s="20">
        <v>3524</v>
      </c>
      <c r="B3526" s="20">
        <v>7135</v>
      </c>
      <c r="C3526" s="21">
        <v>45028</v>
      </c>
      <c r="D3526" s="20">
        <v>3291.84</v>
      </c>
      <c r="E3526" s="22" t="s">
        <v>10</v>
      </c>
      <c r="F3526" s="22" t="s">
        <v>18</v>
      </c>
      <c r="G3526" s="22" t="s">
        <v>12</v>
      </c>
    </row>
    <row r="3527" ht="15.15" spans="1:7">
      <c r="A3527" s="20">
        <v>3525</v>
      </c>
      <c r="B3527" s="20">
        <v>5590</v>
      </c>
      <c r="C3527" s="21">
        <v>45202</v>
      </c>
      <c r="D3527" s="20">
        <v>3291.84</v>
      </c>
      <c r="E3527" s="22" t="s">
        <v>10</v>
      </c>
      <c r="F3527" s="22" t="s">
        <v>18</v>
      </c>
      <c r="G3527" s="22" t="s">
        <v>12</v>
      </c>
    </row>
    <row r="3528" ht="15.15" spans="1:7">
      <c r="A3528" s="20">
        <v>3526</v>
      </c>
      <c r="B3528" s="20">
        <v>2491</v>
      </c>
      <c r="C3528" s="21">
        <v>45084</v>
      </c>
      <c r="D3528" s="20">
        <v>3291.84</v>
      </c>
      <c r="E3528" s="22" t="s">
        <v>10</v>
      </c>
      <c r="F3528" s="22" t="s">
        <v>11</v>
      </c>
      <c r="G3528" s="22" t="s">
        <v>17</v>
      </c>
    </row>
    <row r="3529" ht="15.15" spans="1:7">
      <c r="A3529" s="20">
        <v>3527</v>
      </c>
      <c r="B3529" s="20">
        <v>3121</v>
      </c>
      <c r="C3529" s="21">
        <v>45230</v>
      </c>
      <c r="D3529" s="20">
        <v>3291.84</v>
      </c>
      <c r="E3529" s="22" t="s">
        <v>10</v>
      </c>
      <c r="F3529" s="22" t="s">
        <v>13</v>
      </c>
      <c r="G3529" s="22" t="s">
        <v>17</v>
      </c>
    </row>
    <row r="3530" ht="15.15" spans="1:7">
      <c r="A3530" s="20">
        <v>3528</v>
      </c>
      <c r="B3530" s="20">
        <v>4684</v>
      </c>
      <c r="C3530" s="21">
        <v>45201</v>
      </c>
      <c r="D3530" s="20">
        <v>3291.84</v>
      </c>
      <c r="E3530" s="22" t="s">
        <v>10</v>
      </c>
      <c r="F3530" s="22" t="s">
        <v>13</v>
      </c>
      <c r="G3530" s="22" t="s">
        <v>20</v>
      </c>
    </row>
    <row r="3531" ht="15.15" spans="1:7">
      <c r="A3531" s="20">
        <v>3529</v>
      </c>
      <c r="B3531" s="20">
        <v>8</v>
      </c>
      <c r="C3531" s="21">
        <v>45136</v>
      </c>
      <c r="D3531" s="20">
        <v>3291.84</v>
      </c>
      <c r="E3531" s="22" t="s">
        <v>10</v>
      </c>
      <c r="F3531" s="22" t="s">
        <v>16</v>
      </c>
      <c r="G3531" s="22" t="s">
        <v>15</v>
      </c>
    </row>
    <row r="3532" ht="15.15" spans="1:7">
      <c r="A3532" s="20">
        <v>3530</v>
      </c>
      <c r="B3532" s="20">
        <v>5333</v>
      </c>
      <c r="C3532" s="21">
        <v>45121</v>
      </c>
      <c r="D3532" s="20">
        <v>3291.84</v>
      </c>
      <c r="E3532" s="22" t="s">
        <v>10</v>
      </c>
      <c r="F3532" s="22" t="s">
        <v>16</v>
      </c>
      <c r="G3532" s="22" t="s">
        <v>15</v>
      </c>
    </row>
    <row r="3533" ht="15.15" spans="1:7">
      <c r="A3533" s="20">
        <v>3531</v>
      </c>
      <c r="B3533" s="20">
        <v>4004</v>
      </c>
      <c r="C3533" s="21">
        <v>45113</v>
      </c>
      <c r="D3533" s="20">
        <v>3291.84</v>
      </c>
      <c r="E3533" s="22" t="s">
        <v>10</v>
      </c>
      <c r="F3533" s="22" t="s">
        <v>14</v>
      </c>
      <c r="G3533" s="22" t="s">
        <v>12</v>
      </c>
    </row>
    <row r="3534" ht="15.15" spans="1:7">
      <c r="A3534" s="20">
        <v>3532</v>
      </c>
      <c r="B3534" s="20">
        <v>6311</v>
      </c>
      <c r="C3534" s="21">
        <v>45239</v>
      </c>
      <c r="D3534" s="20">
        <v>3291.84</v>
      </c>
      <c r="E3534" s="22" t="s">
        <v>21</v>
      </c>
      <c r="F3534" s="22" t="s">
        <v>11</v>
      </c>
      <c r="G3534" s="22" t="s">
        <v>20</v>
      </c>
    </row>
    <row r="3535" ht="15.15" spans="1:7">
      <c r="A3535" s="20">
        <v>3533</v>
      </c>
      <c r="B3535" s="20">
        <v>819</v>
      </c>
      <c r="C3535" s="21">
        <v>45248</v>
      </c>
      <c r="D3535" s="20">
        <v>3291.84</v>
      </c>
      <c r="E3535" s="22" t="s">
        <v>10</v>
      </c>
      <c r="F3535" s="22" t="s">
        <v>13</v>
      </c>
      <c r="G3535" s="22" t="s">
        <v>15</v>
      </c>
    </row>
    <row r="3536" ht="15.15" spans="1:7">
      <c r="A3536" s="20">
        <v>3534</v>
      </c>
      <c r="B3536" s="20">
        <v>6328</v>
      </c>
      <c r="C3536" s="21">
        <v>45224</v>
      </c>
      <c r="D3536" s="20">
        <v>3291.84</v>
      </c>
      <c r="E3536" s="22" t="s">
        <v>10</v>
      </c>
      <c r="F3536" s="22" t="s">
        <v>18</v>
      </c>
      <c r="G3536" s="22" t="s">
        <v>20</v>
      </c>
    </row>
    <row r="3537" ht="15.15" spans="1:7">
      <c r="A3537" s="20">
        <v>3535</v>
      </c>
      <c r="B3537" s="20">
        <v>8442</v>
      </c>
      <c r="C3537" s="21">
        <v>45142</v>
      </c>
      <c r="D3537" s="20">
        <v>3291.84</v>
      </c>
      <c r="E3537" s="22" t="s">
        <v>10</v>
      </c>
      <c r="F3537" s="22" t="s">
        <v>14</v>
      </c>
      <c r="G3537" s="22" t="s">
        <v>17</v>
      </c>
    </row>
    <row r="3538" ht="15.15" spans="1:7">
      <c r="A3538" s="20">
        <v>3536</v>
      </c>
      <c r="B3538" s="20">
        <v>9977</v>
      </c>
      <c r="C3538" s="21">
        <v>45142</v>
      </c>
      <c r="D3538" s="20">
        <v>3291.84</v>
      </c>
      <c r="E3538" s="22" t="s">
        <v>10</v>
      </c>
      <c r="F3538" s="22" t="s">
        <v>16</v>
      </c>
      <c r="G3538" s="22" t="s">
        <v>15</v>
      </c>
    </row>
    <row r="3539" ht="15.15" spans="1:7">
      <c r="A3539" s="20">
        <v>3537</v>
      </c>
      <c r="B3539" s="20">
        <v>8814</v>
      </c>
      <c r="C3539" s="21">
        <v>45240</v>
      </c>
      <c r="D3539" s="20">
        <v>3291.84</v>
      </c>
      <c r="E3539" s="22" t="s">
        <v>10</v>
      </c>
      <c r="F3539" s="22" t="s">
        <v>11</v>
      </c>
      <c r="G3539" s="22" t="s">
        <v>12</v>
      </c>
    </row>
    <row r="3540" ht="15.15" spans="1:7">
      <c r="A3540" s="20">
        <v>3538</v>
      </c>
      <c r="B3540" s="20">
        <v>1392</v>
      </c>
      <c r="C3540" s="21">
        <v>45143</v>
      </c>
      <c r="D3540" s="20">
        <v>3291.84</v>
      </c>
      <c r="E3540" s="22" t="s">
        <v>10</v>
      </c>
      <c r="F3540" s="22" t="s">
        <v>14</v>
      </c>
      <c r="G3540" s="22" t="s">
        <v>15</v>
      </c>
    </row>
    <row r="3541" ht="15.15" spans="1:7">
      <c r="A3541" s="20">
        <v>3539</v>
      </c>
      <c r="B3541" s="20">
        <v>3935</v>
      </c>
      <c r="C3541" s="21">
        <v>45261</v>
      </c>
      <c r="D3541" s="20">
        <v>3291.84</v>
      </c>
      <c r="E3541" s="22" t="s">
        <v>10</v>
      </c>
      <c r="F3541" s="22" t="s">
        <v>16</v>
      </c>
      <c r="G3541" s="22" t="s">
        <v>20</v>
      </c>
    </row>
    <row r="3542" ht="15.15" spans="1:7">
      <c r="A3542" s="20">
        <v>3540</v>
      </c>
      <c r="B3542" s="20">
        <v>3470</v>
      </c>
      <c r="C3542" s="21">
        <v>45203</v>
      </c>
      <c r="D3542" s="20">
        <v>3291.84</v>
      </c>
      <c r="E3542" s="22" t="s">
        <v>10</v>
      </c>
      <c r="F3542" s="22" t="s">
        <v>18</v>
      </c>
      <c r="G3542" s="22" t="s">
        <v>12</v>
      </c>
    </row>
    <row r="3543" ht="15.15" spans="1:7">
      <c r="A3543" s="20">
        <v>3541</v>
      </c>
      <c r="B3543" s="20">
        <v>7395</v>
      </c>
      <c r="C3543" s="21">
        <v>45222</v>
      </c>
      <c r="D3543" s="20">
        <v>3291.84</v>
      </c>
      <c r="E3543" s="22" t="s">
        <v>10</v>
      </c>
      <c r="F3543" s="22" t="s">
        <v>13</v>
      </c>
      <c r="G3543" s="22" t="s">
        <v>15</v>
      </c>
    </row>
    <row r="3544" ht="15.15" spans="1:7">
      <c r="A3544" s="20">
        <v>3542</v>
      </c>
      <c r="B3544" s="20">
        <v>7063</v>
      </c>
      <c r="C3544" s="21">
        <v>45095</v>
      </c>
      <c r="D3544" s="20">
        <v>3291.84</v>
      </c>
      <c r="E3544" s="22" t="s">
        <v>10</v>
      </c>
      <c r="F3544" s="22" t="s">
        <v>13</v>
      </c>
      <c r="G3544" s="22" t="s">
        <v>12</v>
      </c>
    </row>
    <row r="3545" ht="15.15" spans="1:7">
      <c r="A3545" s="20">
        <v>3543</v>
      </c>
      <c r="B3545" s="20">
        <v>5454</v>
      </c>
      <c r="C3545" s="21">
        <v>45283</v>
      </c>
      <c r="D3545" s="20">
        <v>3291.84</v>
      </c>
      <c r="E3545" s="22" t="s">
        <v>10</v>
      </c>
      <c r="F3545" s="22" t="s">
        <v>14</v>
      </c>
      <c r="G3545" s="22" t="s">
        <v>20</v>
      </c>
    </row>
    <row r="3546" ht="15.15" spans="1:7">
      <c r="A3546" s="20">
        <v>3544</v>
      </c>
      <c r="B3546" s="20">
        <v>1054</v>
      </c>
      <c r="C3546" s="21">
        <v>44999</v>
      </c>
      <c r="D3546" s="20">
        <v>3291.84</v>
      </c>
      <c r="E3546" s="22" t="s">
        <v>10</v>
      </c>
      <c r="F3546" s="22" t="s">
        <v>14</v>
      </c>
      <c r="G3546" s="22" t="s">
        <v>15</v>
      </c>
    </row>
    <row r="3547" ht="15.15" spans="1:7">
      <c r="A3547" s="20">
        <v>3545</v>
      </c>
      <c r="B3547" s="20">
        <v>8270</v>
      </c>
      <c r="C3547" s="21">
        <v>45257</v>
      </c>
      <c r="D3547" s="20">
        <v>3291.84</v>
      </c>
      <c r="E3547" s="22" t="s">
        <v>10</v>
      </c>
      <c r="F3547" s="22" t="s">
        <v>14</v>
      </c>
      <c r="G3547" s="22" t="s">
        <v>17</v>
      </c>
    </row>
    <row r="3548" ht="15.15" spans="1:7">
      <c r="A3548" s="20">
        <v>3546</v>
      </c>
      <c r="B3548" s="20">
        <v>3931</v>
      </c>
      <c r="C3548" s="21">
        <v>45001</v>
      </c>
      <c r="D3548" s="20">
        <v>3291.84</v>
      </c>
      <c r="E3548" s="22" t="s">
        <v>10</v>
      </c>
      <c r="F3548" s="22" t="s">
        <v>18</v>
      </c>
      <c r="G3548" s="22" t="s">
        <v>20</v>
      </c>
    </row>
    <row r="3549" ht="15.15" spans="1:7">
      <c r="A3549" s="20">
        <v>3547</v>
      </c>
      <c r="B3549" s="20">
        <v>4018</v>
      </c>
      <c r="C3549" s="21">
        <v>45267</v>
      </c>
      <c r="D3549" s="20">
        <v>3291.84</v>
      </c>
      <c r="E3549" s="22" t="s">
        <v>10</v>
      </c>
      <c r="F3549" s="22" t="s">
        <v>18</v>
      </c>
      <c r="G3549" s="22" t="s">
        <v>20</v>
      </c>
    </row>
    <row r="3550" ht="15.15" spans="1:7">
      <c r="A3550" s="20">
        <v>3548</v>
      </c>
      <c r="B3550" s="20">
        <v>3115</v>
      </c>
      <c r="C3550" s="21">
        <v>45148</v>
      </c>
      <c r="D3550" s="20">
        <v>3291.84</v>
      </c>
      <c r="E3550" s="22" t="s">
        <v>10</v>
      </c>
      <c r="F3550" s="22" t="s">
        <v>13</v>
      </c>
      <c r="G3550" s="22" t="s">
        <v>15</v>
      </c>
    </row>
    <row r="3551" ht="15.15" spans="1:7">
      <c r="A3551" s="20">
        <v>3549</v>
      </c>
      <c r="B3551" s="20">
        <v>7832</v>
      </c>
      <c r="C3551" s="21">
        <v>45086</v>
      </c>
      <c r="D3551" s="20">
        <v>3291.84</v>
      </c>
      <c r="E3551" s="22" t="s">
        <v>10</v>
      </c>
      <c r="F3551" s="22" t="s">
        <v>13</v>
      </c>
      <c r="G3551" s="22" t="s">
        <v>20</v>
      </c>
    </row>
    <row r="3552" ht="15.15" spans="1:7">
      <c r="A3552" s="20">
        <v>3550</v>
      </c>
      <c r="B3552" s="20">
        <v>1857</v>
      </c>
      <c r="C3552" s="21">
        <v>45259</v>
      </c>
      <c r="D3552" s="20">
        <v>3291.84</v>
      </c>
      <c r="E3552" s="22" t="s">
        <v>10</v>
      </c>
      <c r="F3552" s="22" t="s">
        <v>13</v>
      </c>
      <c r="G3552" s="22" t="s">
        <v>20</v>
      </c>
    </row>
    <row r="3553" ht="15.15" spans="1:7">
      <c r="A3553" s="20">
        <v>3551</v>
      </c>
      <c r="B3553" s="20">
        <v>9935</v>
      </c>
      <c r="C3553" s="21">
        <v>45043</v>
      </c>
      <c r="D3553" s="20">
        <v>3291.84</v>
      </c>
      <c r="E3553" s="22" t="s">
        <v>10</v>
      </c>
      <c r="F3553" s="22" t="s">
        <v>18</v>
      </c>
      <c r="G3553" s="22" t="s">
        <v>12</v>
      </c>
    </row>
    <row r="3554" ht="15.15" spans="1:7">
      <c r="A3554" s="20">
        <v>3552</v>
      </c>
      <c r="B3554" s="20">
        <v>2165</v>
      </c>
      <c r="C3554" s="21">
        <v>45264</v>
      </c>
      <c r="D3554" s="20">
        <v>3291.84</v>
      </c>
      <c r="E3554" s="22" t="s">
        <v>10</v>
      </c>
      <c r="F3554" s="22" t="s">
        <v>18</v>
      </c>
      <c r="G3554" s="22" t="s">
        <v>17</v>
      </c>
    </row>
    <row r="3555" ht="15.15" spans="1:7">
      <c r="A3555" s="20">
        <v>3553</v>
      </c>
      <c r="B3555" s="20">
        <v>8891</v>
      </c>
      <c r="C3555" s="21">
        <v>44998</v>
      </c>
      <c r="D3555" s="20">
        <v>3291.84</v>
      </c>
      <c r="E3555" s="22" t="s">
        <v>10</v>
      </c>
      <c r="F3555" s="22" t="s">
        <v>11</v>
      </c>
      <c r="G3555" s="22" t="s">
        <v>12</v>
      </c>
    </row>
    <row r="3556" ht="15.15" spans="1:7">
      <c r="A3556" s="20">
        <v>3554</v>
      </c>
      <c r="B3556" s="20">
        <v>3558</v>
      </c>
      <c r="C3556" s="21">
        <v>45281</v>
      </c>
      <c r="D3556" s="20">
        <v>3291.84</v>
      </c>
      <c r="E3556" s="22" t="s">
        <v>10</v>
      </c>
      <c r="F3556" s="22" t="s">
        <v>18</v>
      </c>
      <c r="G3556" s="22" t="s">
        <v>20</v>
      </c>
    </row>
    <row r="3557" ht="15.15" spans="1:7">
      <c r="A3557" s="20">
        <v>3555</v>
      </c>
      <c r="B3557" s="20">
        <v>4548</v>
      </c>
      <c r="C3557" s="21">
        <v>45286</v>
      </c>
      <c r="D3557" s="20">
        <v>3291.84</v>
      </c>
      <c r="E3557" s="22" t="s">
        <v>10</v>
      </c>
      <c r="F3557" s="22" t="s">
        <v>11</v>
      </c>
      <c r="G3557" s="22" t="s">
        <v>20</v>
      </c>
    </row>
    <row r="3558" ht="15.15" spans="1:7">
      <c r="A3558" s="20">
        <v>3556</v>
      </c>
      <c r="B3558" s="20">
        <v>4122</v>
      </c>
      <c r="C3558" s="21">
        <v>44980</v>
      </c>
      <c r="D3558" s="20">
        <v>3291.84</v>
      </c>
      <c r="E3558" s="22" t="s">
        <v>10</v>
      </c>
      <c r="F3558" s="22" t="s">
        <v>13</v>
      </c>
      <c r="G3558" s="22" t="s">
        <v>15</v>
      </c>
    </row>
    <row r="3559" ht="15.15" spans="1:7">
      <c r="A3559" s="20">
        <v>3557</v>
      </c>
      <c r="B3559" s="20">
        <v>2007</v>
      </c>
      <c r="C3559" s="21">
        <v>45284</v>
      </c>
      <c r="D3559" s="20">
        <v>3291.84</v>
      </c>
      <c r="E3559" s="22" t="s">
        <v>10</v>
      </c>
      <c r="F3559" s="22" t="s">
        <v>19</v>
      </c>
      <c r="G3559" s="22" t="s">
        <v>17</v>
      </c>
    </row>
    <row r="3560" ht="15.15" spans="1:7">
      <c r="A3560" s="20">
        <v>3558</v>
      </c>
      <c r="B3560" s="20">
        <v>1541</v>
      </c>
      <c r="C3560" s="21">
        <v>45044</v>
      </c>
      <c r="D3560" s="20">
        <v>3291.84</v>
      </c>
      <c r="E3560" s="22" t="s">
        <v>10</v>
      </c>
      <c r="F3560" s="22" t="s">
        <v>11</v>
      </c>
      <c r="G3560" s="22" t="s">
        <v>20</v>
      </c>
    </row>
    <row r="3561" ht="15.15" spans="1:7">
      <c r="A3561" s="20">
        <v>3559</v>
      </c>
      <c r="B3561" s="20">
        <v>1476</v>
      </c>
      <c r="C3561" s="21">
        <v>45289</v>
      </c>
      <c r="D3561" s="20">
        <v>3291.84</v>
      </c>
      <c r="E3561" s="22" t="s">
        <v>10</v>
      </c>
      <c r="F3561" s="22" t="s">
        <v>13</v>
      </c>
      <c r="G3561" s="22" t="s">
        <v>12</v>
      </c>
    </row>
    <row r="3562" ht="15.15" spans="1:7">
      <c r="A3562" s="20">
        <v>3560</v>
      </c>
      <c r="B3562" s="20">
        <v>8228</v>
      </c>
      <c r="C3562" s="21">
        <v>45135</v>
      </c>
      <c r="D3562" s="20">
        <v>3291.84</v>
      </c>
      <c r="E3562" s="22" t="s">
        <v>10</v>
      </c>
      <c r="F3562" s="22" t="s">
        <v>16</v>
      </c>
      <c r="G3562" s="22" t="s">
        <v>20</v>
      </c>
    </row>
    <row r="3563" ht="15.15" spans="1:7">
      <c r="A3563" s="20">
        <v>3561</v>
      </c>
      <c r="B3563" s="20">
        <v>2970</v>
      </c>
      <c r="C3563" s="21">
        <v>44950</v>
      </c>
      <c r="D3563" s="20">
        <v>3291.84</v>
      </c>
      <c r="E3563" s="22" t="s">
        <v>10</v>
      </c>
      <c r="F3563" s="22" t="s">
        <v>16</v>
      </c>
      <c r="G3563" s="22" t="s">
        <v>17</v>
      </c>
    </row>
    <row r="3564" ht="15.15" spans="1:7">
      <c r="A3564" s="20">
        <v>3562</v>
      </c>
      <c r="B3564" s="20">
        <v>2995</v>
      </c>
      <c r="C3564" s="21">
        <v>45185</v>
      </c>
      <c r="D3564" s="20">
        <v>3291.84</v>
      </c>
      <c r="E3564" s="22" t="s">
        <v>10</v>
      </c>
      <c r="F3564" s="22" t="s">
        <v>14</v>
      </c>
      <c r="G3564" s="22" t="s">
        <v>12</v>
      </c>
    </row>
    <row r="3565" ht="15.15" spans="1:7">
      <c r="A3565" s="20">
        <v>3563</v>
      </c>
      <c r="B3565" s="20">
        <v>6677</v>
      </c>
      <c r="C3565" s="21">
        <v>45090</v>
      </c>
      <c r="D3565" s="20">
        <v>3291.84</v>
      </c>
      <c r="E3565" s="22" t="s">
        <v>10</v>
      </c>
      <c r="F3565" s="22" t="s">
        <v>14</v>
      </c>
      <c r="G3565" s="22" t="s">
        <v>15</v>
      </c>
    </row>
    <row r="3566" ht="15.15" spans="1:7">
      <c r="A3566" s="20">
        <v>3564</v>
      </c>
      <c r="B3566" s="20">
        <v>3585</v>
      </c>
      <c r="C3566" s="21">
        <v>45164</v>
      </c>
      <c r="D3566" s="20">
        <v>3291.84</v>
      </c>
      <c r="E3566" s="22" t="s">
        <v>10</v>
      </c>
      <c r="F3566" s="22" t="s">
        <v>16</v>
      </c>
      <c r="G3566" s="22" t="s">
        <v>17</v>
      </c>
    </row>
    <row r="3567" ht="15.15" spans="1:7">
      <c r="A3567" s="20">
        <v>3565</v>
      </c>
      <c r="B3567" s="20">
        <v>7589</v>
      </c>
      <c r="C3567" s="21">
        <v>45211</v>
      </c>
      <c r="D3567" s="20">
        <v>3291.84</v>
      </c>
      <c r="E3567" s="22" t="s">
        <v>10</v>
      </c>
      <c r="F3567" s="22" t="s">
        <v>11</v>
      </c>
      <c r="G3567" s="22" t="s">
        <v>20</v>
      </c>
    </row>
    <row r="3568" ht="15.15" spans="1:7">
      <c r="A3568" s="20">
        <v>3566</v>
      </c>
      <c r="B3568" s="20">
        <v>3771</v>
      </c>
      <c r="C3568" s="21">
        <v>45179</v>
      </c>
      <c r="D3568" s="20">
        <v>3291.84</v>
      </c>
      <c r="E3568" s="22" t="s">
        <v>10</v>
      </c>
      <c r="F3568" s="22" t="s">
        <v>14</v>
      </c>
      <c r="G3568" s="22" t="s">
        <v>15</v>
      </c>
    </row>
    <row r="3569" ht="15.15" spans="1:7">
      <c r="A3569" s="20">
        <v>3567</v>
      </c>
      <c r="B3569" s="20">
        <v>8361</v>
      </c>
      <c r="C3569" s="21">
        <v>45228</v>
      </c>
      <c r="D3569" s="20">
        <v>3291.84</v>
      </c>
      <c r="E3569" s="22" t="s">
        <v>10</v>
      </c>
      <c r="F3569" s="22" t="s">
        <v>13</v>
      </c>
      <c r="G3569" s="22" t="s">
        <v>20</v>
      </c>
    </row>
    <row r="3570" ht="15.15" spans="1:7">
      <c r="A3570" s="20">
        <v>3568</v>
      </c>
      <c r="B3570" s="20">
        <v>1225</v>
      </c>
      <c r="C3570" s="21">
        <v>45069</v>
      </c>
      <c r="D3570" s="20">
        <v>3291.84</v>
      </c>
      <c r="E3570" s="22" t="s">
        <v>10</v>
      </c>
      <c r="F3570" s="22" t="s">
        <v>16</v>
      </c>
      <c r="G3570" s="22" t="s">
        <v>15</v>
      </c>
    </row>
    <row r="3571" ht="15.15" spans="1:7">
      <c r="A3571" s="20">
        <v>3569</v>
      </c>
      <c r="B3571" s="20">
        <v>3832</v>
      </c>
      <c r="C3571" s="21">
        <v>45110</v>
      </c>
      <c r="D3571" s="20">
        <v>3291.84</v>
      </c>
      <c r="E3571" s="22" t="s">
        <v>10</v>
      </c>
      <c r="F3571" s="22" t="s">
        <v>14</v>
      </c>
      <c r="G3571" s="22" t="s">
        <v>17</v>
      </c>
    </row>
    <row r="3572" ht="15.15" spans="1:7">
      <c r="A3572" s="20">
        <v>3570</v>
      </c>
      <c r="B3572" s="20">
        <v>1127</v>
      </c>
      <c r="C3572" s="21">
        <v>45161</v>
      </c>
      <c r="D3572" s="20">
        <v>3291.84</v>
      </c>
      <c r="E3572" s="22" t="s">
        <v>10</v>
      </c>
      <c r="F3572" s="22" t="s">
        <v>18</v>
      </c>
      <c r="G3572" s="22" t="s">
        <v>17</v>
      </c>
    </row>
    <row r="3573" ht="15.15" spans="1:7">
      <c r="A3573" s="20">
        <v>3571</v>
      </c>
      <c r="B3573" s="20">
        <v>8759</v>
      </c>
      <c r="C3573" s="21">
        <v>45082</v>
      </c>
      <c r="D3573" s="20">
        <v>3291.84</v>
      </c>
      <c r="E3573" s="22" t="s">
        <v>10</v>
      </c>
      <c r="F3573" s="22" t="s">
        <v>16</v>
      </c>
      <c r="G3573" s="22" t="s">
        <v>12</v>
      </c>
    </row>
    <row r="3574" ht="15.15" spans="1:7">
      <c r="A3574" s="20">
        <v>3572</v>
      </c>
      <c r="B3574" s="20">
        <v>954</v>
      </c>
      <c r="C3574" s="21">
        <v>44995</v>
      </c>
      <c r="D3574" s="20">
        <v>3291.84</v>
      </c>
      <c r="E3574" s="22" t="s">
        <v>10</v>
      </c>
      <c r="F3574" s="22" t="s">
        <v>16</v>
      </c>
      <c r="G3574" s="22" t="s">
        <v>20</v>
      </c>
    </row>
    <row r="3575" ht="15.15" spans="1:7">
      <c r="A3575" s="20">
        <v>3573</v>
      </c>
      <c r="B3575" s="20">
        <v>4247</v>
      </c>
      <c r="C3575" s="21">
        <v>44975</v>
      </c>
      <c r="D3575" s="20">
        <v>3291.84</v>
      </c>
      <c r="E3575" s="22" t="s">
        <v>10</v>
      </c>
      <c r="F3575" s="22" t="s">
        <v>18</v>
      </c>
      <c r="G3575" s="22" t="s">
        <v>20</v>
      </c>
    </row>
    <row r="3576" ht="15.15" spans="1:7">
      <c r="A3576" s="20">
        <v>3574</v>
      </c>
      <c r="B3576" s="20">
        <v>5852</v>
      </c>
      <c r="C3576" s="21">
        <v>45103</v>
      </c>
      <c r="D3576" s="20">
        <v>3291.84</v>
      </c>
      <c r="E3576" s="22" t="s">
        <v>10</v>
      </c>
      <c r="F3576" s="22" t="s">
        <v>16</v>
      </c>
      <c r="G3576" s="22" t="s">
        <v>17</v>
      </c>
    </row>
    <row r="3577" ht="15.15" spans="1:7">
      <c r="A3577" s="20">
        <v>3575</v>
      </c>
      <c r="B3577" s="20">
        <v>6046</v>
      </c>
      <c r="C3577" s="21">
        <v>45237</v>
      </c>
      <c r="D3577" s="20">
        <v>3291.84</v>
      </c>
      <c r="E3577" s="22" t="s">
        <v>10</v>
      </c>
      <c r="F3577" s="22" t="s">
        <v>13</v>
      </c>
      <c r="G3577" s="22" t="s">
        <v>12</v>
      </c>
    </row>
    <row r="3578" ht="15.15" spans="1:7">
      <c r="A3578" s="20">
        <v>3576</v>
      </c>
      <c r="B3578" s="20">
        <v>6852</v>
      </c>
      <c r="C3578" s="21">
        <v>45137</v>
      </c>
      <c r="D3578" s="20">
        <v>3291.84</v>
      </c>
      <c r="E3578" s="22" t="s">
        <v>10</v>
      </c>
      <c r="F3578" s="22" t="s">
        <v>14</v>
      </c>
      <c r="G3578" s="22" t="s">
        <v>20</v>
      </c>
    </row>
    <row r="3579" ht="15.15" spans="1:7">
      <c r="A3579" s="20">
        <v>3577</v>
      </c>
      <c r="B3579" s="20">
        <v>1019</v>
      </c>
      <c r="C3579" s="21">
        <v>45287</v>
      </c>
      <c r="D3579" s="20">
        <v>3291.84</v>
      </c>
      <c r="E3579" s="22" t="s">
        <v>10</v>
      </c>
      <c r="F3579" s="22" t="s">
        <v>13</v>
      </c>
      <c r="G3579" s="22" t="s">
        <v>17</v>
      </c>
    </row>
    <row r="3580" ht="15.15" spans="1:7">
      <c r="A3580" s="20">
        <v>3578</v>
      </c>
      <c r="B3580" s="20">
        <v>5009</v>
      </c>
      <c r="C3580" s="21">
        <v>45221</v>
      </c>
      <c r="D3580" s="20">
        <v>3291.84</v>
      </c>
      <c r="E3580" s="22" t="s">
        <v>10</v>
      </c>
      <c r="F3580" s="22" t="s">
        <v>11</v>
      </c>
      <c r="G3580" s="22" t="s">
        <v>17</v>
      </c>
    </row>
    <row r="3581" ht="15.15" spans="1:7">
      <c r="A3581" s="20">
        <v>3579</v>
      </c>
      <c r="B3581" s="20">
        <v>2177</v>
      </c>
      <c r="C3581" s="21">
        <v>45234</v>
      </c>
      <c r="D3581" s="20">
        <v>3291.84</v>
      </c>
      <c r="E3581" s="22" t="s">
        <v>10</v>
      </c>
      <c r="F3581" s="22" t="s">
        <v>16</v>
      </c>
      <c r="G3581" s="22" t="s">
        <v>20</v>
      </c>
    </row>
    <row r="3582" ht="15.15" spans="1:7">
      <c r="A3582" s="20">
        <v>3580</v>
      </c>
      <c r="B3582" s="20">
        <v>595</v>
      </c>
      <c r="C3582" s="21">
        <v>45022</v>
      </c>
      <c r="D3582" s="20">
        <v>3291.84</v>
      </c>
      <c r="E3582" s="22" t="s">
        <v>10</v>
      </c>
      <c r="F3582" s="22" t="s">
        <v>19</v>
      </c>
      <c r="G3582" s="22" t="s">
        <v>17</v>
      </c>
    </row>
    <row r="3583" ht="15.15" spans="1:7">
      <c r="A3583" s="20">
        <v>3581</v>
      </c>
      <c r="B3583" s="20">
        <v>3129</v>
      </c>
      <c r="C3583" s="21">
        <v>45083</v>
      </c>
      <c r="D3583" s="20">
        <v>3291.84</v>
      </c>
      <c r="E3583" s="22" t="s">
        <v>10</v>
      </c>
      <c r="F3583" s="22" t="s">
        <v>14</v>
      </c>
      <c r="G3583" s="22" t="s">
        <v>12</v>
      </c>
    </row>
    <row r="3584" ht="15.15" spans="1:7">
      <c r="A3584" s="20">
        <v>3582</v>
      </c>
      <c r="B3584" s="20">
        <v>499</v>
      </c>
      <c r="C3584" s="21">
        <v>45188</v>
      </c>
      <c r="D3584" s="20">
        <v>3291.84</v>
      </c>
      <c r="E3584" s="22" t="s">
        <v>10</v>
      </c>
      <c r="F3584" s="22" t="s">
        <v>16</v>
      </c>
      <c r="G3584" s="22" t="s">
        <v>12</v>
      </c>
    </row>
    <row r="3585" ht="15.15" spans="1:7">
      <c r="A3585" s="20">
        <v>3583</v>
      </c>
      <c r="B3585" s="20">
        <v>4532</v>
      </c>
      <c r="C3585" s="21">
        <v>45070</v>
      </c>
      <c r="D3585" s="20">
        <v>3291.84</v>
      </c>
      <c r="E3585" s="22" t="s">
        <v>10</v>
      </c>
      <c r="F3585" s="22" t="s">
        <v>11</v>
      </c>
      <c r="G3585" s="22" t="s">
        <v>12</v>
      </c>
    </row>
    <row r="3586" ht="15.15" spans="1:7">
      <c r="A3586" s="20">
        <v>3584</v>
      </c>
      <c r="B3586" s="20">
        <v>6668</v>
      </c>
      <c r="C3586" s="21">
        <v>44996</v>
      </c>
      <c r="D3586" s="20">
        <v>3291.84</v>
      </c>
      <c r="E3586" s="22" t="s">
        <v>10</v>
      </c>
      <c r="F3586" s="22" t="s">
        <v>14</v>
      </c>
      <c r="G3586" s="22" t="s">
        <v>20</v>
      </c>
    </row>
    <row r="3587" ht="15.15" spans="1:7">
      <c r="A3587" s="20">
        <v>3585</v>
      </c>
      <c r="B3587" s="20">
        <v>3236</v>
      </c>
      <c r="C3587" s="21">
        <v>45171</v>
      </c>
      <c r="D3587" s="20">
        <v>3291.84</v>
      </c>
      <c r="E3587" s="22" t="s">
        <v>10</v>
      </c>
      <c r="F3587" s="22" t="s">
        <v>18</v>
      </c>
      <c r="G3587" s="22" t="s">
        <v>12</v>
      </c>
    </row>
    <row r="3588" ht="15.15" spans="1:7">
      <c r="A3588" s="20">
        <v>3586</v>
      </c>
      <c r="B3588" s="20">
        <v>4000</v>
      </c>
      <c r="C3588" s="21">
        <v>45108</v>
      </c>
      <c r="D3588" s="20">
        <v>3291.84</v>
      </c>
      <c r="E3588" s="22" t="s">
        <v>10</v>
      </c>
      <c r="F3588" s="22" t="s">
        <v>18</v>
      </c>
      <c r="G3588" s="22" t="s">
        <v>20</v>
      </c>
    </row>
    <row r="3589" ht="15.15" spans="1:7">
      <c r="A3589" s="20">
        <v>3587</v>
      </c>
      <c r="B3589" s="20">
        <v>6859</v>
      </c>
      <c r="C3589" s="21">
        <v>45243</v>
      </c>
      <c r="D3589" s="20">
        <v>3291.84</v>
      </c>
      <c r="E3589" s="22" t="s">
        <v>10</v>
      </c>
      <c r="F3589" s="22" t="s">
        <v>14</v>
      </c>
      <c r="G3589" s="22" t="s">
        <v>15</v>
      </c>
    </row>
    <row r="3590" ht="15.15" spans="1:7">
      <c r="A3590" s="20">
        <v>3588</v>
      </c>
      <c r="B3590" s="20">
        <v>7421</v>
      </c>
      <c r="C3590" s="21">
        <v>45046</v>
      </c>
      <c r="D3590" s="20">
        <v>3291.84</v>
      </c>
      <c r="E3590" s="22" t="s">
        <v>10</v>
      </c>
      <c r="F3590" s="22" t="s">
        <v>19</v>
      </c>
      <c r="G3590" s="22" t="s">
        <v>15</v>
      </c>
    </row>
    <row r="3591" ht="15.15" spans="1:7">
      <c r="A3591" s="20">
        <v>3589</v>
      </c>
      <c r="B3591" s="20">
        <v>61</v>
      </c>
      <c r="C3591" s="21">
        <v>45155</v>
      </c>
      <c r="D3591" s="20">
        <v>3291.84</v>
      </c>
      <c r="E3591" s="22" t="s">
        <v>10</v>
      </c>
      <c r="F3591" s="22" t="s">
        <v>14</v>
      </c>
      <c r="G3591" s="22" t="s">
        <v>17</v>
      </c>
    </row>
    <row r="3592" ht="15.15" spans="1:7">
      <c r="A3592" s="20">
        <v>3590</v>
      </c>
      <c r="B3592" s="20">
        <v>8422</v>
      </c>
      <c r="C3592" s="21">
        <v>45192</v>
      </c>
      <c r="D3592" s="20">
        <v>3291.84</v>
      </c>
      <c r="E3592" s="22" t="s">
        <v>10</v>
      </c>
      <c r="F3592" s="22" t="s">
        <v>16</v>
      </c>
      <c r="G3592" s="22" t="s">
        <v>17</v>
      </c>
    </row>
    <row r="3593" ht="15.15" spans="1:7">
      <c r="A3593" s="20">
        <v>3591</v>
      </c>
      <c r="B3593" s="20">
        <v>8963</v>
      </c>
      <c r="C3593" s="21">
        <v>45253</v>
      </c>
      <c r="D3593" s="20">
        <v>3291.84</v>
      </c>
      <c r="E3593" s="22" t="s">
        <v>10</v>
      </c>
      <c r="F3593" s="22" t="s">
        <v>18</v>
      </c>
      <c r="G3593" s="22" t="s">
        <v>20</v>
      </c>
    </row>
    <row r="3594" ht="15.15" spans="1:7">
      <c r="A3594" s="20">
        <v>3592</v>
      </c>
      <c r="B3594" s="20">
        <v>6567</v>
      </c>
      <c r="C3594" s="21">
        <v>44969</v>
      </c>
      <c r="D3594" s="20">
        <v>3291.84</v>
      </c>
      <c r="E3594" s="22" t="s">
        <v>10</v>
      </c>
      <c r="F3594" s="22" t="s">
        <v>13</v>
      </c>
      <c r="G3594" s="22" t="s">
        <v>17</v>
      </c>
    </row>
    <row r="3595" ht="15.15" spans="1:7">
      <c r="A3595" s="20">
        <v>3593</v>
      </c>
      <c r="B3595" s="20">
        <v>1440</v>
      </c>
      <c r="C3595" s="21">
        <v>45009</v>
      </c>
      <c r="D3595" s="20">
        <v>3291.84</v>
      </c>
      <c r="E3595" s="22" t="s">
        <v>10</v>
      </c>
      <c r="F3595" s="22" t="s">
        <v>18</v>
      </c>
      <c r="G3595" s="22" t="s">
        <v>15</v>
      </c>
    </row>
    <row r="3596" ht="15.15" spans="1:7">
      <c r="A3596" s="20">
        <v>3594</v>
      </c>
      <c r="B3596" s="20">
        <v>1944</v>
      </c>
      <c r="C3596" s="21">
        <v>45145</v>
      </c>
      <c r="D3596" s="20">
        <v>3291.84</v>
      </c>
      <c r="E3596" s="22" t="s">
        <v>10</v>
      </c>
      <c r="F3596" s="22" t="s">
        <v>14</v>
      </c>
      <c r="G3596" s="22" t="s">
        <v>12</v>
      </c>
    </row>
    <row r="3597" ht="15.15" spans="1:7">
      <c r="A3597" s="20">
        <v>3595</v>
      </c>
      <c r="B3597" s="20">
        <v>431</v>
      </c>
      <c r="C3597" s="21">
        <v>44975</v>
      </c>
      <c r="D3597" s="20">
        <v>3291.84</v>
      </c>
      <c r="E3597" s="22" t="s">
        <v>10</v>
      </c>
      <c r="F3597" s="22" t="s">
        <v>16</v>
      </c>
      <c r="G3597" s="22" t="s">
        <v>17</v>
      </c>
    </row>
    <row r="3598" ht="15.15" spans="1:7">
      <c r="A3598" s="20">
        <v>3596</v>
      </c>
      <c r="B3598" s="20">
        <v>3439</v>
      </c>
      <c r="C3598" s="21">
        <v>45123</v>
      </c>
      <c r="D3598" s="20">
        <v>3291.84</v>
      </c>
      <c r="E3598" s="22" t="s">
        <v>10</v>
      </c>
      <c r="F3598" s="22" t="s">
        <v>13</v>
      </c>
      <c r="G3598" s="22" t="s">
        <v>17</v>
      </c>
    </row>
    <row r="3599" ht="15.15" spans="1:7">
      <c r="A3599" s="20">
        <v>3597</v>
      </c>
      <c r="B3599" s="20">
        <v>4108</v>
      </c>
      <c r="C3599" s="21">
        <v>45273</v>
      </c>
      <c r="D3599" s="20">
        <v>3291.84</v>
      </c>
      <c r="E3599" s="22" t="s">
        <v>10</v>
      </c>
      <c r="F3599" s="22" t="s">
        <v>16</v>
      </c>
      <c r="G3599" s="22" t="s">
        <v>17</v>
      </c>
    </row>
    <row r="3600" ht="15.15" spans="1:7">
      <c r="A3600" s="20">
        <v>3598</v>
      </c>
      <c r="B3600" s="20">
        <v>4865</v>
      </c>
      <c r="C3600" s="21">
        <v>45084</v>
      </c>
      <c r="D3600" s="20">
        <v>3291.84</v>
      </c>
      <c r="E3600" s="22" t="s">
        <v>10</v>
      </c>
      <c r="F3600" s="22" t="s">
        <v>11</v>
      </c>
      <c r="G3600" s="22" t="s">
        <v>15</v>
      </c>
    </row>
    <row r="3601" ht="15.15" spans="1:7">
      <c r="A3601" s="20">
        <v>3599</v>
      </c>
      <c r="B3601" s="20">
        <v>6517</v>
      </c>
      <c r="C3601" s="21">
        <v>45181</v>
      </c>
      <c r="D3601" s="20">
        <v>3291.84</v>
      </c>
      <c r="E3601" s="22" t="s">
        <v>10</v>
      </c>
      <c r="F3601" s="22" t="s">
        <v>18</v>
      </c>
      <c r="G3601" s="22" t="s">
        <v>12</v>
      </c>
    </row>
    <row r="3602" ht="15.15" spans="1:7">
      <c r="A3602" s="20">
        <v>3600</v>
      </c>
      <c r="B3602" s="20">
        <v>7157</v>
      </c>
      <c r="C3602" s="21">
        <v>45173</v>
      </c>
      <c r="D3602" s="20">
        <v>3291.84</v>
      </c>
      <c r="E3602" s="22" t="s">
        <v>10</v>
      </c>
      <c r="F3602" s="22" t="s">
        <v>14</v>
      </c>
      <c r="G3602" s="22" t="s">
        <v>12</v>
      </c>
    </row>
    <row r="3603" ht="15.15" spans="1:7">
      <c r="A3603" s="20">
        <v>3601</v>
      </c>
      <c r="B3603" s="20">
        <v>4074</v>
      </c>
      <c r="C3603" s="21">
        <v>45276</v>
      </c>
      <c r="D3603" s="20">
        <v>3291.84</v>
      </c>
      <c r="E3603" s="22" t="s">
        <v>10</v>
      </c>
      <c r="F3603" s="22" t="s">
        <v>16</v>
      </c>
      <c r="G3603" s="22" t="s">
        <v>20</v>
      </c>
    </row>
    <row r="3604" ht="15.15" spans="1:7">
      <c r="A3604" s="20">
        <v>3602</v>
      </c>
      <c r="B3604" s="20">
        <v>3425</v>
      </c>
      <c r="C3604" s="21">
        <v>45157</v>
      </c>
      <c r="D3604" s="20">
        <v>3291.84</v>
      </c>
      <c r="E3604" s="22" t="s">
        <v>10</v>
      </c>
      <c r="F3604" s="22" t="s">
        <v>18</v>
      </c>
      <c r="G3604" s="22" t="s">
        <v>20</v>
      </c>
    </row>
    <row r="3605" ht="15.15" spans="1:7">
      <c r="A3605" s="20">
        <v>3603</v>
      </c>
      <c r="B3605" s="20">
        <v>4869</v>
      </c>
      <c r="C3605" s="21">
        <v>45005</v>
      </c>
      <c r="D3605" s="20">
        <v>3291.84</v>
      </c>
      <c r="E3605" s="22" t="s">
        <v>10</v>
      </c>
      <c r="F3605" s="22" t="s">
        <v>16</v>
      </c>
      <c r="G3605" s="22" t="s">
        <v>15</v>
      </c>
    </row>
    <row r="3606" ht="15.15" spans="1:7">
      <c r="A3606" s="20">
        <v>3604</v>
      </c>
      <c r="B3606" s="20">
        <v>4991</v>
      </c>
      <c r="C3606" s="21">
        <v>45197</v>
      </c>
      <c r="D3606" s="20">
        <v>3291.84</v>
      </c>
      <c r="E3606" s="22" t="s">
        <v>10</v>
      </c>
      <c r="F3606" s="22" t="s">
        <v>14</v>
      </c>
      <c r="G3606" s="22" t="s">
        <v>17</v>
      </c>
    </row>
    <row r="3607" ht="15.15" spans="1:7">
      <c r="A3607" s="20">
        <v>3605</v>
      </c>
      <c r="B3607" s="20">
        <v>9661</v>
      </c>
      <c r="C3607" s="21">
        <v>45277</v>
      </c>
      <c r="D3607" s="20">
        <v>3291.84</v>
      </c>
      <c r="E3607" s="22" t="s">
        <v>10</v>
      </c>
      <c r="F3607" s="22" t="s">
        <v>11</v>
      </c>
      <c r="G3607" s="22" t="s">
        <v>15</v>
      </c>
    </row>
    <row r="3608" ht="15.15" spans="1:7">
      <c r="A3608" s="20">
        <v>3606</v>
      </c>
      <c r="B3608" s="20">
        <v>804</v>
      </c>
      <c r="C3608" s="21">
        <v>45269</v>
      </c>
      <c r="D3608" s="20">
        <v>3291.84</v>
      </c>
      <c r="E3608" s="22" t="s">
        <v>10</v>
      </c>
      <c r="F3608" s="22" t="s">
        <v>18</v>
      </c>
      <c r="G3608" s="22" t="s">
        <v>17</v>
      </c>
    </row>
    <row r="3609" ht="15.15" spans="1:7">
      <c r="A3609" s="20">
        <v>3607</v>
      </c>
      <c r="B3609" s="20">
        <v>9479</v>
      </c>
      <c r="C3609" s="21">
        <v>45006</v>
      </c>
      <c r="D3609" s="20">
        <v>3291.84</v>
      </c>
      <c r="E3609" s="22" t="s">
        <v>10</v>
      </c>
      <c r="F3609" s="22" t="s">
        <v>13</v>
      </c>
      <c r="G3609" s="22" t="s">
        <v>15</v>
      </c>
    </row>
    <row r="3610" ht="15.15" spans="1:7">
      <c r="A3610" s="20">
        <v>3608</v>
      </c>
      <c r="B3610" s="20">
        <v>5466</v>
      </c>
      <c r="C3610" s="21">
        <v>45047</v>
      </c>
      <c r="D3610" s="20">
        <v>3291.84</v>
      </c>
      <c r="E3610" s="22" t="s">
        <v>10</v>
      </c>
      <c r="F3610" s="22" t="s">
        <v>13</v>
      </c>
      <c r="G3610" s="22" t="s">
        <v>15</v>
      </c>
    </row>
    <row r="3611" ht="15.15" spans="1:7">
      <c r="A3611" s="20">
        <v>3609</v>
      </c>
      <c r="B3611" s="20">
        <v>5812</v>
      </c>
      <c r="C3611" s="21">
        <v>45045</v>
      </c>
      <c r="D3611" s="20">
        <v>3291.84</v>
      </c>
      <c r="E3611" s="22" t="s">
        <v>10</v>
      </c>
      <c r="F3611" s="22" t="s">
        <v>11</v>
      </c>
      <c r="G3611" s="22" t="s">
        <v>17</v>
      </c>
    </row>
    <row r="3612" ht="15.15" spans="1:7">
      <c r="A3612" s="20">
        <v>3610</v>
      </c>
      <c r="B3612" s="20">
        <v>4038</v>
      </c>
      <c r="C3612" s="21">
        <v>45136</v>
      </c>
      <c r="D3612" s="20">
        <v>3291.84</v>
      </c>
      <c r="E3612" s="22" t="s">
        <v>10</v>
      </c>
      <c r="F3612" s="22" t="s">
        <v>14</v>
      </c>
      <c r="G3612" s="22" t="s">
        <v>20</v>
      </c>
    </row>
    <row r="3613" ht="15.15" spans="1:7">
      <c r="A3613" s="20">
        <v>3611</v>
      </c>
      <c r="B3613" s="20">
        <v>6489</v>
      </c>
      <c r="C3613" s="21">
        <v>44983</v>
      </c>
      <c r="D3613" s="20">
        <v>3291.84</v>
      </c>
      <c r="E3613" s="22" t="s">
        <v>10</v>
      </c>
      <c r="F3613" s="22" t="s">
        <v>18</v>
      </c>
      <c r="G3613" s="22" t="s">
        <v>17</v>
      </c>
    </row>
    <row r="3614" ht="15.15" spans="1:7">
      <c r="A3614" s="20">
        <v>3612</v>
      </c>
      <c r="B3614" s="20">
        <v>3542</v>
      </c>
      <c r="C3614" s="21">
        <v>45207</v>
      </c>
      <c r="D3614" s="20">
        <v>3291.84</v>
      </c>
      <c r="E3614" s="22" t="s">
        <v>10</v>
      </c>
      <c r="F3614" s="22" t="s">
        <v>14</v>
      </c>
      <c r="G3614" s="22" t="s">
        <v>17</v>
      </c>
    </row>
    <row r="3615" ht="15.15" spans="1:7">
      <c r="A3615" s="20">
        <v>3613</v>
      </c>
      <c r="B3615" s="20">
        <v>4616</v>
      </c>
      <c r="C3615" s="21">
        <v>45186</v>
      </c>
      <c r="D3615" s="20">
        <v>3291.84</v>
      </c>
      <c r="E3615" s="22" t="s">
        <v>10</v>
      </c>
      <c r="F3615" s="22" t="s">
        <v>16</v>
      </c>
      <c r="G3615" s="22" t="s">
        <v>17</v>
      </c>
    </row>
    <row r="3616" ht="15.15" spans="1:7">
      <c r="A3616" s="20">
        <v>3614</v>
      </c>
      <c r="B3616" s="20">
        <v>2570</v>
      </c>
      <c r="C3616" s="21">
        <v>45069</v>
      </c>
      <c r="D3616" s="20">
        <v>3291.84</v>
      </c>
      <c r="E3616" s="22" t="s">
        <v>10</v>
      </c>
      <c r="F3616" s="22" t="s">
        <v>14</v>
      </c>
      <c r="G3616" s="22" t="s">
        <v>12</v>
      </c>
    </row>
    <row r="3617" ht="15.15" spans="1:7">
      <c r="A3617" s="20">
        <v>3615</v>
      </c>
      <c r="B3617" s="20">
        <v>4965</v>
      </c>
      <c r="C3617" s="21">
        <v>45074</v>
      </c>
      <c r="D3617" s="20">
        <v>3291.84</v>
      </c>
      <c r="E3617" s="22" t="s">
        <v>10</v>
      </c>
      <c r="F3617" s="22" t="s">
        <v>13</v>
      </c>
      <c r="G3617" s="22" t="s">
        <v>12</v>
      </c>
    </row>
    <row r="3618" ht="15.15" spans="1:7">
      <c r="A3618" s="20">
        <v>3616</v>
      </c>
      <c r="B3618" s="20">
        <v>8989</v>
      </c>
      <c r="C3618" s="21">
        <v>45285</v>
      </c>
      <c r="D3618" s="20">
        <v>3291.84</v>
      </c>
      <c r="E3618" s="22" t="s">
        <v>10</v>
      </c>
      <c r="F3618" s="22" t="s">
        <v>16</v>
      </c>
      <c r="G3618" s="22" t="s">
        <v>12</v>
      </c>
    </row>
    <row r="3619" ht="15.15" spans="1:7">
      <c r="A3619" s="20">
        <v>3617</v>
      </c>
      <c r="B3619" s="20">
        <v>5330</v>
      </c>
      <c r="C3619" s="21">
        <v>45135</v>
      </c>
      <c r="D3619" s="20">
        <v>3291.84</v>
      </c>
      <c r="E3619" s="22" t="s">
        <v>10</v>
      </c>
      <c r="F3619" s="22" t="s">
        <v>18</v>
      </c>
      <c r="G3619" s="22" t="s">
        <v>17</v>
      </c>
    </row>
    <row r="3620" ht="15.15" spans="1:7">
      <c r="A3620" s="20">
        <v>3618</v>
      </c>
      <c r="B3620" s="20">
        <v>2388</v>
      </c>
      <c r="C3620" s="21">
        <v>44935</v>
      </c>
      <c r="D3620" s="20">
        <v>3291.84</v>
      </c>
      <c r="E3620" s="22" t="s">
        <v>10</v>
      </c>
      <c r="F3620" s="22" t="s">
        <v>11</v>
      </c>
      <c r="G3620" s="22" t="s">
        <v>20</v>
      </c>
    </row>
    <row r="3621" ht="15.15" spans="1:7">
      <c r="A3621" s="20">
        <v>3619</v>
      </c>
      <c r="B3621" s="20">
        <v>263</v>
      </c>
      <c r="C3621" s="21">
        <v>44962</v>
      </c>
      <c r="D3621" s="20">
        <v>3291.84</v>
      </c>
      <c r="E3621" s="22" t="s">
        <v>10</v>
      </c>
      <c r="F3621" s="22" t="s">
        <v>14</v>
      </c>
      <c r="G3621" s="22" t="s">
        <v>17</v>
      </c>
    </row>
    <row r="3622" ht="15.15" spans="1:7">
      <c r="A3622" s="20">
        <v>3620</v>
      </c>
      <c r="B3622" s="20">
        <v>5828</v>
      </c>
      <c r="C3622" s="21">
        <v>45253</v>
      </c>
      <c r="D3622" s="20">
        <v>3291.84</v>
      </c>
      <c r="E3622" s="22" t="s">
        <v>10</v>
      </c>
      <c r="F3622" s="22" t="s">
        <v>16</v>
      </c>
      <c r="G3622" s="22" t="s">
        <v>12</v>
      </c>
    </row>
    <row r="3623" ht="15.15" spans="1:7">
      <c r="A3623" s="20">
        <v>3621</v>
      </c>
      <c r="B3623" s="20">
        <v>2097</v>
      </c>
      <c r="C3623" s="21">
        <v>45282</v>
      </c>
      <c r="D3623" s="20">
        <v>3291.84</v>
      </c>
      <c r="E3623" s="22" t="s">
        <v>10</v>
      </c>
      <c r="F3623" s="22" t="s">
        <v>11</v>
      </c>
      <c r="G3623" s="22" t="s">
        <v>17</v>
      </c>
    </row>
    <row r="3624" ht="15.15" spans="1:7">
      <c r="A3624" s="20">
        <v>3622</v>
      </c>
      <c r="B3624" s="20">
        <v>1752</v>
      </c>
      <c r="C3624" s="21">
        <v>45149</v>
      </c>
      <c r="D3624" s="20">
        <v>3291.84</v>
      </c>
      <c r="E3624" s="22" t="s">
        <v>10</v>
      </c>
      <c r="F3624" s="22" t="s">
        <v>18</v>
      </c>
      <c r="G3624" s="22" t="s">
        <v>20</v>
      </c>
    </row>
    <row r="3625" ht="15.15" spans="1:7">
      <c r="A3625" s="20">
        <v>3623</v>
      </c>
      <c r="B3625" s="20">
        <v>7040</v>
      </c>
      <c r="C3625" s="21">
        <v>44994</v>
      </c>
      <c r="D3625" s="20">
        <v>3291.84</v>
      </c>
      <c r="E3625" s="22" t="s">
        <v>10</v>
      </c>
      <c r="F3625" s="22" t="s">
        <v>16</v>
      </c>
      <c r="G3625" s="22" t="s">
        <v>12</v>
      </c>
    </row>
    <row r="3626" ht="15.15" spans="1:7">
      <c r="A3626" s="20">
        <v>3624</v>
      </c>
      <c r="B3626" s="20">
        <v>8825</v>
      </c>
      <c r="C3626" s="21">
        <v>45174</v>
      </c>
      <c r="D3626" s="20">
        <v>3291.84</v>
      </c>
      <c r="E3626" s="22" t="s">
        <v>10</v>
      </c>
      <c r="F3626" s="22" t="s">
        <v>16</v>
      </c>
      <c r="G3626" s="22" t="s">
        <v>12</v>
      </c>
    </row>
    <row r="3627" ht="15.15" spans="1:7">
      <c r="A3627" s="20">
        <v>3625</v>
      </c>
      <c r="B3627" s="20">
        <v>1775</v>
      </c>
      <c r="C3627" s="21">
        <v>44956</v>
      </c>
      <c r="D3627" s="20">
        <v>3291.84</v>
      </c>
      <c r="E3627" s="22" t="s">
        <v>10</v>
      </c>
      <c r="F3627" s="22" t="s">
        <v>16</v>
      </c>
      <c r="G3627" s="22" t="s">
        <v>20</v>
      </c>
    </row>
    <row r="3628" ht="15.15" spans="1:7">
      <c r="A3628" s="20">
        <v>3626</v>
      </c>
      <c r="B3628" s="20">
        <v>1740</v>
      </c>
      <c r="C3628" s="21">
        <v>45109</v>
      </c>
      <c r="D3628" s="20">
        <v>3291.84</v>
      </c>
      <c r="E3628" s="22" t="s">
        <v>10</v>
      </c>
      <c r="F3628" s="22" t="s">
        <v>16</v>
      </c>
      <c r="G3628" s="22" t="s">
        <v>17</v>
      </c>
    </row>
    <row r="3629" ht="15.15" spans="1:7">
      <c r="A3629" s="20">
        <v>3627</v>
      </c>
      <c r="B3629" s="20">
        <v>6439</v>
      </c>
      <c r="C3629" s="21">
        <v>44958</v>
      </c>
      <c r="D3629" s="20">
        <v>3291.84</v>
      </c>
      <c r="E3629" s="22" t="s">
        <v>10</v>
      </c>
      <c r="F3629" s="22" t="s">
        <v>13</v>
      </c>
      <c r="G3629" s="22" t="s">
        <v>12</v>
      </c>
    </row>
    <row r="3630" ht="15.15" spans="1:7">
      <c r="A3630" s="20">
        <v>3628</v>
      </c>
      <c r="B3630" s="20">
        <v>8906</v>
      </c>
      <c r="C3630" s="21">
        <v>45255</v>
      </c>
      <c r="D3630" s="20">
        <v>3291.84</v>
      </c>
      <c r="E3630" s="22" t="s">
        <v>10</v>
      </c>
      <c r="F3630" s="22" t="s">
        <v>14</v>
      </c>
      <c r="G3630" s="22" t="s">
        <v>20</v>
      </c>
    </row>
    <row r="3631" ht="15.15" spans="1:7">
      <c r="A3631" s="20">
        <v>3629</v>
      </c>
      <c r="B3631" s="20">
        <v>2109</v>
      </c>
      <c r="C3631" s="21">
        <v>45256</v>
      </c>
      <c r="D3631" s="20">
        <v>3291.84</v>
      </c>
      <c r="E3631" s="22" t="s">
        <v>10</v>
      </c>
      <c r="F3631" s="22" t="s">
        <v>11</v>
      </c>
      <c r="G3631" s="22" t="s">
        <v>12</v>
      </c>
    </row>
    <row r="3632" ht="15.15" spans="1:7">
      <c r="A3632" s="20">
        <v>3630</v>
      </c>
      <c r="B3632" s="20">
        <v>4610</v>
      </c>
      <c r="C3632" s="21">
        <v>45117</v>
      </c>
      <c r="D3632" s="20">
        <v>3291.84</v>
      </c>
      <c r="E3632" s="22" t="s">
        <v>10</v>
      </c>
      <c r="F3632" s="22" t="s">
        <v>18</v>
      </c>
      <c r="G3632" s="22" t="s">
        <v>15</v>
      </c>
    </row>
    <row r="3633" ht="15.15" spans="1:7">
      <c r="A3633" s="20">
        <v>3631</v>
      </c>
      <c r="B3633" s="20">
        <v>1951</v>
      </c>
      <c r="C3633" s="21">
        <v>45189</v>
      </c>
      <c r="D3633" s="20">
        <v>3291.84</v>
      </c>
      <c r="E3633" s="22" t="s">
        <v>10</v>
      </c>
      <c r="F3633" s="22" t="s">
        <v>13</v>
      </c>
      <c r="G3633" s="22" t="s">
        <v>17</v>
      </c>
    </row>
    <row r="3634" ht="15.15" spans="1:7">
      <c r="A3634" s="20">
        <v>3632</v>
      </c>
      <c r="B3634" s="20">
        <v>8656</v>
      </c>
      <c r="C3634" s="21">
        <v>45148</v>
      </c>
      <c r="D3634" s="20">
        <v>3291.84</v>
      </c>
      <c r="E3634" s="22" t="s">
        <v>10</v>
      </c>
      <c r="F3634" s="22" t="s">
        <v>11</v>
      </c>
      <c r="G3634" s="22" t="s">
        <v>20</v>
      </c>
    </row>
    <row r="3635" ht="15.15" spans="1:7">
      <c r="A3635" s="20">
        <v>3633</v>
      </c>
      <c r="B3635" s="20">
        <v>5546</v>
      </c>
      <c r="C3635" s="21">
        <v>44951</v>
      </c>
      <c r="D3635" s="20">
        <v>3291.84</v>
      </c>
      <c r="E3635" s="22" t="s">
        <v>10</v>
      </c>
      <c r="F3635" s="22" t="s">
        <v>13</v>
      </c>
      <c r="G3635" s="22" t="s">
        <v>12</v>
      </c>
    </row>
    <row r="3636" ht="15.15" spans="1:7">
      <c r="A3636" s="20">
        <v>3634</v>
      </c>
      <c r="B3636" s="20">
        <v>1354</v>
      </c>
      <c r="C3636" s="21">
        <v>44971</v>
      </c>
      <c r="D3636" s="20">
        <v>3291.84</v>
      </c>
      <c r="E3636" s="22" t="s">
        <v>10</v>
      </c>
      <c r="F3636" s="22" t="s">
        <v>11</v>
      </c>
      <c r="G3636" s="22" t="s">
        <v>20</v>
      </c>
    </row>
    <row r="3637" ht="15.15" spans="1:7">
      <c r="A3637" s="20">
        <v>3635</v>
      </c>
      <c r="B3637" s="20">
        <v>9071</v>
      </c>
      <c r="C3637" s="21">
        <v>45095</v>
      </c>
      <c r="D3637" s="20">
        <v>3291.84</v>
      </c>
      <c r="E3637" s="22" t="s">
        <v>10</v>
      </c>
      <c r="F3637" s="22" t="s">
        <v>11</v>
      </c>
      <c r="G3637" s="22" t="s">
        <v>20</v>
      </c>
    </row>
    <row r="3638" ht="15.15" spans="1:7">
      <c r="A3638" s="20">
        <v>3636</v>
      </c>
      <c r="B3638" s="20">
        <v>6287</v>
      </c>
      <c r="C3638" s="21">
        <v>45122</v>
      </c>
      <c r="D3638" s="20">
        <v>3291.84</v>
      </c>
      <c r="E3638" s="22" t="s">
        <v>10</v>
      </c>
      <c r="F3638" s="22" t="s">
        <v>18</v>
      </c>
      <c r="G3638" s="22" t="s">
        <v>15</v>
      </c>
    </row>
    <row r="3639" ht="15.15" spans="1:7">
      <c r="A3639" s="20">
        <v>3637</v>
      </c>
      <c r="B3639" s="20">
        <v>8327</v>
      </c>
      <c r="C3639" s="21">
        <v>45133</v>
      </c>
      <c r="D3639" s="20">
        <v>3291.84</v>
      </c>
      <c r="E3639" s="22" t="s">
        <v>10</v>
      </c>
      <c r="F3639" s="22" t="s">
        <v>14</v>
      </c>
      <c r="G3639" s="22" t="s">
        <v>17</v>
      </c>
    </row>
    <row r="3640" ht="15.15" spans="1:7">
      <c r="A3640" s="20">
        <v>3638</v>
      </c>
      <c r="B3640" s="20">
        <v>8242</v>
      </c>
      <c r="C3640" s="21">
        <v>45179</v>
      </c>
      <c r="D3640" s="20">
        <v>3291.84</v>
      </c>
      <c r="E3640" s="22" t="s">
        <v>10</v>
      </c>
      <c r="F3640" s="22" t="s">
        <v>13</v>
      </c>
      <c r="G3640" s="22" t="s">
        <v>20</v>
      </c>
    </row>
    <row r="3641" ht="15.15" spans="1:7">
      <c r="A3641" s="20">
        <v>3639</v>
      </c>
      <c r="B3641" s="20">
        <v>5888</v>
      </c>
      <c r="C3641" s="21">
        <v>45199</v>
      </c>
      <c r="D3641" s="20">
        <v>3291.84</v>
      </c>
      <c r="E3641" s="22" t="s">
        <v>10</v>
      </c>
      <c r="F3641" s="22" t="s">
        <v>14</v>
      </c>
      <c r="G3641" s="22" t="s">
        <v>15</v>
      </c>
    </row>
    <row r="3642" ht="15.15" spans="1:7">
      <c r="A3642" s="20">
        <v>3640</v>
      </c>
      <c r="B3642" s="20">
        <v>5399</v>
      </c>
      <c r="C3642" s="21">
        <v>45148</v>
      </c>
      <c r="D3642" s="20">
        <v>3291.84</v>
      </c>
      <c r="E3642" s="22" t="s">
        <v>10</v>
      </c>
      <c r="F3642" s="22" t="s">
        <v>16</v>
      </c>
      <c r="G3642" s="22" t="s">
        <v>15</v>
      </c>
    </row>
    <row r="3643" ht="15.15" spans="1:7">
      <c r="A3643" s="20">
        <v>3641</v>
      </c>
      <c r="B3643" s="20">
        <v>1882</v>
      </c>
      <c r="C3643" s="21">
        <v>44942</v>
      </c>
      <c r="D3643" s="20">
        <v>3291.84</v>
      </c>
      <c r="E3643" s="22" t="s">
        <v>10</v>
      </c>
      <c r="F3643" s="22" t="s">
        <v>14</v>
      </c>
      <c r="G3643" s="22" t="s">
        <v>12</v>
      </c>
    </row>
    <row r="3644" ht="15.15" spans="1:7">
      <c r="A3644" s="20">
        <v>3642</v>
      </c>
      <c r="B3644" s="20">
        <v>8465</v>
      </c>
      <c r="C3644" s="21">
        <v>45265</v>
      </c>
      <c r="D3644" s="20">
        <v>3291.84</v>
      </c>
      <c r="E3644" s="22" t="s">
        <v>10</v>
      </c>
      <c r="F3644" s="22" t="s">
        <v>18</v>
      </c>
      <c r="G3644" s="22" t="s">
        <v>17</v>
      </c>
    </row>
    <row r="3645" ht="15.15" spans="1:7">
      <c r="A3645" s="20">
        <v>3643</v>
      </c>
      <c r="B3645" s="20">
        <v>764</v>
      </c>
      <c r="C3645" s="21">
        <v>45029</v>
      </c>
      <c r="D3645" s="20">
        <v>3291.84</v>
      </c>
      <c r="E3645" s="22" t="s">
        <v>10</v>
      </c>
      <c r="F3645" s="22" t="s">
        <v>11</v>
      </c>
      <c r="G3645" s="22" t="s">
        <v>20</v>
      </c>
    </row>
    <row r="3646" ht="15.15" spans="1:7">
      <c r="A3646" s="20">
        <v>3644</v>
      </c>
      <c r="B3646" s="20">
        <v>9419</v>
      </c>
      <c r="C3646" s="21">
        <v>45085</v>
      </c>
      <c r="D3646" s="20">
        <v>3291.84</v>
      </c>
      <c r="E3646" s="22" t="s">
        <v>10</v>
      </c>
      <c r="F3646" s="22" t="s">
        <v>18</v>
      </c>
      <c r="G3646" s="22" t="s">
        <v>20</v>
      </c>
    </row>
    <row r="3647" ht="15.15" spans="1:7">
      <c r="A3647" s="20">
        <v>3645</v>
      </c>
      <c r="B3647" s="20">
        <v>4395</v>
      </c>
      <c r="C3647" s="21">
        <v>44995</v>
      </c>
      <c r="D3647" s="20">
        <v>3291.84</v>
      </c>
      <c r="E3647" s="22" t="s">
        <v>10</v>
      </c>
      <c r="F3647" s="22" t="s">
        <v>13</v>
      </c>
      <c r="G3647" s="22" t="s">
        <v>20</v>
      </c>
    </row>
    <row r="3648" ht="15.15" spans="1:7">
      <c r="A3648" s="20">
        <v>3646</v>
      </c>
      <c r="B3648" s="20">
        <v>8059</v>
      </c>
      <c r="C3648" s="21">
        <v>45239</v>
      </c>
      <c r="D3648" s="20">
        <v>3291.84</v>
      </c>
      <c r="E3648" s="22" t="s">
        <v>10</v>
      </c>
      <c r="F3648" s="22" t="s">
        <v>13</v>
      </c>
      <c r="G3648" s="22" t="s">
        <v>20</v>
      </c>
    </row>
    <row r="3649" ht="15.15" spans="1:7">
      <c r="A3649" s="20">
        <v>3647</v>
      </c>
      <c r="B3649" s="20">
        <v>3648</v>
      </c>
      <c r="C3649" s="21">
        <v>45105</v>
      </c>
      <c r="D3649" s="20">
        <v>3291.84</v>
      </c>
      <c r="E3649" s="22" t="s">
        <v>10</v>
      </c>
      <c r="F3649" s="22" t="s">
        <v>14</v>
      </c>
      <c r="G3649" s="22" t="s">
        <v>15</v>
      </c>
    </row>
    <row r="3650" ht="15.15" spans="1:7">
      <c r="A3650" s="20">
        <v>3648</v>
      </c>
      <c r="B3650" s="20">
        <v>1028</v>
      </c>
      <c r="C3650" s="21">
        <v>44945</v>
      </c>
      <c r="D3650" s="20">
        <v>3291.84</v>
      </c>
      <c r="E3650" s="22" t="s">
        <v>10</v>
      </c>
      <c r="F3650" s="22" t="s">
        <v>13</v>
      </c>
      <c r="G3650" s="22" t="s">
        <v>20</v>
      </c>
    </row>
    <row r="3651" ht="15.15" spans="1:7">
      <c r="A3651" s="20">
        <v>3649</v>
      </c>
      <c r="B3651" s="20">
        <v>5389</v>
      </c>
      <c r="C3651" s="21">
        <v>45252</v>
      </c>
      <c r="D3651" s="20">
        <v>3291.84</v>
      </c>
      <c r="E3651" s="22" t="s">
        <v>10</v>
      </c>
      <c r="F3651" s="22" t="s">
        <v>16</v>
      </c>
      <c r="G3651" s="22" t="s">
        <v>17</v>
      </c>
    </row>
    <row r="3652" ht="15.15" spans="1:7">
      <c r="A3652" s="20">
        <v>3650</v>
      </c>
      <c r="B3652" s="20">
        <v>7430</v>
      </c>
      <c r="C3652" s="21">
        <v>45271</v>
      </c>
      <c r="D3652" s="20">
        <v>3291.84</v>
      </c>
      <c r="E3652" s="22" t="s">
        <v>10</v>
      </c>
      <c r="F3652" s="22" t="s">
        <v>18</v>
      </c>
      <c r="G3652" s="22" t="s">
        <v>12</v>
      </c>
    </row>
    <row r="3653" ht="15.15" spans="1:7">
      <c r="A3653" s="20">
        <v>3651</v>
      </c>
      <c r="B3653" s="20">
        <v>810</v>
      </c>
      <c r="C3653" s="21">
        <v>44991</v>
      </c>
      <c r="D3653" s="20">
        <v>3291.84</v>
      </c>
      <c r="E3653" s="22" t="s">
        <v>10</v>
      </c>
      <c r="F3653" s="22" t="s">
        <v>18</v>
      </c>
      <c r="G3653" s="22" t="s">
        <v>15</v>
      </c>
    </row>
    <row r="3654" ht="15.15" spans="1:7">
      <c r="A3654" s="20">
        <v>3652</v>
      </c>
      <c r="B3654" s="20">
        <v>9774</v>
      </c>
      <c r="C3654" s="21">
        <v>45087</v>
      </c>
      <c r="D3654" s="20">
        <v>3291.84</v>
      </c>
      <c r="E3654" s="22" t="s">
        <v>10</v>
      </c>
      <c r="F3654" s="22" t="s">
        <v>14</v>
      </c>
      <c r="G3654" s="22" t="s">
        <v>15</v>
      </c>
    </row>
    <row r="3655" ht="15.15" spans="1:7">
      <c r="A3655" s="20">
        <v>3653</v>
      </c>
      <c r="B3655" s="20">
        <v>1727</v>
      </c>
      <c r="C3655" s="21">
        <v>45240</v>
      </c>
      <c r="D3655" s="20">
        <v>3291.84</v>
      </c>
      <c r="E3655" s="22" t="s">
        <v>10</v>
      </c>
      <c r="F3655" s="22" t="s">
        <v>18</v>
      </c>
      <c r="G3655" s="22" t="s">
        <v>15</v>
      </c>
    </row>
    <row r="3656" ht="15.15" spans="1:7">
      <c r="A3656" s="20">
        <v>3654</v>
      </c>
      <c r="B3656" s="20">
        <v>8898</v>
      </c>
      <c r="C3656" s="21">
        <v>45062</v>
      </c>
      <c r="D3656" s="20">
        <v>3291.84</v>
      </c>
      <c r="E3656" s="22" t="s">
        <v>10</v>
      </c>
      <c r="F3656" s="22" t="s">
        <v>13</v>
      </c>
      <c r="G3656" s="22" t="s">
        <v>17</v>
      </c>
    </row>
    <row r="3657" ht="15.15" spans="1:7">
      <c r="A3657" s="20">
        <v>3655</v>
      </c>
      <c r="B3657" s="20">
        <v>1627</v>
      </c>
      <c r="C3657" s="21">
        <v>45123</v>
      </c>
      <c r="D3657" s="20">
        <v>3291.84</v>
      </c>
      <c r="E3657" s="22" t="s">
        <v>10</v>
      </c>
      <c r="F3657" s="22" t="s">
        <v>11</v>
      </c>
      <c r="G3657" s="22" t="s">
        <v>12</v>
      </c>
    </row>
    <row r="3658" ht="15.15" spans="1:7">
      <c r="A3658" s="20">
        <v>3656</v>
      </c>
      <c r="B3658" s="20">
        <v>7903</v>
      </c>
      <c r="C3658" s="21">
        <v>45093</v>
      </c>
      <c r="D3658" s="20">
        <v>3291.84</v>
      </c>
      <c r="E3658" s="22" t="s">
        <v>10</v>
      </c>
      <c r="F3658" s="22" t="s">
        <v>16</v>
      </c>
      <c r="G3658" s="22" t="s">
        <v>12</v>
      </c>
    </row>
    <row r="3659" ht="15.15" spans="1:7">
      <c r="A3659" s="20">
        <v>3657</v>
      </c>
      <c r="B3659" s="20">
        <v>3678</v>
      </c>
      <c r="C3659" s="21">
        <v>45215</v>
      </c>
      <c r="D3659" s="20">
        <v>3291.84</v>
      </c>
      <c r="E3659" s="22" t="s">
        <v>22</v>
      </c>
      <c r="F3659" s="22" t="s">
        <v>11</v>
      </c>
      <c r="G3659" s="22" t="s">
        <v>12</v>
      </c>
    </row>
    <row r="3660" ht="15.15" spans="1:7">
      <c r="A3660" s="20">
        <v>3658</v>
      </c>
      <c r="B3660" s="20">
        <v>5338</v>
      </c>
      <c r="C3660" s="21">
        <v>45266</v>
      </c>
      <c r="D3660" s="20">
        <v>3291.84</v>
      </c>
      <c r="E3660" s="22" t="s">
        <v>10</v>
      </c>
      <c r="F3660" s="22" t="s">
        <v>11</v>
      </c>
      <c r="G3660" s="22" t="s">
        <v>12</v>
      </c>
    </row>
    <row r="3661" ht="15.15" spans="1:7">
      <c r="A3661" s="20">
        <v>3659</v>
      </c>
      <c r="B3661" s="20">
        <v>2267</v>
      </c>
      <c r="C3661" s="21">
        <v>45272</v>
      </c>
      <c r="D3661" s="20">
        <v>3291.84</v>
      </c>
      <c r="E3661" s="22" t="s">
        <v>10</v>
      </c>
      <c r="F3661" s="22" t="s">
        <v>18</v>
      </c>
      <c r="G3661" s="22" t="s">
        <v>20</v>
      </c>
    </row>
    <row r="3662" ht="15.15" spans="1:7">
      <c r="A3662" s="20">
        <v>3660</v>
      </c>
      <c r="B3662" s="20">
        <v>1189</v>
      </c>
      <c r="C3662" s="21">
        <v>44933</v>
      </c>
      <c r="D3662" s="20">
        <v>3291.84</v>
      </c>
      <c r="E3662" s="22" t="s">
        <v>10</v>
      </c>
      <c r="F3662" s="22" t="s">
        <v>13</v>
      </c>
      <c r="G3662" s="22" t="s">
        <v>12</v>
      </c>
    </row>
    <row r="3663" ht="15.15" spans="1:7">
      <c r="A3663" s="20">
        <v>3661</v>
      </c>
      <c r="B3663" s="20">
        <v>9187</v>
      </c>
      <c r="C3663" s="21">
        <v>45176</v>
      </c>
      <c r="D3663" s="20">
        <v>3291.84</v>
      </c>
      <c r="E3663" s="22" t="s">
        <v>10</v>
      </c>
      <c r="F3663" s="22" t="s">
        <v>19</v>
      </c>
      <c r="G3663" s="22" t="s">
        <v>12</v>
      </c>
    </row>
    <row r="3664" ht="15.15" spans="1:7">
      <c r="A3664" s="20">
        <v>3662</v>
      </c>
      <c r="B3664" s="20">
        <v>8052</v>
      </c>
      <c r="C3664" s="21">
        <v>45289</v>
      </c>
      <c r="D3664" s="20">
        <v>3291.84</v>
      </c>
      <c r="E3664" s="22" t="s">
        <v>10</v>
      </c>
      <c r="F3664" s="22" t="s">
        <v>11</v>
      </c>
      <c r="G3664" s="22" t="s">
        <v>17</v>
      </c>
    </row>
    <row r="3665" ht="15.15" spans="1:7">
      <c r="A3665" s="20">
        <v>3663</v>
      </c>
      <c r="B3665" s="20">
        <v>5251</v>
      </c>
      <c r="C3665" s="21">
        <v>45014</v>
      </c>
      <c r="D3665" s="20">
        <v>3291.84</v>
      </c>
      <c r="E3665" s="22" t="s">
        <v>10</v>
      </c>
      <c r="F3665" s="22" t="s">
        <v>13</v>
      </c>
      <c r="G3665" s="22" t="s">
        <v>20</v>
      </c>
    </row>
    <row r="3666" ht="15.15" spans="1:7">
      <c r="A3666" s="20">
        <v>3664</v>
      </c>
      <c r="B3666" s="20">
        <v>8215</v>
      </c>
      <c r="C3666" s="21">
        <v>44966</v>
      </c>
      <c r="D3666" s="20">
        <v>3291.84</v>
      </c>
      <c r="E3666" s="22" t="s">
        <v>10</v>
      </c>
      <c r="F3666" s="22" t="s">
        <v>13</v>
      </c>
      <c r="G3666" s="22" t="s">
        <v>17</v>
      </c>
    </row>
    <row r="3667" ht="15.15" spans="1:7">
      <c r="A3667" s="20">
        <v>3665</v>
      </c>
      <c r="B3667" s="20">
        <v>3759</v>
      </c>
      <c r="C3667" s="21">
        <v>45130</v>
      </c>
      <c r="D3667" s="20">
        <v>3291.84</v>
      </c>
      <c r="E3667" s="22" t="s">
        <v>10</v>
      </c>
      <c r="F3667" s="22" t="s">
        <v>11</v>
      </c>
      <c r="G3667" s="22" t="s">
        <v>20</v>
      </c>
    </row>
    <row r="3668" ht="15.15" spans="1:7">
      <c r="A3668" s="20">
        <v>3666</v>
      </c>
      <c r="B3668" s="20">
        <v>8621</v>
      </c>
      <c r="C3668" s="21">
        <v>44960</v>
      </c>
      <c r="D3668" s="20">
        <v>3291.84</v>
      </c>
      <c r="E3668" s="22" t="s">
        <v>10</v>
      </c>
      <c r="F3668" s="22" t="s">
        <v>13</v>
      </c>
      <c r="G3668" s="22" t="s">
        <v>17</v>
      </c>
    </row>
    <row r="3669" ht="15.15" spans="1:7">
      <c r="A3669" s="20">
        <v>3667</v>
      </c>
      <c r="B3669" s="20">
        <v>9655</v>
      </c>
      <c r="C3669" s="21">
        <v>45276</v>
      </c>
      <c r="D3669" s="20">
        <v>3291.84</v>
      </c>
      <c r="E3669" s="22" t="s">
        <v>10</v>
      </c>
      <c r="F3669" s="22" t="s">
        <v>11</v>
      </c>
      <c r="G3669" s="22" t="s">
        <v>15</v>
      </c>
    </row>
    <row r="3670" ht="15.15" spans="1:7">
      <c r="A3670" s="20">
        <v>3668</v>
      </c>
      <c r="B3670" s="20">
        <v>6846</v>
      </c>
      <c r="C3670" s="21">
        <v>45254</v>
      </c>
      <c r="D3670" s="20">
        <v>3291.84</v>
      </c>
      <c r="E3670" s="22" t="s">
        <v>10</v>
      </c>
      <c r="F3670" s="22" t="s">
        <v>11</v>
      </c>
      <c r="G3670" s="22" t="s">
        <v>12</v>
      </c>
    </row>
    <row r="3671" ht="15.15" spans="1:7">
      <c r="A3671" s="20">
        <v>3669</v>
      </c>
      <c r="B3671" s="20">
        <v>5496</v>
      </c>
      <c r="C3671" s="21">
        <v>45189</v>
      </c>
      <c r="D3671" s="20">
        <v>3291.84</v>
      </c>
      <c r="E3671" s="22" t="s">
        <v>10</v>
      </c>
      <c r="F3671" s="22" t="s">
        <v>16</v>
      </c>
      <c r="G3671" s="22" t="s">
        <v>17</v>
      </c>
    </row>
    <row r="3672" ht="15.15" spans="1:7">
      <c r="A3672" s="20">
        <v>3670</v>
      </c>
      <c r="B3672" s="20">
        <v>7554</v>
      </c>
      <c r="C3672" s="21">
        <v>45289</v>
      </c>
      <c r="D3672" s="20">
        <v>3291.84</v>
      </c>
      <c r="E3672" s="22" t="s">
        <v>10</v>
      </c>
      <c r="F3672" s="22" t="s">
        <v>11</v>
      </c>
      <c r="G3672" s="22" t="s">
        <v>15</v>
      </c>
    </row>
    <row r="3673" ht="15.15" spans="1:7">
      <c r="A3673" s="20">
        <v>3671</v>
      </c>
      <c r="B3673" s="20">
        <v>4672</v>
      </c>
      <c r="C3673" s="21">
        <v>45163</v>
      </c>
      <c r="D3673" s="20">
        <v>3291.84</v>
      </c>
      <c r="E3673" s="22" t="s">
        <v>10</v>
      </c>
      <c r="F3673" s="22" t="s">
        <v>18</v>
      </c>
      <c r="G3673" s="22" t="s">
        <v>15</v>
      </c>
    </row>
    <row r="3674" ht="15.15" spans="1:7">
      <c r="A3674" s="20">
        <v>3672</v>
      </c>
      <c r="B3674" s="20">
        <v>1642</v>
      </c>
      <c r="C3674" s="21">
        <v>44939</v>
      </c>
      <c r="D3674" s="20">
        <v>3291.84</v>
      </c>
      <c r="E3674" s="22" t="s">
        <v>10</v>
      </c>
      <c r="F3674" s="22" t="s">
        <v>14</v>
      </c>
      <c r="G3674" s="22" t="s">
        <v>12</v>
      </c>
    </row>
    <row r="3675" ht="15.15" spans="1:7">
      <c r="A3675" s="20">
        <v>3673</v>
      </c>
      <c r="B3675" s="20">
        <v>9749</v>
      </c>
      <c r="C3675" s="21">
        <v>45005</v>
      </c>
      <c r="D3675" s="20">
        <v>3291.84</v>
      </c>
      <c r="E3675" s="22" t="s">
        <v>10</v>
      </c>
      <c r="F3675" s="22" t="s">
        <v>16</v>
      </c>
      <c r="G3675" s="22" t="s">
        <v>20</v>
      </c>
    </row>
    <row r="3676" ht="15.15" spans="1:7">
      <c r="A3676" s="20">
        <v>3674</v>
      </c>
      <c r="B3676" s="20">
        <v>7034</v>
      </c>
      <c r="C3676" s="21">
        <v>45216</v>
      </c>
      <c r="D3676" s="20">
        <v>3291.84</v>
      </c>
      <c r="E3676" s="22" t="s">
        <v>10</v>
      </c>
      <c r="F3676" s="22" t="s">
        <v>11</v>
      </c>
      <c r="G3676" s="22" t="s">
        <v>17</v>
      </c>
    </row>
    <row r="3677" ht="15.15" spans="1:7">
      <c r="A3677" s="20">
        <v>3675</v>
      </c>
      <c r="B3677" s="20">
        <v>2725</v>
      </c>
      <c r="C3677" s="21">
        <v>45139</v>
      </c>
      <c r="D3677" s="20">
        <v>3291.84</v>
      </c>
      <c r="E3677" s="22" t="s">
        <v>10</v>
      </c>
      <c r="F3677" s="22" t="s">
        <v>16</v>
      </c>
      <c r="G3677" s="22" t="s">
        <v>15</v>
      </c>
    </row>
    <row r="3678" ht="15.15" spans="1:7">
      <c r="A3678" s="20">
        <v>3676</v>
      </c>
      <c r="B3678" s="20">
        <v>3034</v>
      </c>
      <c r="C3678" s="21">
        <v>45174</v>
      </c>
      <c r="D3678" s="20">
        <v>3291.84</v>
      </c>
      <c r="E3678" s="22" t="s">
        <v>10</v>
      </c>
      <c r="F3678" s="22" t="s">
        <v>16</v>
      </c>
      <c r="G3678" s="22" t="s">
        <v>17</v>
      </c>
    </row>
    <row r="3679" ht="15.15" spans="1:7">
      <c r="A3679" s="20">
        <v>3677</v>
      </c>
      <c r="B3679" s="20">
        <v>7066</v>
      </c>
      <c r="C3679" s="21">
        <v>45126</v>
      </c>
      <c r="D3679" s="20">
        <v>3291.84</v>
      </c>
      <c r="E3679" s="22" t="s">
        <v>21</v>
      </c>
      <c r="F3679" s="22" t="s">
        <v>11</v>
      </c>
      <c r="G3679" s="22" t="s">
        <v>20</v>
      </c>
    </row>
    <row r="3680" ht="15.15" spans="1:7">
      <c r="A3680" s="20">
        <v>3678</v>
      </c>
      <c r="B3680" s="20">
        <v>9207</v>
      </c>
      <c r="C3680" s="21">
        <v>44984</v>
      </c>
      <c r="D3680" s="20">
        <v>3291.84</v>
      </c>
      <c r="E3680" s="22" t="s">
        <v>10</v>
      </c>
      <c r="F3680" s="22" t="s">
        <v>18</v>
      </c>
      <c r="G3680" s="22" t="s">
        <v>20</v>
      </c>
    </row>
    <row r="3681" ht="15.15" spans="1:7">
      <c r="A3681" s="20">
        <v>3679</v>
      </c>
      <c r="B3681" s="20">
        <v>3357</v>
      </c>
      <c r="C3681" s="21">
        <v>45217</v>
      </c>
      <c r="D3681" s="20">
        <v>3291.84</v>
      </c>
      <c r="E3681" s="22" t="s">
        <v>10</v>
      </c>
      <c r="F3681" s="22" t="s">
        <v>14</v>
      </c>
      <c r="G3681" s="22" t="s">
        <v>15</v>
      </c>
    </row>
    <row r="3682" ht="15.15" spans="1:7">
      <c r="A3682" s="20">
        <v>3680</v>
      </c>
      <c r="B3682" s="20">
        <v>8912</v>
      </c>
      <c r="C3682" s="21">
        <v>45168</v>
      </c>
      <c r="D3682" s="20">
        <v>3291.84</v>
      </c>
      <c r="E3682" s="22" t="s">
        <v>10</v>
      </c>
      <c r="F3682" s="22" t="s">
        <v>16</v>
      </c>
      <c r="G3682" s="22" t="s">
        <v>15</v>
      </c>
    </row>
    <row r="3683" ht="15.15" spans="1:7">
      <c r="A3683" s="20">
        <v>3681</v>
      </c>
      <c r="B3683" s="20">
        <v>6334</v>
      </c>
      <c r="C3683" s="21">
        <v>44963</v>
      </c>
      <c r="D3683" s="20">
        <v>3291.84</v>
      </c>
      <c r="E3683" s="22" t="s">
        <v>10</v>
      </c>
      <c r="F3683" s="22" t="s">
        <v>11</v>
      </c>
      <c r="G3683" s="22" t="s">
        <v>20</v>
      </c>
    </row>
    <row r="3684" ht="15.15" spans="1:7">
      <c r="A3684" s="20">
        <v>3682</v>
      </c>
      <c r="B3684" s="20">
        <v>5326</v>
      </c>
      <c r="C3684" s="21">
        <v>45116</v>
      </c>
      <c r="D3684" s="20">
        <v>3291.84</v>
      </c>
      <c r="E3684" s="22" t="s">
        <v>10</v>
      </c>
      <c r="F3684" s="22" t="s">
        <v>14</v>
      </c>
      <c r="G3684" s="22" t="s">
        <v>17</v>
      </c>
    </row>
    <row r="3685" ht="15.15" spans="1:7">
      <c r="A3685" s="20">
        <v>3683</v>
      </c>
      <c r="B3685" s="20">
        <v>9301</v>
      </c>
      <c r="C3685" s="21">
        <v>45266</v>
      </c>
      <c r="D3685" s="20">
        <v>3291.84</v>
      </c>
      <c r="E3685" s="22" t="s">
        <v>10</v>
      </c>
      <c r="F3685" s="22" t="s">
        <v>16</v>
      </c>
      <c r="G3685" s="22" t="s">
        <v>12</v>
      </c>
    </row>
    <row r="3686" ht="15.15" spans="1:7">
      <c r="A3686" s="20">
        <v>3684</v>
      </c>
      <c r="B3686" s="20">
        <v>4812</v>
      </c>
      <c r="C3686" s="21">
        <v>45245</v>
      </c>
      <c r="D3686" s="20">
        <v>3291.84</v>
      </c>
      <c r="E3686" s="22" t="s">
        <v>10</v>
      </c>
      <c r="F3686" s="22" t="s">
        <v>11</v>
      </c>
      <c r="G3686" s="22" t="s">
        <v>20</v>
      </c>
    </row>
    <row r="3687" ht="15.15" spans="1:7">
      <c r="A3687" s="20">
        <v>3685</v>
      </c>
      <c r="B3687" s="20">
        <v>3713</v>
      </c>
      <c r="C3687" s="21">
        <v>45027</v>
      </c>
      <c r="D3687" s="20">
        <v>3291.84</v>
      </c>
      <c r="E3687" s="22" t="s">
        <v>10</v>
      </c>
      <c r="F3687" s="22" t="s">
        <v>14</v>
      </c>
      <c r="G3687" s="22" t="s">
        <v>17</v>
      </c>
    </row>
    <row r="3688" ht="15.15" spans="1:7">
      <c r="A3688" s="20">
        <v>3686</v>
      </c>
      <c r="B3688" s="20">
        <v>3841</v>
      </c>
      <c r="C3688" s="21">
        <v>45058</v>
      </c>
      <c r="D3688" s="20">
        <v>3291.84</v>
      </c>
      <c r="E3688" s="22" t="s">
        <v>10</v>
      </c>
      <c r="F3688" s="22" t="s">
        <v>18</v>
      </c>
      <c r="G3688" s="22" t="s">
        <v>12</v>
      </c>
    </row>
    <row r="3689" ht="15.15" spans="1:7">
      <c r="A3689" s="20">
        <v>3687</v>
      </c>
      <c r="B3689" s="20">
        <v>5137</v>
      </c>
      <c r="C3689" s="21">
        <v>45242</v>
      </c>
      <c r="D3689" s="20">
        <v>3291.84</v>
      </c>
      <c r="E3689" s="22" t="s">
        <v>10</v>
      </c>
      <c r="F3689" s="22" t="s">
        <v>18</v>
      </c>
      <c r="G3689" s="22" t="s">
        <v>17</v>
      </c>
    </row>
    <row r="3690" ht="15.15" spans="1:7">
      <c r="A3690" s="20">
        <v>3688</v>
      </c>
      <c r="B3690" s="20">
        <v>4398</v>
      </c>
      <c r="C3690" s="21">
        <v>45132</v>
      </c>
      <c r="D3690" s="20">
        <v>3291.84</v>
      </c>
      <c r="E3690" s="22" t="s">
        <v>10</v>
      </c>
      <c r="F3690" s="22" t="s">
        <v>16</v>
      </c>
      <c r="G3690" s="22" t="s">
        <v>12</v>
      </c>
    </row>
    <row r="3691" ht="15.15" spans="1:7">
      <c r="A3691" s="20">
        <v>3689</v>
      </c>
      <c r="B3691" s="20">
        <v>6047</v>
      </c>
      <c r="C3691" s="21">
        <v>45156</v>
      </c>
      <c r="D3691" s="20">
        <v>3291.84</v>
      </c>
      <c r="E3691" s="22" t="s">
        <v>10</v>
      </c>
      <c r="F3691" s="22" t="s">
        <v>11</v>
      </c>
      <c r="G3691" s="22" t="s">
        <v>17</v>
      </c>
    </row>
    <row r="3692" ht="15.15" spans="1:7">
      <c r="A3692" s="20">
        <v>3690</v>
      </c>
      <c r="B3692" s="20">
        <v>24</v>
      </c>
      <c r="C3692" s="21">
        <v>45040</v>
      </c>
      <c r="D3692" s="20">
        <v>3291.84</v>
      </c>
      <c r="E3692" s="22" t="s">
        <v>10</v>
      </c>
      <c r="F3692" s="22" t="s">
        <v>14</v>
      </c>
      <c r="G3692" s="22" t="s">
        <v>20</v>
      </c>
    </row>
    <row r="3693" ht="15.15" spans="1:7">
      <c r="A3693" s="20">
        <v>3691</v>
      </c>
      <c r="B3693" s="20">
        <v>1865</v>
      </c>
      <c r="C3693" s="21">
        <v>45233</v>
      </c>
      <c r="D3693" s="20">
        <v>3291.84</v>
      </c>
      <c r="E3693" s="22" t="s">
        <v>10</v>
      </c>
      <c r="F3693" s="22" t="s">
        <v>13</v>
      </c>
      <c r="G3693" s="22" t="s">
        <v>15</v>
      </c>
    </row>
    <row r="3694" ht="15.15" spans="1:7">
      <c r="A3694" s="20">
        <v>3692</v>
      </c>
      <c r="B3694" s="20">
        <v>846</v>
      </c>
      <c r="C3694" s="21">
        <v>44995</v>
      </c>
      <c r="D3694" s="20">
        <v>3291.84</v>
      </c>
      <c r="E3694" s="22" t="s">
        <v>10</v>
      </c>
      <c r="F3694" s="22" t="s">
        <v>16</v>
      </c>
      <c r="G3694" s="22" t="s">
        <v>17</v>
      </c>
    </row>
    <row r="3695" ht="15.15" spans="1:7">
      <c r="A3695" s="20">
        <v>3693</v>
      </c>
      <c r="B3695" s="20">
        <v>4374</v>
      </c>
      <c r="C3695" s="21">
        <v>44998</v>
      </c>
      <c r="D3695" s="20">
        <v>3291.84</v>
      </c>
      <c r="E3695" s="22" t="s">
        <v>10</v>
      </c>
      <c r="F3695" s="22" t="s">
        <v>13</v>
      </c>
      <c r="G3695" s="22" t="s">
        <v>12</v>
      </c>
    </row>
    <row r="3696" ht="15.15" spans="1:7">
      <c r="A3696" s="20">
        <v>3694</v>
      </c>
      <c r="B3696" s="20">
        <v>5880</v>
      </c>
      <c r="C3696" s="21">
        <v>45191</v>
      </c>
      <c r="D3696" s="20">
        <v>3291.84</v>
      </c>
      <c r="E3696" s="22" t="s">
        <v>10</v>
      </c>
      <c r="F3696" s="22" t="s">
        <v>16</v>
      </c>
      <c r="G3696" s="22" t="s">
        <v>17</v>
      </c>
    </row>
    <row r="3697" ht="15.15" spans="1:7">
      <c r="A3697" s="20">
        <v>3695</v>
      </c>
      <c r="B3697" s="20">
        <v>1268</v>
      </c>
      <c r="C3697" s="21">
        <v>44973</v>
      </c>
      <c r="D3697" s="20">
        <v>3291.84</v>
      </c>
      <c r="E3697" s="22" t="s">
        <v>10</v>
      </c>
      <c r="F3697" s="22" t="s">
        <v>16</v>
      </c>
      <c r="G3697" s="22" t="s">
        <v>17</v>
      </c>
    </row>
    <row r="3698" ht="15.15" spans="1:7">
      <c r="A3698" s="20">
        <v>3696</v>
      </c>
      <c r="B3698" s="20">
        <v>3217</v>
      </c>
      <c r="C3698" s="21">
        <v>45191</v>
      </c>
      <c r="D3698" s="20">
        <v>3291.84</v>
      </c>
      <c r="E3698" s="22" t="s">
        <v>10</v>
      </c>
      <c r="F3698" s="22" t="s">
        <v>16</v>
      </c>
      <c r="G3698" s="22" t="s">
        <v>17</v>
      </c>
    </row>
    <row r="3699" ht="15.15" spans="1:7">
      <c r="A3699" s="20">
        <v>3697</v>
      </c>
      <c r="B3699" s="20">
        <v>9305</v>
      </c>
      <c r="C3699" s="21">
        <v>45278</v>
      </c>
      <c r="D3699" s="20">
        <v>3291.84</v>
      </c>
      <c r="E3699" s="22" t="s">
        <v>10</v>
      </c>
      <c r="F3699" s="22" t="s">
        <v>11</v>
      </c>
      <c r="G3699" s="22" t="s">
        <v>17</v>
      </c>
    </row>
    <row r="3700" ht="15.15" spans="1:7">
      <c r="A3700" s="20">
        <v>3698</v>
      </c>
      <c r="B3700" s="20">
        <v>9708</v>
      </c>
      <c r="C3700" s="21">
        <v>45244</v>
      </c>
      <c r="D3700" s="20">
        <v>3291.84</v>
      </c>
      <c r="E3700" s="22" t="s">
        <v>10</v>
      </c>
      <c r="F3700" s="22" t="s">
        <v>18</v>
      </c>
      <c r="G3700" s="22" t="s">
        <v>12</v>
      </c>
    </row>
    <row r="3701" ht="15.15" spans="1:7">
      <c r="A3701" s="20">
        <v>3699</v>
      </c>
      <c r="B3701" s="20">
        <v>2517</v>
      </c>
      <c r="C3701" s="21">
        <v>44962</v>
      </c>
      <c r="D3701" s="20">
        <v>3291.84</v>
      </c>
      <c r="E3701" s="22" t="s">
        <v>10</v>
      </c>
      <c r="F3701" s="22" t="s">
        <v>14</v>
      </c>
      <c r="G3701" s="22" t="s">
        <v>15</v>
      </c>
    </row>
    <row r="3702" ht="15.15" spans="1:7">
      <c r="A3702" s="20">
        <v>3700</v>
      </c>
      <c r="B3702" s="20">
        <v>964</v>
      </c>
      <c r="C3702" s="21">
        <v>45136</v>
      </c>
      <c r="D3702" s="20">
        <v>3291.84</v>
      </c>
      <c r="E3702" s="22" t="s">
        <v>10</v>
      </c>
      <c r="F3702" s="22" t="s">
        <v>14</v>
      </c>
      <c r="G3702" s="22" t="s">
        <v>15</v>
      </c>
    </row>
    <row r="3703" ht="15.15" spans="1:7">
      <c r="A3703" s="20">
        <v>3701</v>
      </c>
      <c r="B3703" s="20">
        <v>46</v>
      </c>
      <c r="C3703" s="21">
        <v>45038</v>
      </c>
      <c r="D3703" s="20">
        <v>3291.84</v>
      </c>
      <c r="E3703" s="22" t="s">
        <v>10</v>
      </c>
      <c r="F3703" s="22" t="s">
        <v>18</v>
      </c>
      <c r="G3703" s="22" t="s">
        <v>17</v>
      </c>
    </row>
    <row r="3704" ht="15.15" spans="1:7">
      <c r="A3704" s="20">
        <v>3702</v>
      </c>
      <c r="B3704" s="20">
        <v>5424</v>
      </c>
      <c r="C3704" s="21">
        <v>45079</v>
      </c>
      <c r="D3704" s="20">
        <v>3291.84</v>
      </c>
      <c r="E3704" s="22" t="s">
        <v>10</v>
      </c>
      <c r="F3704" s="22" t="s">
        <v>13</v>
      </c>
      <c r="G3704" s="22" t="s">
        <v>12</v>
      </c>
    </row>
    <row r="3705" ht="15.15" spans="1:7">
      <c r="A3705" s="20">
        <v>3703</v>
      </c>
      <c r="B3705" s="20">
        <v>3357</v>
      </c>
      <c r="C3705" s="21">
        <v>45169</v>
      </c>
      <c r="D3705" s="20">
        <v>3291.84</v>
      </c>
      <c r="E3705" s="22" t="s">
        <v>10</v>
      </c>
      <c r="F3705" s="22" t="s">
        <v>14</v>
      </c>
      <c r="G3705" s="22" t="s">
        <v>17</v>
      </c>
    </row>
    <row r="3706" ht="15.15" spans="1:7">
      <c r="A3706" s="20">
        <v>3704</v>
      </c>
      <c r="B3706" s="20">
        <v>7608</v>
      </c>
      <c r="C3706" s="21">
        <v>45133</v>
      </c>
      <c r="D3706" s="20">
        <v>3291.84</v>
      </c>
      <c r="E3706" s="22" t="s">
        <v>10</v>
      </c>
      <c r="F3706" s="22" t="s">
        <v>13</v>
      </c>
      <c r="G3706" s="22" t="s">
        <v>20</v>
      </c>
    </row>
    <row r="3707" ht="15.15" spans="1:7">
      <c r="A3707" s="20">
        <v>3705</v>
      </c>
      <c r="B3707" s="20">
        <v>5448</v>
      </c>
      <c r="C3707" s="21">
        <v>45060</v>
      </c>
      <c r="D3707" s="20">
        <v>3291.84</v>
      </c>
      <c r="E3707" s="22" t="s">
        <v>10</v>
      </c>
      <c r="F3707" s="22" t="s">
        <v>13</v>
      </c>
      <c r="G3707" s="22" t="s">
        <v>17</v>
      </c>
    </row>
    <row r="3708" ht="15.15" spans="1:7">
      <c r="A3708" s="20">
        <v>3706</v>
      </c>
      <c r="B3708" s="20">
        <v>115</v>
      </c>
      <c r="C3708" s="21">
        <v>45109</v>
      </c>
      <c r="D3708" s="20">
        <v>3291.84</v>
      </c>
      <c r="E3708" s="22" t="s">
        <v>10</v>
      </c>
      <c r="F3708" s="22" t="s">
        <v>11</v>
      </c>
      <c r="G3708" s="22" t="s">
        <v>15</v>
      </c>
    </row>
    <row r="3709" ht="15.15" spans="1:7">
      <c r="A3709" s="20">
        <v>3707</v>
      </c>
      <c r="B3709" s="20">
        <v>3462</v>
      </c>
      <c r="C3709" s="21">
        <v>45190</v>
      </c>
      <c r="D3709" s="20">
        <v>3291.84</v>
      </c>
      <c r="E3709" s="22" t="s">
        <v>10</v>
      </c>
      <c r="F3709" s="22" t="s">
        <v>19</v>
      </c>
      <c r="G3709" s="22" t="s">
        <v>17</v>
      </c>
    </row>
    <row r="3710" ht="15.15" spans="1:7">
      <c r="A3710" s="20">
        <v>3708</v>
      </c>
      <c r="B3710" s="20">
        <v>9178</v>
      </c>
      <c r="C3710" s="21">
        <v>45254</v>
      </c>
      <c r="D3710" s="20">
        <v>3291.84</v>
      </c>
      <c r="E3710" s="22" t="s">
        <v>10</v>
      </c>
      <c r="F3710" s="22" t="s">
        <v>18</v>
      </c>
      <c r="G3710" s="22" t="s">
        <v>12</v>
      </c>
    </row>
    <row r="3711" ht="15.15" spans="1:7">
      <c r="A3711" s="20">
        <v>3709</v>
      </c>
      <c r="B3711" s="20">
        <v>5017</v>
      </c>
      <c r="C3711" s="21">
        <v>45075</v>
      </c>
      <c r="D3711" s="20">
        <v>3291.84</v>
      </c>
      <c r="E3711" s="22" t="s">
        <v>10</v>
      </c>
      <c r="F3711" s="22" t="s">
        <v>16</v>
      </c>
      <c r="G3711" s="22" t="s">
        <v>15</v>
      </c>
    </row>
    <row r="3712" ht="15.15" spans="1:7">
      <c r="A3712" s="20">
        <v>3710</v>
      </c>
      <c r="B3712" s="20">
        <v>9252</v>
      </c>
      <c r="C3712" s="21">
        <v>45278</v>
      </c>
      <c r="D3712" s="20">
        <v>3291.84</v>
      </c>
      <c r="E3712" s="22" t="s">
        <v>10</v>
      </c>
      <c r="F3712" s="22" t="s">
        <v>14</v>
      </c>
      <c r="G3712" s="22" t="s">
        <v>15</v>
      </c>
    </row>
    <row r="3713" ht="15.15" spans="1:7">
      <c r="A3713" s="20">
        <v>3711</v>
      </c>
      <c r="B3713" s="20">
        <v>7324</v>
      </c>
      <c r="C3713" s="21">
        <v>45237</v>
      </c>
      <c r="D3713" s="20">
        <v>3291.84</v>
      </c>
      <c r="E3713" s="22" t="s">
        <v>10</v>
      </c>
      <c r="F3713" s="22" t="s">
        <v>18</v>
      </c>
      <c r="G3713" s="22" t="s">
        <v>20</v>
      </c>
    </row>
    <row r="3714" ht="15.15" spans="1:7">
      <c r="A3714" s="20">
        <v>3712</v>
      </c>
      <c r="B3714" s="20">
        <v>8479</v>
      </c>
      <c r="C3714" s="21">
        <v>45288</v>
      </c>
      <c r="D3714" s="20">
        <v>3291.84</v>
      </c>
      <c r="E3714" s="22" t="s">
        <v>10</v>
      </c>
      <c r="F3714" s="22" t="s">
        <v>18</v>
      </c>
      <c r="G3714" s="22" t="s">
        <v>20</v>
      </c>
    </row>
    <row r="3715" ht="15.15" spans="1:7">
      <c r="A3715" s="20">
        <v>3713</v>
      </c>
      <c r="B3715" s="20">
        <v>4449</v>
      </c>
      <c r="C3715" s="21">
        <v>45253</v>
      </c>
      <c r="D3715" s="20">
        <v>3291.84</v>
      </c>
      <c r="E3715" s="22" t="s">
        <v>10</v>
      </c>
      <c r="F3715" s="22" t="s">
        <v>13</v>
      </c>
      <c r="G3715" s="22" t="s">
        <v>20</v>
      </c>
    </row>
    <row r="3716" ht="15.15" spans="1:7">
      <c r="A3716" s="20">
        <v>3714</v>
      </c>
      <c r="B3716" s="20">
        <v>6710</v>
      </c>
      <c r="C3716" s="21">
        <v>45240</v>
      </c>
      <c r="D3716" s="20">
        <v>3291.84</v>
      </c>
      <c r="E3716" s="22" t="s">
        <v>10</v>
      </c>
      <c r="F3716" s="22" t="s">
        <v>18</v>
      </c>
      <c r="G3716" s="22" t="s">
        <v>15</v>
      </c>
    </row>
    <row r="3717" ht="15.15" spans="1:7">
      <c r="A3717" s="20">
        <v>3715</v>
      </c>
      <c r="B3717" s="20">
        <v>5940</v>
      </c>
      <c r="C3717" s="21">
        <v>45170</v>
      </c>
      <c r="D3717" s="20">
        <v>3291.84</v>
      </c>
      <c r="E3717" s="22" t="s">
        <v>10</v>
      </c>
      <c r="F3717" s="22" t="s">
        <v>11</v>
      </c>
      <c r="G3717" s="22" t="s">
        <v>15</v>
      </c>
    </row>
    <row r="3718" ht="15.15" spans="1:7">
      <c r="A3718" s="20">
        <v>3716</v>
      </c>
      <c r="B3718" s="20">
        <v>2698</v>
      </c>
      <c r="C3718" s="21">
        <v>45057</v>
      </c>
      <c r="D3718" s="20">
        <v>3291.84</v>
      </c>
      <c r="E3718" s="22" t="s">
        <v>10</v>
      </c>
      <c r="F3718" s="22" t="s">
        <v>18</v>
      </c>
      <c r="G3718" s="22" t="s">
        <v>15</v>
      </c>
    </row>
    <row r="3719" ht="15.15" spans="1:7">
      <c r="A3719" s="20">
        <v>3717</v>
      </c>
      <c r="B3719" s="20">
        <v>4048</v>
      </c>
      <c r="C3719" s="21">
        <v>44953</v>
      </c>
      <c r="D3719" s="20">
        <v>3291.84</v>
      </c>
      <c r="E3719" s="22" t="s">
        <v>22</v>
      </c>
      <c r="F3719" s="22" t="s">
        <v>16</v>
      </c>
      <c r="G3719" s="22" t="s">
        <v>12</v>
      </c>
    </row>
    <row r="3720" ht="15.15" spans="1:7">
      <c r="A3720" s="20">
        <v>3718</v>
      </c>
      <c r="B3720" s="20">
        <v>8270</v>
      </c>
      <c r="C3720" s="21">
        <v>45245</v>
      </c>
      <c r="D3720" s="20">
        <v>3291.84</v>
      </c>
      <c r="E3720" s="22" t="s">
        <v>10</v>
      </c>
      <c r="F3720" s="22" t="s">
        <v>14</v>
      </c>
      <c r="G3720" s="22" t="s">
        <v>12</v>
      </c>
    </row>
    <row r="3721" ht="15.15" spans="1:7">
      <c r="A3721" s="20">
        <v>3719</v>
      </c>
      <c r="B3721" s="20">
        <v>7732</v>
      </c>
      <c r="C3721" s="21">
        <v>45186</v>
      </c>
      <c r="D3721" s="20">
        <v>3291.84</v>
      </c>
      <c r="E3721" s="22" t="s">
        <v>10</v>
      </c>
      <c r="F3721" s="22" t="s">
        <v>14</v>
      </c>
      <c r="G3721" s="22" t="s">
        <v>20</v>
      </c>
    </row>
    <row r="3722" ht="15.15" spans="1:7">
      <c r="A3722" s="20">
        <v>3720</v>
      </c>
      <c r="B3722" s="20">
        <v>3134</v>
      </c>
      <c r="C3722" s="21">
        <v>44927</v>
      </c>
      <c r="D3722" s="20">
        <v>3291.84</v>
      </c>
      <c r="E3722" s="22" t="s">
        <v>10</v>
      </c>
      <c r="F3722" s="22" t="s">
        <v>18</v>
      </c>
      <c r="G3722" s="22" t="s">
        <v>12</v>
      </c>
    </row>
    <row r="3723" ht="15.15" spans="1:7">
      <c r="A3723" s="20">
        <v>3721</v>
      </c>
      <c r="B3723" s="20">
        <v>4442</v>
      </c>
      <c r="C3723" s="21">
        <v>45269</v>
      </c>
      <c r="D3723" s="20">
        <v>3291.84</v>
      </c>
      <c r="E3723" s="22" t="s">
        <v>10</v>
      </c>
      <c r="F3723" s="22" t="s">
        <v>14</v>
      </c>
      <c r="G3723" s="22" t="s">
        <v>17</v>
      </c>
    </row>
    <row r="3724" ht="15.15" spans="1:7">
      <c r="A3724" s="20">
        <v>3722</v>
      </c>
      <c r="B3724" s="20">
        <v>3904</v>
      </c>
      <c r="C3724" s="21">
        <v>45136</v>
      </c>
      <c r="D3724" s="20">
        <v>3291.84</v>
      </c>
      <c r="E3724" s="22" t="s">
        <v>10</v>
      </c>
      <c r="F3724" s="22" t="s">
        <v>18</v>
      </c>
      <c r="G3724" s="22" t="s">
        <v>15</v>
      </c>
    </row>
    <row r="3725" ht="15.15" spans="1:7">
      <c r="A3725" s="20">
        <v>3723</v>
      </c>
      <c r="B3725" s="20">
        <v>3598</v>
      </c>
      <c r="C3725" s="21">
        <v>45140</v>
      </c>
      <c r="D3725" s="20">
        <v>3291.84</v>
      </c>
      <c r="E3725" s="22" t="s">
        <v>10</v>
      </c>
      <c r="F3725" s="22" t="s">
        <v>18</v>
      </c>
      <c r="G3725" s="22" t="s">
        <v>20</v>
      </c>
    </row>
    <row r="3726" ht="15.15" spans="1:7">
      <c r="A3726" s="20">
        <v>3724</v>
      </c>
      <c r="B3726" s="20">
        <v>1291</v>
      </c>
      <c r="C3726" s="21">
        <v>45195</v>
      </c>
      <c r="D3726" s="20">
        <v>3291.84</v>
      </c>
      <c r="E3726" s="22" t="s">
        <v>10</v>
      </c>
      <c r="F3726" s="22" t="s">
        <v>14</v>
      </c>
      <c r="G3726" s="22" t="s">
        <v>12</v>
      </c>
    </row>
    <row r="3727" ht="15.15" spans="1:7">
      <c r="A3727" s="20">
        <v>3725</v>
      </c>
      <c r="B3727" s="20">
        <v>2636</v>
      </c>
      <c r="C3727" s="21">
        <v>44986</v>
      </c>
      <c r="D3727" s="20">
        <v>3291.84</v>
      </c>
      <c r="E3727" s="22" t="s">
        <v>10</v>
      </c>
      <c r="F3727" s="22" t="s">
        <v>11</v>
      </c>
      <c r="G3727" s="22" t="s">
        <v>15</v>
      </c>
    </row>
    <row r="3728" ht="15.15" spans="1:7">
      <c r="A3728" s="20">
        <v>3726</v>
      </c>
      <c r="B3728" s="20">
        <v>8242</v>
      </c>
      <c r="C3728" s="21">
        <v>45105</v>
      </c>
      <c r="D3728" s="20">
        <v>3291.84</v>
      </c>
      <c r="E3728" s="22" t="s">
        <v>10</v>
      </c>
      <c r="F3728" s="22" t="s">
        <v>13</v>
      </c>
      <c r="G3728" s="22" t="s">
        <v>12</v>
      </c>
    </row>
    <row r="3729" ht="15.15" spans="1:7">
      <c r="A3729" s="20">
        <v>3727</v>
      </c>
      <c r="B3729" s="20">
        <v>7908</v>
      </c>
      <c r="C3729" s="21">
        <v>44948</v>
      </c>
      <c r="D3729" s="20">
        <v>3291.84</v>
      </c>
      <c r="E3729" s="22" t="s">
        <v>10</v>
      </c>
      <c r="F3729" s="22" t="s">
        <v>16</v>
      </c>
      <c r="G3729" s="22" t="s">
        <v>12</v>
      </c>
    </row>
    <row r="3730" ht="15.15" spans="1:7">
      <c r="A3730" s="20">
        <v>3728</v>
      </c>
      <c r="B3730" s="20">
        <v>9055</v>
      </c>
      <c r="C3730" s="21">
        <v>45183</v>
      </c>
      <c r="D3730" s="20">
        <v>3291.84</v>
      </c>
      <c r="E3730" s="22" t="s">
        <v>10</v>
      </c>
      <c r="F3730" s="22" t="s">
        <v>13</v>
      </c>
      <c r="G3730" s="22" t="s">
        <v>17</v>
      </c>
    </row>
    <row r="3731" ht="15.15" spans="1:7">
      <c r="A3731" s="20">
        <v>3729</v>
      </c>
      <c r="B3731" s="20">
        <v>2007</v>
      </c>
      <c r="C3731" s="21">
        <v>45247</v>
      </c>
      <c r="D3731" s="20">
        <v>3291.84</v>
      </c>
      <c r="E3731" s="22" t="s">
        <v>10</v>
      </c>
      <c r="F3731" s="22" t="s">
        <v>13</v>
      </c>
      <c r="G3731" s="22" t="s">
        <v>12</v>
      </c>
    </row>
    <row r="3732" ht="15.15" spans="1:7">
      <c r="A3732" s="20">
        <v>3730</v>
      </c>
      <c r="B3732" s="20">
        <v>9947</v>
      </c>
      <c r="C3732" s="21">
        <v>45051</v>
      </c>
      <c r="D3732" s="20">
        <v>3291.84</v>
      </c>
      <c r="E3732" s="22" t="s">
        <v>10</v>
      </c>
      <c r="F3732" s="22" t="s">
        <v>14</v>
      </c>
      <c r="G3732" s="22" t="s">
        <v>17</v>
      </c>
    </row>
    <row r="3733" ht="15.15" spans="1:7">
      <c r="A3733" s="20">
        <v>3731</v>
      </c>
      <c r="B3733" s="20">
        <v>5725</v>
      </c>
      <c r="C3733" s="21">
        <v>45020</v>
      </c>
      <c r="D3733" s="20">
        <v>3291.84</v>
      </c>
      <c r="E3733" s="22" t="s">
        <v>10</v>
      </c>
      <c r="F3733" s="22" t="s">
        <v>18</v>
      </c>
      <c r="G3733" s="22" t="s">
        <v>12</v>
      </c>
    </row>
    <row r="3734" ht="15.15" spans="1:7">
      <c r="A3734" s="20">
        <v>3732</v>
      </c>
      <c r="B3734" s="20">
        <v>9719</v>
      </c>
      <c r="C3734" s="21">
        <v>44962</v>
      </c>
      <c r="D3734" s="20">
        <v>3291.84</v>
      </c>
      <c r="E3734" s="22" t="s">
        <v>10</v>
      </c>
      <c r="F3734" s="22" t="s">
        <v>19</v>
      </c>
      <c r="G3734" s="22" t="s">
        <v>20</v>
      </c>
    </row>
    <row r="3735" ht="15.15" spans="1:7">
      <c r="A3735" s="20">
        <v>3733</v>
      </c>
      <c r="B3735" s="20">
        <v>5589</v>
      </c>
      <c r="C3735" s="21">
        <v>45280</v>
      </c>
      <c r="D3735" s="20">
        <v>3291.84</v>
      </c>
      <c r="E3735" s="22" t="s">
        <v>10</v>
      </c>
      <c r="F3735" s="22" t="s">
        <v>14</v>
      </c>
      <c r="G3735" s="22" t="s">
        <v>12</v>
      </c>
    </row>
    <row r="3736" ht="15.15" spans="1:7">
      <c r="A3736" s="20">
        <v>3734</v>
      </c>
      <c r="B3736" s="20">
        <v>1077</v>
      </c>
      <c r="C3736" s="21">
        <v>45003</v>
      </c>
      <c r="D3736" s="20">
        <v>3291.84</v>
      </c>
      <c r="E3736" s="22" t="s">
        <v>10</v>
      </c>
      <c r="F3736" s="22" t="s">
        <v>13</v>
      </c>
      <c r="G3736" s="22" t="s">
        <v>20</v>
      </c>
    </row>
    <row r="3737" ht="15.15" spans="1:7">
      <c r="A3737" s="20">
        <v>3735</v>
      </c>
      <c r="B3737" s="20">
        <v>9936</v>
      </c>
      <c r="C3737" s="21">
        <v>44933</v>
      </c>
      <c r="D3737" s="20">
        <v>3291.84</v>
      </c>
      <c r="E3737" s="22" t="s">
        <v>10</v>
      </c>
      <c r="F3737" s="22" t="s">
        <v>14</v>
      </c>
      <c r="G3737" s="22" t="s">
        <v>20</v>
      </c>
    </row>
    <row r="3738" ht="15.15" spans="1:7">
      <c r="A3738" s="20">
        <v>3736</v>
      </c>
      <c r="B3738" s="20">
        <v>5976</v>
      </c>
      <c r="C3738" s="21">
        <v>45253</v>
      </c>
      <c r="D3738" s="20">
        <v>3291.84</v>
      </c>
      <c r="E3738" s="22" t="s">
        <v>10</v>
      </c>
      <c r="F3738" s="22" t="s">
        <v>11</v>
      </c>
      <c r="G3738" s="22" t="s">
        <v>17</v>
      </c>
    </row>
    <row r="3739" ht="15.15" spans="1:7">
      <c r="A3739" s="20">
        <v>3737</v>
      </c>
      <c r="B3739" s="20">
        <v>2145</v>
      </c>
      <c r="C3739" s="21">
        <v>45102</v>
      </c>
      <c r="D3739" s="20">
        <v>3291.84</v>
      </c>
      <c r="E3739" s="22" t="s">
        <v>10</v>
      </c>
      <c r="F3739" s="22" t="s">
        <v>16</v>
      </c>
      <c r="G3739" s="22" t="s">
        <v>20</v>
      </c>
    </row>
    <row r="3740" ht="15.15" spans="1:7">
      <c r="A3740" s="20">
        <v>3738</v>
      </c>
      <c r="B3740" s="20">
        <v>6458</v>
      </c>
      <c r="C3740" s="21">
        <v>45280</v>
      </c>
      <c r="D3740" s="20">
        <v>3291.84</v>
      </c>
      <c r="E3740" s="22" t="s">
        <v>22</v>
      </c>
      <c r="F3740" s="22" t="s">
        <v>18</v>
      </c>
      <c r="G3740" s="22" t="s">
        <v>15</v>
      </c>
    </row>
    <row r="3741" ht="15.15" spans="1:7">
      <c r="A3741" s="20">
        <v>3739</v>
      </c>
      <c r="B3741" s="20">
        <v>1385</v>
      </c>
      <c r="C3741" s="21">
        <v>44944</v>
      </c>
      <c r="D3741" s="20">
        <v>3291.84</v>
      </c>
      <c r="E3741" s="22" t="s">
        <v>10</v>
      </c>
      <c r="F3741" s="22" t="s">
        <v>11</v>
      </c>
      <c r="G3741" s="22" t="s">
        <v>20</v>
      </c>
    </row>
    <row r="3742" ht="15.15" spans="1:7">
      <c r="A3742" s="20">
        <v>3740</v>
      </c>
      <c r="B3742" s="20">
        <v>5172</v>
      </c>
      <c r="C3742" s="21">
        <v>45117</v>
      </c>
      <c r="D3742" s="20">
        <v>3291.84</v>
      </c>
      <c r="E3742" s="22" t="s">
        <v>10</v>
      </c>
      <c r="F3742" s="22" t="s">
        <v>11</v>
      </c>
      <c r="G3742" s="22" t="s">
        <v>20</v>
      </c>
    </row>
    <row r="3743" ht="15.15" spans="1:7">
      <c r="A3743" s="20">
        <v>3741</v>
      </c>
      <c r="B3743" s="20">
        <v>7283</v>
      </c>
      <c r="C3743" s="21">
        <v>45249</v>
      </c>
      <c r="D3743" s="20">
        <v>3291.84</v>
      </c>
      <c r="E3743" s="22" t="s">
        <v>22</v>
      </c>
      <c r="F3743" s="22" t="s">
        <v>13</v>
      </c>
      <c r="G3743" s="22" t="s">
        <v>17</v>
      </c>
    </row>
    <row r="3744" ht="15.15" spans="1:7">
      <c r="A3744" s="20">
        <v>3742</v>
      </c>
      <c r="B3744" s="20">
        <v>9977</v>
      </c>
      <c r="C3744" s="21">
        <v>45227</v>
      </c>
      <c r="D3744" s="20">
        <v>3291.84</v>
      </c>
      <c r="E3744" s="22" t="s">
        <v>10</v>
      </c>
      <c r="F3744" s="22" t="s">
        <v>16</v>
      </c>
      <c r="G3744" s="22" t="s">
        <v>17</v>
      </c>
    </row>
    <row r="3745" ht="15.15" spans="1:7">
      <c r="A3745" s="20">
        <v>3743</v>
      </c>
      <c r="B3745" s="20">
        <v>8077</v>
      </c>
      <c r="C3745" s="21">
        <v>44980</v>
      </c>
      <c r="D3745" s="20">
        <v>3291.84</v>
      </c>
      <c r="E3745" s="22" t="s">
        <v>10</v>
      </c>
      <c r="F3745" s="22" t="s">
        <v>11</v>
      </c>
      <c r="G3745" s="22" t="s">
        <v>12</v>
      </c>
    </row>
    <row r="3746" ht="15.15" spans="1:7">
      <c r="A3746" s="20">
        <v>3744</v>
      </c>
      <c r="B3746" s="20">
        <v>5673</v>
      </c>
      <c r="C3746" s="21">
        <v>44939</v>
      </c>
      <c r="D3746" s="20">
        <v>3291.84</v>
      </c>
      <c r="E3746" s="22" t="s">
        <v>10</v>
      </c>
      <c r="F3746" s="22" t="s">
        <v>16</v>
      </c>
      <c r="G3746" s="22" t="s">
        <v>15</v>
      </c>
    </row>
    <row r="3747" ht="15.15" spans="1:7">
      <c r="A3747" s="20">
        <v>3745</v>
      </c>
      <c r="B3747" s="20">
        <v>9251</v>
      </c>
      <c r="C3747" s="21">
        <v>45291</v>
      </c>
      <c r="D3747" s="20">
        <v>3291.84</v>
      </c>
      <c r="E3747" s="22" t="s">
        <v>10</v>
      </c>
      <c r="F3747" s="22" t="s">
        <v>13</v>
      </c>
      <c r="G3747" s="22" t="s">
        <v>20</v>
      </c>
    </row>
    <row r="3748" ht="15.15" spans="1:7">
      <c r="A3748" s="20">
        <v>3746</v>
      </c>
      <c r="B3748" s="20">
        <v>6344</v>
      </c>
      <c r="C3748" s="21">
        <v>45006</v>
      </c>
      <c r="D3748" s="20">
        <v>3291.84</v>
      </c>
      <c r="E3748" s="22" t="s">
        <v>10</v>
      </c>
      <c r="F3748" s="22" t="s">
        <v>18</v>
      </c>
      <c r="G3748" s="22" t="s">
        <v>20</v>
      </c>
    </row>
    <row r="3749" ht="15.15" spans="1:7">
      <c r="A3749" s="20">
        <v>3747</v>
      </c>
      <c r="B3749" s="20">
        <v>4081</v>
      </c>
      <c r="C3749" s="21">
        <v>45007</v>
      </c>
      <c r="D3749" s="20">
        <v>3291.84</v>
      </c>
      <c r="E3749" s="22" t="s">
        <v>10</v>
      </c>
      <c r="F3749" s="22" t="s">
        <v>13</v>
      </c>
      <c r="G3749" s="22" t="s">
        <v>17</v>
      </c>
    </row>
    <row r="3750" ht="15.15" spans="1:7">
      <c r="A3750" s="20">
        <v>3748</v>
      </c>
      <c r="B3750" s="20">
        <v>498</v>
      </c>
      <c r="C3750" s="21">
        <v>45184</v>
      </c>
      <c r="D3750" s="20">
        <v>3291.84</v>
      </c>
      <c r="E3750" s="22" t="s">
        <v>10</v>
      </c>
      <c r="F3750" s="22" t="s">
        <v>14</v>
      </c>
      <c r="G3750" s="22" t="s">
        <v>17</v>
      </c>
    </row>
    <row r="3751" ht="15.15" spans="1:7">
      <c r="A3751" s="20">
        <v>3749</v>
      </c>
      <c r="B3751" s="20">
        <v>2928</v>
      </c>
      <c r="C3751" s="21">
        <v>45092</v>
      </c>
      <c r="D3751" s="20">
        <v>3291.84</v>
      </c>
      <c r="E3751" s="22" t="s">
        <v>10</v>
      </c>
      <c r="F3751" s="22" t="s">
        <v>18</v>
      </c>
      <c r="G3751" s="22" t="s">
        <v>17</v>
      </c>
    </row>
    <row r="3752" ht="15.15" spans="1:7">
      <c r="A3752" s="20">
        <v>3750</v>
      </c>
      <c r="B3752" s="20">
        <v>4249</v>
      </c>
      <c r="C3752" s="21">
        <v>45031</v>
      </c>
      <c r="D3752" s="20">
        <v>3291.84</v>
      </c>
      <c r="E3752" s="22" t="s">
        <v>10</v>
      </c>
      <c r="F3752" s="22" t="s">
        <v>16</v>
      </c>
      <c r="G3752" s="22" t="s">
        <v>12</v>
      </c>
    </row>
    <row r="3753" ht="15.15" spans="1:7">
      <c r="A3753" s="20">
        <v>3751</v>
      </c>
      <c r="B3753" s="20">
        <v>7461</v>
      </c>
      <c r="C3753" s="21">
        <v>45083</v>
      </c>
      <c r="D3753" s="20">
        <v>3291.84</v>
      </c>
      <c r="E3753" s="22" t="s">
        <v>10</v>
      </c>
      <c r="F3753" s="22" t="s">
        <v>18</v>
      </c>
      <c r="G3753" s="22" t="s">
        <v>12</v>
      </c>
    </row>
    <row r="3754" ht="15.15" spans="1:7">
      <c r="A3754" s="20">
        <v>3752</v>
      </c>
      <c r="B3754" s="20">
        <v>8422</v>
      </c>
      <c r="C3754" s="21">
        <v>45019</v>
      </c>
      <c r="D3754" s="20">
        <v>3291.84</v>
      </c>
      <c r="E3754" s="22" t="s">
        <v>10</v>
      </c>
      <c r="F3754" s="22" t="s">
        <v>16</v>
      </c>
      <c r="G3754" s="22" t="s">
        <v>17</v>
      </c>
    </row>
    <row r="3755" ht="15.15" spans="1:7">
      <c r="A3755" s="20">
        <v>3753</v>
      </c>
      <c r="B3755" s="20">
        <v>260</v>
      </c>
      <c r="C3755" s="21">
        <v>45285</v>
      </c>
      <c r="D3755" s="20">
        <v>3291.84</v>
      </c>
      <c r="E3755" s="22" t="s">
        <v>10</v>
      </c>
      <c r="F3755" s="22" t="s">
        <v>11</v>
      </c>
      <c r="G3755" s="22" t="s">
        <v>20</v>
      </c>
    </row>
    <row r="3756" ht="15.15" spans="1:7">
      <c r="A3756" s="20">
        <v>3754</v>
      </c>
      <c r="B3756" s="20">
        <v>9342</v>
      </c>
      <c r="C3756" s="21">
        <v>45143</v>
      </c>
      <c r="D3756" s="20">
        <v>3291.84</v>
      </c>
      <c r="E3756" s="22" t="s">
        <v>10</v>
      </c>
      <c r="F3756" s="22" t="s">
        <v>18</v>
      </c>
      <c r="G3756" s="22" t="s">
        <v>17</v>
      </c>
    </row>
    <row r="3757" ht="15.15" spans="1:7">
      <c r="A3757" s="20">
        <v>3755</v>
      </c>
      <c r="B3757" s="20">
        <v>4432</v>
      </c>
      <c r="C3757" s="21">
        <v>45248</v>
      </c>
      <c r="D3757" s="20">
        <v>3291.84</v>
      </c>
      <c r="E3757" s="22" t="s">
        <v>22</v>
      </c>
      <c r="F3757" s="22" t="s">
        <v>14</v>
      </c>
      <c r="G3757" s="22" t="s">
        <v>15</v>
      </c>
    </row>
    <row r="3758" ht="15.15" spans="1:7">
      <c r="A3758" s="20">
        <v>3756</v>
      </c>
      <c r="B3758" s="20">
        <v>4695</v>
      </c>
      <c r="C3758" s="21">
        <v>45284</v>
      </c>
      <c r="D3758" s="20">
        <v>3291.84</v>
      </c>
      <c r="E3758" s="22" t="s">
        <v>10</v>
      </c>
      <c r="F3758" s="22" t="s">
        <v>16</v>
      </c>
      <c r="G3758" s="22" t="s">
        <v>15</v>
      </c>
    </row>
    <row r="3759" ht="15.15" spans="1:7">
      <c r="A3759" s="20">
        <v>3757</v>
      </c>
      <c r="B3759" s="20">
        <v>6477</v>
      </c>
      <c r="C3759" s="21">
        <v>45125</v>
      </c>
      <c r="D3759" s="20">
        <v>3291.84</v>
      </c>
      <c r="E3759" s="22" t="s">
        <v>22</v>
      </c>
      <c r="F3759" s="22" t="s">
        <v>14</v>
      </c>
      <c r="G3759" s="22" t="s">
        <v>12</v>
      </c>
    </row>
    <row r="3760" ht="15.15" spans="1:7">
      <c r="A3760" s="20">
        <v>3758</v>
      </c>
      <c r="B3760" s="20">
        <v>9534</v>
      </c>
      <c r="C3760" s="21">
        <v>44992</v>
      </c>
      <c r="D3760" s="20">
        <v>3291.84</v>
      </c>
      <c r="E3760" s="22" t="s">
        <v>10</v>
      </c>
      <c r="F3760" s="22" t="s">
        <v>18</v>
      </c>
      <c r="G3760" s="22" t="s">
        <v>20</v>
      </c>
    </row>
    <row r="3761" ht="15.15" spans="1:7">
      <c r="A3761" s="20">
        <v>3759</v>
      </c>
      <c r="B3761" s="20">
        <v>2504</v>
      </c>
      <c r="C3761" s="21">
        <v>45182</v>
      </c>
      <c r="D3761" s="20">
        <v>3291.84</v>
      </c>
      <c r="E3761" s="22" t="s">
        <v>10</v>
      </c>
      <c r="F3761" s="22" t="s">
        <v>18</v>
      </c>
      <c r="G3761" s="22" t="s">
        <v>12</v>
      </c>
    </row>
    <row r="3762" ht="15.15" spans="1:7">
      <c r="A3762" s="20">
        <v>3760</v>
      </c>
      <c r="B3762" s="20">
        <v>3574</v>
      </c>
      <c r="C3762" s="21">
        <v>45059</v>
      </c>
      <c r="D3762" s="20">
        <v>3291.84</v>
      </c>
      <c r="E3762" s="22" t="s">
        <v>10</v>
      </c>
      <c r="F3762" s="22" t="s">
        <v>14</v>
      </c>
      <c r="G3762" s="22" t="s">
        <v>12</v>
      </c>
    </row>
    <row r="3763" ht="15.15" spans="1:7">
      <c r="A3763" s="20">
        <v>3761</v>
      </c>
      <c r="B3763" s="20">
        <v>6474</v>
      </c>
      <c r="C3763" s="21">
        <v>45277</v>
      </c>
      <c r="D3763" s="20">
        <v>3291.84</v>
      </c>
      <c r="E3763" s="22" t="s">
        <v>22</v>
      </c>
      <c r="F3763" s="22" t="s">
        <v>11</v>
      </c>
      <c r="G3763" s="22" t="s">
        <v>20</v>
      </c>
    </row>
    <row r="3764" ht="15.15" spans="1:7">
      <c r="A3764" s="20">
        <v>3762</v>
      </c>
      <c r="B3764" s="20">
        <v>8015</v>
      </c>
      <c r="C3764" s="21">
        <v>45265</v>
      </c>
      <c r="D3764" s="20">
        <v>3291.84</v>
      </c>
      <c r="E3764" s="22" t="s">
        <v>10</v>
      </c>
      <c r="F3764" s="22" t="s">
        <v>14</v>
      </c>
      <c r="G3764" s="22" t="s">
        <v>20</v>
      </c>
    </row>
    <row r="3765" ht="15.15" spans="1:7">
      <c r="A3765" s="20">
        <v>3763</v>
      </c>
      <c r="B3765" s="20">
        <v>2909</v>
      </c>
      <c r="C3765" s="21">
        <v>45117</v>
      </c>
      <c r="D3765" s="20">
        <v>3291.84</v>
      </c>
      <c r="E3765" s="22" t="s">
        <v>10</v>
      </c>
      <c r="F3765" s="22" t="s">
        <v>13</v>
      </c>
      <c r="G3765" s="22" t="s">
        <v>17</v>
      </c>
    </row>
    <row r="3766" ht="15.15" spans="1:7">
      <c r="A3766" s="20">
        <v>3764</v>
      </c>
      <c r="B3766" s="20">
        <v>2393</v>
      </c>
      <c r="C3766" s="21">
        <v>45114</v>
      </c>
      <c r="D3766" s="20">
        <v>3291.84</v>
      </c>
      <c r="E3766" s="22" t="s">
        <v>10</v>
      </c>
      <c r="F3766" s="22" t="s">
        <v>18</v>
      </c>
      <c r="G3766" s="22" t="s">
        <v>15</v>
      </c>
    </row>
    <row r="3767" ht="15.15" spans="1:7">
      <c r="A3767" s="20">
        <v>3765</v>
      </c>
      <c r="B3767" s="20">
        <v>2889</v>
      </c>
      <c r="C3767" s="21">
        <v>45188</v>
      </c>
      <c r="D3767" s="20">
        <v>3291.84</v>
      </c>
      <c r="E3767" s="22" t="s">
        <v>10</v>
      </c>
      <c r="F3767" s="22" t="s">
        <v>13</v>
      </c>
      <c r="G3767" s="22" t="s">
        <v>12</v>
      </c>
    </row>
    <row r="3768" ht="15.15" spans="1:7">
      <c r="A3768" s="20">
        <v>3766</v>
      </c>
      <c r="B3768" s="20">
        <v>4300</v>
      </c>
      <c r="C3768" s="21">
        <v>45044</v>
      </c>
      <c r="D3768" s="20">
        <v>3291.84</v>
      </c>
      <c r="E3768" s="22" t="s">
        <v>10</v>
      </c>
      <c r="F3768" s="22" t="s">
        <v>11</v>
      </c>
      <c r="G3768" s="22" t="s">
        <v>15</v>
      </c>
    </row>
    <row r="3769" ht="15.15" spans="1:7">
      <c r="A3769" s="20">
        <v>3767</v>
      </c>
      <c r="B3769" s="20">
        <v>5978</v>
      </c>
      <c r="C3769" s="21">
        <v>45203</v>
      </c>
      <c r="D3769" s="20">
        <v>3291.84</v>
      </c>
      <c r="E3769" s="22" t="s">
        <v>10</v>
      </c>
      <c r="F3769" s="22" t="s">
        <v>14</v>
      </c>
      <c r="G3769" s="22" t="s">
        <v>15</v>
      </c>
    </row>
    <row r="3770" ht="15.15" spans="1:7">
      <c r="A3770" s="20">
        <v>3768</v>
      </c>
      <c r="B3770" s="20">
        <v>8594</v>
      </c>
      <c r="C3770" s="21">
        <v>45231</v>
      </c>
      <c r="D3770" s="20">
        <v>3291.84</v>
      </c>
      <c r="E3770" s="22" t="s">
        <v>10</v>
      </c>
      <c r="F3770" s="22" t="s">
        <v>16</v>
      </c>
      <c r="G3770" s="22" t="s">
        <v>17</v>
      </c>
    </row>
    <row r="3771" ht="15.15" spans="1:7">
      <c r="A3771" s="20">
        <v>3769</v>
      </c>
      <c r="B3771" s="20">
        <v>9281</v>
      </c>
      <c r="C3771" s="21">
        <v>45121</v>
      </c>
      <c r="D3771" s="20">
        <v>3291.84</v>
      </c>
      <c r="E3771" s="22" t="s">
        <v>10</v>
      </c>
      <c r="F3771" s="22" t="s">
        <v>14</v>
      </c>
      <c r="G3771" s="22" t="s">
        <v>15</v>
      </c>
    </row>
    <row r="3772" ht="15.15" spans="1:7">
      <c r="A3772" s="20">
        <v>3770</v>
      </c>
      <c r="B3772" s="20">
        <v>3686</v>
      </c>
      <c r="C3772" s="21">
        <v>45084</v>
      </c>
      <c r="D3772" s="20">
        <v>3291.84</v>
      </c>
      <c r="E3772" s="22" t="s">
        <v>10</v>
      </c>
      <c r="F3772" s="22" t="s">
        <v>11</v>
      </c>
      <c r="G3772" s="22" t="s">
        <v>17</v>
      </c>
    </row>
    <row r="3773" ht="15.15" spans="1:7">
      <c r="A3773" s="20">
        <v>3771</v>
      </c>
      <c r="B3773" s="20">
        <v>9395</v>
      </c>
      <c r="C3773" s="21">
        <v>44974</v>
      </c>
      <c r="D3773" s="20">
        <v>3291.84</v>
      </c>
      <c r="E3773" s="22" t="s">
        <v>10</v>
      </c>
      <c r="F3773" s="22" t="s">
        <v>16</v>
      </c>
      <c r="G3773" s="22" t="s">
        <v>20</v>
      </c>
    </row>
    <row r="3774" ht="15.15" spans="1:7">
      <c r="A3774" s="20">
        <v>3772</v>
      </c>
      <c r="B3774" s="20">
        <v>1901</v>
      </c>
      <c r="C3774" s="21">
        <v>45180</v>
      </c>
      <c r="D3774" s="20">
        <v>3291.84</v>
      </c>
      <c r="E3774" s="22" t="s">
        <v>10</v>
      </c>
      <c r="F3774" s="22" t="s">
        <v>18</v>
      </c>
      <c r="G3774" s="22" t="s">
        <v>12</v>
      </c>
    </row>
    <row r="3775" ht="15.15" spans="1:7">
      <c r="A3775" s="20">
        <v>3773</v>
      </c>
      <c r="B3775" s="20">
        <v>405</v>
      </c>
      <c r="C3775" s="21">
        <v>44935</v>
      </c>
      <c r="D3775" s="20">
        <v>3291.84</v>
      </c>
      <c r="E3775" s="22" t="s">
        <v>10</v>
      </c>
      <c r="F3775" s="22" t="s">
        <v>16</v>
      </c>
      <c r="G3775" s="22" t="s">
        <v>12</v>
      </c>
    </row>
    <row r="3776" ht="15.15" spans="1:7">
      <c r="A3776" s="20">
        <v>3774</v>
      </c>
      <c r="B3776" s="20">
        <v>8515</v>
      </c>
      <c r="C3776" s="21">
        <v>45252</v>
      </c>
      <c r="D3776" s="20">
        <v>3291.84</v>
      </c>
      <c r="E3776" s="22" t="s">
        <v>10</v>
      </c>
      <c r="F3776" s="22" t="s">
        <v>16</v>
      </c>
      <c r="G3776" s="22" t="s">
        <v>20</v>
      </c>
    </row>
    <row r="3777" ht="15.15" spans="1:7">
      <c r="A3777" s="20">
        <v>3775</v>
      </c>
      <c r="B3777" s="20">
        <v>6526</v>
      </c>
      <c r="C3777" s="21">
        <v>45254</v>
      </c>
      <c r="D3777" s="20">
        <v>3291.84</v>
      </c>
      <c r="E3777" s="22" t="s">
        <v>10</v>
      </c>
      <c r="F3777" s="22" t="s">
        <v>11</v>
      </c>
      <c r="G3777" s="22" t="s">
        <v>12</v>
      </c>
    </row>
    <row r="3778" ht="15.15" spans="1:7">
      <c r="A3778" s="20">
        <v>3776</v>
      </c>
      <c r="B3778" s="20">
        <v>720</v>
      </c>
      <c r="C3778" s="21">
        <v>45251</v>
      </c>
      <c r="D3778" s="20">
        <v>3291.84</v>
      </c>
      <c r="E3778" s="22" t="s">
        <v>10</v>
      </c>
      <c r="F3778" s="22" t="s">
        <v>18</v>
      </c>
      <c r="G3778" s="22" t="s">
        <v>20</v>
      </c>
    </row>
    <row r="3779" ht="15.15" spans="1:7">
      <c r="A3779" s="20">
        <v>3777</v>
      </c>
      <c r="B3779" s="20">
        <v>7784</v>
      </c>
      <c r="C3779" s="21">
        <v>45125</v>
      </c>
      <c r="D3779" s="20">
        <v>3291.84</v>
      </c>
      <c r="E3779" s="22" t="s">
        <v>10</v>
      </c>
      <c r="F3779" s="22" t="s">
        <v>18</v>
      </c>
      <c r="G3779" s="22" t="s">
        <v>17</v>
      </c>
    </row>
    <row r="3780" ht="15.15" spans="1:7">
      <c r="A3780" s="20">
        <v>3778</v>
      </c>
      <c r="B3780" s="20">
        <v>5945</v>
      </c>
      <c r="C3780" s="21">
        <v>45026</v>
      </c>
      <c r="D3780" s="20">
        <v>3291.84</v>
      </c>
      <c r="E3780" s="22" t="s">
        <v>10</v>
      </c>
      <c r="F3780" s="22" t="s">
        <v>13</v>
      </c>
      <c r="G3780" s="22" t="s">
        <v>17</v>
      </c>
    </row>
    <row r="3781" ht="15.15" spans="1:7">
      <c r="A3781" s="20">
        <v>3779</v>
      </c>
      <c r="B3781" s="20">
        <v>1679</v>
      </c>
      <c r="C3781" s="21">
        <v>45061</v>
      </c>
      <c r="D3781" s="20">
        <v>3291.84</v>
      </c>
      <c r="E3781" s="22" t="s">
        <v>10</v>
      </c>
      <c r="F3781" s="22" t="s">
        <v>13</v>
      </c>
      <c r="G3781" s="22" t="s">
        <v>15</v>
      </c>
    </row>
    <row r="3782" ht="15.15" spans="1:7">
      <c r="A3782" s="20">
        <v>3780</v>
      </c>
      <c r="B3782" s="20">
        <v>4832</v>
      </c>
      <c r="C3782" s="21">
        <v>45030</v>
      </c>
      <c r="D3782" s="20">
        <v>3291.84</v>
      </c>
      <c r="E3782" s="22" t="s">
        <v>10</v>
      </c>
      <c r="F3782" s="22" t="s">
        <v>14</v>
      </c>
      <c r="G3782" s="22" t="s">
        <v>15</v>
      </c>
    </row>
    <row r="3783" ht="15.15" spans="1:7">
      <c r="A3783" s="20">
        <v>3781</v>
      </c>
      <c r="B3783" s="20">
        <v>3558</v>
      </c>
      <c r="C3783" s="21">
        <v>44942</v>
      </c>
      <c r="D3783" s="20">
        <v>3291.84</v>
      </c>
      <c r="E3783" s="22" t="s">
        <v>10</v>
      </c>
      <c r="F3783" s="22" t="s">
        <v>18</v>
      </c>
      <c r="G3783" s="22" t="s">
        <v>15</v>
      </c>
    </row>
    <row r="3784" ht="15.15" spans="1:7">
      <c r="A3784" s="20">
        <v>3782</v>
      </c>
      <c r="B3784" s="20">
        <v>3288</v>
      </c>
      <c r="C3784" s="21">
        <v>45091</v>
      </c>
      <c r="D3784" s="20">
        <v>3291.84</v>
      </c>
      <c r="E3784" s="22" t="s">
        <v>10</v>
      </c>
      <c r="F3784" s="22" t="s">
        <v>11</v>
      </c>
      <c r="G3784" s="22" t="s">
        <v>12</v>
      </c>
    </row>
    <row r="3785" ht="15.15" spans="1:7">
      <c r="A3785" s="20">
        <v>3783</v>
      </c>
      <c r="B3785" s="20">
        <v>4874</v>
      </c>
      <c r="C3785" s="21">
        <v>45258</v>
      </c>
      <c r="D3785" s="20">
        <v>3291.84</v>
      </c>
      <c r="E3785" s="22" t="s">
        <v>10</v>
      </c>
      <c r="F3785" s="22" t="s">
        <v>14</v>
      </c>
      <c r="G3785" s="22" t="s">
        <v>15</v>
      </c>
    </row>
    <row r="3786" ht="15.15" spans="1:7">
      <c r="A3786" s="20">
        <v>3784</v>
      </c>
      <c r="B3786" s="20">
        <v>4176</v>
      </c>
      <c r="C3786" s="21">
        <v>45042</v>
      </c>
      <c r="D3786" s="20">
        <v>3291.84</v>
      </c>
      <c r="E3786" s="22" t="s">
        <v>10</v>
      </c>
      <c r="F3786" s="22" t="s">
        <v>18</v>
      </c>
      <c r="G3786" s="22" t="s">
        <v>17</v>
      </c>
    </row>
    <row r="3787" ht="15.15" spans="1:7">
      <c r="A3787" s="20">
        <v>3785</v>
      </c>
      <c r="B3787" s="20">
        <v>5969</v>
      </c>
      <c r="C3787" s="21">
        <v>45259</v>
      </c>
      <c r="D3787" s="20">
        <v>3291.84</v>
      </c>
      <c r="E3787" s="22" t="s">
        <v>10</v>
      </c>
      <c r="F3787" s="22" t="s">
        <v>16</v>
      </c>
      <c r="G3787" s="22" t="s">
        <v>20</v>
      </c>
    </row>
    <row r="3788" ht="15.15" spans="1:7">
      <c r="A3788" s="20">
        <v>3786</v>
      </c>
      <c r="B3788" s="20">
        <v>1519</v>
      </c>
      <c r="C3788" s="21">
        <v>45286</v>
      </c>
      <c r="D3788" s="20">
        <v>3291.84</v>
      </c>
      <c r="E3788" s="22" t="s">
        <v>10</v>
      </c>
      <c r="F3788" s="22" t="s">
        <v>13</v>
      </c>
      <c r="G3788" s="22" t="s">
        <v>15</v>
      </c>
    </row>
    <row r="3789" ht="15.15" spans="1:7">
      <c r="A3789" s="20">
        <v>3787</v>
      </c>
      <c r="B3789" s="20">
        <v>8683</v>
      </c>
      <c r="C3789" s="21">
        <v>44995</v>
      </c>
      <c r="D3789" s="20">
        <v>3291.84</v>
      </c>
      <c r="E3789" s="22" t="s">
        <v>10</v>
      </c>
      <c r="F3789" s="22" t="s">
        <v>14</v>
      </c>
      <c r="G3789" s="22" t="s">
        <v>20</v>
      </c>
    </row>
    <row r="3790" ht="15.15" spans="1:7">
      <c r="A3790" s="20">
        <v>3788</v>
      </c>
      <c r="B3790" s="20">
        <v>7094</v>
      </c>
      <c r="C3790" s="21">
        <v>45183</v>
      </c>
      <c r="D3790" s="20">
        <v>3291.84</v>
      </c>
      <c r="E3790" s="22" t="s">
        <v>10</v>
      </c>
      <c r="F3790" s="22" t="s">
        <v>13</v>
      </c>
      <c r="G3790" s="22" t="s">
        <v>12</v>
      </c>
    </row>
    <row r="3791" ht="15.15" spans="1:7">
      <c r="A3791" s="20">
        <v>3789</v>
      </c>
      <c r="B3791" s="20">
        <v>8998</v>
      </c>
      <c r="C3791" s="21">
        <v>45141</v>
      </c>
      <c r="D3791" s="20">
        <v>3291.84</v>
      </c>
      <c r="E3791" s="22" t="s">
        <v>10</v>
      </c>
      <c r="F3791" s="22" t="s">
        <v>16</v>
      </c>
      <c r="G3791" s="22" t="s">
        <v>15</v>
      </c>
    </row>
    <row r="3792" ht="15.15" spans="1:7">
      <c r="A3792" s="20">
        <v>3790</v>
      </c>
      <c r="B3792" s="20">
        <v>8015</v>
      </c>
      <c r="C3792" s="21">
        <v>45242</v>
      </c>
      <c r="D3792" s="20">
        <v>3291.84</v>
      </c>
      <c r="E3792" s="22" t="s">
        <v>10</v>
      </c>
      <c r="F3792" s="22" t="s">
        <v>14</v>
      </c>
      <c r="G3792" s="22" t="s">
        <v>15</v>
      </c>
    </row>
    <row r="3793" ht="15.15" spans="1:7">
      <c r="A3793" s="20">
        <v>3791</v>
      </c>
      <c r="B3793" s="20">
        <v>1179</v>
      </c>
      <c r="C3793" s="21">
        <v>45000</v>
      </c>
      <c r="D3793" s="20">
        <v>3291.84</v>
      </c>
      <c r="E3793" s="22" t="s">
        <v>10</v>
      </c>
      <c r="F3793" s="22" t="s">
        <v>11</v>
      </c>
      <c r="G3793" s="22" t="s">
        <v>15</v>
      </c>
    </row>
    <row r="3794" ht="15.15" spans="1:7">
      <c r="A3794" s="20">
        <v>3792</v>
      </c>
      <c r="B3794" s="20">
        <v>7286</v>
      </c>
      <c r="C3794" s="21">
        <v>45244</v>
      </c>
      <c r="D3794" s="20">
        <v>3291.84</v>
      </c>
      <c r="E3794" s="22" t="s">
        <v>10</v>
      </c>
      <c r="F3794" s="22" t="s">
        <v>18</v>
      </c>
      <c r="G3794" s="22" t="s">
        <v>20</v>
      </c>
    </row>
    <row r="3795" ht="15.15" spans="1:7">
      <c r="A3795" s="20">
        <v>3793</v>
      </c>
      <c r="B3795" s="20">
        <v>6238</v>
      </c>
      <c r="C3795" s="21">
        <v>44956</v>
      </c>
      <c r="D3795" s="20">
        <v>3291.84</v>
      </c>
      <c r="E3795" s="22" t="s">
        <v>10</v>
      </c>
      <c r="F3795" s="22" t="s">
        <v>13</v>
      </c>
      <c r="G3795" s="22" t="s">
        <v>15</v>
      </c>
    </row>
    <row r="3796" ht="15.15" spans="1:7">
      <c r="A3796" s="20">
        <v>3794</v>
      </c>
      <c r="B3796" s="20">
        <v>561</v>
      </c>
      <c r="C3796" s="21">
        <v>45238</v>
      </c>
      <c r="D3796" s="20">
        <v>3291.84</v>
      </c>
      <c r="E3796" s="22" t="s">
        <v>10</v>
      </c>
      <c r="F3796" s="22" t="s">
        <v>13</v>
      </c>
      <c r="G3796" s="22" t="s">
        <v>12</v>
      </c>
    </row>
    <row r="3797" ht="15.15" spans="1:7">
      <c r="A3797" s="20">
        <v>3795</v>
      </c>
      <c r="B3797" s="20">
        <v>4461</v>
      </c>
      <c r="C3797" s="21">
        <v>45079</v>
      </c>
      <c r="D3797" s="20">
        <v>3291.84</v>
      </c>
      <c r="E3797" s="22" t="s">
        <v>10</v>
      </c>
      <c r="F3797" s="22" t="s">
        <v>16</v>
      </c>
      <c r="G3797" s="22" t="s">
        <v>20</v>
      </c>
    </row>
    <row r="3798" ht="15.15" spans="1:7">
      <c r="A3798" s="20">
        <v>3796</v>
      </c>
      <c r="B3798" s="20">
        <v>8121</v>
      </c>
      <c r="C3798" s="21">
        <v>44930</v>
      </c>
      <c r="D3798" s="20">
        <v>3291.84</v>
      </c>
      <c r="E3798" s="22" t="s">
        <v>10</v>
      </c>
      <c r="F3798" s="22" t="s">
        <v>18</v>
      </c>
      <c r="G3798" s="22" t="s">
        <v>15</v>
      </c>
    </row>
    <row r="3799" ht="15.15" spans="1:7">
      <c r="A3799" s="20">
        <v>3797</v>
      </c>
      <c r="B3799" s="20">
        <v>3397</v>
      </c>
      <c r="C3799" s="21">
        <v>45254</v>
      </c>
      <c r="D3799" s="20">
        <v>3291.84</v>
      </c>
      <c r="E3799" s="22" t="s">
        <v>10</v>
      </c>
      <c r="F3799" s="22" t="s">
        <v>11</v>
      </c>
      <c r="G3799" s="22" t="s">
        <v>17</v>
      </c>
    </row>
    <row r="3800" ht="15.15" spans="1:7">
      <c r="A3800" s="20">
        <v>3798</v>
      </c>
      <c r="B3800" s="20">
        <v>7847</v>
      </c>
      <c r="C3800" s="21">
        <v>45231</v>
      </c>
      <c r="D3800" s="20">
        <v>3291.84</v>
      </c>
      <c r="E3800" s="22" t="s">
        <v>10</v>
      </c>
      <c r="F3800" s="22" t="s">
        <v>11</v>
      </c>
      <c r="G3800" s="22" t="s">
        <v>20</v>
      </c>
    </row>
    <row r="3801" ht="15.15" spans="1:7">
      <c r="A3801" s="20">
        <v>3799</v>
      </c>
      <c r="B3801" s="20">
        <v>663</v>
      </c>
      <c r="C3801" s="21">
        <v>45261</v>
      </c>
      <c r="D3801" s="20">
        <v>3291.84</v>
      </c>
      <c r="E3801" s="22" t="s">
        <v>10</v>
      </c>
      <c r="F3801" s="22" t="s">
        <v>13</v>
      </c>
      <c r="G3801" s="22" t="s">
        <v>12</v>
      </c>
    </row>
    <row r="3802" ht="15.15" spans="1:7">
      <c r="A3802" s="20">
        <v>3800</v>
      </c>
      <c r="B3802" s="20">
        <v>8895</v>
      </c>
      <c r="C3802" s="21">
        <v>45264</v>
      </c>
      <c r="D3802" s="20">
        <v>3291.84</v>
      </c>
      <c r="E3802" s="22" t="s">
        <v>10</v>
      </c>
      <c r="F3802" s="22" t="s">
        <v>11</v>
      </c>
      <c r="G3802" s="22" t="s">
        <v>20</v>
      </c>
    </row>
    <row r="3803" ht="15.15" spans="1:7">
      <c r="A3803" s="20">
        <v>3801</v>
      </c>
      <c r="B3803" s="20">
        <v>8520</v>
      </c>
      <c r="C3803" s="21">
        <v>45030</v>
      </c>
      <c r="D3803" s="20">
        <v>3291.84</v>
      </c>
      <c r="E3803" s="22" t="s">
        <v>10</v>
      </c>
      <c r="F3803" s="22" t="s">
        <v>18</v>
      </c>
      <c r="G3803" s="22" t="s">
        <v>15</v>
      </c>
    </row>
    <row r="3804" ht="15.15" spans="1:7">
      <c r="A3804" s="20">
        <v>3802</v>
      </c>
      <c r="B3804" s="20">
        <v>921</v>
      </c>
      <c r="C3804" s="21">
        <v>45029</v>
      </c>
      <c r="D3804" s="20">
        <v>3291.84</v>
      </c>
      <c r="E3804" s="22" t="s">
        <v>10</v>
      </c>
      <c r="F3804" s="22" t="s">
        <v>11</v>
      </c>
      <c r="G3804" s="22" t="s">
        <v>15</v>
      </c>
    </row>
    <row r="3805" ht="15.15" spans="1:7">
      <c r="A3805" s="20">
        <v>3803</v>
      </c>
      <c r="B3805" s="20">
        <v>1752</v>
      </c>
      <c r="C3805" s="21">
        <v>45010</v>
      </c>
      <c r="D3805" s="20">
        <v>3291.84</v>
      </c>
      <c r="E3805" s="22" t="s">
        <v>10</v>
      </c>
      <c r="F3805" s="22" t="s">
        <v>18</v>
      </c>
      <c r="G3805" s="22" t="s">
        <v>12</v>
      </c>
    </row>
    <row r="3806" ht="15.15" spans="1:7">
      <c r="A3806" s="20">
        <v>3804</v>
      </c>
      <c r="B3806" s="20">
        <v>5273</v>
      </c>
      <c r="C3806" s="21">
        <v>45057</v>
      </c>
      <c r="D3806" s="20">
        <v>3291.84</v>
      </c>
      <c r="E3806" s="22" t="s">
        <v>10</v>
      </c>
      <c r="F3806" s="22" t="s">
        <v>14</v>
      </c>
      <c r="G3806" s="22" t="s">
        <v>15</v>
      </c>
    </row>
    <row r="3807" ht="15.15" spans="1:7">
      <c r="A3807" s="20">
        <v>3805</v>
      </c>
      <c r="B3807" s="20">
        <v>4111</v>
      </c>
      <c r="C3807" s="21">
        <v>45012</v>
      </c>
      <c r="D3807" s="20">
        <v>3291.84</v>
      </c>
      <c r="E3807" s="22" t="s">
        <v>10</v>
      </c>
      <c r="F3807" s="22" t="s">
        <v>16</v>
      </c>
      <c r="G3807" s="22" t="s">
        <v>12</v>
      </c>
    </row>
    <row r="3808" ht="15.15" spans="1:7">
      <c r="A3808" s="20">
        <v>3806</v>
      </c>
      <c r="B3808" s="20">
        <v>8503</v>
      </c>
      <c r="C3808" s="21">
        <v>45112</v>
      </c>
      <c r="D3808" s="20">
        <v>3291.84</v>
      </c>
      <c r="E3808" s="22" t="s">
        <v>10</v>
      </c>
      <c r="F3808" s="22" t="s">
        <v>18</v>
      </c>
      <c r="G3808" s="22" t="s">
        <v>15</v>
      </c>
    </row>
    <row r="3809" ht="15.15" spans="1:7">
      <c r="A3809" s="20">
        <v>3807</v>
      </c>
      <c r="B3809" s="20">
        <v>7401</v>
      </c>
      <c r="C3809" s="21">
        <v>45264</v>
      </c>
      <c r="D3809" s="20">
        <v>3291.84</v>
      </c>
      <c r="E3809" s="22" t="s">
        <v>10</v>
      </c>
      <c r="F3809" s="22" t="s">
        <v>16</v>
      </c>
      <c r="G3809" s="22" t="s">
        <v>17</v>
      </c>
    </row>
    <row r="3810" ht="15.15" spans="1:7">
      <c r="A3810" s="20">
        <v>3808</v>
      </c>
      <c r="B3810" s="20">
        <v>1259</v>
      </c>
      <c r="C3810" s="21">
        <v>45027</v>
      </c>
      <c r="D3810" s="20">
        <v>3291.84</v>
      </c>
      <c r="E3810" s="22" t="s">
        <v>10</v>
      </c>
      <c r="F3810" s="22" t="s">
        <v>16</v>
      </c>
      <c r="G3810" s="22" t="s">
        <v>15</v>
      </c>
    </row>
    <row r="3811" ht="15.15" spans="1:7">
      <c r="A3811" s="20">
        <v>3809</v>
      </c>
      <c r="B3811" s="20">
        <v>5369</v>
      </c>
      <c r="C3811" s="21">
        <v>45174</v>
      </c>
      <c r="D3811" s="20">
        <v>3291.84</v>
      </c>
      <c r="E3811" s="22" t="s">
        <v>10</v>
      </c>
      <c r="F3811" s="22" t="s">
        <v>18</v>
      </c>
      <c r="G3811" s="22" t="s">
        <v>20</v>
      </c>
    </row>
    <row r="3812" ht="15.15" spans="1:7">
      <c r="A3812" s="20">
        <v>3810</v>
      </c>
      <c r="B3812" s="20">
        <v>461</v>
      </c>
      <c r="C3812" s="21">
        <v>45094</v>
      </c>
      <c r="D3812" s="20">
        <v>3291.84</v>
      </c>
      <c r="E3812" s="22" t="s">
        <v>10</v>
      </c>
      <c r="F3812" s="22" t="s">
        <v>13</v>
      </c>
      <c r="G3812" s="22" t="s">
        <v>17</v>
      </c>
    </row>
    <row r="3813" ht="15.15" spans="1:7">
      <c r="A3813" s="20">
        <v>3811</v>
      </c>
      <c r="B3813" s="20">
        <v>5804</v>
      </c>
      <c r="C3813" s="21">
        <v>45270</v>
      </c>
      <c r="D3813" s="20">
        <v>3291.84</v>
      </c>
      <c r="E3813" s="22" t="s">
        <v>10</v>
      </c>
      <c r="F3813" s="22" t="s">
        <v>11</v>
      </c>
      <c r="G3813" s="22" t="s">
        <v>12</v>
      </c>
    </row>
    <row r="3814" ht="15.15" spans="1:7">
      <c r="A3814" s="20">
        <v>3812</v>
      </c>
      <c r="B3814" s="20">
        <v>4125</v>
      </c>
      <c r="C3814" s="21">
        <v>45227</v>
      </c>
      <c r="D3814" s="20">
        <v>3291.84</v>
      </c>
      <c r="E3814" s="22" t="s">
        <v>10</v>
      </c>
      <c r="F3814" s="22" t="s">
        <v>18</v>
      </c>
      <c r="G3814" s="22" t="s">
        <v>12</v>
      </c>
    </row>
    <row r="3815" ht="15.15" spans="1:7">
      <c r="A3815" s="20">
        <v>3813</v>
      </c>
      <c r="B3815" s="20">
        <v>9989</v>
      </c>
      <c r="C3815" s="21">
        <v>44968</v>
      </c>
      <c r="D3815" s="20">
        <v>3291.84</v>
      </c>
      <c r="E3815" s="22" t="s">
        <v>10</v>
      </c>
      <c r="F3815" s="22" t="s">
        <v>14</v>
      </c>
      <c r="G3815" s="22" t="s">
        <v>17</v>
      </c>
    </row>
    <row r="3816" ht="15.15" spans="1:7">
      <c r="A3816" s="20">
        <v>3814</v>
      </c>
      <c r="B3816" s="20">
        <v>2306</v>
      </c>
      <c r="C3816" s="21">
        <v>45005</v>
      </c>
      <c r="D3816" s="20">
        <v>3291.84</v>
      </c>
      <c r="E3816" s="22" t="s">
        <v>10</v>
      </c>
      <c r="F3816" s="22" t="s">
        <v>14</v>
      </c>
      <c r="G3816" s="22" t="s">
        <v>12</v>
      </c>
    </row>
    <row r="3817" ht="15.15" spans="1:7">
      <c r="A3817" s="20">
        <v>3815</v>
      </c>
      <c r="B3817" s="20">
        <v>5754</v>
      </c>
      <c r="C3817" s="21">
        <v>45220</v>
      </c>
      <c r="D3817" s="20">
        <v>3291.84</v>
      </c>
      <c r="E3817" s="22" t="s">
        <v>10</v>
      </c>
      <c r="F3817" s="22" t="s">
        <v>18</v>
      </c>
      <c r="G3817" s="22" t="s">
        <v>20</v>
      </c>
    </row>
    <row r="3818" ht="15.15" spans="1:7">
      <c r="A3818" s="20">
        <v>3816</v>
      </c>
      <c r="B3818" s="20">
        <v>2770</v>
      </c>
      <c r="C3818" s="21">
        <v>45232</v>
      </c>
      <c r="D3818" s="20">
        <v>3291.84</v>
      </c>
      <c r="E3818" s="22" t="s">
        <v>10</v>
      </c>
      <c r="F3818" s="22" t="s">
        <v>16</v>
      </c>
      <c r="G3818" s="22" t="s">
        <v>15</v>
      </c>
    </row>
    <row r="3819" ht="15.15" spans="1:7">
      <c r="A3819" s="20">
        <v>3817</v>
      </c>
      <c r="B3819" s="20">
        <v>3460</v>
      </c>
      <c r="C3819" s="21">
        <v>45240</v>
      </c>
      <c r="D3819" s="20">
        <v>3291.84</v>
      </c>
      <c r="E3819" s="22" t="s">
        <v>10</v>
      </c>
      <c r="F3819" s="22" t="s">
        <v>13</v>
      </c>
      <c r="G3819" s="22" t="s">
        <v>17</v>
      </c>
    </row>
    <row r="3820" ht="15.15" spans="1:7">
      <c r="A3820" s="20">
        <v>3818</v>
      </c>
      <c r="B3820" s="20">
        <v>4031</v>
      </c>
      <c r="C3820" s="21">
        <v>45079</v>
      </c>
      <c r="D3820" s="20">
        <v>3291.84</v>
      </c>
      <c r="E3820" s="22" t="s">
        <v>10</v>
      </c>
      <c r="F3820" s="22" t="s">
        <v>18</v>
      </c>
      <c r="G3820" s="22" t="s">
        <v>12</v>
      </c>
    </row>
    <row r="3821" ht="15.15" spans="1:7">
      <c r="A3821" s="20">
        <v>3819</v>
      </c>
      <c r="B3821" s="20">
        <v>7899</v>
      </c>
      <c r="C3821" s="21">
        <v>45192</v>
      </c>
      <c r="D3821" s="20">
        <v>3291.84</v>
      </c>
      <c r="E3821" s="22" t="s">
        <v>10</v>
      </c>
      <c r="F3821" s="22" t="s">
        <v>11</v>
      </c>
      <c r="G3821" s="22" t="s">
        <v>20</v>
      </c>
    </row>
    <row r="3822" ht="15.15" spans="1:7">
      <c r="A3822" s="20">
        <v>3820</v>
      </c>
      <c r="B3822" s="20">
        <v>1031</v>
      </c>
      <c r="C3822" s="21">
        <v>45257</v>
      </c>
      <c r="D3822" s="20">
        <v>3291.84</v>
      </c>
      <c r="E3822" s="22" t="s">
        <v>10</v>
      </c>
      <c r="F3822" s="22" t="s">
        <v>18</v>
      </c>
      <c r="G3822" s="22" t="s">
        <v>20</v>
      </c>
    </row>
    <row r="3823" ht="15.15" spans="1:7">
      <c r="A3823" s="20">
        <v>3821</v>
      </c>
      <c r="B3823" s="20">
        <v>6085</v>
      </c>
      <c r="C3823" s="21">
        <v>45049</v>
      </c>
      <c r="D3823" s="20">
        <v>3291.84</v>
      </c>
      <c r="E3823" s="22" t="s">
        <v>10</v>
      </c>
      <c r="F3823" s="22" t="s">
        <v>14</v>
      </c>
      <c r="G3823" s="22" t="s">
        <v>12</v>
      </c>
    </row>
    <row r="3824" ht="15.15" spans="1:7">
      <c r="A3824" s="20">
        <v>3822</v>
      </c>
      <c r="B3824" s="20">
        <v>4623</v>
      </c>
      <c r="C3824" s="21">
        <v>45211</v>
      </c>
      <c r="D3824" s="20">
        <v>3291.84</v>
      </c>
      <c r="E3824" s="22" t="s">
        <v>10</v>
      </c>
      <c r="F3824" s="22" t="s">
        <v>16</v>
      </c>
      <c r="G3824" s="22" t="s">
        <v>12</v>
      </c>
    </row>
    <row r="3825" ht="15.15" spans="1:7">
      <c r="A3825" s="20">
        <v>3823</v>
      </c>
      <c r="B3825" s="20">
        <v>9365</v>
      </c>
      <c r="C3825" s="21">
        <v>44994</v>
      </c>
      <c r="D3825" s="20">
        <v>3291.84</v>
      </c>
      <c r="E3825" s="22" t="s">
        <v>10</v>
      </c>
      <c r="F3825" s="22" t="s">
        <v>13</v>
      </c>
      <c r="G3825" s="22" t="s">
        <v>17</v>
      </c>
    </row>
    <row r="3826" ht="15.15" spans="1:7">
      <c r="A3826" s="20">
        <v>3824</v>
      </c>
      <c r="B3826" s="20">
        <v>3575</v>
      </c>
      <c r="C3826" s="21">
        <v>45213</v>
      </c>
      <c r="D3826" s="20">
        <v>3291.84</v>
      </c>
      <c r="E3826" s="22" t="s">
        <v>10</v>
      </c>
      <c r="F3826" s="22" t="s">
        <v>11</v>
      </c>
      <c r="G3826" s="22" t="s">
        <v>15</v>
      </c>
    </row>
    <row r="3827" ht="15.15" spans="1:7">
      <c r="A3827" s="20">
        <v>3825</v>
      </c>
      <c r="B3827" s="20">
        <v>3754</v>
      </c>
      <c r="C3827" s="21">
        <v>45202</v>
      </c>
      <c r="D3827" s="20">
        <v>3291.84</v>
      </c>
      <c r="E3827" s="22" t="s">
        <v>10</v>
      </c>
      <c r="F3827" s="22" t="s">
        <v>18</v>
      </c>
      <c r="G3827" s="22" t="s">
        <v>20</v>
      </c>
    </row>
    <row r="3828" ht="15.15" spans="1:7">
      <c r="A3828" s="20">
        <v>3826</v>
      </c>
      <c r="B3828" s="20">
        <v>9174</v>
      </c>
      <c r="C3828" s="21">
        <v>44961</v>
      </c>
      <c r="D3828" s="20">
        <v>3291.84</v>
      </c>
      <c r="E3828" s="22" t="s">
        <v>10</v>
      </c>
      <c r="F3828" s="22" t="s">
        <v>18</v>
      </c>
      <c r="G3828" s="22" t="s">
        <v>20</v>
      </c>
    </row>
    <row r="3829" ht="15.15" spans="1:7">
      <c r="A3829" s="20">
        <v>3827</v>
      </c>
      <c r="B3829" s="20">
        <v>628</v>
      </c>
      <c r="C3829" s="21">
        <v>44972</v>
      </c>
      <c r="D3829" s="20">
        <v>3291.84</v>
      </c>
      <c r="E3829" s="22" t="s">
        <v>10</v>
      </c>
      <c r="F3829" s="22" t="s">
        <v>16</v>
      </c>
      <c r="G3829" s="22" t="s">
        <v>12</v>
      </c>
    </row>
    <row r="3830" ht="15.15" spans="1:7">
      <c r="A3830" s="20">
        <v>3828</v>
      </c>
      <c r="B3830" s="20">
        <v>594</v>
      </c>
      <c r="C3830" s="21">
        <v>45266</v>
      </c>
      <c r="D3830" s="20">
        <v>3291.84</v>
      </c>
      <c r="E3830" s="22" t="s">
        <v>10</v>
      </c>
      <c r="F3830" s="22" t="s">
        <v>18</v>
      </c>
      <c r="G3830" s="22" t="s">
        <v>17</v>
      </c>
    </row>
    <row r="3831" ht="15.15" spans="1:7">
      <c r="A3831" s="20">
        <v>3829</v>
      </c>
      <c r="B3831" s="20">
        <v>2132</v>
      </c>
      <c r="C3831" s="21">
        <v>44951</v>
      </c>
      <c r="D3831" s="20">
        <v>3291.84</v>
      </c>
      <c r="E3831" s="22" t="s">
        <v>10</v>
      </c>
      <c r="F3831" s="22" t="s">
        <v>16</v>
      </c>
      <c r="G3831" s="22" t="s">
        <v>12</v>
      </c>
    </row>
    <row r="3832" ht="15.15" spans="1:7">
      <c r="A3832" s="20">
        <v>3830</v>
      </c>
      <c r="B3832" s="20">
        <v>6650</v>
      </c>
      <c r="C3832" s="21">
        <v>45220</v>
      </c>
      <c r="D3832" s="20">
        <v>3291.84</v>
      </c>
      <c r="E3832" s="22" t="s">
        <v>10</v>
      </c>
      <c r="F3832" s="22" t="s">
        <v>13</v>
      </c>
      <c r="G3832" s="22" t="s">
        <v>20</v>
      </c>
    </row>
    <row r="3833" ht="15.15" spans="1:7">
      <c r="A3833" s="20">
        <v>3831</v>
      </c>
      <c r="B3833" s="20">
        <v>1674</v>
      </c>
      <c r="C3833" s="21">
        <v>45092</v>
      </c>
      <c r="D3833" s="20">
        <v>3291.84</v>
      </c>
      <c r="E3833" s="22" t="s">
        <v>10</v>
      </c>
      <c r="F3833" s="22" t="s">
        <v>18</v>
      </c>
      <c r="G3833" s="22" t="s">
        <v>15</v>
      </c>
    </row>
    <row r="3834" ht="15.15" spans="1:7">
      <c r="A3834" s="20">
        <v>3832</v>
      </c>
      <c r="B3834" s="20">
        <v>3407</v>
      </c>
      <c r="C3834" s="21">
        <v>45052</v>
      </c>
      <c r="D3834" s="20">
        <v>3291.84</v>
      </c>
      <c r="E3834" s="22" t="s">
        <v>10</v>
      </c>
      <c r="F3834" s="22" t="s">
        <v>11</v>
      </c>
      <c r="G3834" s="22" t="s">
        <v>17</v>
      </c>
    </row>
    <row r="3835" ht="15.15" spans="1:7">
      <c r="A3835" s="20">
        <v>3833</v>
      </c>
      <c r="B3835" s="20">
        <v>8165</v>
      </c>
      <c r="C3835" s="21">
        <v>45274</v>
      </c>
      <c r="D3835" s="20">
        <v>3291.84</v>
      </c>
      <c r="E3835" s="22" t="s">
        <v>21</v>
      </c>
      <c r="F3835" s="22" t="s">
        <v>11</v>
      </c>
      <c r="G3835" s="22" t="s">
        <v>15</v>
      </c>
    </row>
    <row r="3836" ht="15.15" spans="1:7">
      <c r="A3836" s="20">
        <v>3834</v>
      </c>
      <c r="B3836" s="20">
        <v>3163</v>
      </c>
      <c r="C3836" s="21">
        <v>45088</v>
      </c>
      <c r="D3836" s="20">
        <v>3291.84</v>
      </c>
      <c r="E3836" s="22" t="s">
        <v>10</v>
      </c>
      <c r="F3836" s="22" t="s">
        <v>16</v>
      </c>
      <c r="G3836" s="22" t="s">
        <v>12</v>
      </c>
    </row>
    <row r="3837" ht="15.15" spans="1:7">
      <c r="A3837" s="20">
        <v>3835</v>
      </c>
      <c r="B3837" s="20">
        <v>5846</v>
      </c>
      <c r="C3837" s="21">
        <v>45249</v>
      </c>
      <c r="D3837" s="20">
        <v>3291.84</v>
      </c>
      <c r="E3837" s="22" t="s">
        <v>21</v>
      </c>
      <c r="F3837" s="22" t="s">
        <v>11</v>
      </c>
      <c r="G3837" s="22" t="s">
        <v>17</v>
      </c>
    </row>
    <row r="3838" ht="15.15" spans="1:7">
      <c r="A3838" s="20">
        <v>3836</v>
      </c>
      <c r="B3838" s="20">
        <v>9140</v>
      </c>
      <c r="C3838" s="21">
        <v>45246</v>
      </c>
      <c r="D3838" s="20">
        <v>3291.84</v>
      </c>
      <c r="E3838" s="22" t="s">
        <v>10</v>
      </c>
      <c r="F3838" s="22" t="s">
        <v>16</v>
      </c>
      <c r="G3838" s="22" t="s">
        <v>15</v>
      </c>
    </row>
    <row r="3839" ht="15.15" spans="1:7">
      <c r="A3839" s="20">
        <v>3837</v>
      </c>
      <c r="B3839" s="20">
        <v>8385</v>
      </c>
      <c r="C3839" s="21">
        <v>45235</v>
      </c>
      <c r="D3839" s="20">
        <v>3291.84</v>
      </c>
      <c r="E3839" s="22" t="s">
        <v>10</v>
      </c>
      <c r="F3839" s="22" t="s">
        <v>14</v>
      </c>
      <c r="G3839" s="22" t="s">
        <v>17</v>
      </c>
    </row>
    <row r="3840" ht="15.15" spans="1:7">
      <c r="A3840" s="20">
        <v>3838</v>
      </c>
      <c r="B3840" s="20">
        <v>595</v>
      </c>
      <c r="C3840" s="21">
        <v>45213</v>
      </c>
      <c r="D3840" s="20">
        <v>3291.84</v>
      </c>
      <c r="E3840" s="22" t="s">
        <v>22</v>
      </c>
      <c r="F3840" s="22" t="s">
        <v>14</v>
      </c>
      <c r="G3840" s="22" t="s">
        <v>15</v>
      </c>
    </row>
    <row r="3841" ht="15.15" spans="1:7">
      <c r="A3841" s="20">
        <v>3839</v>
      </c>
      <c r="B3841" s="20">
        <v>645</v>
      </c>
      <c r="C3841" s="21">
        <v>45017</v>
      </c>
      <c r="D3841" s="20">
        <v>3291.84</v>
      </c>
      <c r="E3841" s="22" t="s">
        <v>10</v>
      </c>
      <c r="F3841" s="22" t="s">
        <v>16</v>
      </c>
      <c r="G3841" s="22" t="s">
        <v>17</v>
      </c>
    </row>
    <row r="3842" ht="15.15" spans="1:7">
      <c r="A3842" s="20">
        <v>3840</v>
      </c>
      <c r="B3842" s="20">
        <v>7172</v>
      </c>
      <c r="C3842" s="21">
        <v>45254</v>
      </c>
      <c r="D3842" s="20">
        <v>3291.84</v>
      </c>
      <c r="E3842" s="22" t="s">
        <v>10</v>
      </c>
      <c r="F3842" s="22" t="s">
        <v>14</v>
      </c>
      <c r="G3842" s="22" t="s">
        <v>20</v>
      </c>
    </row>
    <row r="3843" ht="15.15" spans="1:7">
      <c r="A3843" s="20">
        <v>3841</v>
      </c>
      <c r="B3843" s="20">
        <v>169</v>
      </c>
      <c r="C3843" s="21">
        <v>45203</v>
      </c>
      <c r="D3843" s="20">
        <v>3291.84</v>
      </c>
      <c r="E3843" s="22" t="s">
        <v>10</v>
      </c>
      <c r="F3843" s="22" t="s">
        <v>16</v>
      </c>
      <c r="G3843" s="22" t="s">
        <v>12</v>
      </c>
    </row>
    <row r="3844" ht="15.15" spans="1:7">
      <c r="A3844" s="20">
        <v>3842</v>
      </c>
      <c r="B3844" s="20">
        <v>2469</v>
      </c>
      <c r="C3844" s="21">
        <v>45234</v>
      </c>
      <c r="D3844" s="20">
        <v>3291.84</v>
      </c>
      <c r="E3844" s="22" t="s">
        <v>10</v>
      </c>
      <c r="F3844" s="22" t="s">
        <v>11</v>
      </c>
      <c r="G3844" s="22" t="s">
        <v>20</v>
      </c>
    </row>
    <row r="3845" ht="15.15" spans="1:7">
      <c r="A3845" s="20">
        <v>3843</v>
      </c>
      <c r="B3845" s="20">
        <v>361</v>
      </c>
      <c r="C3845" s="21">
        <v>45018</v>
      </c>
      <c r="D3845" s="20">
        <v>3291.84</v>
      </c>
      <c r="E3845" s="22" t="s">
        <v>10</v>
      </c>
      <c r="F3845" s="22" t="s">
        <v>14</v>
      </c>
      <c r="G3845" s="22" t="s">
        <v>15</v>
      </c>
    </row>
    <row r="3846" ht="15.15" spans="1:7">
      <c r="A3846" s="20">
        <v>3844</v>
      </c>
      <c r="B3846" s="20">
        <v>6320</v>
      </c>
      <c r="C3846" s="21">
        <v>45245</v>
      </c>
      <c r="D3846" s="20">
        <v>3291.84</v>
      </c>
      <c r="E3846" s="22" t="s">
        <v>10</v>
      </c>
      <c r="F3846" s="22" t="s">
        <v>18</v>
      </c>
      <c r="G3846" s="22" t="s">
        <v>20</v>
      </c>
    </row>
    <row r="3847" ht="15.15" spans="1:7">
      <c r="A3847" s="20">
        <v>3845</v>
      </c>
      <c r="B3847" s="20">
        <v>308</v>
      </c>
      <c r="C3847" s="21">
        <v>45220</v>
      </c>
      <c r="D3847" s="20">
        <v>3291.84</v>
      </c>
      <c r="E3847" s="22" t="s">
        <v>10</v>
      </c>
      <c r="F3847" s="22" t="s">
        <v>18</v>
      </c>
      <c r="G3847" s="22" t="s">
        <v>12</v>
      </c>
    </row>
    <row r="3848" ht="15.15" spans="1:7">
      <c r="A3848" s="20">
        <v>3846</v>
      </c>
      <c r="B3848" s="20">
        <v>4002</v>
      </c>
      <c r="C3848" s="21">
        <v>45021</v>
      </c>
      <c r="D3848" s="20">
        <v>3291.84</v>
      </c>
      <c r="E3848" s="22" t="s">
        <v>10</v>
      </c>
      <c r="F3848" s="22" t="s">
        <v>16</v>
      </c>
      <c r="G3848" s="22" t="s">
        <v>17</v>
      </c>
    </row>
    <row r="3849" ht="15.15" spans="1:7">
      <c r="A3849" s="20">
        <v>3847</v>
      </c>
      <c r="B3849" s="20">
        <v>2993</v>
      </c>
      <c r="C3849" s="21">
        <v>45030</v>
      </c>
      <c r="D3849" s="20">
        <v>3291.84</v>
      </c>
      <c r="E3849" s="22" t="s">
        <v>10</v>
      </c>
      <c r="F3849" s="22" t="s">
        <v>16</v>
      </c>
      <c r="G3849" s="22" t="s">
        <v>15</v>
      </c>
    </row>
    <row r="3850" ht="15.15" spans="1:7">
      <c r="A3850" s="20">
        <v>3848</v>
      </c>
      <c r="B3850" s="20">
        <v>232</v>
      </c>
      <c r="C3850" s="21">
        <v>45254</v>
      </c>
      <c r="D3850" s="20">
        <v>3291.84</v>
      </c>
      <c r="E3850" s="22" t="s">
        <v>10</v>
      </c>
      <c r="F3850" s="22" t="s">
        <v>13</v>
      </c>
      <c r="G3850" s="22" t="s">
        <v>20</v>
      </c>
    </row>
    <row r="3851" ht="15.15" spans="1:7">
      <c r="A3851" s="20">
        <v>3849</v>
      </c>
      <c r="B3851" s="20">
        <v>6725</v>
      </c>
      <c r="C3851" s="21">
        <v>45290</v>
      </c>
      <c r="D3851" s="20">
        <v>3291.84</v>
      </c>
      <c r="E3851" s="22" t="s">
        <v>10</v>
      </c>
      <c r="F3851" s="22" t="s">
        <v>16</v>
      </c>
      <c r="G3851" s="22" t="s">
        <v>15</v>
      </c>
    </row>
    <row r="3852" ht="15.15" spans="1:7">
      <c r="A3852" s="20">
        <v>3850</v>
      </c>
      <c r="B3852" s="20">
        <v>3157</v>
      </c>
      <c r="C3852" s="21">
        <v>45266</v>
      </c>
      <c r="D3852" s="20">
        <v>3291.84</v>
      </c>
      <c r="E3852" s="22" t="s">
        <v>10</v>
      </c>
      <c r="F3852" s="22" t="s">
        <v>16</v>
      </c>
      <c r="G3852" s="22" t="s">
        <v>20</v>
      </c>
    </row>
    <row r="3853" ht="15.15" spans="1:7">
      <c r="A3853" s="20">
        <v>3851</v>
      </c>
      <c r="B3853" s="20">
        <v>9911</v>
      </c>
      <c r="C3853" s="21">
        <v>45202</v>
      </c>
      <c r="D3853" s="20">
        <v>3291.84</v>
      </c>
      <c r="E3853" s="22" t="s">
        <v>21</v>
      </c>
      <c r="F3853" s="22" t="s">
        <v>16</v>
      </c>
      <c r="G3853" s="22" t="s">
        <v>15</v>
      </c>
    </row>
    <row r="3854" ht="15.15" spans="1:7">
      <c r="A3854" s="20">
        <v>3852</v>
      </c>
      <c r="B3854" s="20">
        <v>4246</v>
      </c>
      <c r="C3854" s="21">
        <v>45054</v>
      </c>
      <c r="D3854" s="20">
        <v>3291.84</v>
      </c>
      <c r="E3854" s="22" t="s">
        <v>10</v>
      </c>
      <c r="F3854" s="22" t="s">
        <v>14</v>
      </c>
      <c r="G3854" s="22" t="s">
        <v>15</v>
      </c>
    </row>
    <row r="3855" ht="15.15" spans="1:7">
      <c r="A3855" s="20">
        <v>3853</v>
      </c>
      <c r="B3855" s="20">
        <v>202</v>
      </c>
      <c r="C3855" s="21">
        <v>45163</v>
      </c>
      <c r="D3855" s="20">
        <v>3291.84</v>
      </c>
      <c r="E3855" s="22" t="s">
        <v>10</v>
      </c>
      <c r="F3855" s="22" t="s">
        <v>16</v>
      </c>
      <c r="G3855" s="22" t="s">
        <v>15</v>
      </c>
    </row>
    <row r="3856" ht="15.15" spans="1:7">
      <c r="A3856" s="20">
        <v>3854</v>
      </c>
      <c r="B3856" s="20">
        <v>9738</v>
      </c>
      <c r="C3856" s="21">
        <v>45284</v>
      </c>
      <c r="D3856" s="20">
        <v>3291.84</v>
      </c>
      <c r="E3856" s="22" t="s">
        <v>10</v>
      </c>
      <c r="F3856" s="22" t="s">
        <v>16</v>
      </c>
      <c r="G3856" s="22" t="s">
        <v>12</v>
      </c>
    </row>
    <row r="3857" ht="15.15" spans="1:7">
      <c r="A3857" s="20">
        <v>3855</v>
      </c>
      <c r="B3857" s="20">
        <v>7066</v>
      </c>
      <c r="C3857" s="21">
        <v>45199</v>
      </c>
      <c r="D3857" s="20">
        <v>3291.84</v>
      </c>
      <c r="E3857" s="22" t="s">
        <v>10</v>
      </c>
      <c r="F3857" s="22" t="s">
        <v>11</v>
      </c>
      <c r="G3857" s="22" t="s">
        <v>17</v>
      </c>
    </row>
    <row r="3858" ht="15.15" spans="1:7">
      <c r="A3858" s="20">
        <v>3856</v>
      </c>
      <c r="B3858" s="20">
        <v>9444</v>
      </c>
      <c r="C3858" s="21">
        <v>45205</v>
      </c>
      <c r="D3858" s="20">
        <v>3291.84</v>
      </c>
      <c r="E3858" s="22" t="s">
        <v>10</v>
      </c>
      <c r="F3858" s="22" t="s">
        <v>11</v>
      </c>
      <c r="G3858" s="22" t="s">
        <v>20</v>
      </c>
    </row>
    <row r="3859" ht="15.15" spans="1:7">
      <c r="A3859" s="20">
        <v>3857</v>
      </c>
      <c r="B3859" s="20">
        <v>4684</v>
      </c>
      <c r="C3859" s="21">
        <v>45224</v>
      </c>
      <c r="D3859" s="20">
        <v>3291.84</v>
      </c>
      <c r="E3859" s="22" t="s">
        <v>10</v>
      </c>
      <c r="F3859" s="22" t="s">
        <v>13</v>
      </c>
      <c r="G3859" s="22" t="s">
        <v>17</v>
      </c>
    </row>
    <row r="3860" ht="15.15" spans="1:7">
      <c r="A3860" s="20">
        <v>3858</v>
      </c>
      <c r="B3860" s="20">
        <v>4099</v>
      </c>
      <c r="C3860" s="21">
        <v>45043</v>
      </c>
      <c r="D3860" s="20">
        <v>3291.84</v>
      </c>
      <c r="E3860" s="22" t="s">
        <v>10</v>
      </c>
      <c r="F3860" s="22" t="s">
        <v>13</v>
      </c>
      <c r="G3860" s="22" t="s">
        <v>15</v>
      </c>
    </row>
    <row r="3861" ht="15.15" spans="1:7">
      <c r="A3861" s="20">
        <v>3859</v>
      </c>
      <c r="B3861" s="20">
        <v>5729</v>
      </c>
      <c r="C3861" s="21">
        <v>45214</v>
      </c>
      <c r="D3861" s="20">
        <v>3291.84</v>
      </c>
      <c r="E3861" s="22" t="s">
        <v>10</v>
      </c>
      <c r="F3861" s="22" t="s">
        <v>18</v>
      </c>
      <c r="G3861" s="22" t="s">
        <v>20</v>
      </c>
    </row>
    <row r="3862" ht="15.15" spans="1:7">
      <c r="A3862" s="20">
        <v>3860</v>
      </c>
      <c r="B3862" s="20">
        <v>4924</v>
      </c>
      <c r="C3862" s="21">
        <v>45014</v>
      </c>
      <c r="D3862" s="20">
        <v>3291.84</v>
      </c>
      <c r="E3862" s="22" t="s">
        <v>10</v>
      </c>
      <c r="F3862" s="22" t="s">
        <v>13</v>
      </c>
      <c r="G3862" s="22" t="s">
        <v>12</v>
      </c>
    </row>
    <row r="3863" ht="15.15" spans="1:7">
      <c r="A3863" s="20">
        <v>3861</v>
      </c>
      <c r="B3863" s="20">
        <v>9493</v>
      </c>
      <c r="C3863" s="21">
        <v>45258</v>
      </c>
      <c r="D3863" s="20">
        <v>3291.84</v>
      </c>
      <c r="E3863" s="22" t="s">
        <v>10</v>
      </c>
      <c r="F3863" s="22" t="s">
        <v>16</v>
      </c>
      <c r="G3863" s="22" t="s">
        <v>20</v>
      </c>
    </row>
    <row r="3864" ht="15.15" spans="1:7">
      <c r="A3864" s="20">
        <v>3862</v>
      </c>
      <c r="B3864" s="20">
        <v>6083</v>
      </c>
      <c r="C3864" s="21">
        <v>45221</v>
      </c>
      <c r="D3864" s="20">
        <v>3291.84</v>
      </c>
      <c r="E3864" s="22" t="s">
        <v>10</v>
      </c>
      <c r="F3864" s="22" t="s">
        <v>18</v>
      </c>
      <c r="G3864" s="22" t="s">
        <v>17</v>
      </c>
    </row>
    <row r="3865" ht="15.15" spans="1:7">
      <c r="A3865" s="20">
        <v>3863</v>
      </c>
      <c r="B3865" s="20">
        <v>7647</v>
      </c>
      <c r="C3865" s="21">
        <v>44976</v>
      </c>
      <c r="D3865" s="20">
        <v>3291.84</v>
      </c>
      <c r="E3865" s="22" t="s">
        <v>10</v>
      </c>
      <c r="F3865" s="22" t="s">
        <v>16</v>
      </c>
      <c r="G3865" s="22" t="s">
        <v>20</v>
      </c>
    </row>
    <row r="3866" ht="15.15" spans="1:7">
      <c r="A3866" s="20">
        <v>3864</v>
      </c>
      <c r="B3866" s="20">
        <v>4538</v>
      </c>
      <c r="C3866" s="21">
        <v>45070</v>
      </c>
      <c r="D3866" s="20">
        <v>3291.84</v>
      </c>
      <c r="E3866" s="22" t="s">
        <v>10</v>
      </c>
      <c r="F3866" s="22" t="s">
        <v>14</v>
      </c>
      <c r="G3866" s="22" t="s">
        <v>15</v>
      </c>
    </row>
    <row r="3867" ht="15.15" spans="1:7">
      <c r="A3867" s="20">
        <v>3865</v>
      </c>
      <c r="B3867" s="20">
        <v>2431</v>
      </c>
      <c r="C3867" s="21">
        <v>44962</v>
      </c>
      <c r="D3867" s="20">
        <v>3291.84</v>
      </c>
      <c r="E3867" s="22" t="s">
        <v>10</v>
      </c>
      <c r="F3867" s="22" t="s">
        <v>14</v>
      </c>
      <c r="G3867" s="22" t="s">
        <v>12</v>
      </c>
    </row>
    <row r="3868" ht="15.15" spans="1:7">
      <c r="A3868" s="20">
        <v>3866</v>
      </c>
      <c r="B3868" s="20">
        <v>303</v>
      </c>
      <c r="C3868" s="21">
        <v>45227</v>
      </c>
      <c r="D3868" s="20">
        <v>3291.84</v>
      </c>
      <c r="E3868" s="22" t="s">
        <v>10</v>
      </c>
      <c r="F3868" s="22" t="s">
        <v>11</v>
      </c>
      <c r="G3868" s="22" t="s">
        <v>12</v>
      </c>
    </row>
    <row r="3869" ht="15.15" spans="1:7">
      <c r="A3869" s="20">
        <v>3867</v>
      </c>
      <c r="B3869" s="20">
        <v>8963</v>
      </c>
      <c r="C3869" s="21">
        <v>45267</v>
      </c>
      <c r="D3869" s="20">
        <v>3291.84</v>
      </c>
      <c r="E3869" s="22" t="s">
        <v>10</v>
      </c>
      <c r="F3869" s="22" t="s">
        <v>18</v>
      </c>
      <c r="G3869" s="22" t="s">
        <v>17</v>
      </c>
    </row>
    <row r="3870" ht="15.15" spans="1:7">
      <c r="A3870" s="20">
        <v>3868</v>
      </c>
      <c r="B3870" s="20">
        <v>8428</v>
      </c>
      <c r="C3870" s="21">
        <v>45208</v>
      </c>
      <c r="D3870" s="20">
        <v>3291.84</v>
      </c>
      <c r="E3870" s="22" t="s">
        <v>10</v>
      </c>
      <c r="F3870" s="22" t="s">
        <v>18</v>
      </c>
      <c r="G3870" s="22" t="s">
        <v>12</v>
      </c>
    </row>
    <row r="3871" ht="15.15" spans="1:7">
      <c r="A3871" s="20">
        <v>3869</v>
      </c>
      <c r="B3871" s="20">
        <v>4928</v>
      </c>
      <c r="C3871" s="21">
        <v>45165</v>
      </c>
      <c r="D3871" s="20">
        <v>3291.84</v>
      </c>
      <c r="E3871" s="22" t="s">
        <v>10</v>
      </c>
      <c r="F3871" s="22" t="s">
        <v>18</v>
      </c>
      <c r="G3871" s="22" t="s">
        <v>12</v>
      </c>
    </row>
    <row r="3872" ht="15.15" spans="1:7">
      <c r="A3872" s="20">
        <v>3870</v>
      </c>
      <c r="B3872" s="20">
        <v>4040</v>
      </c>
      <c r="C3872" s="21">
        <v>45256</v>
      </c>
      <c r="D3872" s="20">
        <v>3291.84</v>
      </c>
      <c r="E3872" s="22" t="s">
        <v>10</v>
      </c>
      <c r="F3872" s="22" t="s">
        <v>13</v>
      </c>
      <c r="G3872" s="22" t="s">
        <v>17</v>
      </c>
    </row>
    <row r="3873" ht="15.15" spans="1:7">
      <c r="A3873" s="20">
        <v>3871</v>
      </c>
      <c r="B3873" s="20">
        <v>8954</v>
      </c>
      <c r="C3873" s="21">
        <v>45248</v>
      </c>
      <c r="D3873" s="20">
        <v>3291.84</v>
      </c>
      <c r="E3873" s="22" t="s">
        <v>10</v>
      </c>
      <c r="F3873" s="22" t="s">
        <v>14</v>
      </c>
      <c r="G3873" s="22" t="s">
        <v>15</v>
      </c>
    </row>
    <row r="3874" ht="15.15" spans="1:7">
      <c r="A3874" s="20">
        <v>3872</v>
      </c>
      <c r="B3874" s="20">
        <v>4923</v>
      </c>
      <c r="C3874" s="21">
        <v>45026</v>
      </c>
      <c r="D3874" s="20">
        <v>3291.84</v>
      </c>
      <c r="E3874" s="22" t="s">
        <v>10</v>
      </c>
      <c r="F3874" s="22" t="s">
        <v>13</v>
      </c>
      <c r="G3874" s="22" t="s">
        <v>20</v>
      </c>
    </row>
    <row r="3875" ht="15.15" spans="1:7">
      <c r="A3875" s="20">
        <v>3873</v>
      </c>
      <c r="B3875" s="20">
        <v>4014</v>
      </c>
      <c r="C3875" s="21">
        <v>44972</v>
      </c>
      <c r="D3875" s="20">
        <v>3291.84</v>
      </c>
      <c r="E3875" s="22" t="s">
        <v>10</v>
      </c>
      <c r="F3875" s="22" t="s">
        <v>16</v>
      </c>
      <c r="G3875" s="22" t="s">
        <v>17</v>
      </c>
    </row>
    <row r="3876" ht="15.15" spans="1:7">
      <c r="A3876" s="20">
        <v>3874</v>
      </c>
      <c r="B3876" s="20">
        <v>3820</v>
      </c>
      <c r="C3876" s="21">
        <v>45140</v>
      </c>
      <c r="D3876" s="20">
        <v>3291.84</v>
      </c>
      <c r="E3876" s="22" t="s">
        <v>10</v>
      </c>
      <c r="F3876" s="22" t="s">
        <v>11</v>
      </c>
      <c r="G3876" s="22" t="s">
        <v>15</v>
      </c>
    </row>
    <row r="3877" ht="15.15" spans="1:7">
      <c r="A3877" s="20">
        <v>3875</v>
      </c>
      <c r="B3877" s="20">
        <v>9335</v>
      </c>
      <c r="C3877" s="21">
        <v>45240</v>
      </c>
      <c r="D3877" s="20">
        <v>3291.84</v>
      </c>
      <c r="E3877" s="22" t="s">
        <v>10</v>
      </c>
      <c r="F3877" s="22" t="s">
        <v>18</v>
      </c>
      <c r="G3877" s="22" t="s">
        <v>17</v>
      </c>
    </row>
    <row r="3878" ht="15.15" spans="1:7">
      <c r="A3878" s="20">
        <v>3876</v>
      </c>
      <c r="B3878" s="20">
        <v>9262</v>
      </c>
      <c r="C3878" s="21">
        <v>45281</v>
      </c>
      <c r="D3878" s="20">
        <v>3291.84</v>
      </c>
      <c r="E3878" s="22" t="s">
        <v>10</v>
      </c>
      <c r="F3878" s="22" t="s">
        <v>11</v>
      </c>
      <c r="G3878" s="22" t="s">
        <v>12</v>
      </c>
    </row>
    <row r="3879" ht="15.15" spans="1:7">
      <c r="A3879" s="20">
        <v>3877</v>
      </c>
      <c r="B3879" s="20">
        <v>7968</v>
      </c>
      <c r="C3879" s="21">
        <v>44959</v>
      </c>
      <c r="D3879" s="20">
        <v>3291.84</v>
      </c>
      <c r="E3879" s="22" t="s">
        <v>10</v>
      </c>
      <c r="F3879" s="22" t="s">
        <v>14</v>
      </c>
      <c r="G3879" s="22" t="s">
        <v>15</v>
      </c>
    </row>
    <row r="3880" ht="15.15" spans="1:7">
      <c r="A3880" s="20">
        <v>3878</v>
      </c>
      <c r="B3880" s="20">
        <v>4536</v>
      </c>
      <c r="C3880" s="21">
        <v>45255</v>
      </c>
      <c r="D3880" s="20">
        <v>3291.84</v>
      </c>
      <c r="E3880" s="22" t="s">
        <v>10</v>
      </c>
      <c r="F3880" s="22" t="s">
        <v>14</v>
      </c>
      <c r="G3880" s="22" t="s">
        <v>17</v>
      </c>
    </row>
    <row r="3881" ht="15.15" spans="1:7">
      <c r="A3881" s="20">
        <v>3879</v>
      </c>
      <c r="B3881" s="20">
        <v>9748</v>
      </c>
      <c r="C3881" s="21">
        <v>45281</v>
      </c>
      <c r="D3881" s="20">
        <v>3291.84</v>
      </c>
      <c r="E3881" s="22" t="s">
        <v>10</v>
      </c>
      <c r="F3881" s="22" t="s">
        <v>16</v>
      </c>
      <c r="G3881" s="22" t="s">
        <v>12</v>
      </c>
    </row>
    <row r="3882" ht="15.15" spans="1:7">
      <c r="A3882" s="20">
        <v>3880</v>
      </c>
      <c r="B3882" s="20">
        <v>7699</v>
      </c>
      <c r="C3882" s="21">
        <v>45074</v>
      </c>
      <c r="D3882" s="20">
        <v>3291.84</v>
      </c>
      <c r="E3882" s="22" t="s">
        <v>10</v>
      </c>
      <c r="F3882" s="22" t="s">
        <v>11</v>
      </c>
      <c r="G3882" s="22" t="s">
        <v>17</v>
      </c>
    </row>
    <row r="3883" ht="15.15" spans="1:7">
      <c r="A3883" s="20">
        <v>3881</v>
      </c>
      <c r="B3883" s="20">
        <v>9111</v>
      </c>
      <c r="C3883" s="21">
        <v>45205</v>
      </c>
      <c r="D3883" s="20">
        <v>3291.84</v>
      </c>
      <c r="E3883" s="22" t="s">
        <v>10</v>
      </c>
      <c r="F3883" s="22" t="s">
        <v>16</v>
      </c>
      <c r="G3883" s="22" t="s">
        <v>12</v>
      </c>
    </row>
    <row r="3884" ht="15.15" spans="1:7">
      <c r="A3884" s="20">
        <v>3882</v>
      </c>
      <c r="B3884" s="20">
        <v>9012</v>
      </c>
      <c r="C3884" s="21">
        <v>45134</v>
      </c>
      <c r="D3884" s="20">
        <v>3291.84</v>
      </c>
      <c r="E3884" s="22" t="s">
        <v>10</v>
      </c>
      <c r="F3884" s="22" t="s">
        <v>13</v>
      </c>
      <c r="G3884" s="22" t="s">
        <v>17</v>
      </c>
    </row>
    <row r="3885" ht="15.15" spans="1:7">
      <c r="A3885" s="20">
        <v>3883</v>
      </c>
      <c r="B3885" s="20">
        <v>2854</v>
      </c>
      <c r="C3885" s="21">
        <v>45285</v>
      </c>
      <c r="D3885" s="20">
        <v>3291.84</v>
      </c>
      <c r="E3885" s="22" t="s">
        <v>10</v>
      </c>
      <c r="F3885" s="22" t="s">
        <v>14</v>
      </c>
      <c r="G3885" s="22" t="s">
        <v>20</v>
      </c>
    </row>
    <row r="3886" ht="15.15" spans="1:7">
      <c r="A3886" s="20">
        <v>3884</v>
      </c>
      <c r="B3886" s="20">
        <v>6215</v>
      </c>
      <c r="C3886" s="21">
        <v>45024</v>
      </c>
      <c r="D3886" s="20">
        <v>3291.84</v>
      </c>
      <c r="E3886" s="22" t="s">
        <v>10</v>
      </c>
      <c r="F3886" s="22" t="s">
        <v>18</v>
      </c>
      <c r="G3886" s="22" t="s">
        <v>20</v>
      </c>
    </row>
    <row r="3887" ht="15.15" spans="1:7">
      <c r="A3887" s="20">
        <v>3885</v>
      </c>
      <c r="B3887" s="20">
        <v>1882</v>
      </c>
      <c r="C3887" s="21">
        <v>44938</v>
      </c>
      <c r="D3887" s="20">
        <v>3291.84</v>
      </c>
      <c r="E3887" s="22" t="s">
        <v>10</v>
      </c>
      <c r="F3887" s="22" t="s">
        <v>14</v>
      </c>
      <c r="G3887" s="22" t="s">
        <v>15</v>
      </c>
    </row>
    <row r="3888" ht="15.15" spans="1:7">
      <c r="A3888" s="20">
        <v>3886</v>
      </c>
      <c r="B3888" s="20">
        <v>1941</v>
      </c>
      <c r="C3888" s="21">
        <v>45118</v>
      </c>
      <c r="D3888" s="20">
        <v>3291.84</v>
      </c>
      <c r="E3888" s="22" t="s">
        <v>10</v>
      </c>
      <c r="F3888" s="22" t="s">
        <v>14</v>
      </c>
      <c r="G3888" s="22" t="s">
        <v>12</v>
      </c>
    </row>
    <row r="3889" ht="15.15" spans="1:7">
      <c r="A3889" s="20">
        <v>3887</v>
      </c>
      <c r="B3889" s="20">
        <v>3619</v>
      </c>
      <c r="C3889" s="21">
        <v>44986</v>
      </c>
      <c r="D3889" s="20">
        <v>3291.84</v>
      </c>
      <c r="E3889" s="22" t="s">
        <v>10</v>
      </c>
      <c r="F3889" s="22" t="s">
        <v>18</v>
      </c>
      <c r="G3889" s="22" t="s">
        <v>20</v>
      </c>
    </row>
    <row r="3890" ht="15.15" spans="1:7">
      <c r="A3890" s="20">
        <v>3888</v>
      </c>
      <c r="B3890" s="20">
        <v>1312</v>
      </c>
      <c r="C3890" s="21">
        <v>44942</v>
      </c>
      <c r="D3890" s="20">
        <v>3291.84</v>
      </c>
      <c r="E3890" s="22" t="s">
        <v>10</v>
      </c>
      <c r="F3890" s="22" t="s">
        <v>13</v>
      </c>
      <c r="G3890" s="22" t="s">
        <v>17</v>
      </c>
    </row>
    <row r="3891" ht="15.15" spans="1:7">
      <c r="A3891" s="20">
        <v>3889</v>
      </c>
      <c r="B3891" s="20">
        <v>606</v>
      </c>
      <c r="C3891" s="21">
        <v>45062</v>
      </c>
      <c r="D3891" s="20">
        <v>3291.84</v>
      </c>
      <c r="E3891" s="22" t="s">
        <v>10</v>
      </c>
      <c r="F3891" s="22" t="s">
        <v>16</v>
      </c>
      <c r="G3891" s="22" t="s">
        <v>20</v>
      </c>
    </row>
    <row r="3892" ht="15.15" spans="1:7">
      <c r="A3892" s="20">
        <v>3890</v>
      </c>
      <c r="B3892" s="20">
        <v>7108</v>
      </c>
      <c r="C3892" s="21">
        <v>45080</v>
      </c>
      <c r="D3892" s="20">
        <v>3291.84</v>
      </c>
      <c r="E3892" s="22" t="s">
        <v>10</v>
      </c>
      <c r="F3892" s="22" t="s">
        <v>16</v>
      </c>
      <c r="G3892" s="22" t="s">
        <v>17</v>
      </c>
    </row>
    <row r="3893" ht="15.15" spans="1:7">
      <c r="A3893" s="20">
        <v>3891</v>
      </c>
      <c r="B3893" s="20">
        <v>7784</v>
      </c>
      <c r="C3893" s="21">
        <v>45203</v>
      </c>
      <c r="D3893" s="20">
        <v>3291.84</v>
      </c>
      <c r="E3893" s="22" t="s">
        <v>10</v>
      </c>
      <c r="F3893" s="22" t="s">
        <v>18</v>
      </c>
      <c r="G3893" s="22" t="s">
        <v>15</v>
      </c>
    </row>
    <row r="3894" ht="15.15" spans="1:7">
      <c r="A3894" s="20">
        <v>3892</v>
      </c>
      <c r="B3894" s="20">
        <v>778</v>
      </c>
      <c r="C3894" s="21">
        <v>45287</v>
      </c>
      <c r="D3894" s="20">
        <v>3291.84</v>
      </c>
      <c r="E3894" s="22" t="s">
        <v>10</v>
      </c>
      <c r="F3894" s="22" t="s">
        <v>13</v>
      </c>
      <c r="G3894" s="22" t="s">
        <v>17</v>
      </c>
    </row>
    <row r="3895" ht="15.15" spans="1:7">
      <c r="A3895" s="20">
        <v>3893</v>
      </c>
      <c r="B3895" s="20">
        <v>8015</v>
      </c>
      <c r="C3895" s="21">
        <v>45286</v>
      </c>
      <c r="D3895" s="20">
        <v>3291.84</v>
      </c>
      <c r="E3895" s="22" t="s">
        <v>10</v>
      </c>
      <c r="F3895" s="22" t="s">
        <v>14</v>
      </c>
      <c r="G3895" s="22" t="s">
        <v>20</v>
      </c>
    </row>
    <row r="3896" ht="15.15" spans="1:7">
      <c r="A3896" s="20">
        <v>3894</v>
      </c>
      <c r="B3896" s="20">
        <v>5802</v>
      </c>
      <c r="C3896" s="21">
        <v>44968</v>
      </c>
      <c r="D3896" s="20">
        <v>3291.84</v>
      </c>
      <c r="E3896" s="22" t="s">
        <v>10</v>
      </c>
      <c r="F3896" s="22" t="s">
        <v>18</v>
      </c>
      <c r="G3896" s="22" t="s">
        <v>12</v>
      </c>
    </row>
    <row r="3897" ht="15.15" spans="1:7">
      <c r="A3897" s="20">
        <v>3895</v>
      </c>
      <c r="B3897" s="20">
        <v>9713</v>
      </c>
      <c r="C3897" s="21">
        <v>44995</v>
      </c>
      <c r="D3897" s="20">
        <v>3291.84</v>
      </c>
      <c r="E3897" s="22" t="s">
        <v>10</v>
      </c>
      <c r="F3897" s="22" t="s">
        <v>11</v>
      </c>
      <c r="G3897" s="22" t="s">
        <v>20</v>
      </c>
    </row>
    <row r="3898" ht="15.15" spans="1:7">
      <c r="A3898" s="20">
        <v>3896</v>
      </c>
      <c r="B3898" s="20">
        <v>1320</v>
      </c>
      <c r="C3898" s="21">
        <v>45227</v>
      </c>
      <c r="D3898" s="20">
        <v>3291.84</v>
      </c>
      <c r="E3898" s="22" t="s">
        <v>10</v>
      </c>
      <c r="F3898" s="22" t="s">
        <v>14</v>
      </c>
      <c r="G3898" s="22" t="s">
        <v>17</v>
      </c>
    </row>
    <row r="3899" ht="15.15" spans="1:7">
      <c r="A3899" s="20">
        <v>3897</v>
      </c>
      <c r="B3899" s="20">
        <v>7001</v>
      </c>
      <c r="C3899" s="21">
        <v>45228</v>
      </c>
      <c r="D3899" s="20">
        <v>3291.84</v>
      </c>
      <c r="E3899" s="22" t="s">
        <v>10</v>
      </c>
      <c r="F3899" s="22" t="s">
        <v>14</v>
      </c>
      <c r="G3899" s="22" t="s">
        <v>15</v>
      </c>
    </row>
    <row r="3900" ht="15.15" spans="1:7">
      <c r="A3900" s="20">
        <v>3898</v>
      </c>
      <c r="B3900" s="20">
        <v>4713</v>
      </c>
      <c r="C3900" s="21">
        <v>45094</v>
      </c>
      <c r="D3900" s="20">
        <v>3291.84</v>
      </c>
      <c r="E3900" s="22" t="s">
        <v>10</v>
      </c>
      <c r="F3900" s="22" t="s">
        <v>18</v>
      </c>
      <c r="G3900" s="22" t="s">
        <v>17</v>
      </c>
    </row>
    <row r="3901" ht="15.15" spans="1:7">
      <c r="A3901" s="20">
        <v>3899</v>
      </c>
      <c r="B3901" s="20">
        <v>1913</v>
      </c>
      <c r="C3901" s="21">
        <v>44957</v>
      </c>
      <c r="D3901" s="20">
        <v>3291.84</v>
      </c>
      <c r="E3901" s="22" t="s">
        <v>10</v>
      </c>
      <c r="F3901" s="22" t="s">
        <v>11</v>
      </c>
      <c r="G3901" s="22" t="s">
        <v>15</v>
      </c>
    </row>
    <row r="3902" ht="15.15" spans="1:7">
      <c r="A3902" s="20">
        <v>3900</v>
      </c>
      <c r="B3902" s="20">
        <v>2545</v>
      </c>
      <c r="C3902" s="21">
        <v>45282</v>
      </c>
      <c r="D3902" s="20">
        <v>3291.84</v>
      </c>
      <c r="E3902" s="22" t="s">
        <v>10</v>
      </c>
      <c r="F3902" s="22" t="s">
        <v>18</v>
      </c>
      <c r="G3902" s="22" t="s">
        <v>20</v>
      </c>
    </row>
    <row r="3903" ht="15.15" spans="1:7">
      <c r="A3903" s="20">
        <v>3901</v>
      </c>
      <c r="B3903" s="20">
        <v>1650</v>
      </c>
      <c r="C3903" s="21">
        <v>45124</v>
      </c>
      <c r="D3903" s="20">
        <v>3291.84</v>
      </c>
      <c r="E3903" s="22" t="s">
        <v>10</v>
      </c>
      <c r="F3903" s="22" t="s">
        <v>16</v>
      </c>
      <c r="G3903" s="22" t="s">
        <v>12</v>
      </c>
    </row>
    <row r="3904" ht="15.15" spans="1:7">
      <c r="A3904" s="20">
        <v>3902</v>
      </c>
      <c r="B3904" s="20">
        <v>5927</v>
      </c>
      <c r="C3904" s="21">
        <v>44994</v>
      </c>
      <c r="D3904" s="20">
        <v>3291.84</v>
      </c>
      <c r="E3904" s="22" t="s">
        <v>21</v>
      </c>
      <c r="F3904" s="22" t="s">
        <v>11</v>
      </c>
      <c r="G3904" s="22" t="s">
        <v>17</v>
      </c>
    </row>
    <row r="3905" ht="15.15" spans="1:7">
      <c r="A3905" s="20">
        <v>3903</v>
      </c>
      <c r="B3905" s="20">
        <v>8828</v>
      </c>
      <c r="C3905" s="21">
        <v>45192</v>
      </c>
      <c r="D3905" s="20">
        <v>3291.84</v>
      </c>
      <c r="E3905" s="22" t="s">
        <v>10</v>
      </c>
      <c r="F3905" s="22" t="s">
        <v>11</v>
      </c>
      <c r="G3905" s="22" t="s">
        <v>20</v>
      </c>
    </row>
    <row r="3906" ht="15.15" spans="1:7">
      <c r="A3906" s="20">
        <v>3904</v>
      </c>
      <c r="B3906" s="20">
        <v>4684</v>
      </c>
      <c r="C3906" s="21">
        <v>44936</v>
      </c>
      <c r="D3906" s="20">
        <v>3291.84</v>
      </c>
      <c r="E3906" s="22" t="s">
        <v>22</v>
      </c>
      <c r="F3906" s="22" t="s">
        <v>13</v>
      </c>
      <c r="G3906" s="22" t="s">
        <v>12</v>
      </c>
    </row>
    <row r="3907" ht="15.15" spans="1:7">
      <c r="A3907" s="20">
        <v>3905</v>
      </c>
      <c r="B3907" s="20">
        <v>344</v>
      </c>
      <c r="C3907" s="21">
        <v>45267</v>
      </c>
      <c r="D3907" s="20">
        <v>3291.84</v>
      </c>
      <c r="E3907" s="22" t="s">
        <v>10</v>
      </c>
      <c r="F3907" s="22" t="s">
        <v>14</v>
      </c>
      <c r="G3907" s="22" t="s">
        <v>20</v>
      </c>
    </row>
    <row r="3908" ht="15.15" spans="1:7">
      <c r="A3908" s="20">
        <v>3906</v>
      </c>
      <c r="B3908" s="20">
        <v>1485</v>
      </c>
      <c r="C3908" s="21">
        <v>45059</v>
      </c>
      <c r="D3908" s="20">
        <v>3291.84</v>
      </c>
      <c r="E3908" s="22" t="s">
        <v>10</v>
      </c>
      <c r="F3908" s="22" t="s">
        <v>11</v>
      </c>
      <c r="G3908" s="22" t="s">
        <v>12</v>
      </c>
    </row>
    <row r="3909" ht="15.15" spans="1:7">
      <c r="A3909" s="20">
        <v>3907</v>
      </c>
      <c r="B3909" s="20">
        <v>2510</v>
      </c>
      <c r="C3909" s="21">
        <v>45287</v>
      </c>
      <c r="D3909" s="20">
        <v>3291.84</v>
      </c>
      <c r="E3909" s="22" t="s">
        <v>10</v>
      </c>
      <c r="F3909" s="22" t="s">
        <v>14</v>
      </c>
      <c r="G3909" s="22" t="s">
        <v>15</v>
      </c>
    </row>
    <row r="3910" ht="15.15" spans="1:7">
      <c r="A3910" s="20">
        <v>3908</v>
      </c>
      <c r="B3910" s="20">
        <v>1595</v>
      </c>
      <c r="C3910" s="21">
        <v>45284</v>
      </c>
      <c r="D3910" s="20">
        <v>3291.84</v>
      </c>
      <c r="E3910" s="22" t="s">
        <v>10</v>
      </c>
      <c r="F3910" s="22" t="s">
        <v>13</v>
      </c>
      <c r="G3910" s="22" t="s">
        <v>15</v>
      </c>
    </row>
    <row r="3911" ht="15.15" spans="1:7">
      <c r="A3911" s="20">
        <v>3909</v>
      </c>
      <c r="B3911" s="20">
        <v>5905</v>
      </c>
      <c r="C3911" s="21">
        <v>45220</v>
      </c>
      <c r="D3911" s="20">
        <v>3291.84</v>
      </c>
      <c r="E3911" s="22" t="s">
        <v>10</v>
      </c>
      <c r="F3911" s="22" t="s">
        <v>11</v>
      </c>
      <c r="G3911" s="22" t="s">
        <v>12</v>
      </c>
    </row>
    <row r="3912" ht="15.15" spans="1:7">
      <c r="A3912" s="20">
        <v>3910</v>
      </c>
      <c r="B3912" s="20">
        <v>5374</v>
      </c>
      <c r="C3912" s="21">
        <v>45278</v>
      </c>
      <c r="D3912" s="20">
        <v>3291.84</v>
      </c>
      <c r="E3912" s="22" t="s">
        <v>10</v>
      </c>
      <c r="F3912" s="22" t="s">
        <v>14</v>
      </c>
      <c r="G3912" s="22" t="s">
        <v>12</v>
      </c>
    </row>
    <row r="3913" ht="15.15" spans="1:7">
      <c r="A3913" s="20">
        <v>3911</v>
      </c>
      <c r="B3913" s="20">
        <v>9192</v>
      </c>
      <c r="C3913" s="21">
        <v>45101</v>
      </c>
      <c r="D3913" s="20">
        <v>3291.84</v>
      </c>
      <c r="E3913" s="22" t="s">
        <v>10</v>
      </c>
      <c r="F3913" s="22" t="s">
        <v>18</v>
      </c>
      <c r="G3913" s="22" t="s">
        <v>12</v>
      </c>
    </row>
    <row r="3914" ht="15.15" spans="1:7">
      <c r="A3914" s="20">
        <v>3912</v>
      </c>
      <c r="B3914" s="20">
        <v>8966</v>
      </c>
      <c r="C3914" s="21">
        <v>45171</v>
      </c>
      <c r="D3914" s="20">
        <v>3291.84</v>
      </c>
      <c r="E3914" s="22" t="s">
        <v>10</v>
      </c>
      <c r="F3914" s="22" t="s">
        <v>14</v>
      </c>
      <c r="G3914" s="22" t="s">
        <v>15</v>
      </c>
    </row>
    <row r="3915" ht="15.15" spans="1:7">
      <c r="A3915" s="20">
        <v>3913</v>
      </c>
      <c r="B3915" s="20">
        <v>5703</v>
      </c>
      <c r="C3915" s="21">
        <v>45259</v>
      </c>
      <c r="D3915" s="20">
        <v>3291.84</v>
      </c>
      <c r="E3915" s="22" t="s">
        <v>10</v>
      </c>
      <c r="F3915" s="22" t="s">
        <v>14</v>
      </c>
      <c r="G3915" s="22" t="s">
        <v>12</v>
      </c>
    </row>
    <row r="3916" ht="15.15" spans="1:7">
      <c r="A3916" s="20">
        <v>3914</v>
      </c>
      <c r="B3916" s="20">
        <v>6710</v>
      </c>
      <c r="C3916" s="21">
        <v>45086</v>
      </c>
      <c r="D3916" s="20">
        <v>3291.84</v>
      </c>
      <c r="E3916" s="22" t="s">
        <v>10</v>
      </c>
      <c r="F3916" s="22" t="s">
        <v>18</v>
      </c>
      <c r="G3916" s="22" t="s">
        <v>12</v>
      </c>
    </row>
    <row r="3917" ht="15.15" spans="1:7">
      <c r="A3917" s="20">
        <v>3915</v>
      </c>
      <c r="B3917" s="20">
        <v>1225</v>
      </c>
      <c r="C3917" s="21">
        <v>45198</v>
      </c>
      <c r="D3917" s="20">
        <v>3291.84</v>
      </c>
      <c r="E3917" s="22" t="s">
        <v>22</v>
      </c>
      <c r="F3917" s="22" t="s">
        <v>16</v>
      </c>
      <c r="G3917" s="22" t="s">
        <v>15</v>
      </c>
    </row>
    <row r="3918" ht="15.15" spans="1:7">
      <c r="A3918" s="20">
        <v>3916</v>
      </c>
      <c r="B3918" s="20">
        <v>5934</v>
      </c>
      <c r="C3918" s="21">
        <v>45136</v>
      </c>
      <c r="D3918" s="20">
        <v>3291.84</v>
      </c>
      <c r="E3918" s="22" t="s">
        <v>10</v>
      </c>
      <c r="F3918" s="22" t="s">
        <v>11</v>
      </c>
      <c r="G3918" s="22" t="s">
        <v>17</v>
      </c>
    </row>
    <row r="3919" ht="15.15" spans="1:7">
      <c r="A3919" s="20">
        <v>3917</v>
      </c>
      <c r="B3919" s="20">
        <v>9584</v>
      </c>
      <c r="C3919" s="21">
        <v>45213</v>
      </c>
      <c r="D3919" s="20">
        <v>3291.84</v>
      </c>
      <c r="E3919" s="22" t="s">
        <v>10</v>
      </c>
      <c r="F3919" s="22" t="s">
        <v>14</v>
      </c>
      <c r="G3919" s="22" t="s">
        <v>15</v>
      </c>
    </row>
    <row r="3920" ht="15.15" spans="1:7">
      <c r="A3920" s="20">
        <v>3918</v>
      </c>
      <c r="B3920" s="20">
        <v>8876</v>
      </c>
      <c r="C3920" s="21">
        <v>45220</v>
      </c>
      <c r="D3920" s="20">
        <v>3291.84</v>
      </c>
      <c r="E3920" s="22" t="s">
        <v>10</v>
      </c>
      <c r="F3920" s="22" t="s">
        <v>14</v>
      </c>
      <c r="G3920" s="22" t="s">
        <v>20</v>
      </c>
    </row>
    <row r="3921" ht="15.15" spans="1:7">
      <c r="A3921" s="20">
        <v>3919</v>
      </c>
      <c r="B3921" s="20">
        <v>1899</v>
      </c>
      <c r="C3921" s="21">
        <v>45107</v>
      </c>
      <c r="D3921" s="20">
        <v>3291.84</v>
      </c>
      <c r="E3921" s="22" t="s">
        <v>10</v>
      </c>
      <c r="F3921" s="22" t="s">
        <v>13</v>
      </c>
      <c r="G3921" s="22" t="s">
        <v>17</v>
      </c>
    </row>
    <row r="3922" ht="15.15" spans="1:7">
      <c r="A3922" s="20">
        <v>3920</v>
      </c>
      <c r="B3922" s="20">
        <v>6456</v>
      </c>
      <c r="C3922" s="21">
        <v>44989</v>
      </c>
      <c r="D3922" s="20">
        <v>3291.84</v>
      </c>
      <c r="E3922" s="22" t="s">
        <v>10</v>
      </c>
      <c r="F3922" s="22" t="s">
        <v>18</v>
      </c>
      <c r="G3922" s="22" t="s">
        <v>20</v>
      </c>
    </row>
    <row r="3923" ht="15.15" spans="1:7">
      <c r="A3923" s="20">
        <v>3921</v>
      </c>
      <c r="B3923" s="20">
        <v>9349</v>
      </c>
      <c r="C3923" s="21">
        <v>45145</v>
      </c>
      <c r="D3923" s="20">
        <v>3291.84</v>
      </c>
      <c r="E3923" s="22" t="s">
        <v>10</v>
      </c>
      <c r="F3923" s="22" t="s">
        <v>16</v>
      </c>
      <c r="G3923" s="22" t="s">
        <v>17</v>
      </c>
    </row>
    <row r="3924" ht="15.15" spans="1:7">
      <c r="A3924" s="20">
        <v>3922</v>
      </c>
      <c r="B3924" s="20">
        <v>7468</v>
      </c>
      <c r="C3924" s="21">
        <v>45285</v>
      </c>
      <c r="D3924" s="20">
        <v>3291.84</v>
      </c>
      <c r="E3924" s="22" t="s">
        <v>10</v>
      </c>
      <c r="F3924" s="22" t="s">
        <v>16</v>
      </c>
      <c r="G3924" s="22" t="s">
        <v>15</v>
      </c>
    </row>
    <row r="3925" ht="15.15" spans="1:7">
      <c r="A3925" s="20">
        <v>3923</v>
      </c>
      <c r="B3925" s="20">
        <v>3288</v>
      </c>
      <c r="C3925" s="21">
        <v>45240</v>
      </c>
      <c r="D3925" s="20">
        <v>3291.84</v>
      </c>
      <c r="E3925" s="22" t="s">
        <v>10</v>
      </c>
      <c r="F3925" s="22" t="s">
        <v>11</v>
      </c>
      <c r="G3925" s="22" t="s">
        <v>15</v>
      </c>
    </row>
    <row r="3926" ht="15.15" spans="1:7">
      <c r="A3926" s="20">
        <v>3924</v>
      </c>
      <c r="B3926" s="20">
        <v>7847</v>
      </c>
      <c r="C3926" s="21">
        <v>44981</v>
      </c>
      <c r="D3926" s="20">
        <v>3291.84</v>
      </c>
      <c r="E3926" s="22" t="s">
        <v>10</v>
      </c>
      <c r="F3926" s="22" t="s">
        <v>11</v>
      </c>
      <c r="G3926" s="22" t="s">
        <v>20</v>
      </c>
    </row>
    <row r="3927" ht="15.15" spans="1:7">
      <c r="A3927" s="20">
        <v>3925</v>
      </c>
      <c r="B3927" s="20">
        <v>6238</v>
      </c>
      <c r="C3927" s="21">
        <v>45288</v>
      </c>
      <c r="D3927" s="20">
        <v>3291.84</v>
      </c>
      <c r="E3927" s="22" t="s">
        <v>10</v>
      </c>
      <c r="F3927" s="22" t="s">
        <v>19</v>
      </c>
      <c r="G3927" s="22" t="s">
        <v>15</v>
      </c>
    </row>
    <row r="3928" ht="15.15" spans="1:7">
      <c r="A3928" s="20">
        <v>3926</v>
      </c>
      <c r="B3928" s="20">
        <v>2533</v>
      </c>
      <c r="C3928" s="21">
        <v>44957</v>
      </c>
      <c r="D3928" s="20">
        <v>3291.84</v>
      </c>
      <c r="E3928" s="22" t="s">
        <v>10</v>
      </c>
      <c r="F3928" s="22" t="s">
        <v>11</v>
      </c>
      <c r="G3928" s="22" t="s">
        <v>15</v>
      </c>
    </row>
    <row r="3929" ht="15.15" spans="1:7">
      <c r="A3929" s="20">
        <v>3927</v>
      </c>
      <c r="B3929" s="20">
        <v>4953</v>
      </c>
      <c r="C3929" s="21">
        <v>45169</v>
      </c>
      <c r="D3929" s="20">
        <v>3291.84</v>
      </c>
      <c r="E3929" s="22" t="s">
        <v>10</v>
      </c>
      <c r="F3929" s="22" t="s">
        <v>11</v>
      </c>
      <c r="G3929" s="22" t="s">
        <v>17</v>
      </c>
    </row>
    <row r="3930" ht="15.15" spans="1:7">
      <c r="A3930" s="20">
        <v>3928</v>
      </c>
      <c r="B3930" s="20">
        <v>3325</v>
      </c>
      <c r="C3930" s="21">
        <v>45242</v>
      </c>
      <c r="D3930" s="20">
        <v>3291.84</v>
      </c>
      <c r="E3930" s="22" t="s">
        <v>10</v>
      </c>
      <c r="F3930" s="22" t="s">
        <v>13</v>
      </c>
      <c r="G3930" s="22" t="s">
        <v>20</v>
      </c>
    </row>
    <row r="3931" ht="15.15" spans="1:7">
      <c r="A3931" s="20">
        <v>3929</v>
      </c>
      <c r="B3931" s="20">
        <v>5158</v>
      </c>
      <c r="C3931" s="21">
        <v>45283</v>
      </c>
      <c r="D3931" s="20">
        <v>3291.84</v>
      </c>
      <c r="E3931" s="22" t="s">
        <v>10</v>
      </c>
      <c r="F3931" s="22" t="s">
        <v>16</v>
      </c>
      <c r="G3931" s="22" t="s">
        <v>20</v>
      </c>
    </row>
    <row r="3932" ht="15.15" spans="1:7">
      <c r="A3932" s="20">
        <v>3930</v>
      </c>
      <c r="B3932" s="20">
        <v>906</v>
      </c>
      <c r="C3932" s="21">
        <v>44944</v>
      </c>
      <c r="D3932" s="20">
        <v>3291.84</v>
      </c>
      <c r="E3932" s="22" t="s">
        <v>10</v>
      </c>
      <c r="F3932" s="22" t="s">
        <v>14</v>
      </c>
      <c r="G3932" s="22" t="s">
        <v>12</v>
      </c>
    </row>
    <row r="3933" ht="15.15" spans="1:7">
      <c r="A3933" s="20">
        <v>3931</v>
      </c>
      <c r="B3933" s="20">
        <v>9804</v>
      </c>
      <c r="C3933" s="21">
        <v>44947</v>
      </c>
      <c r="D3933" s="20">
        <v>3291.84</v>
      </c>
      <c r="E3933" s="22" t="s">
        <v>10</v>
      </c>
      <c r="F3933" s="22" t="s">
        <v>13</v>
      </c>
      <c r="G3933" s="22" t="s">
        <v>20</v>
      </c>
    </row>
    <row r="3934" ht="15.15" spans="1:7">
      <c r="A3934" s="20">
        <v>3932</v>
      </c>
      <c r="B3934" s="20">
        <v>4837</v>
      </c>
      <c r="C3934" s="21">
        <v>45247</v>
      </c>
      <c r="D3934" s="20">
        <v>3291.84</v>
      </c>
      <c r="E3934" s="22" t="s">
        <v>10</v>
      </c>
      <c r="F3934" s="22" t="s">
        <v>16</v>
      </c>
      <c r="G3934" s="22" t="s">
        <v>20</v>
      </c>
    </row>
    <row r="3935" ht="15.15" spans="1:7">
      <c r="A3935" s="20">
        <v>3933</v>
      </c>
      <c r="B3935" s="20">
        <v>9239</v>
      </c>
      <c r="C3935" s="21">
        <v>44941</v>
      </c>
      <c r="D3935" s="20">
        <v>3291.84</v>
      </c>
      <c r="E3935" s="22" t="s">
        <v>10</v>
      </c>
      <c r="F3935" s="22" t="s">
        <v>18</v>
      </c>
      <c r="G3935" s="22" t="s">
        <v>20</v>
      </c>
    </row>
    <row r="3936" ht="15.15" spans="1:7">
      <c r="A3936" s="20">
        <v>3934</v>
      </c>
      <c r="B3936" s="20">
        <v>3720</v>
      </c>
      <c r="C3936" s="21">
        <v>44944</v>
      </c>
      <c r="D3936" s="20">
        <v>3291.84</v>
      </c>
      <c r="E3936" s="22" t="s">
        <v>10</v>
      </c>
      <c r="F3936" s="22" t="s">
        <v>11</v>
      </c>
      <c r="G3936" s="22" t="s">
        <v>15</v>
      </c>
    </row>
    <row r="3937" ht="15.15" spans="1:7">
      <c r="A3937" s="20">
        <v>3935</v>
      </c>
      <c r="B3937" s="20">
        <v>2458</v>
      </c>
      <c r="C3937" s="21">
        <v>45102</v>
      </c>
      <c r="D3937" s="20">
        <v>3291.84</v>
      </c>
      <c r="E3937" s="22" t="s">
        <v>10</v>
      </c>
      <c r="F3937" s="22" t="s">
        <v>18</v>
      </c>
      <c r="G3937" s="22" t="s">
        <v>12</v>
      </c>
    </row>
    <row r="3938" ht="15.15" spans="1:7">
      <c r="A3938" s="20">
        <v>3936</v>
      </c>
      <c r="B3938" s="20">
        <v>8815</v>
      </c>
      <c r="C3938" s="21">
        <v>45242</v>
      </c>
      <c r="D3938" s="20">
        <v>3291.84</v>
      </c>
      <c r="E3938" s="22" t="s">
        <v>10</v>
      </c>
      <c r="F3938" s="22" t="s">
        <v>14</v>
      </c>
      <c r="G3938" s="22" t="s">
        <v>17</v>
      </c>
    </row>
    <row r="3939" ht="15.15" spans="1:7">
      <c r="A3939" s="20">
        <v>3937</v>
      </c>
      <c r="B3939" s="20">
        <v>7179</v>
      </c>
      <c r="C3939" s="21">
        <v>45228</v>
      </c>
      <c r="D3939" s="20">
        <v>3291.84</v>
      </c>
      <c r="E3939" s="22" t="s">
        <v>10</v>
      </c>
      <c r="F3939" s="22" t="s">
        <v>13</v>
      </c>
      <c r="G3939" s="22" t="s">
        <v>15</v>
      </c>
    </row>
    <row r="3940" ht="15.15" spans="1:7">
      <c r="A3940" s="20">
        <v>3938</v>
      </c>
      <c r="B3940" s="20">
        <v>2932</v>
      </c>
      <c r="C3940" s="21">
        <v>45082</v>
      </c>
      <c r="D3940" s="20">
        <v>3291.84</v>
      </c>
      <c r="E3940" s="22" t="s">
        <v>10</v>
      </c>
      <c r="F3940" s="22" t="s">
        <v>16</v>
      </c>
      <c r="G3940" s="22" t="s">
        <v>15</v>
      </c>
    </row>
    <row r="3941" ht="15.15" spans="1:7">
      <c r="A3941" s="20">
        <v>3939</v>
      </c>
      <c r="B3941" s="20">
        <v>2247</v>
      </c>
      <c r="C3941" s="21">
        <v>44928</v>
      </c>
      <c r="D3941" s="20">
        <v>3291.84</v>
      </c>
      <c r="E3941" s="22" t="s">
        <v>10</v>
      </c>
      <c r="F3941" s="22" t="s">
        <v>16</v>
      </c>
      <c r="G3941" s="22" t="s">
        <v>17</v>
      </c>
    </row>
    <row r="3942" ht="15.15" spans="1:7">
      <c r="A3942" s="20">
        <v>3940</v>
      </c>
      <c r="B3942" s="20">
        <v>8543</v>
      </c>
      <c r="C3942" s="21">
        <v>45188</v>
      </c>
      <c r="D3942" s="20">
        <v>3291.84</v>
      </c>
      <c r="E3942" s="22" t="s">
        <v>10</v>
      </c>
      <c r="F3942" s="22" t="s">
        <v>16</v>
      </c>
      <c r="G3942" s="22" t="s">
        <v>20</v>
      </c>
    </row>
    <row r="3943" ht="15.15" spans="1:7">
      <c r="A3943" s="20">
        <v>3941</v>
      </c>
      <c r="B3943" s="20">
        <v>1597</v>
      </c>
      <c r="C3943" s="21">
        <v>45243</v>
      </c>
      <c r="D3943" s="20">
        <v>3291.84</v>
      </c>
      <c r="E3943" s="22" t="s">
        <v>10</v>
      </c>
      <c r="F3943" s="22" t="s">
        <v>14</v>
      </c>
      <c r="G3943" s="22" t="s">
        <v>15</v>
      </c>
    </row>
    <row r="3944" ht="15.15" spans="1:7">
      <c r="A3944" s="20">
        <v>3942</v>
      </c>
      <c r="B3944" s="20">
        <v>3703</v>
      </c>
      <c r="C3944" s="21">
        <v>45245</v>
      </c>
      <c r="D3944" s="20">
        <v>3291.84</v>
      </c>
      <c r="E3944" s="22" t="s">
        <v>10</v>
      </c>
      <c r="F3944" s="22" t="s">
        <v>14</v>
      </c>
      <c r="G3944" s="22" t="s">
        <v>20</v>
      </c>
    </row>
    <row r="3945" ht="15.15" spans="1:7">
      <c r="A3945" s="20">
        <v>3943</v>
      </c>
      <c r="B3945" s="20">
        <v>7713</v>
      </c>
      <c r="C3945" s="21">
        <v>45262</v>
      </c>
      <c r="D3945" s="20">
        <v>3291.84</v>
      </c>
      <c r="E3945" s="22" t="s">
        <v>10</v>
      </c>
      <c r="F3945" s="22" t="s">
        <v>18</v>
      </c>
      <c r="G3945" s="22" t="s">
        <v>20</v>
      </c>
    </row>
    <row r="3946" ht="15.15" spans="1:7">
      <c r="A3946" s="20">
        <v>3944</v>
      </c>
      <c r="B3946" s="20">
        <v>8722</v>
      </c>
      <c r="C3946" s="21">
        <v>45283</v>
      </c>
      <c r="D3946" s="20">
        <v>3291.84</v>
      </c>
      <c r="E3946" s="22" t="s">
        <v>10</v>
      </c>
      <c r="F3946" s="22" t="s">
        <v>16</v>
      </c>
      <c r="G3946" s="22" t="s">
        <v>15</v>
      </c>
    </row>
    <row r="3947" ht="15.15" spans="1:7">
      <c r="A3947" s="20">
        <v>3945</v>
      </c>
      <c r="B3947" s="20">
        <v>5450</v>
      </c>
      <c r="C3947" s="21">
        <v>45291</v>
      </c>
      <c r="D3947" s="20">
        <v>3291.84</v>
      </c>
      <c r="E3947" s="22" t="s">
        <v>10</v>
      </c>
      <c r="F3947" s="22" t="s">
        <v>18</v>
      </c>
      <c r="G3947" s="22" t="s">
        <v>15</v>
      </c>
    </row>
    <row r="3948" ht="15.15" spans="1:7">
      <c r="A3948" s="20">
        <v>3946</v>
      </c>
      <c r="B3948" s="20">
        <v>9073</v>
      </c>
      <c r="C3948" s="21">
        <v>45273</v>
      </c>
      <c r="D3948" s="20">
        <v>3291.84</v>
      </c>
      <c r="E3948" s="22" t="s">
        <v>10</v>
      </c>
      <c r="F3948" s="22" t="s">
        <v>14</v>
      </c>
      <c r="G3948" s="22" t="s">
        <v>12</v>
      </c>
    </row>
    <row r="3949" ht="15.15" spans="1:7">
      <c r="A3949" s="20">
        <v>3947</v>
      </c>
      <c r="B3949" s="20">
        <v>2423</v>
      </c>
      <c r="C3949" s="21">
        <v>45131</v>
      </c>
      <c r="D3949" s="20">
        <v>3291.84</v>
      </c>
      <c r="E3949" s="22" t="s">
        <v>10</v>
      </c>
      <c r="F3949" s="22" t="s">
        <v>13</v>
      </c>
      <c r="G3949" s="22" t="s">
        <v>17</v>
      </c>
    </row>
    <row r="3950" ht="15.15" spans="1:7">
      <c r="A3950" s="20">
        <v>3948</v>
      </c>
      <c r="B3950" s="20">
        <v>9962</v>
      </c>
      <c r="C3950" s="21">
        <v>45171</v>
      </c>
      <c r="D3950" s="20">
        <v>3291.84</v>
      </c>
      <c r="E3950" s="22" t="s">
        <v>10</v>
      </c>
      <c r="F3950" s="22" t="s">
        <v>16</v>
      </c>
      <c r="G3950" s="22" t="s">
        <v>12</v>
      </c>
    </row>
    <row r="3951" ht="15.15" spans="1:7">
      <c r="A3951" s="20">
        <v>3949</v>
      </c>
      <c r="B3951" s="20">
        <v>2209</v>
      </c>
      <c r="C3951" s="21">
        <v>45275</v>
      </c>
      <c r="D3951" s="20">
        <v>3291.84</v>
      </c>
      <c r="E3951" s="22" t="s">
        <v>10</v>
      </c>
      <c r="F3951" s="22" t="s">
        <v>14</v>
      </c>
      <c r="G3951" s="22" t="s">
        <v>17</v>
      </c>
    </row>
    <row r="3952" ht="15.15" spans="1:7">
      <c r="A3952" s="20">
        <v>3950</v>
      </c>
      <c r="B3952" s="20">
        <v>7745</v>
      </c>
      <c r="C3952" s="21">
        <v>45178</v>
      </c>
      <c r="D3952" s="20">
        <v>3291.84</v>
      </c>
      <c r="E3952" s="22" t="s">
        <v>10</v>
      </c>
      <c r="F3952" s="22" t="s">
        <v>11</v>
      </c>
      <c r="G3952" s="22" t="s">
        <v>17</v>
      </c>
    </row>
    <row r="3953" ht="15.15" spans="1:7">
      <c r="A3953" s="20">
        <v>3951</v>
      </c>
      <c r="B3953" s="20">
        <v>2707</v>
      </c>
      <c r="C3953" s="21">
        <v>45276</v>
      </c>
      <c r="D3953" s="20">
        <v>3291.84</v>
      </c>
      <c r="E3953" s="22" t="s">
        <v>10</v>
      </c>
      <c r="F3953" s="22" t="s">
        <v>16</v>
      </c>
      <c r="G3953" s="22" t="s">
        <v>17</v>
      </c>
    </row>
    <row r="3954" ht="15.15" spans="1:7">
      <c r="A3954" s="20">
        <v>3952</v>
      </c>
      <c r="B3954" s="20">
        <v>4688</v>
      </c>
      <c r="C3954" s="21">
        <v>45229</v>
      </c>
      <c r="D3954" s="20">
        <v>3291.84</v>
      </c>
      <c r="E3954" s="22" t="s">
        <v>22</v>
      </c>
      <c r="F3954" s="22" t="s">
        <v>13</v>
      </c>
      <c r="G3954" s="22" t="s">
        <v>12</v>
      </c>
    </row>
    <row r="3955" ht="15.15" spans="1:7">
      <c r="A3955" s="20">
        <v>3953</v>
      </c>
      <c r="B3955" s="20">
        <v>4669</v>
      </c>
      <c r="C3955" s="21">
        <v>45135</v>
      </c>
      <c r="D3955" s="20">
        <v>3291.84</v>
      </c>
      <c r="E3955" s="22" t="s">
        <v>10</v>
      </c>
      <c r="F3955" s="22" t="s">
        <v>18</v>
      </c>
      <c r="G3955" s="22" t="s">
        <v>20</v>
      </c>
    </row>
    <row r="3956" ht="15.15" spans="1:7">
      <c r="A3956" s="20">
        <v>3954</v>
      </c>
      <c r="B3956" s="20">
        <v>5550</v>
      </c>
      <c r="C3956" s="21">
        <v>44989</v>
      </c>
      <c r="D3956" s="20">
        <v>3291.84</v>
      </c>
      <c r="E3956" s="22" t="s">
        <v>10</v>
      </c>
      <c r="F3956" s="22" t="s">
        <v>11</v>
      </c>
      <c r="G3956" s="22" t="s">
        <v>17</v>
      </c>
    </row>
    <row r="3957" ht="15.15" spans="1:7">
      <c r="A3957" s="20">
        <v>3955</v>
      </c>
      <c r="B3957" s="20">
        <v>6320</v>
      </c>
      <c r="C3957" s="21">
        <v>45251</v>
      </c>
      <c r="D3957" s="20">
        <v>3291.84</v>
      </c>
      <c r="E3957" s="22" t="s">
        <v>10</v>
      </c>
      <c r="F3957" s="22" t="s">
        <v>18</v>
      </c>
      <c r="G3957" s="22" t="s">
        <v>17</v>
      </c>
    </row>
    <row r="3958" ht="15.15" spans="1:7">
      <c r="A3958" s="20">
        <v>3956</v>
      </c>
      <c r="B3958" s="20">
        <v>3697</v>
      </c>
      <c r="C3958" s="21">
        <v>44968</v>
      </c>
      <c r="D3958" s="20">
        <v>3291.84</v>
      </c>
      <c r="E3958" s="22" t="s">
        <v>10</v>
      </c>
      <c r="F3958" s="22" t="s">
        <v>11</v>
      </c>
      <c r="G3958" s="22" t="s">
        <v>12</v>
      </c>
    </row>
    <row r="3959" ht="15.15" spans="1:7">
      <c r="A3959" s="20">
        <v>3957</v>
      </c>
      <c r="B3959" s="20">
        <v>4402</v>
      </c>
      <c r="C3959" s="21">
        <v>45013</v>
      </c>
      <c r="D3959" s="20">
        <v>3291.84</v>
      </c>
      <c r="E3959" s="22" t="s">
        <v>10</v>
      </c>
      <c r="F3959" s="22" t="s">
        <v>16</v>
      </c>
      <c r="G3959" s="22" t="s">
        <v>15</v>
      </c>
    </row>
    <row r="3960" ht="15.15" spans="1:7">
      <c r="A3960" s="20">
        <v>3958</v>
      </c>
      <c r="B3960" s="20">
        <v>5566</v>
      </c>
      <c r="C3960" s="21">
        <v>45243</v>
      </c>
      <c r="D3960" s="20">
        <v>3291.84</v>
      </c>
      <c r="E3960" s="22" t="s">
        <v>10</v>
      </c>
      <c r="F3960" s="22" t="s">
        <v>14</v>
      </c>
      <c r="G3960" s="22" t="s">
        <v>12</v>
      </c>
    </row>
    <row r="3961" ht="15.15" spans="1:7">
      <c r="A3961" s="20">
        <v>3959</v>
      </c>
      <c r="B3961" s="20">
        <v>2917</v>
      </c>
      <c r="C3961" s="21">
        <v>45171</v>
      </c>
      <c r="D3961" s="20">
        <v>3291.84</v>
      </c>
      <c r="E3961" s="22" t="s">
        <v>10</v>
      </c>
      <c r="F3961" s="22" t="s">
        <v>11</v>
      </c>
      <c r="G3961" s="22" t="s">
        <v>20</v>
      </c>
    </row>
    <row r="3962" ht="15.15" spans="1:7">
      <c r="A3962" s="20">
        <v>3960</v>
      </c>
      <c r="B3962" s="20">
        <v>1988</v>
      </c>
      <c r="C3962" s="21">
        <v>45156</v>
      </c>
      <c r="D3962" s="20">
        <v>3291.84</v>
      </c>
      <c r="E3962" s="22" t="s">
        <v>10</v>
      </c>
      <c r="F3962" s="22" t="s">
        <v>14</v>
      </c>
      <c r="G3962" s="22" t="s">
        <v>20</v>
      </c>
    </row>
    <row r="3963" ht="15.15" spans="1:7">
      <c r="A3963" s="20">
        <v>3961</v>
      </c>
      <c r="B3963" s="20">
        <v>424</v>
      </c>
      <c r="C3963" s="21">
        <v>44978</v>
      </c>
      <c r="D3963" s="20">
        <v>3291.84</v>
      </c>
      <c r="E3963" s="22" t="s">
        <v>10</v>
      </c>
      <c r="F3963" s="22" t="s">
        <v>11</v>
      </c>
      <c r="G3963" s="22" t="s">
        <v>17</v>
      </c>
    </row>
    <row r="3964" ht="15.15" spans="1:7">
      <c r="A3964" s="20">
        <v>3962</v>
      </c>
      <c r="B3964" s="20">
        <v>8982</v>
      </c>
      <c r="C3964" s="21">
        <v>45003</v>
      </c>
      <c r="D3964" s="20">
        <v>3291.84</v>
      </c>
      <c r="E3964" s="22" t="s">
        <v>10</v>
      </c>
      <c r="F3964" s="22" t="s">
        <v>14</v>
      </c>
      <c r="G3964" s="22" t="s">
        <v>15</v>
      </c>
    </row>
    <row r="3965" ht="15.15" spans="1:7">
      <c r="A3965" s="20">
        <v>3963</v>
      </c>
      <c r="B3965" s="20">
        <v>4725</v>
      </c>
      <c r="C3965" s="21">
        <v>45092</v>
      </c>
      <c r="D3965" s="20">
        <v>3291.84</v>
      </c>
      <c r="E3965" s="22" t="s">
        <v>10</v>
      </c>
      <c r="F3965" s="22" t="s">
        <v>14</v>
      </c>
      <c r="G3965" s="22" t="s">
        <v>15</v>
      </c>
    </row>
    <row r="3966" ht="15.15" spans="1:7">
      <c r="A3966" s="20">
        <v>3964</v>
      </c>
      <c r="B3966" s="20">
        <v>3943</v>
      </c>
      <c r="C3966" s="21">
        <v>45054</v>
      </c>
      <c r="D3966" s="20">
        <v>3291.84</v>
      </c>
      <c r="E3966" s="22" t="s">
        <v>10</v>
      </c>
      <c r="F3966" s="22" t="s">
        <v>14</v>
      </c>
      <c r="G3966" s="22" t="s">
        <v>20</v>
      </c>
    </row>
    <row r="3967" ht="15.15" spans="1:7">
      <c r="A3967" s="20">
        <v>3965</v>
      </c>
      <c r="B3967" s="20">
        <v>7789</v>
      </c>
      <c r="C3967" s="21">
        <v>45225</v>
      </c>
      <c r="D3967" s="20">
        <v>3291.84</v>
      </c>
      <c r="E3967" s="22" t="s">
        <v>21</v>
      </c>
      <c r="F3967" s="22" t="s">
        <v>19</v>
      </c>
      <c r="G3967" s="22" t="s">
        <v>20</v>
      </c>
    </row>
    <row r="3968" ht="15.15" spans="1:7">
      <c r="A3968" s="20">
        <v>3966</v>
      </c>
      <c r="B3968" s="20">
        <v>3109</v>
      </c>
      <c r="C3968" s="21">
        <v>45268</v>
      </c>
      <c r="D3968" s="20">
        <v>3291.84</v>
      </c>
      <c r="E3968" s="22" t="s">
        <v>10</v>
      </c>
      <c r="F3968" s="22" t="s">
        <v>18</v>
      </c>
      <c r="G3968" s="22" t="s">
        <v>17</v>
      </c>
    </row>
    <row r="3969" ht="15.15" spans="1:7">
      <c r="A3969" s="20">
        <v>3967</v>
      </c>
      <c r="B3969" s="20">
        <v>2397</v>
      </c>
      <c r="C3969" s="21">
        <v>45143</v>
      </c>
      <c r="D3969" s="20">
        <v>3291.84</v>
      </c>
      <c r="E3969" s="22" t="s">
        <v>10</v>
      </c>
      <c r="F3969" s="22" t="s">
        <v>16</v>
      </c>
      <c r="G3969" s="22" t="s">
        <v>15</v>
      </c>
    </row>
    <row r="3970" ht="15.15" spans="1:7">
      <c r="A3970" s="20">
        <v>3968</v>
      </c>
      <c r="B3970" s="20">
        <v>9923</v>
      </c>
      <c r="C3970" s="21">
        <v>44963</v>
      </c>
      <c r="D3970" s="20">
        <v>3291.84</v>
      </c>
      <c r="E3970" s="22" t="s">
        <v>10</v>
      </c>
      <c r="F3970" s="22" t="s">
        <v>14</v>
      </c>
      <c r="G3970" s="22" t="s">
        <v>15</v>
      </c>
    </row>
    <row r="3971" ht="15.15" spans="1:7">
      <c r="A3971" s="20">
        <v>3969</v>
      </c>
      <c r="B3971" s="20">
        <v>3959</v>
      </c>
      <c r="C3971" s="21">
        <v>45166</v>
      </c>
      <c r="D3971" s="20">
        <v>3291.84</v>
      </c>
      <c r="E3971" s="22" t="s">
        <v>10</v>
      </c>
      <c r="F3971" s="22" t="s">
        <v>18</v>
      </c>
      <c r="G3971" s="22" t="s">
        <v>12</v>
      </c>
    </row>
    <row r="3972" ht="15.15" spans="1:7">
      <c r="A3972" s="20">
        <v>3970</v>
      </c>
      <c r="B3972" s="20">
        <v>3102</v>
      </c>
      <c r="C3972" s="21">
        <v>45208</v>
      </c>
      <c r="D3972" s="20">
        <v>3291.84</v>
      </c>
      <c r="E3972" s="22" t="s">
        <v>10</v>
      </c>
      <c r="F3972" s="22" t="s">
        <v>18</v>
      </c>
      <c r="G3972" s="22" t="s">
        <v>12</v>
      </c>
    </row>
    <row r="3973" ht="15.15" spans="1:7">
      <c r="A3973" s="20">
        <v>3971</v>
      </c>
      <c r="B3973" s="20">
        <v>5466</v>
      </c>
      <c r="C3973" s="21">
        <v>45089</v>
      </c>
      <c r="D3973" s="20">
        <v>3291.84</v>
      </c>
      <c r="E3973" s="22" t="s">
        <v>10</v>
      </c>
      <c r="F3973" s="22" t="s">
        <v>13</v>
      </c>
      <c r="G3973" s="22" t="s">
        <v>12</v>
      </c>
    </row>
    <row r="3974" ht="15.15" spans="1:7">
      <c r="A3974" s="20">
        <v>3972</v>
      </c>
      <c r="B3974" s="20">
        <v>3554</v>
      </c>
      <c r="C3974" s="21">
        <v>45140</v>
      </c>
      <c r="D3974" s="20">
        <v>3291.84</v>
      </c>
      <c r="E3974" s="22" t="s">
        <v>10</v>
      </c>
      <c r="F3974" s="22" t="s">
        <v>18</v>
      </c>
      <c r="G3974" s="22" t="s">
        <v>17</v>
      </c>
    </row>
    <row r="3975" ht="15.15" spans="1:7">
      <c r="A3975" s="20">
        <v>3973</v>
      </c>
      <c r="B3975" s="20">
        <v>7454</v>
      </c>
      <c r="C3975" s="21">
        <v>45147</v>
      </c>
      <c r="D3975" s="20">
        <v>3291.84</v>
      </c>
      <c r="E3975" s="22" t="s">
        <v>10</v>
      </c>
      <c r="F3975" s="22" t="s">
        <v>16</v>
      </c>
      <c r="G3975" s="22" t="s">
        <v>17</v>
      </c>
    </row>
    <row r="3976" ht="15.15" spans="1:7">
      <c r="A3976" s="20">
        <v>3974</v>
      </c>
      <c r="B3976" s="20">
        <v>6758</v>
      </c>
      <c r="C3976" s="21">
        <v>45269</v>
      </c>
      <c r="D3976" s="20">
        <v>3291.84</v>
      </c>
      <c r="E3976" s="22" t="s">
        <v>10</v>
      </c>
      <c r="F3976" s="22" t="s">
        <v>14</v>
      </c>
      <c r="G3976" s="22" t="s">
        <v>12</v>
      </c>
    </row>
    <row r="3977" ht="15.15" spans="1:7">
      <c r="A3977" s="20">
        <v>3975</v>
      </c>
      <c r="B3977" s="20">
        <v>7426</v>
      </c>
      <c r="C3977" s="21">
        <v>45071</v>
      </c>
      <c r="D3977" s="20">
        <v>3291.84</v>
      </c>
      <c r="E3977" s="22" t="s">
        <v>10</v>
      </c>
      <c r="F3977" s="22" t="s">
        <v>11</v>
      </c>
      <c r="G3977" s="22" t="s">
        <v>17</v>
      </c>
    </row>
    <row r="3978" ht="15.15" spans="1:7">
      <c r="A3978" s="20">
        <v>3976</v>
      </c>
      <c r="B3978" s="20">
        <v>7717</v>
      </c>
      <c r="C3978" s="21">
        <v>44987</v>
      </c>
      <c r="D3978" s="20">
        <v>3291.84</v>
      </c>
      <c r="E3978" s="22" t="s">
        <v>10</v>
      </c>
      <c r="F3978" s="22" t="s">
        <v>13</v>
      </c>
      <c r="G3978" s="22" t="s">
        <v>12</v>
      </c>
    </row>
    <row r="3979" ht="15.15" spans="1:7">
      <c r="A3979" s="20">
        <v>3977</v>
      </c>
      <c r="B3979" s="20">
        <v>3939</v>
      </c>
      <c r="C3979" s="21">
        <v>45212</v>
      </c>
      <c r="D3979" s="20">
        <v>3291.84</v>
      </c>
      <c r="E3979" s="22" t="s">
        <v>10</v>
      </c>
      <c r="F3979" s="22" t="s">
        <v>14</v>
      </c>
      <c r="G3979" s="22" t="s">
        <v>20</v>
      </c>
    </row>
    <row r="3980" ht="15.15" spans="1:7">
      <c r="A3980" s="20">
        <v>3978</v>
      </c>
      <c r="B3980" s="20">
        <v>8907</v>
      </c>
      <c r="C3980" s="21">
        <v>45045</v>
      </c>
      <c r="D3980" s="20">
        <v>3291.84</v>
      </c>
      <c r="E3980" s="22" t="s">
        <v>21</v>
      </c>
      <c r="F3980" s="22" t="s">
        <v>11</v>
      </c>
      <c r="G3980" s="22" t="s">
        <v>17</v>
      </c>
    </row>
    <row r="3981" ht="15.15" spans="1:7">
      <c r="A3981" s="20">
        <v>3979</v>
      </c>
      <c r="B3981" s="20">
        <v>7165</v>
      </c>
      <c r="C3981" s="21">
        <v>45286</v>
      </c>
      <c r="D3981" s="20">
        <v>3291.84</v>
      </c>
      <c r="E3981" s="22" t="s">
        <v>10</v>
      </c>
      <c r="F3981" s="22" t="s">
        <v>14</v>
      </c>
      <c r="G3981" s="22" t="s">
        <v>12</v>
      </c>
    </row>
    <row r="3982" ht="15.15" spans="1:7">
      <c r="A3982" s="20">
        <v>3980</v>
      </c>
      <c r="B3982" s="20">
        <v>3078</v>
      </c>
      <c r="C3982" s="21">
        <v>45058</v>
      </c>
      <c r="D3982" s="20">
        <v>3291.84</v>
      </c>
      <c r="E3982" s="22" t="s">
        <v>10</v>
      </c>
      <c r="F3982" s="22" t="s">
        <v>18</v>
      </c>
      <c r="G3982" s="22" t="s">
        <v>20</v>
      </c>
    </row>
    <row r="3983" ht="15.15" spans="1:7">
      <c r="A3983" s="20">
        <v>3981</v>
      </c>
      <c r="B3983" s="20">
        <v>8647</v>
      </c>
      <c r="C3983" s="21">
        <v>45235</v>
      </c>
      <c r="D3983" s="20">
        <v>3291.84</v>
      </c>
      <c r="E3983" s="22" t="s">
        <v>10</v>
      </c>
      <c r="F3983" s="22" t="s">
        <v>16</v>
      </c>
      <c r="G3983" s="22" t="s">
        <v>15</v>
      </c>
    </row>
    <row r="3984" ht="15.15" spans="1:7">
      <c r="A3984" s="20">
        <v>3982</v>
      </c>
      <c r="B3984" s="20">
        <v>9054</v>
      </c>
      <c r="C3984" s="21">
        <v>45190</v>
      </c>
      <c r="D3984" s="20">
        <v>3291.84</v>
      </c>
      <c r="E3984" s="22" t="s">
        <v>10</v>
      </c>
      <c r="F3984" s="22" t="s">
        <v>18</v>
      </c>
      <c r="G3984" s="22" t="s">
        <v>20</v>
      </c>
    </row>
    <row r="3985" ht="15.15" spans="1:7">
      <c r="A3985" s="20">
        <v>3983</v>
      </c>
      <c r="B3985" s="20">
        <v>2146</v>
      </c>
      <c r="C3985" s="21">
        <v>45081</v>
      </c>
      <c r="D3985" s="20">
        <v>3291.84</v>
      </c>
      <c r="E3985" s="22" t="s">
        <v>10</v>
      </c>
      <c r="F3985" s="22" t="s">
        <v>13</v>
      </c>
      <c r="G3985" s="22" t="s">
        <v>15</v>
      </c>
    </row>
    <row r="3986" ht="15.15" spans="1:7">
      <c r="A3986" s="20">
        <v>3984</v>
      </c>
      <c r="B3986" s="20">
        <v>4751</v>
      </c>
      <c r="C3986" s="21">
        <v>45255</v>
      </c>
      <c r="D3986" s="20">
        <v>3291.84</v>
      </c>
      <c r="E3986" s="22" t="s">
        <v>10</v>
      </c>
      <c r="F3986" s="22" t="s">
        <v>11</v>
      </c>
      <c r="G3986" s="22" t="s">
        <v>12</v>
      </c>
    </row>
    <row r="3987" ht="15.15" spans="1:7">
      <c r="A3987" s="20">
        <v>3985</v>
      </c>
      <c r="B3987" s="20">
        <v>5283</v>
      </c>
      <c r="C3987" s="21">
        <v>45213</v>
      </c>
      <c r="D3987" s="20">
        <v>3291.84</v>
      </c>
      <c r="E3987" s="22" t="s">
        <v>10</v>
      </c>
      <c r="F3987" s="22" t="s">
        <v>18</v>
      </c>
      <c r="G3987" s="22" t="s">
        <v>17</v>
      </c>
    </row>
    <row r="3988" ht="15.15" spans="1:7">
      <c r="A3988" s="20">
        <v>3986</v>
      </c>
      <c r="B3988" s="20">
        <v>5240</v>
      </c>
      <c r="C3988" s="21">
        <v>45173</v>
      </c>
      <c r="D3988" s="20">
        <v>3291.84</v>
      </c>
      <c r="E3988" s="22" t="s">
        <v>10</v>
      </c>
      <c r="F3988" s="22" t="s">
        <v>11</v>
      </c>
      <c r="G3988" s="22" t="s">
        <v>17</v>
      </c>
    </row>
    <row r="3989" ht="15.15" spans="1:7">
      <c r="A3989" s="20">
        <v>3987</v>
      </c>
      <c r="B3989" s="20">
        <v>3069</v>
      </c>
      <c r="C3989" s="21">
        <v>45051</v>
      </c>
      <c r="D3989" s="20">
        <v>3291.84</v>
      </c>
      <c r="E3989" s="22" t="s">
        <v>10</v>
      </c>
      <c r="F3989" s="22" t="s">
        <v>16</v>
      </c>
      <c r="G3989" s="22" t="s">
        <v>20</v>
      </c>
    </row>
    <row r="3990" ht="15.15" spans="1:7">
      <c r="A3990" s="20">
        <v>3988</v>
      </c>
      <c r="B3990" s="20">
        <v>2483</v>
      </c>
      <c r="C3990" s="21">
        <v>44941</v>
      </c>
      <c r="D3990" s="20">
        <v>3291.84</v>
      </c>
      <c r="E3990" s="22" t="s">
        <v>10</v>
      </c>
      <c r="F3990" s="22" t="s">
        <v>11</v>
      </c>
      <c r="G3990" s="22" t="s">
        <v>15</v>
      </c>
    </row>
    <row r="3991" ht="15.15" spans="1:7">
      <c r="A3991" s="20">
        <v>3989</v>
      </c>
      <c r="B3991" s="20">
        <v>7194</v>
      </c>
      <c r="C3991" s="21">
        <v>45233</v>
      </c>
      <c r="D3991" s="20">
        <v>3291.84</v>
      </c>
      <c r="E3991" s="22" t="s">
        <v>10</v>
      </c>
      <c r="F3991" s="22" t="s">
        <v>11</v>
      </c>
      <c r="G3991" s="22" t="s">
        <v>15</v>
      </c>
    </row>
    <row r="3992" ht="15.15" spans="1:7">
      <c r="A3992" s="20">
        <v>3990</v>
      </c>
      <c r="B3992" s="20">
        <v>8072</v>
      </c>
      <c r="C3992" s="21">
        <v>44987</v>
      </c>
      <c r="D3992" s="20">
        <v>3291.84</v>
      </c>
      <c r="E3992" s="22" t="s">
        <v>10</v>
      </c>
      <c r="F3992" s="22" t="s">
        <v>13</v>
      </c>
      <c r="G3992" s="22" t="s">
        <v>15</v>
      </c>
    </row>
    <row r="3993" ht="15.15" spans="1:7">
      <c r="A3993" s="20">
        <v>3991</v>
      </c>
      <c r="B3993" s="20">
        <v>1312</v>
      </c>
      <c r="C3993" s="21">
        <v>44967</v>
      </c>
      <c r="D3993" s="20">
        <v>3291.84</v>
      </c>
      <c r="E3993" s="22" t="s">
        <v>10</v>
      </c>
      <c r="F3993" s="22" t="s">
        <v>13</v>
      </c>
      <c r="G3993" s="22" t="s">
        <v>20</v>
      </c>
    </row>
    <row r="3994" ht="15.15" spans="1:7">
      <c r="A3994" s="20">
        <v>3992</v>
      </c>
      <c r="B3994" s="20">
        <v>5846</v>
      </c>
      <c r="C3994" s="21">
        <v>45128</v>
      </c>
      <c r="D3994" s="20">
        <v>3291.84</v>
      </c>
      <c r="E3994" s="22" t="s">
        <v>10</v>
      </c>
      <c r="F3994" s="22" t="s">
        <v>11</v>
      </c>
      <c r="G3994" s="22" t="s">
        <v>17</v>
      </c>
    </row>
    <row r="3995" ht="15.15" spans="1:7">
      <c r="A3995" s="20">
        <v>3993</v>
      </c>
      <c r="B3995" s="20">
        <v>5092</v>
      </c>
      <c r="C3995" s="21">
        <v>45271</v>
      </c>
      <c r="D3995" s="20">
        <v>3291.84</v>
      </c>
      <c r="E3995" s="22" t="s">
        <v>10</v>
      </c>
      <c r="F3995" s="22" t="s">
        <v>18</v>
      </c>
      <c r="G3995" s="22" t="s">
        <v>15</v>
      </c>
    </row>
    <row r="3996" ht="15.15" spans="1:7">
      <c r="A3996" s="20">
        <v>3994</v>
      </c>
      <c r="B3996" s="20">
        <v>8336</v>
      </c>
      <c r="C3996" s="21">
        <v>45276</v>
      </c>
      <c r="D3996" s="20">
        <v>3291.84</v>
      </c>
      <c r="E3996" s="22" t="s">
        <v>10</v>
      </c>
      <c r="F3996" s="22" t="s">
        <v>13</v>
      </c>
      <c r="G3996" s="22" t="s">
        <v>12</v>
      </c>
    </row>
    <row r="3997" ht="15.15" spans="1:7">
      <c r="A3997" s="20">
        <v>3995</v>
      </c>
      <c r="B3997" s="20">
        <v>2640</v>
      </c>
      <c r="C3997" s="21">
        <v>45265</v>
      </c>
      <c r="D3997" s="20">
        <v>3291.84</v>
      </c>
      <c r="E3997" s="22" t="s">
        <v>10</v>
      </c>
      <c r="F3997" s="22" t="s">
        <v>13</v>
      </c>
      <c r="G3997" s="22" t="s">
        <v>15</v>
      </c>
    </row>
    <row r="3998" ht="15.15" spans="1:7">
      <c r="A3998" s="20">
        <v>3996</v>
      </c>
      <c r="B3998" s="20">
        <v>3439</v>
      </c>
      <c r="C3998" s="21">
        <v>45103</v>
      </c>
      <c r="D3998" s="20">
        <v>3291.84</v>
      </c>
      <c r="E3998" s="22" t="s">
        <v>22</v>
      </c>
      <c r="F3998" s="22" t="s">
        <v>13</v>
      </c>
      <c r="G3998" s="22" t="s">
        <v>12</v>
      </c>
    </row>
    <row r="3999" ht="15.15" spans="1:7">
      <c r="A3999" s="20">
        <v>3997</v>
      </c>
      <c r="B3999" s="20">
        <v>6319</v>
      </c>
      <c r="C3999" s="21">
        <v>45214</v>
      </c>
      <c r="D3999" s="20">
        <v>3291.84</v>
      </c>
      <c r="E3999" s="22" t="s">
        <v>10</v>
      </c>
      <c r="F3999" s="22" t="s">
        <v>14</v>
      </c>
      <c r="G3999" s="22" t="s">
        <v>17</v>
      </c>
    </row>
    <row r="4000" ht="15.15" spans="1:7">
      <c r="A4000" s="20">
        <v>3998</v>
      </c>
      <c r="B4000" s="20">
        <v>86</v>
      </c>
      <c r="C4000" s="21">
        <v>45120</v>
      </c>
      <c r="D4000" s="20">
        <v>3291.84</v>
      </c>
      <c r="E4000" s="22" t="s">
        <v>10</v>
      </c>
      <c r="F4000" s="22" t="s">
        <v>18</v>
      </c>
      <c r="G4000" s="22" t="s">
        <v>12</v>
      </c>
    </row>
    <row r="4001" ht="15.15" spans="1:7">
      <c r="A4001" s="20">
        <v>3999</v>
      </c>
      <c r="B4001" s="20">
        <v>4669</v>
      </c>
      <c r="C4001" s="21">
        <v>45233</v>
      </c>
      <c r="D4001" s="20">
        <v>3291.84</v>
      </c>
      <c r="E4001" s="22" t="s">
        <v>10</v>
      </c>
      <c r="F4001" s="22" t="s">
        <v>18</v>
      </c>
      <c r="G4001" s="22" t="s">
        <v>12</v>
      </c>
    </row>
    <row r="4002" ht="15.15" spans="1:7">
      <c r="A4002" s="20">
        <v>4000</v>
      </c>
      <c r="B4002" s="20">
        <v>1316</v>
      </c>
      <c r="C4002" s="21">
        <v>45004</v>
      </c>
      <c r="D4002" s="20">
        <v>3291.84</v>
      </c>
      <c r="E4002" s="22" t="s">
        <v>10</v>
      </c>
      <c r="F4002" s="22" t="s">
        <v>14</v>
      </c>
      <c r="G4002" s="22" t="s">
        <v>20</v>
      </c>
    </row>
    <row r="4003" ht="15.15" spans="1:7">
      <c r="A4003" s="20">
        <v>4001</v>
      </c>
      <c r="B4003" s="20">
        <v>8941</v>
      </c>
      <c r="C4003" s="21">
        <v>45219</v>
      </c>
      <c r="D4003" s="20">
        <v>3291.84</v>
      </c>
      <c r="E4003" s="22" t="s">
        <v>10</v>
      </c>
      <c r="F4003" s="22" t="s">
        <v>13</v>
      </c>
      <c r="G4003" s="22" t="s">
        <v>20</v>
      </c>
    </row>
    <row r="4004" ht="15.15" spans="1:7">
      <c r="A4004" s="20">
        <v>4002</v>
      </c>
      <c r="B4004" s="20">
        <v>1030</v>
      </c>
      <c r="C4004" s="21">
        <v>45224</v>
      </c>
      <c r="D4004" s="20">
        <v>3291.84</v>
      </c>
      <c r="E4004" s="22" t="s">
        <v>10</v>
      </c>
      <c r="F4004" s="22" t="s">
        <v>13</v>
      </c>
      <c r="G4004" s="22" t="s">
        <v>12</v>
      </c>
    </row>
    <row r="4005" ht="15.15" spans="1:7">
      <c r="A4005" s="20">
        <v>4003</v>
      </c>
      <c r="B4005" s="20">
        <v>5177</v>
      </c>
      <c r="C4005" s="21">
        <v>45052</v>
      </c>
      <c r="D4005" s="20">
        <v>3291.84</v>
      </c>
      <c r="E4005" s="22" t="s">
        <v>10</v>
      </c>
      <c r="F4005" s="22" t="s">
        <v>19</v>
      </c>
      <c r="G4005" s="22" t="s">
        <v>20</v>
      </c>
    </row>
    <row r="4006" ht="15.15" spans="1:7">
      <c r="A4006" s="20">
        <v>4004</v>
      </c>
      <c r="B4006" s="20">
        <v>2854</v>
      </c>
      <c r="C4006" s="21">
        <v>45113</v>
      </c>
      <c r="D4006" s="20">
        <v>3291.84</v>
      </c>
      <c r="E4006" s="22" t="s">
        <v>10</v>
      </c>
      <c r="F4006" s="22" t="s">
        <v>14</v>
      </c>
      <c r="G4006" s="22" t="s">
        <v>12</v>
      </c>
    </row>
    <row r="4007" ht="15.15" spans="1:7">
      <c r="A4007" s="20">
        <v>4005</v>
      </c>
      <c r="B4007" s="20">
        <v>1501</v>
      </c>
      <c r="C4007" s="21">
        <v>45111</v>
      </c>
      <c r="D4007" s="20">
        <v>3291.84</v>
      </c>
      <c r="E4007" s="22" t="s">
        <v>10</v>
      </c>
      <c r="F4007" s="22" t="s">
        <v>18</v>
      </c>
      <c r="G4007" s="22" t="s">
        <v>20</v>
      </c>
    </row>
    <row r="4008" ht="15.15" spans="1:7">
      <c r="A4008" s="20">
        <v>4006</v>
      </c>
      <c r="B4008" s="20">
        <v>8277</v>
      </c>
      <c r="C4008" s="21">
        <v>44969</v>
      </c>
      <c r="D4008" s="20">
        <v>3291.84</v>
      </c>
      <c r="E4008" s="22" t="s">
        <v>10</v>
      </c>
      <c r="F4008" s="22" t="s">
        <v>13</v>
      </c>
      <c r="G4008" s="22" t="s">
        <v>17</v>
      </c>
    </row>
    <row r="4009" ht="15.15" spans="1:7">
      <c r="A4009" s="20">
        <v>4007</v>
      </c>
      <c r="B4009" s="20">
        <v>9623</v>
      </c>
      <c r="C4009" s="21">
        <v>45261</v>
      </c>
      <c r="D4009" s="20">
        <v>3291.84</v>
      </c>
      <c r="E4009" s="22" t="s">
        <v>10</v>
      </c>
      <c r="F4009" s="22" t="s">
        <v>11</v>
      </c>
      <c r="G4009" s="22" t="s">
        <v>15</v>
      </c>
    </row>
    <row r="4010" ht="15.15" spans="1:7">
      <c r="A4010" s="20">
        <v>4008</v>
      </c>
      <c r="B4010" s="20">
        <v>7297</v>
      </c>
      <c r="C4010" s="21">
        <v>45057</v>
      </c>
      <c r="D4010" s="20">
        <v>3291.84</v>
      </c>
      <c r="E4010" s="22" t="s">
        <v>10</v>
      </c>
      <c r="F4010" s="22" t="s">
        <v>16</v>
      </c>
      <c r="G4010" s="22" t="s">
        <v>15</v>
      </c>
    </row>
    <row r="4011" ht="15.15" spans="1:7">
      <c r="A4011" s="20">
        <v>4009</v>
      </c>
      <c r="B4011" s="20">
        <v>1341</v>
      </c>
      <c r="C4011" s="21">
        <v>45288</v>
      </c>
      <c r="D4011" s="20">
        <v>3291.84</v>
      </c>
      <c r="E4011" s="22" t="s">
        <v>10</v>
      </c>
      <c r="F4011" s="22" t="s">
        <v>16</v>
      </c>
      <c r="G4011" s="22" t="s">
        <v>17</v>
      </c>
    </row>
    <row r="4012" ht="15.15" spans="1:7">
      <c r="A4012" s="20">
        <v>4010</v>
      </c>
      <c r="B4012" s="20">
        <v>8425</v>
      </c>
      <c r="C4012" s="21">
        <v>44990</v>
      </c>
      <c r="D4012" s="20">
        <v>3291.84</v>
      </c>
      <c r="E4012" s="22" t="s">
        <v>10</v>
      </c>
      <c r="F4012" s="22" t="s">
        <v>18</v>
      </c>
      <c r="G4012" s="22" t="s">
        <v>12</v>
      </c>
    </row>
    <row r="4013" ht="15.15" spans="1:7">
      <c r="A4013" s="20">
        <v>4011</v>
      </c>
      <c r="B4013" s="20">
        <v>9743</v>
      </c>
      <c r="C4013" s="21">
        <v>44973</v>
      </c>
      <c r="D4013" s="20">
        <v>3291.84</v>
      </c>
      <c r="E4013" s="22" t="s">
        <v>10</v>
      </c>
      <c r="F4013" s="22" t="s">
        <v>11</v>
      </c>
      <c r="G4013" s="22" t="s">
        <v>17</v>
      </c>
    </row>
    <row r="4014" ht="15.15" spans="1:7">
      <c r="A4014" s="20">
        <v>4012</v>
      </c>
      <c r="B4014" s="20">
        <v>4451</v>
      </c>
      <c r="C4014" s="21">
        <v>45023</v>
      </c>
      <c r="D4014" s="20">
        <v>3291.84</v>
      </c>
      <c r="E4014" s="22" t="s">
        <v>10</v>
      </c>
      <c r="F4014" s="22" t="s">
        <v>14</v>
      </c>
      <c r="G4014" s="22" t="s">
        <v>20</v>
      </c>
    </row>
    <row r="4015" ht="15.15" spans="1:7">
      <c r="A4015" s="20">
        <v>4013</v>
      </c>
      <c r="B4015" s="20">
        <v>1160</v>
      </c>
      <c r="C4015" s="21">
        <v>45249</v>
      </c>
      <c r="D4015" s="20">
        <v>3291.84</v>
      </c>
      <c r="E4015" s="22" t="s">
        <v>10</v>
      </c>
      <c r="F4015" s="22" t="s">
        <v>13</v>
      </c>
      <c r="G4015" s="22" t="s">
        <v>12</v>
      </c>
    </row>
    <row r="4016" ht="15.15" spans="1:7">
      <c r="A4016" s="20">
        <v>4014</v>
      </c>
      <c r="B4016" s="20">
        <v>8991</v>
      </c>
      <c r="C4016" s="21">
        <v>45072</v>
      </c>
      <c r="D4016" s="20">
        <v>3291.84</v>
      </c>
      <c r="E4016" s="22" t="s">
        <v>10</v>
      </c>
      <c r="F4016" s="22" t="s">
        <v>16</v>
      </c>
      <c r="G4016" s="22" t="s">
        <v>12</v>
      </c>
    </row>
    <row r="4017" ht="15.15" spans="1:7">
      <c r="A4017" s="20">
        <v>4015</v>
      </c>
      <c r="B4017" s="20">
        <v>6422</v>
      </c>
      <c r="C4017" s="21">
        <v>45041</v>
      </c>
      <c r="D4017" s="20">
        <v>3291.84</v>
      </c>
      <c r="E4017" s="22" t="s">
        <v>10</v>
      </c>
      <c r="F4017" s="22" t="s">
        <v>14</v>
      </c>
      <c r="G4017" s="22" t="s">
        <v>20</v>
      </c>
    </row>
    <row r="4018" ht="15.15" spans="1:7">
      <c r="A4018" s="20">
        <v>4016</v>
      </c>
      <c r="B4018" s="20">
        <v>5643</v>
      </c>
      <c r="C4018" s="21">
        <v>45093</v>
      </c>
      <c r="D4018" s="20">
        <v>3291.84</v>
      </c>
      <c r="E4018" s="22" t="s">
        <v>10</v>
      </c>
      <c r="F4018" s="22" t="s">
        <v>11</v>
      </c>
      <c r="G4018" s="22" t="s">
        <v>17</v>
      </c>
    </row>
    <row r="4019" ht="15.15" spans="1:7">
      <c r="A4019" s="20">
        <v>4017</v>
      </c>
      <c r="B4019" s="20">
        <v>9469</v>
      </c>
      <c r="C4019" s="21">
        <v>45197</v>
      </c>
      <c r="D4019" s="20">
        <v>3291.84</v>
      </c>
      <c r="E4019" s="22" t="s">
        <v>10</v>
      </c>
      <c r="F4019" s="22" t="s">
        <v>11</v>
      </c>
      <c r="G4019" s="22" t="s">
        <v>12</v>
      </c>
    </row>
    <row r="4020" ht="15.15" spans="1:7">
      <c r="A4020" s="20">
        <v>4018</v>
      </c>
      <c r="B4020" s="20">
        <v>1975</v>
      </c>
      <c r="C4020" s="21">
        <v>44959</v>
      </c>
      <c r="D4020" s="20">
        <v>3291.84</v>
      </c>
      <c r="E4020" s="22" t="s">
        <v>10</v>
      </c>
      <c r="F4020" s="22" t="s">
        <v>18</v>
      </c>
      <c r="G4020" s="22" t="s">
        <v>17</v>
      </c>
    </row>
    <row r="4021" ht="15.15" spans="1:7">
      <c r="A4021" s="20">
        <v>4019</v>
      </c>
      <c r="B4021" s="20">
        <v>2145</v>
      </c>
      <c r="C4021" s="21">
        <v>45186</v>
      </c>
      <c r="D4021" s="20">
        <v>3291.84</v>
      </c>
      <c r="E4021" s="22" t="s">
        <v>10</v>
      </c>
      <c r="F4021" s="22" t="s">
        <v>16</v>
      </c>
      <c r="G4021" s="22" t="s">
        <v>15</v>
      </c>
    </row>
    <row r="4022" ht="15.15" spans="1:7">
      <c r="A4022" s="20">
        <v>4020</v>
      </c>
      <c r="B4022" s="20">
        <v>7822</v>
      </c>
      <c r="C4022" s="21">
        <v>45114</v>
      </c>
      <c r="D4022" s="20">
        <v>3291.84</v>
      </c>
      <c r="E4022" s="22" t="s">
        <v>10</v>
      </c>
      <c r="F4022" s="22" t="s">
        <v>13</v>
      </c>
      <c r="G4022" s="22" t="s">
        <v>12</v>
      </c>
    </row>
    <row r="4023" ht="15.15" spans="1:7">
      <c r="A4023" s="20">
        <v>4021</v>
      </c>
      <c r="B4023" s="20">
        <v>6969</v>
      </c>
      <c r="C4023" s="21">
        <v>45206</v>
      </c>
      <c r="D4023" s="20">
        <v>3291.84</v>
      </c>
      <c r="E4023" s="22" t="s">
        <v>10</v>
      </c>
      <c r="F4023" s="22" t="s">
        <v>18</v>
      </c>
      <c r="G4023" s="22" t="s">
        <v>15</v>
      </c>
    </row>
    <row r="4024" ht="15.15" spans="1:7">
      <c r="A4024" s="20">
        <v>4022</v>
      </c>
      <c r="B4024" s="20">
        <v>8695</v>
      </c>
      <c r="C4024" s="21">
        <v>45140</v>
      </c>
      <c r="D4024" s="20">
        <v>3291.84</v>
      </c>
      <c r="E4024" s="22" t="s">
        <v>10</v>
      </c>
      <c r="F4024" s="22" t="s">
        <v>14</v>
      </c>
      <c r="G4024" s="22" t="s">
        <v>17</v>
      </c>
    </row>
    <row r="4025" ht="15.15" spans="1:7">
      <c r="A4025" s="20">
        <v>4023</v>
      </c>
      <c r="B4025" s="20">
        <v>5384</v>
      </c>
      <c r="C4025" s="21">
        <v>45247</v>
      </c>
      <c r="D4025" s="20">
        <v>3291.84</v>
      </c>
      <c r="E4025" s="22" t="s">
        <v>10</v>
      </c>
      <c r="F4025" s="22" t="s">
        <v>14</v>
      </c>
      <c r="G4025" s="22" t="s">
        <v>20</v>
      </c>
    </row>
    <row r="4026" ht="15.15" spans="1:7">
      <c r="A4026" s="20">
        <v>4024</v>
      </c>
      <c r="B4026" s="20">
        <v>9047</v>
      </c>
      <c r="C4026" s="21">
        <v>44980</v>
      </c>
      <c r="D4026" s="20">
        <v>3291.84</v>
      </c>
      <c r="E4026" s="22" t="s">
        <v>10</v>
      </c>
      <c r="F4026" s="22" t="s">
        <v>13</v>
      </c>
      <c r="G4026" s="22" t="s">
        <v>20</v>
      </c>
    </row>
    <row r="4027" ht="15.15" spans="1:7">
      <c r="A4027" s="20">
        <v>4025</v>
      </c>
      <c r="B4027" s="20">
        <v>8860</v>
      </c>
      <c r="C4027" s="21">
        <v>45254</v>
      </c>
      <c r="D4027" s="20">
        <v>3291.84</v>
      </c>
      <c r="E4027" s="22" t="s">
        <v>10</v>
      </c>
      <c r="F4027" s="22" t="s">
        <v>18</v>
      </c>
      <c r="G4027" s="22" t="s">
        <v>12</v>
      </c>
    </row>
    <row r="4028" ht="15.15" spans="1:7">
      <c r="A4028" s="20">
        <v>4026</v>
      </c>
      <c r="B4028" s="20">
        <v>8049</v>
      </c>
      <c r="C4028" s="21">
        <v>45023</v>
      </c>
      <c r="D4028" s="20">
        <v>3291.84</v>
      </c>
      <c r="E4028" s="22" t="s">
        <v>10</v>
      </c>
      <c r="F4028" s="22" t="s">
        <v>14</v>
      </c>
      <c r="G4028" s="22" t="s">
        <v>12</v>
      </c>
    </row>
    <row r="4029" ht="15.15" spans="1:7">
      <c r="A4029" s="20">
        <v>4027</v>
      </c>
      <c r="B4029" s="20">
        <v>4403</v>
      </c>
      <c r="C4029" s="21">
        <v>45030</v>
      </c>
      <c r="D4029" s="20">
        <v>3291.84</v>
      </c>
      <c r="E4029" s="22" t="s">
        <v>10</v>
      </c>
      <c r="F4029" s="22" t="s">
        <v>11</v>
      </c>
      <c r="G4029" s="22" t="s">
        <v>20</v>
      </c>
    </row>
    <row r="4030" ht="15.15" spans="1:7">
      <c r="A4030" s="20">
        <v>4028</v>
      </c>
      <c r="B4030" s="20">
        <v>6165</v>
      </c>
      <c r="C4030" s="21">
        <v>45213</v>
      </c>
      <c r="D4030" s="20">
        <v>3291.84</v>
      </c>
      <c r="E4030" s="22" t="s">
        <v>10</v>
      </c>
      <c r="F4030" s="22" t="s">
        <v>14</v>
      </c>
      <c r="G4030" s="22" t="s">
        <v>20</v>
      </c>
    </row>
    <row r="4031" ht="15.15" spans="1:7">
      <c r="A4031" s="20">
        <v>4029</v>
      </c>
      <c r="B4031" s="20">
        <v>8100</v>
      </c>
      <c r="C4031" s="21">
        <v>45273</v>
      </c>
      <c r="D4031" s="20">
        <v>3291.84</v>
      </c>
      <c r="E4031" s="22" t="s">
        <v>10</v>
      </c>
      <c r="F4031" s="22" t="s">
        <v>14</v>
      </c>
      <c r="G4031" s="22" t="s">
        <v>15</v>
      </c>
    </row>
    <row r="4032" ht="15.15" spans="1:7">
      <c r="A4032" s="20">
        <v>4030</v>
      </c>
      <c r="B4032" s="20">
        <v>3053</v>
      </c>
      <c r="C4032" s="21">
        <v>45192</v>
      </c>
      <c r="D4032" s="20">
        <v>3291.84</v>
      </c>
      <c r="E4032" s="22" t="s">
        <v>10</v>
      </c>
      <c r="F4032" s="22" t="s">
        <v>11</v>
      </c>
      <c r="G4032" s="22" t="s">
        <v>15</v>
      </c>
    </row>
    <row r="4033" ht="15.15" spans="1:7">
      <c r="A4033" s="20">
        <v>4031</v>
      </c>
      <c r="B4033" s="20">
        <v>9752</v>
      </c>
      <c r="C4033" s="21">
        <v>45132</v>
      </c>
      <c r="D4033" s="20">
        <v>3291.84</v>
      </c>
      <c r="E4033" s="22" t="s">
        <v>10</v>
      </c>
      <c r="F4033" s="22" t="s">
        <v>11</v>
      </c>
      <c r="G4033" s="22" t="s">
        <v>20</v>
      </c>
    </row>
    <row r="4034" ht="15.15" spans="1:7">
      <c r="A4034" s="20">
        <v>4032</v>
      </c>
      <c r="B4034" s="20">
        <v>1129</v>
      </c>
      <c r="C4034" s="21">
        <v>44982</v>
      </c>
      <c r="D4034" s="20">
        <v>3291.84</v>
      </c>
      <c r="E4034" s="22" t="s">
        <v>10</v>
      </c>
      <c r="F4034" s="22" t="s">
        <v>13</v>
      </c>
      <c r="G4034" s="22" t="s">
        <v>17</v>
      </c>
    </row>
    <row r="4035" ht="15.15" spans="1:7">
      <c r="A4035" s="20">
        <v>4033</v>
      </c>
      <c r="B4035" s="20">
        <v>3426</v>
      </c>
      <c r="C4035" s="21">
        <v>45239</v>
      </c>
      <c r="D4035" s="20">
        <v>3291.84</v>
      </c>
      <c r="E4035" s="22" t="s">
        <v>10</v>
      </c>
      <c r="F4035" s="22" t="s">
        <v>13</v>
      </c>
      <c r="G4035" s="22" t="s">
        <v>15</v>
      </c>
    </row>
    <row r="4036" ht="15.15" spans="1:7">
      <c r="A4036" s="20">
        <v>4034</v>
      </c>
      <c r="B4036" s="20">
        <v>3426</v>
      </c>
      <c r="C4036" s="21">
        <v>45019</v>
      </c>
      <c r="D4036" s="20">
        <v>3291.84</v>
      </c>
      <c r="E4036" s="22" t="s">
        <v>10</v>
      </c>
      <c r="F4036" s="22" t="s">
        <v>13</v>
      </c>
      <c r="G4036" s="22" t="s">
        <v>12</v>
      </c>
    </row>
    <row r="4037" ht="15.15" spans="1:7">
      <c r="A4037" s="20">
        <v>4035</v>
      </c>
      <c r="B4037" s="20">
        <v>9183</v>
      </c>
      <c r="C4037" s="21">
        <v>44951</v>
      </c>
      <c r="D4037" s="20">
        <v>3291.84</v>
      </c>
      <c r="E4037" s="22" t="s">
        <v>10</v>
      </c>
      <c r="F4037" s="22" t="s">
        <v>16</v>
      </c>
      <c r="G4037" s="22" t="s">
        <v>12</v>
      </c>
    </row>
    <row r="4038" ht="15.15" spans="1:7">
      <c r="A4038" s="20">
        <v>4036</v>
      </c>
      <c r="B4038" s="20">
        <v>5162</v>
      </c>
      <c r="C4038" s="21">
        <v>45212</v>
      </c>
      <c r="D4038" s="20">
        <v>3291.84</v>
      </c>
      <c r="E4038" s="22" t="s">
        <v>10</v>
      </c>
      <c r="F4038" s="22" t="s">
        <v>13</v>
      </c>
      <c r="G4038" s="22" t="s">
        <v>12</v>
      </c>
    </row>
    <row r="4039" ht="15.15" spans="1:7">
      <c r="A4039" s="20">
        <v>4037</v>
      </c>
      <c r="B4039" s="20">
        <v>1274</v>
      </c>
      <c r="C4039" s="21">
        <v>45283</v>
      </c>
      <c r="D4039" s="20">
        <v>3291.84</v>
      </c>
      <c r="E4039" s="22" t="s">
        <v>21</v>
      </c>
      <c r="F4039" s="22" t="s">
        <v>11</v>
      </c>
      <c r="G4039" s="22" t="s">
        <v>20</v>
      </c>
    </row>
    <row r="4040" ht="15.15" spans="1:7">
      <c r="A4040" s="20">
        <v>4038</v>
      </c>
      <c r="B4040" s="20">
        <v>6691</v>
      </c>
      <c r="C4040" s="21">
        <v>45210</v>
      </c>
      <c r="D4040" s="20">
        <v>3291.84</v>
      </c>
      <c r="E4040" s="22" t="s">
        <v>10</v>
      </c>
      <c r="F4040" s="22" t="s">
        <v>16</v>
      </c>
      <c r="G4040" s="22" t="s">
        <v>12</v>
      </c>
    </row>
    <row r="4041" ht="15.15" spans="1:7">
      <c r="A4041" s="20">
        <v>4039</v>
      </c>
      <c r="B4041" s="20">
        <v>7544</v>
      </c>
      <c r="C4041" s="21">
        <v>45029</v>
      </c>
      <c r="D4041" s="20">
        <v>3291.84</v>
      </c>
      <c r="E4041" s="22" t="s">
        <v>10</v>
      </c>
      <c r="F4041" s="22" t="s">
        <v>11</v>
      </c>
      <c r="G4041" s="22" t="s">
        <v>12</v>
      </c>
    </row>
    <row r="4042" ht="15.15" spans="1:7">
      <c r="A4042" s="20">
        <v>4040</v>
      </c>
      <c r="B4042" s="20">
        <v>2647</v>
      </c>
      <c r="C4042" s="21">
        <v>45087</v>
      </c>
      <c r="D4042" s="20">
        <v>3291.84</v>
      </c>
      <c r="E4042" s="22" t="s">
        <v>10</v>
      </c>
      <c r="F4042" s="22" t="s">
        <v>11</v>
      </c>
      <c r="G4042" s="22" t="s">
        <v>20</v>
      </c>
    </row>
    <row r="4043" ht="15.15" spans="1:7">
      <c r="A4043" s="20">
        <v>4041</v>
      </c>
      <c r="B4043" s="20">
        <v>2269</v>
      </c>
      <c r="C4043" s="21">
        <v>45264</v>
      </c>
      <c r="D4043" s="20">
        <v>3291.84</v>
      </c>
      <c r="E4043" s="22" t="s">
        <v>10</v>
      </c>
      <c r="F4043" s="22" t="s">
        <v>16</v>
      </c>
      <c r="G4043" s="22" t="s">
        <v>20</v>
      </c>
    </row>
    <row r="4044" ht="15.15" spans="1:7">
      <c r="A4044" s="20">
        <v>4042</v>
      </c>
      <c r="B4044" s="20">
        <v>5781</v>
      </c>
      <c r="C4044" s="21">
        <v>45163</v>
      </c>
      <c r="D4044" s="20">
        <v>3291.84</v>
      </c>
      <c r="E4044" s="22" t="s">
        <v>10</v>
      </c>
      <c r="F4044" s="22" t="s">
        <v>11</v>
      </c>
      <c r="G4044" s="22" t="s">
        <v>17</v>
      </c>
    </row>
    <row r="4045" ht="15.15" spans="1:7">
      <c r="A4045" s="20">
        <v>4043</v>
      </c>
      <c r="B4045" s="20">
        <v>5815</v>
      </c>
      <c r="C4045" s="21">
        <v>45234</v>
      </c>
      <c r="D4045" s="20">
        <v>3291.84</v>
      </c>
      <c r="E4045" s="22" t="s">
        <v>10</v>
      </c>
      <c r="F4045" s="22" t="s">
        <v>14</v>
      </c>
      <c r="G4045" s="22" t="s">
        <v>15</v>
      </c>
    </row>
    <row r="4046" ht="15.15" spans="1:7">
      <c r="A4046" s="20">
        <v>4044</v>
      </c>
      <c r="B4046" s="20">
        <v>2828</v>
      </c>
      <c r="C4046" s="21">
        <v>45009</v>
      </c>
      <c r="D4046" s="20">
        <v>3291.84</v>
      </c>
      <c r="E4046" s="22" t="s">
        <v>10</v>
      </c>
      <c r="F4046" s="22" t="s">
        <v>18</v>
      </c>
      <c r="G4046" s="22" t="s">
        <v>15</v>
      </c>
    </row>
    <row r="4047" ht="15.15" spans="1:7">
      <c r="A4047" s="20">
        <v>4045</v>
      </c>
      <c r="B4047" s="20">
        <v>8781</v>
      </c>
      <c r="C4047" s="21">
        <v>45000</v>
      </c>
      <c r="D4047" s="20">
        <v>3291.84</v>
      </c>
      <c r="E4047" s="22" t="s">
        <v>10</v>
      </c>
      <c r="F4047" s="22" t="s">
        <v>13</v>
      </c>
      <c r="G4047" s="22" t="s">
        <v>17</v>
      </c>
    </row>
    <row r="4048" ht="15.15" spans="1:7">
      <c r="A4048" s="20">
        <v>4046</v>
      </c>
      <c r="B4048" s="20">
        <v>6591</v>
      </c>
      <c r="C4048" s="21">
        <v>45277</v>
      </c>
      <c r="D4048" s="20">
        <v>3291.84</v>
      </c>
      <c r="E4048" s="22" t="s">
        <v>10</v>
      </c>
      <c r="F4048" s="22" t="s">
        <v>19</v>
      </c>
      <c r="G4048" s="22" t="s">
        <v>17</v>
      </c>
    </row>
    <row r="4049" ht="15.15" spans="1:7">
      <c r="A4049" s="20">
        <v>4047</v>
      </c>
      <c r="B4049" s="20">
        <v>7360</v>
      </c>
      <c r="C4049" s="21">
        <v>45177</v>
      </c>
      <c r="D4049" s="20">
        <v>3291.84</v>
      </c>
      <c r="E4049" s="22" t="s">
        <v>10</v>
      </c>
      <c r="F4049" s="22" t="s">
        <v>13</v>
      </c>
      <c r="G4049" s="22" t="s">
        <v>20</v>
      </c>
    </row>
    <row r="4050" ht="15.15" spans="1:7">
      <c r="A4050" s="20">
        <v>4048</v>
      </c>
      <c r="B4050" s="20">
        <v>5336</v>
      </c>
      <c r="C4050" s="21">
        <v>45284</v>
      </c>
      <c r="D4050" s="20">
        <v>3291.84</v>
      </c>
      <c r="E4050" s="22" t="s">
        <v>10</v>
      </c>
      <c r="F4050" s="22" t="s">
        <v>11</v>
      </c>
      <c r="G4050" s="22" t="s">
        <v>12</v>
      </c>
    </row>
    <row r="4051" ht="15.15" spans="1:7">
      <c r="A4051" s="20">
        <v>4049</v>
      </c>
      <c r="B4051" s="20">
        <v>8373</v>
      </c>
      <c r="C4051" s="21">
        <v>45048</v>
      </c>
      <c r="D4051" s="20">
        <v>3291.84</v>
      </c>
      <c r="E4051" s="22" t="s">
        <v>10</v>
      </c>
      <c r="F4051" s="22" t="s">
        <v>16</v>
      </c>
      <c r="G4051" s="22" t="s">
        <v>15</v>
      </c>
    </row>
    <row r="4052" ht="15.15" spans="1:7">
      <c r="A4052" s="20">
        <v>4050</v>
      </c>
      <c r="B4052" s="20">
        <v>4284</v>
      </c>
      <c r="C4052" s="21">
        <v>45272</v>
      </c>
      <c r="D4052" s="20">
        <v>3291.84</v>
      </c>
      <c r="E4052" s="22" t="s">
        <v>10</v>
      </c>
      <c r="F4052" s="22" t="s">
        <v>13</v>
      </c>
      <c r="G4052" s="22" t="s">
        <v>12</v>
      </c>
    </row>
    <row r="4053" ht="15.15" spans="1:7">
      <c r="A4053" s="20">
        <v>4051</v>
      </c>
      <c r="B4053" s="20">
        <v>5880</v>
      </c>
      <c r="C4053" s="21">
        <v>44966</v>
      </c>
      <c r="D4053" s="20">
        <v>3291.84</v>
      </c>
      <c r="E4053" s="22" t="s">
        <v>22</v>
      </c>
      <c r="F4053" s="22" t="s">
        <v>16</v>
      </c>
      <c r="G4053" s="22" t="s">
        <v>15</v>
      </c>
    </row>
    <row r="4054" ht="15.15" spans="1:7">
      <c r="A4054" s="20">
        <v>4052</v>
      </c>
      <c r="B4054" s="20">
        <v>487</v>
      </c>
      <c r="C4054" s="21">
        <v>45178</v>
      </c>
      <c r="D4054" s="20">
        <v>3291.84</v>
      </c>
      <c r="E4054" s="22" t="s">
        <v>10</v>
      </c>
      <c r="F4054" s="22" t="s">
        <v>19</v>
      </c>
      <c r="G4054" s="22" t="s">
        <v>15</v>
      </c>
    </row>
    <row r="4055" ht="15.15" spans="1:7">
      <c r="A4055" s="20">
        <v>4053</v>
      </c>
      <c r="B4055" s="20">
        <v>9301</v>
      </c>
      <c r="C4055" s="21">
        <v>44932</v>
      </c>
      <c r="D4055" s="20">
        <v>3291.84</v>
      </c>
      <c r="E4055" s="22" t="s">
        <v>22</v>
      </c>
      <c r="F4055" s="22" t="s">
        <v>16</v>
      </c>
      <c r="G4055" s="22" t="s">
        <v>20</v>
      </c>
    </row>
    <row r="4056" ht="15.15" spans="1:7">
      <c r="A4056" s="20">
        <v>4054</v>
      </c>
      <c r="B4056" s="20">
        <v>6369</v>
      </c>
      <c r="C4056" s="21">
        <v>45204</v>
      </c>
      <c r="D4056" s="20">
        <v>3291.84</v>
      </c>
      <c r="E4056" s="22" t="s">
        <v>10</v>
      </c>
      <c r="F4056" s="22" t="s">
        <v>16</v>
      </c>
      <c r="G4056" s="22" t="s">
        <v>12</v>
      </c>
    </row>
    <row r="4057" ht="15.15" spans="1:7">
      <c r="A4057" s="20">
        <v>4055</v>
      </c>
      <c r="B4057" s="20">
        <v>7218</v>
      </c>
      <c r="C4057" s="21">
        <v>45143</v>
      </c>
      <c r="D4057" s="20">
        <v>3291.84</v>
      </c>
      <c r="E4057" s="22" t="s">
        <v>10</v>
      </c>
      <c r="F4057" s="22" t="s">
        <v>11</v>
      </c>
      <c r="G4057" s="22" t="s">
        <v>12</v>
      </c>
    </row>
    <row r="4058" ht="15.15" spans="1:7">
      <c r="A4058" s="20">
        <v>4056</v>
      </c>
      <c r="B4058" s="20">
        <v>2579</v>
      </c>
      <c r="C4058" s="21">
        <v>45002</v>
      </c>
      <c r="D4058" s="20">
        <v>3291.84</v>
      </c>
      <c r="E4058" s="22" t="s">
        <v>10</v>
      </c>
      <c r="F4058" s="22" t="s">
        <v>18</v>
      </c>
      <c r="G4058" s="22" t="s">
        <v>17</v>
      </c>
    </row>
    <row r="4059" ht="15.15" spans="1:7">
      <c r="A4059" s="20">
        <v>4057</v>
      </c>
      <c r="B4059" s="20">
        <v>8292</v>
      </c>
      <c r="C4059" s="21">
        <v>45027</v>
      </c>
      <c r="D4059" s="20">
        <v>3291.84</v>
      </c>
      <c r="E4059" s="22" t="s">
        <v>10</v>
      </c>
      <c r="F4059" s="22" t="s">
        <v>18</v>
      </c>
      <c r="G4059" s="22" t="s">
        <v>17</v>
      </c>
    </row>
    <row r="4060" ht="15.15" spans="1:7">
      <c r="A4060" s="20">
        <v>4058</v>
      </c>
      <c r="B4060" s="20">
        <v>2295</v>
      </c>
      <c r="C4060" s="21">
        <v>45290</v>
      </c>
      <c r="D4060" s="20">
        <v>3291.84</v>
      </c>
      <c r="E4060" s="22" t="s">
        <v>21</v>
      </c>
      <c r="F4060" s="22" t="s">
        <v>11</v>
      </c>
      <c r="G4060" s="22" t="s">
        <v>20</v>
      </c>
    </row>
    <row r="4061" ht="15.15" spans="1:7">
      <c r="A4061" s="20">
        <v>4059</v>
      </c>
      <c r="B4061" s="20">
        <v>846</v>
      </c>
      <c r="C4061" s="21">
        <v>45162</v>
      </c>
      <c r="D4061" s="20">
        <v>3291.84</v>
      </c>
      <c r="E4061" s="22" t="s">
        <v>10</v>
      </c>
      <c r="F4061" s="22" t="s">
        <v>16</v>
      </c>
      <c r="G4061" s="22" t="s">
        <v>15</v>
      </c>
    </row>
    <row r="4062" ht="15.15" spans="1:7">
      <c r="A4062" s="20">
        <v>4060</v>
      </c>
      <c r="B4062" s="20">
        <v>4402</v>
      </c>
      <c r="C4062" s="21">
        <v>45203</v>
      </c>
      <c r="D4062" s="20">
        <v>3291.84</v>
      </c>
      <c r="E4062" s="22" t="s">
        <v>10</v>
      </c>
      <c r="F4062" s="22" t="s">
        <v>16</v>
      </c>
      <c r="G4062" s="22" t="s">
        <v>17</v>
      </c>
    </row>
    <row r="4063" ht="15.15" spans="1:7">
      <c r="A4063" s="20">
        <v>4061</v>
      </c>
      <c r="B4063" s="20">
        <v>229</v>
      </c>
      <c r="C4063" s="21">
        <v>45074</v>
      </c>
      <c r="D4063" s="20">
        <v>3291.84</v>
      </c>
      <c r="E4063" s="22" t="s">
        <v>10</v>
      </c>
      <c r="F4063" s="22" t="s">
        <v>18</v>
      </c>
      <c r="G4063" s="22" t="s">
        <v>12</v>
      </c>
    </row>
    <row r="4064" ht="15.15" spans="1:7">
      <c r="A4064" s="20">
        <v>4062</v>
      </c>
      <c r="B4064" s="20">
        <v>5993</v>
      </c>
      <c r="C4064" s="21">
        <v>45117</v>
      </c>
      <c r="D4064" s="20">
        <v>3291.84</v>
      </c>
      <c r="E4064" s="22" t="s">
        <v>10</v>
      </c>
      <c r="F4064" s="22" t="s">
        <v>11</v>
      </c>
      <c r="G4064" s="22" t="s">
        <v>20</v>
      </c>
    </row>
    <row r="4065" ht="15.15" spans="1:7">
      <c r="A4065" s="20">
        <v>4063</v>
      </c>
      <c r="B4065" s="20">
        <v>839</v>
      </c>
      <c r="C4065" s="21">
        <v>45222</v>
      </c>
      <c r="D4065" s="20">
        <v>3291.84</v>
      </c>
      <c r="E4065" s="22" t="s">
        <v>10</v>
      </c>
      <c r="F4065" s="22" t="s">
        <v>16</v>
      </c>
      <c r="G4065" s="22" t="s">
        <v>12</v>
      </c>
    </row>
    <row r="4066" ht="15.15" spans="1:7">
      <c r="A4066" s="20">
        <v>4064</v>
      </c>
      <c r="B4066" s="20">
        <v>5771</v>
      </c>
      <c r="C4066" s="21">
        <v>45058</v>
      </c>
      <c r="D4066" s="20">
        <v>3291.84</v>
      </c>
      <c r="E4066" s="22" t="s">
        <v>21</v>
      </c>
      <c r="F4066" s="22" t="s">
        <v>14</v>
      </c>
      <c r="G4066" s="22" t="s">
        <v>15</v>
      </c>
    </row>
    <row r="4067" ht="15.15" spans="1:7">
      <c r="A4067" s="20">
        <v>4065</v>
      </c>
      <c r="B4067" s="20">
        <v>9802</v>
      </c>
      <c r="C4067" s="21">
        <v>45038</v>
      </c>
      <c r="D4067" s="20">
        <v>3291.84</v>
      </c>
      <c r="E4067" s="22" t="s">
        <v>10</v>
      </c>
      <c r="F4067" s="22" t="s">
        <v>14</v>
      </c>
      <c r="G4067" s="22" t="s">
        <v>20</v>
      </c>
    </row>
    <row r="4068" ht="15.15" spans="1:7">
      <c r="A4068" s="20">
        <v>4066</v>
      </c>
      <c r="B4068" s="20">
        <v>3371</v>
      </c>
      <c r="C4068" s="21">
        <v>45246</v>
      </c>
      <c r="D4068" s="20">
        <v>3291.84</v>
      </c>
      <c r="E4068" s="22" t="s">
        <v>10</v>
      </c>
      <c r="F4068" s="22" t="s">
        <v>16</v>
      </c>
      <c r="G4068" s="22" t="s">
        <v>20</v>
      </c>
    </row>
    <row r="4069" ht="15.15" spans="1:7">
      <c r="A4069" s="20">
        <v>4067</v>
      </c>
      <c r="B4069" s="20">
        <v>4801</v>
      </c>
      <c r="C4069" s="21">
        <v>45282</v>
      </c>
      <c r="D4069" s="20">
        <v>3291.84</v>
      </c>
      <c r="E4069" s="22" t="s">
        <v>10</v>
      </c>
      <c r="F4069" s="22" t="s">
        <v>16</v>
      </c>
      <c r="G4069" s="22" t="s">
        <v>20</v>
      </c>
    </row>
    <row r="4070" ht="15.15" spans="1:7">
      <c r="A4070" s="20">
        <v>4068</v>
      </c>
      <c r="B4070" s="20">
        <v>1727</v>
      </c>
      <c r="C4070" s="21">
        <v>45230</v>
      </c>
      <c r="D4070" s="20">
        <v>3291.84</v>
      </c>
      <c r="E4070" s="22" t="s">
        <v>10</v>
      </c>
      <c r="F4070" s="22" t="s">
        <v>18</v>
      </c>
      <c r="G4070" s="22" t="s">
        <v>20</v>
      </c>
    </row>
    <row r="4071" ht="15.15" spans="1:7">
      <c r="A4071" s="20">
        <v>4069</v>
      </c>
      <c r="B4071" s="20">
        <v>7968</v>
      </c>
      <c r="C4071" s="21">
        <v>45235</v>
      </c>
      <c r="D4071" s="20">
        <v>3291.84</v>
      </c>
      <c r="E4071" s="22" t="s">
        <v>10</v>
      </c>
      <c r="F4071" s="22" t="s">
        <v>14</v>
      </c>
      <c r="G4071" s="22" t="s">
        <v>12</v>
      </c>
    </row>
    <row r="4072" ht="15.15" spans="1:7">
      <c r="A4072" s="20">
        <v>4070</v>
      </c>
      <c r="B4072" s="20">
        <v>6169</v>
      </c>
      <c r="C4072" s="21">
        <v>45083</v>
      </c>
      <c r="D4072" s="20">
        <v>3291.84</v>
      </c>
      <c r="E4072" s="22" t="s">
        <v>10</v>
      </c>
      <c r="F4072" s="22" t="s">
        <v>16</v>
      </c>
      <c r="G4072" s="22" t="s">
        <v>20</v>
      </c>
    </row>
    <row r="4073" ht="15.15" spans="1:7">
      <c r="A4073" s="20">
        <v>4071</v>
      </c>
      <c r="B4073" s="20">
        <v>8798</v>
      </c>
      <c r="C4073" s="21">
        <v>44979</v>
      </c>
      <c r="D4073" s="20">
        <v>3291.84</v>
      </c>
      <c r="E4073" s="22" t="s">
        <v>21</v>
      </c>
      <c r="F4073" s="22" t="s">
        <v>14</v>
      </c>
      <c r="G4073" s="22" t="s">
        <v>15</v>
      </c>
    </row>
    <row r="4074" ht="15.15" spans="1:7">
      <c r="A4074" s="20">
        <v>4072</v>
      </c>
      <c r="B4074" s="20">
        <v>5852</v>
      </c>
      <c r="C4074" s="21">
        <v>44961</v>
      </c>
      <c r="D4074" s="20">
        <v>3291.84</v>
      </c>
      <c r="E4074" s="22" t="s">
        <v>10</v>
      </c>
      <c r="F4074" s="22" t="s">
        <v>16</v>
      </c>
      <c r="G4074" s="22" t="s">
        <v>20</v>
      </c>
    </row>
    <row r="4075" ht="15.15" spans="1:7">
      <c r="A4075" s="20">
        <v>4073</v>
      </c>
      <c r="B4075" s="20">
        <v>8889</v>
      </c>
      <c r="C4075" s="21">
        <v>45280</v>
      </c>
      <c r="D4075" s="20">
        <v>3291.84</v>
      </c>
      <c r="E4075" s="22" t="s">
        <v>10</v>
      </c>
      <c r="F4075" s="22" t="s">
        <v>13</v>
      </c>
      <c r="G4075" s="22" t="s">
        <v>15</v>
      </c>
    </row>
    <row r="4076" ht="15.15" spans="1:7">
      <c r="A4076" s="20">
        <v>4074</v>
      </c>
      <c r="B4076" s="20">
        <v>690</v>
      </c>
      <c r="C4076" s="21">
        <v>45073</v>
      </c>
      <c r="D4076" s="20">
        <v>3291.84</v>
      </c>
      <c r="E4076" s="22" t="s">
        <v>22</v>
      </c>
      <c r="F4076" s="22" t="s">
        <v>16</v>
      </c>
      <c r="G4076" s="22" t="s">
        <v>20</v>
      </c>
    </row>
    <row r="4077" ht="15.15" spans="1:7">
      <c r="A4077" s="20">
        <v>4075</v>
      </c>
      <c r="B4077" s="20">
        <v>4460</v>
      </c>
      <c r="C4077" s="21">
        <v>45270</v>
      </c>
      <c r="D4077" s="20">
        <v>3291.84</v>
      </c>
      <c r="E4077" s="22" t="s">
        <v>10</v>
      </c>
      <c r="F4077" s="22" t="s">
        <v>11</v>
      </c>
      <c r="G4077" s="22" t="s">
        <v>17</v>
      </c>
    </row>
    <row r="4078" ht="15.15" spans="1:7">
      <c r="A4078" s="20">
        <v>4076</v>
      </c>
      <c r="B4078" s="20">
        <v>3251</v>
      </c>
      <c r="C4078" s="21">
        <v>45035</v>
      </c>
      <c r="D4078" s="20">
        <v>3291.84</v>
      </c>
      <c r="E4078" s="22" t="s">
        <v>10</v>
      </c>
      <c r="F4078" s="22" t="s">
        <v>18</v>
      </c>
      <c r="G4078" s="22" t="s">
        <v>20</v>
      </c>
    </row>
    <row r="4079" ht="15.15" spans="1:7">
      <c r="A4079" s="20">
        <v>4077</v>
      </c>
      <c r="B4079" s="20">
        <v>4099</v>
      </c>
      <c r="C4079" s="21">
        <v>45223</v>
      </c>
      <c r="D4079" s="20">
        <v>3291.84</v>
      </c>
      <c r="E4079" s="22" t="s">
        <v>10</v>
      </c>
      <c r="F4079" s="22" t="s">
        <v>13</v>
      </c>
      <c r="G4079" s="22" t="s">
        <v>20</v>
      </c>
    </row>
    <row r="4080" ht="15.15" spans="1:7">
      <c r="A4080" s="20">
        <v>4078</v>
      </c>
      <c r="B4080" s="20">
        <v>4924</v>
      </c>
      <c r="C4080" s="21">
        <v>45270</v>
      </c>
      <c r="D4080" s="20">
        <v>3291.84</v>
      </c>
      <c r="E4080" s="22" t="s">
        <v>10</v>
      </c>
      <c r="F4080" s="22" t="s">
        <v>13</v>
      </c>
      <c r="G4080" s="22" t="s">
        <v>15</v>
      </c>
    </row>
    <row r="4081" ht="15.15" spans="1:7">
      <c r="A4081" s="20">
        <v>4079</v>
      </c>
      <c r="B4081" s="20">
        <v>5120</v>
      </c>
      <c r="C4081" s="21">
        <v>45021</v>
      </c>
      <c r="D4081" s="20">
        <v>3291.84</v>
      </c>
      <c r="E4081" s="22" t="s">
        <v>10</v>
      </c>
      <c r="F4081" s="22" t="s">
        <v>19</v>
      </c>
      <c r="G4081" s="22" t="s">
        <v>20</v>
      </c>
    </row>
    <row r="4082" ht="15.15" spans="1:7">
      <c r="A4082" s="20">
        <v>4080</v>
      </c>
      <c r="B4082" s="20">
        <v>7997</v>
      </c>
      <c r="C4082" s="21">
        <v>45005</v>
      </c>
      <c r="D4082" s="20">
        <v>3291.84</v>
      </c>
      <c r="E4082" s="22" t="s">
        <v>10</v>
      </c>
      <c r="F4082" s="22" t="s">
        <v>16</v>
      </c>
      <c r="G4082" s="22" t="s">
        <v>17</v>
      </c>
    </row>
    <row r="4083" ht="15.15" spans="1:7">
      <c r="A4083" s="20">
        <v>4081</v>
      </c>
      <c r="B4083" s="20">
        <v>3575</v>
      </c>
      <c r="C4083" s="21">
        <v>45291</v>
      </c>
      <c r="D4083" s="20">
        <v>3291.84</v>
      </c>
      <c r="E4083" s="22" t="s">
        <v>10</v>
      </c>
      <c r="F4083" s="22" t="s">
        <v>11</v>
      </c>
      <c r="G4083" s="22" t="s">
        <v>20</v>
      </c>
    </row>
    <row r="4084" ht="15.15" spans="1:7">
      <c r="A4084" s="20">
        <v>4082</v>
      </c>
      <c r="B4084" s="20">
        <v>3678</v>
      </c>
      <c r="C4084" s="21">
        <v>45056</v>
      </c>
      <c r="D4084" s="20">
        <v>3291.84</v>
      </c>
      <c r="E4084" s="22" t="s">
        <v>10</v>
      </c>
      <c r="F4084" s="22" t="s">
        <v>11</v>
      </c>
      <c r="G4084" s="22" t="s">
        <v>15</v>
      </c>
    </row>
    <row r="4085" ht="15.15" spans="1:7">
      <c r="A4085" s="20">
        <v>4083</v>
      </c>
      <c r="B4085" s="20">
        <v>323</v>
      </c>
      <c r="C4085" s="21">
        <v>45192</v>
      </c>
      <c r="D4085" s="20">
        <v>3291.84</v>
      </c>
      <c r="E4085" s="22" t="s">
        <v>10</v>
      </c>
      <c r="F4085" s="22" t="s">
        <v>11</v>
      </c>
      <c r="G4085" s="22" t="s">
        <v>15</v>
      </c>
    </row>
    <row r="4086" ht="15.15" spans="1:7">
      <c r="A4086" s="20">
        <v>4084</v>
      </c>
      <c r="B4086" s="20">
        <v>4661</v>
      </c>
      <c r="C4086" s="21">
        <v>45049</v>
      </c>
      <c r="D4086" s="20">
        <v>3291.84</v>
      </c>
      <c r="E4086" s="22" t="s">
        <v>10</v>
      </c>
      <c r="F4086" s="22" t="s">
        <v>13</v>
      </c>
      <c r="G4086" s="22" t="s">
        <v>12</v>
      </c>
    </row>
    <row r="4087" ht="15.15" spans="1:7">
      <c r="A4087" s="20">
        <v>4085</v>
      </c>
      <c r="B4087" s="20">
        <v>9203</v>
      </c>
      <c r="C4087" s="21">
        <v>45149</v>
      </c>
      <c r="D4087" s="20">
        <v>3291.84</v>
      </c>
      <c r="E4087" s="22" t="s">
        <v>21</v>
      </c>
      <c r="F4087" s="22" t="s">
        <v>18</v>
      </c>
      <c r="G4087" s="22" t="s">
        <v>15</v>
      </c>
    </row>
    <row r="4088" ht="15.15" spans="1:7">
      <c r="A4088" s="20">
        <v>4086</v>
      </c>
      <c r="B4088" s="20">
        <v>2910</v>
      </c>
      <c r="C4088" s="21">
        <v>44951</v>
      </c>
      <c r="D4088" s="20">
        <v>3291.84</v>
      </c>
      <c r="E4088" s="22" t="s">
        <v>10</v>
      </c>
      <c r="F4088" s="22" t="s">
        <v>16</v>
      </c>
      <c r="G4088" s="22" t="s">
        <v>15</v>
      </c>
    </row>
    <row r="4089" ht="15.15" spans="1:7">
      <c r="A4089" s="20">
        <v>4087</v>
      </c>
      <c r="B4089" s="20">
        <v>8600</v>
      </c>
      <c r="C4089" s="21">
        <v>44981</v>
      </c>
      <c r="D4089" s="20">
        <v>3291.84</v>
      </c>
      <c r="E4089" s="22" t="s">
        <v>10</v>
      </c>
      <c r="F4089" s="22" t="s">
        <v>16</v>
      </c>
      <c r="G4089" s="22" t="s">
        <v>20</v>
      </c>
    </row>
    <row r="4090" ht="15.15" spans="1:7">
      <c r="A4090" s="20">
        <v>4088</v>
      </c>
      <c r="B4090" s="20">
        <v>7360</v>
      </c>
      <c r="C4090" s="21">
        <v>45048</v>
      </c>
      <c r="D4090" s="20">
        <v>3291.84</v>
      </c>
      <c r="E4090" s="22" t="s">
        <v>10</v>
      </c>
      <c r="F4090" s="22" t="s">
        <v>13</v>
      </c>
      <c r="G4090" s="22" t="s">
        <v>12</v>
      </c>
    </row>
    <row r="4091" ht="15.15" spans="1:7">
      <c r="A4091" s="20">
        <v>4089</v>
      </c>
      <c r="B4091" s="20">
        <v>3312</v>
      </c>
      <c r="C4091" s="21">
        <v>45114</v>
      </c>
      <c r="D4091" s="20">
        <v>3291.84</v>
      </c>
      <c r="E4091" s="22" t="s">
        <v>10</v>
      </c>
      <c r="F4091" s="22" t="s">
        <v>14</v>
      </c>
      <c r="G4091" s="22" t="s">
        <v>15</v>
      </c>
    </row>
    <row r="4092" ht="15.15" spans="1:7">
      <c r="A4092" s="20">
        <v>4090</v>
      </c>
      <c r="B4092" s="20">
        <v>9235</v>
      </c>
      <c r="C4092" s="21">
        <v>45244</v>
      </c>
      <c r="D4092" s="20">
        <v>3291.84</v>
      </c>
      <c r="E4092" s="22" t="s">
        <v>10</v>
      </c>
      <c r="F4092" s="22" t="s">
        <v>11</v>
      </c>
      <c r="G4092" s="22" t="s">
        <v>12</v>
      </c>
    </row>
    <row r="4093" ht="15.15" spans="1:7">
      <c r="A4093" s="20">
        <v>4091</v>
      </c>
      <c r="B4093" s="20">
        <v>1480</v>
      </c>
      <c r="C4093" s="21">
        <v>45055</v>
      </c>
      <c r="D4093" s="20">
        <v>3291.84</v>
      </c>
      <c r="E4093" s="22" t="s">
        <v>10</v>
      </c>
      <c r="F4093" s="22" t="s">
        <v>14</v>
      </c>
      <c r="G4093" s="22" t="s">
        <v>20</v>
      </c>
    </row>
    <row r="4094" ht="15.15" spans="1:7">
      <c r="A4094" s="20">
        <v>4092</v>
      </c>
      <c r="B4094" s="20">
        <v>5125</v>
      </c>
      <c r="C4094" s="21">
        <v>45230</v>
      </c>
      <c r="D4094" s="20">
        <v>3291.84</v>
      </c>
      <c r="E4094" s="22" t="s">
        <v>10</v>
      </c>
      <c r="F4094" s="22" t="s">
        <v>14</v>
      </c>
      <c r="G4094" s="22" t="s">
        <v>17</v>
      </c>
    </row>
    <row r="4095" ht="15.15" spans="1:7">
      <c r="A4095" s="20">
        <v>4093</v>
      </c>
      <c r="B4095" s="20">
        <v>1701</v>
      </c>
      <c r="C4095" s="21">
        <v>45236</v>
      </c>
      <c r="D4095" s="20">
        <v>3291.84</v>
      </c>
      <c r="E4095" s="22" t="s">
        <v>10</v>
      </c>
      <c r="F4095" s="22" t="s">
        <v>11</v>
      </c>
      <c r="G4095" s="22" t="s">
        <v>12</v>
      </c>
    </row>
    <row r="4096" ht="15.15" spans="1:7">
      <c r="A4096" s="20">
        <v>4094</v>
      </c>
      <c r="B4096" s="20">
        <v>2926</v>
      </c>
      <c r="C4096" s="21">
        <v>45233</v>
      </c>
      <c r="D4096" s="20">
        <v>3291.84</v>
      </c>
      <c r="E4096" s="22" t="s">
        <v>10</v>
      </c>
      <c r="F4096" s="22" t="s">
        <v>16</v>
      </c>
      <c r="G4096" s="22" t="s">
        <v>12</v>
      </c>
    </row>
    <row r="4097" ht="15.15" spans="1:7">
      <c r="A4097" s="20">
        <v>4095</v>
      </c>
      <c r="B4097" s="20">
        <v>7621</v>
      </c>
      <c r="C4097" s="21">
        <v>45248</v>
      </c>
      <c r="D4097" s="20">
        <v>3291.84</v>
      </c>
      <c r="E4097" s="22" t="s">
        <v>10</v>
      </c>
      <c r="F4097" s="22" t="s">
        <v>14</v>
      </c>
      <c r="G4097" s="22" t="s">
        <v>15</v>
      </c>
    </row>
    <row r="4098" ht="15.15" spans="1:7">
      <c r="A4098" s="20">
        <v>4096</v>
      </c>
      <c r="B4098" s="20">
        <v>5990</v>
      </c>
      <c r="C4098" s="21">
        <v>45286</v>
      </c>
      <c r="D4098" s="20">
        <v>3291.84</v>
      </c>
      <c r="E4098" s="22" t="s">
        <v>10</v>
      </c>
      <c r="F4098" s="22" t="s">
        <v>16</v>
      </c>
      <c r="G4098" s="22" t="s">
        <v>15</v>
      </c>
    </row>
    <row r="4099" ht="15.15" spans="1:7">
      <c r="A4099" s="20">
        <v>4097</v>
      </c>
      <c r="B4099" s="20">
        <v>6136</v>
      </c>
      <c r="C4099" s="21">
        <v>44942</v>
      </c>
      <c r="D4099" s="20">
        <v>3291.84</v>
      </c>
      <c r="E4099" s="22" t="s">
        <v>10</v>
      </c>
      <c r="F4099" s="22" t="s">
        <v>13</v>
      </c>
      <c r="G4099" s="22" t="s">
        <v>17</v>
      </c>
    </row>
    <row r="4100" ht="15.15" spans="1:7">
      <c r="A4100" s="20">
        <v>4098</v>
      </c>
      <c r="B4100" s="20">
        <v>1605</v>
      </c>
      <c r="C4100" s="21">
        <v>44996</v>
      </c>
      <c r="D4100" s="20">
        <v>3291.84</v>
      </c>
      <c r="E4100" s="22" t="s">
        <v>10</v>
      </c>
      <c r="F4100" s="22" t="s">
        <v>13</v>
      </c>
      <c r="G4100" s="22" t="s">
        <v>15</v>
      </c>
    </row>
    <row r="4101" ht="15.15" spans="1:7">
      <c r="A4101" s="20">
        <v>4099</v>
      </c>
      <c r="B4101" s="20">
        <v>5760</v>
      </c>
      <c r="C4101" s="21">
        <v>45017</v>
      </c>
      <c r="D4101" s="20">
        <v>3291.84</v>
      </c>
      <c r="E4101" s="22" t="s">
        <v>10</v>
      </c>
      <c r="F4101" s="22" t="s">
        <v>18</v>
      </c>
      <c r="G4101" s="22" t="s">
        <v>12</v>
      </c>
    </row>
    <row r="4102" ht="15.15" spans="1:7">
      <c r="A4102" s="20">
        <v>4100</v>
      </c>
      <c r="B4102" s="20">
        <v>7157</v>
      </c>
      <c r="C4102" s="21">
        <v>45236</v>
      </c>
      <c r="D4102" s="20">
        <v>3291.84</v>
      </c>
      <c r="E4102" s="22" t="s">
        <v>10</v>
      </c>
      <c r="F4102" s="22" t="s">
        <v>14</v>
      </c>
      <c r="G4102" s="22" t="s">
        <v>20</v>
      </c>
    </row>
    <row r="4103" ht="15.15" spans="1:7">
      <c r="A4103" s="20">
        <v>4101</v>
      </c>
      <c r="B4103" s="20">
        <v>2452</v>
      </c>
      <c r="C4103" s="21">
        <v>44966</v>
      </c>
      <c r="D4103" s="20">
        <v>3291.84</v>
      </c>
      <c r="E4103" s="22" t="s">
        <v>21</v>
      </c>
      <c r="F4103" s="22" t="s">
        <v>18</v>
      </c>
      <c r="G4103" s="22" t="s">
        <v>15</v>
      </c>
    </row>
    <row r="4104" ht="15.15" spans="1:7">
      <c r="A4104" s="20">
        <v>4102</v>
      </c>
      <c r="B4104" s="20">
        <v>154</v>
      </c>
      <c r="C4104" s="21">
        <v>45067</v>
      </c>
      <c r="D4104" s="20">
        <v>3291.84</v>
      </c>
      <c r="E4104" s="22" t="s">
        <v>10</v>
      </c>
      <c r="F4104" s="22" t="s">
        <v>11</v>
      </c>
      <c r="G4104" s="22" t="s">
        <v>15</v>
      </c>
    </row>
    <row r="4105" ht="15.15" spans="1:7">
      <c r="A4105" s="20">
        <v>4103</v>
      </c>
      <c r="B4105" s="20">
        <v>4713</v>
      </c>
      <c r="C4105" s="21">
        <v>45065</v>
      </c>
      <c r="D4105" s="20">
        <v>3291.84</v>
      </c>
      <c r="E4105" s="22" t="s">
        <v>10</v>
      </c>
      <c r="F4105" s="22" t="s">
        <v>18</v>
      </c>
      <c r="G4105" s="22" t="s">
        <v>15</v>
      </c>
    </row>
    <row r="4106" ht="15.15" spans="1:7">
      <c r="A4106" s="20">
        <v>4104</v>
      </c>
      <c r="B4106" s="20">
        <v>849</v>
      </c>
      <c r="C4106" s="21">
        <v>45117</v>
      </c>
      <c r="D4106" s="20">
        <v>3291.84</v>
      </c>
      <c r="E4106" s="22" t="s">
        <v>10</v>
      </c>
      <c r="F4106" s="22" t="s">
        <v>13</v>
      </c>
      <c r="G4106" s="22" t="s">
        <v>12</v>
      </c>
    </row>
    <row r="4107" ht="15.15" spans="1:7">
      <c r="A4107" s="20">
        <v>4105</v>
      </c>
      <c r="B4107" s="20">
        <v>1892</v>
      </c>
      <c r="C4107" s="21">
        <v>44943</v>
      </c>
      <c r="D4107" s="20">
        <v>3291.84</v>
      </c>
      <c r="E4107" s="22" t="s">
        <v>10</v>
      </c>
      <c r="F4107" s="22" t="s">
        <v>16</v>
      </c>
      <c r="G4107" s="22" t="s">
        <v>12</v>
      </c>
    </row>
    <row r="4108" ht="15.15" spans="1:7">
      <c r="A4108" s="20">
        <v>4106</v>
      </c>
      <c r="B4108" s="20">
        <v>9091</v>
      </c>
      <c r="C4108" s="21">
        <v>45169</v>
      </c>
      <c r="D4108" s="20">
        <v>3291.84</v>
      </c>
      <c r="E4108" s="22" t="s">
        <v>10</v>
      </c>
      <c r="F4108" s="22" t="s">
        <v>13</v>
      </c>
      <c r="G4108" s="22" t="s">
        <v>12</v>
      </c>
    </row>
    <row r="4109" ht="15.15" spans="1:7">
      <c r="A4109" s="20">
        <v>4107</v>
      </c>
      <c r="B4109" s="20">
        <v>5969</v>
      </c>
      <c r="C4109" s="21">
        <v>45024</v>
      </c>
      <c r="D4109" s="20">
        <v>3291.84</v>
      </c>
      <c r="E4109" s="22" t="s">
        <v>10</v>
      </c>
      <c r="F4109" s="22" t="s">
        <v>16</v>
      </c>
      <c r="G4109" s="22" t="s">
        <v>15</v>
      </c>
    </row>
    <row r="4110" ht="15.15" spans="1:7">
      <c r="A4110" s="20">
        <v>4108</v>
      </c>
      <c r="B4110" s="20">
        <v>7707</v>
      </c>
      <c r="C4110" s="21">
        <v>45143</v>
      </c>
      <c r="D4110" s="20">
        <v>3291.84</v>
      </c>
      <c r="E4110" s="22" t="s">
        <v>10</v>
      </c>
      <c r="F4110" s="22" t="s">
        <v>13</v>
      </c>
      <c r="G4110" s="22" t="s">
        <v>15</v>
      </c>
    </row>
    <row r="4111" ht="15.15" spans="1:7">
      <c r="A4111" s="20">
        <v>4109</v>
      </c>
      <c r="B4111" s="20">
        <v>455</v>
      </c>
      <c r="C4111" s="21">
        <v>45232</v>
      </c>
      <c r="D4111" s="20">
        <v>3291.84</v>
      </c>
      <c r="E4111" s="22" t="s">
        <v>10</v>
      </c>
      <c r="F4111" s="22" t="s">
        <v>19</v>
      </c>
      <c r="G4111" s="22" t="s">
        <v>20</v>
      </c>
    </row>
    <row r="4112" ht="15.15" spans="1:7">
      <c r="A4112" s="20">
        <v>4110</v>
      </c>
      <c r="B4112" s="20">
        <v>1257</v>
      </c>
      <c r="C4112" s="21">
        <v>45003</v>
      </c>
      <c r="D4112" s="20">
        <v>3291.84</v>
      </c>
      <c r="E4112" s="22" t="s">
        <v>10</v>
      </c>
      <c r="F4112" s="22" t="s">
        <v>13</v>
      </c>
      <c r="G4112" s="22" t="s">
        <v>12</v>
      </c>
    </row>
    <row r="4113" ht="15.15" spans="1:7">
      <c r="A4113" s="20">
        <v>4111</v>
      </c>
      <c r="B4113" s="20">
        <v>3824</v>
      </c>
      <c r="C4113" s="21">
        <v>45185</v>
      </c>
      <c r="D4113" s="20">
        <v>3291.84</v>
      </c>
      <c r="E4113" s="22" t="s">
        <v>10</v>
      </c>
      <c r="F4113" s="22" t="s">
        <v>11</v>
      </c>
      <c r="G4113" s="22" t="s">
        <v>15</v>
      </c>
    </row>
    <row r="4114" ht="15.15" spans="1:7">
      <c r="A4114" s="20">
        <v>4112</v>
      </c>
      <c r="B4114" s="20">
        <v>510</v>
      </c>
      <c r="C4114" s="21">
        <v>45077</v>
      </c>
      <c r="D4114" s="20">
        <v>3291.84</v>
      </c>
      <c r="E4114" s="22" t="s">
        <v>10</v>
      </c>
      <c r="F4114" s="22" t="s">
        <v>18</v>
      </c>
      <c r="G4114" s="22" t="s">
        <v>15</v>
      </c>
    </row>
    <row r="4115" ht="15.15" spans="1:7">
      <c r="A4115" s="20">
        <v>4113</v>
      </c>
      <c r="B4115" s="20">
        <v>9534</v>
      </c>
      <c r="C4115" s="21">
        <v>45139</v>
      </c>
      <c r="D4115" s="20">
        <v>3291.84</v>
      </c>
      <c r="E4115" s="22" t="s">
        <v>10</v>
      </c>
      <c r="F4115" s="22" t="s">
        <v>18</v>
      </c>
      <c r="G4115" s="22" t="s">
        <v>12</v>
      </c>
    </row>
    <row r="4116" ht="15.15" spans="1:7">
      <c r="A4116" s="20">
        <v>4114</v>
      </c>
      <c r="B4116" s="20">
        <v>5578</v>
      </c>
      <c r="C4116" s="21">
        <v>45223</v>
      </c>
      <c r="D4116" s="20">
        <v>3291.84</v>
      </c>
      <c r="E4116" s="22" t="s">
        <v>10</v>
      </c>
      <c r="F4116" s="22" t="s">
        <v>11</v>
      </c>
      <c r="G4116" s="22" t="s">
        <v>20</v>
      </c>
    </row>
    <row r="4117" ht="15.15" spans="1:7">
      <c r="A4117" s="20">
        <v>4115</v>
      </c>
      <c r="B4117" s="20">
        <v>7739</v>
      </c>
      <c r="C4117" s="21">
        <v>45176</v>
      </c>
      <c r="D4117" s="20">
        <v>3291.84</v>
      </c>
      <c r="E4117" s="22" t="s">
        <v>10</v>
      </c>
      <c r="F4117" s="22" t="s">
        <v>11</v>
      </c>
      <c r="G4117" s="22" t="s">
        <v>17</v>
      </c>
    </row>
    <row r="4118" ht="15.15" spans="1:7">
      <c r="A4118" s="20">
        <v>4116</v>
      </c>
      <c r="B4118" s="20">
        <v>416</v>
      </c>
      <c r="C4118" s="21">
        <v>45223</v>
      </c>
      <c r="D4118" s="20">
        <v>3291.84</v>
      </c>
      <c r="E4118" s="22" t="s">
        <v>10</v>
      </c>
      <c r="F4118" s="22" t="s">
        <v>14</v>
      </c>
      <c r="G4118" s="22" t="s">
        <v>15</v>
      </c>
    </row>
    <row r="4119" ht="15.15" spans="1:7">
      <c r="A4119" s="20">
        <v>4117</v>
      </c>
      <c r="B4119" s="20">
        <v>9865</v>
      </c>
      <c r="C4119" s="21">
        <v>45141</v>
      </c>
      <c r="D4119" s="20">
        <v>3291.84</v>
      </c>
      <c r="E4119" s="22" t="s">
        <v>10</v>
      </c>
      <c r="F4119" s="22" t="s">
        <v>13</v>
      </c>
      <c r="G4119" s="22" t="s">
        <v>17</v>
      </c>
    </row>
    <row r="4120" ht="15.15" spans="1:7">
      <c r="A4120" s="20">
        <v>4118</v>
      </c>
      <c r="B4120" s="20">
        <v>9760</v>
      </c>
      <c r="C4120" s="21">
        <v>45209</v>
      </c>
      <c r="D4120" s="20">
        <v>3291.84</v>
      </c>
      <c r="E4120" s="22" t="s">
        <v>10</v>
      </c>
      <c r="F4120" s="22" t="s">
        <v>13</v>
      </c>
      <c r="G4120" s="22" t="s">
        <v>15</v>
      </c>
    </row>
    <row r="4121" ht="15.15" spans="1:7">
      <c r="A4121" s="20">
        <v>4119</v>
      </c>
      <c r="B4121" s="20">
        <v>9499</v>
      </c>
      <c r="C4121" s="21">
        <v>45276</v>
      </c>
      <c r="D4121" s="20">
        <v>3291.84</v>
      </c>
      <c r="E4121" s="22" t="s">
        <v>10</v>
      </c>
      <c r="F4121" s="22" t="s">
        <v>11</v>
      </c>
      <c r="G4121" s="22" t="s">
        <v>15</v>
      </c>
    </row>
    <row r="4122" ht="15.15" spans="1:7">
      <c r="A4122" s="20">
        <v>4120</v>
      </c>
      <c r="B4122" s="20">
        <v>3946</v>
      </c>
      <c r="C4122" s="21">
        <v>45003</v>
      </c>
      <c r="D4122" s="20">
        <v>3291.84</v>
      </c>
      <c r="E4122" s="22" t="s">
        <v>10</v>
      </c>
      <c r="F4122" s="22" t="s">
        <v>16</v>
      </c>
      <c r="G4122" s="22" t="s">
        <v>20</v>
      </c>
    </row>
    <row r="4123" ht="15.15" spans="1:7">
      <c r="A4123" s="20">
        <v>4121</v>
      </c>
      <c r="B4123" s="20">
        <v>9451</v>
      </c>
      <c r="C4123" s="21">
        <v>45225</v>
      </c>
      <c r="D4123" s="20">
        <v>3291.84</v>
      </c>
      <c r="E4123" s="22" t="s">
        <v>10</v>
      </c>
      <c r="F4123" s="22" t="s">
        <v>14</v>
      </c>
      <c r="G4123" s="22" t="s">
        <v>17</v>
      </c>
    </row>
    <row r="4124" ht="15.15" spans="1:7">
      <c r="A4124" s="20">
        <v>4122</v>
      </c>
      <c r="B4124" s="20">
        <v>987</v>
      </c>
      <c r="C4124" s="21">
        <v>45255</v>
      </c>
      <c r="D4124" s="20">
        <v>3291.84</v>
      </c>
      <c r="E4124" s="22" t="s">
        <v>10</v>
      </c>
      <c r="F4124" s="22" t="s">
        <v>11</v>
      </c>
      <c r="G4124" s="22" t="s">
        <v>15</v>
      </c>
    </row>
    <row r="4125" ht="15.15" spans="1:7">
      <c r="A4125" s="20">
        <v>4123</v>
      </c>
      <c r="B4125" s="20">
        <v>7337</v>
      </c>
      <c r="C4125" s="21">
        <v>45273</v>
      </c>
      <c r="D4125" s="20">
        <v>3291.84</v>
      </c>
      <c r="E4125" s="22" t="s">
        <v>10</v>
      </c>
      <c r="F4125" s="22" t="s">
        <v>11</v>
      </c>
      <c r="G4125" s="22" t="s">
        <v>15</v>
      </c>
    </row>
    <row r="4126" ht="15.15" spans="1:7">
      <c r="A4126" s="20">
        <v>4124</v>
      </c>
      <c r="B4126" s="20">
        <v>1126</v>
      </c>
      <c r="C4126" s="21">
        <v>45092</v>
      </c>
      <c r="D4126" s="20">
        <v>3291.84</v>
      </c>
      <c r="E4126" s="22" t="s">
        <v>10</v>
      </c>
      <c r="F4126" s="22" t="s">
        <v>11</v>
      </c>
      <c r="G4126" s="22" t="s">
        <v>15</v>
      </c>
    </row>
    <row r="4127" ht="15.15" spans="1:7">
      <c r="A4127" s="20">
        <v>4125</v>
      </c>
      <c r="B4127" s="20">
        <v>5967</v>
      </c>
      <c r="C4127" s="21">
        <v>45232</v>
      </c>
      <c r="D4127" s="20">
        <v>3291.84</v>
      </c>
      <c r="E4127" s="22" t="s">
        <v>10</v>
      </c>
      <c r="F4127" s="22" t="s">
        <v>16</v>
      </c>
      <c r="G4127" s="22" t="s">
        <v>20</v>
      </c>
    </row>
    <row r="4128" ht="15.15" spans="1:7">
      <c r="A4128" s="20">
        <v>4126</v>
      </c>
      <c r="B4128" s="20">
        <v>7773</v>
      </c>
      <c r="C4128" s="21">
        <v>45289</v>
      </c>
      <c r="D4128" s="20">
        <v>3291.84</v>
      </c>
      <c r="E4128" s="22" t="s">
        <v>10</v>
      </c>
      <c r="F4128" s="22" t="s">
        <v>13</v>
      </c>
      <c r="G4128" s="22" t="s">
        <v>15</v>
      </c>
    </row>
    <row r="4129" ht="15.15" spans="1:7">
      <c r="A4129" s="20">
        <v>4127</v>
      </c>
      <c r="B4129" s="20">
        <v>1337</v>
      </c>
      <c r="C4129" s="21">
        <v>45213</v>
      </c>
      <c r="D4129" s="20">
        <v>3291.84</v>
      </c>
      <c r="E4129" s="22" t="s">
        <v>10</v>
      </c>
      <c r="F4129" s="22" t="s">
        <v>11</v>
      </c>
      <c r="G4129" s="22" t="s">
        <v>20</v>
      </c>
    </row>
    <row r="4130" ht="15.15" spans="1:7">
      <c r="A4130" s="20">
        <v>4128</v>
      </c>
      <c r="B4130" s="20">
        <v>3606</v>
      </c>
      <c r="C4130" s="21">
        <v>45155</v>
      </c>
      <c r="D4130" s="20">
        <v>3291.84</v>
      </c>
      <c r="E4130" s="22" t="s">
        <v>10</v>
      </c>
      <c r="F4130" s="22" t="s">
        <v>16</v>
      </c>
      <c r="G4130" s="22" t="s">
        <v>17</v>
      </c>
    </row>
    <row r="4131" ht="15.15" spans="1:7">
      <c r="A4131" s="20">
        <v>4129</v>
      </c>
      <c r="B4131" s="20">
        <v>6195</v>
      </c>
      <c r="C4131" s="21">
        <v>45059</v>
      </c>
      <c r="D4131" s="20">
        <v>3291.84</v>
      </c>
      <c r="E4131" s="22" t="s">
        <v>10</v>
      </c>
      <c r="F4131" s="22" t="s">
        <v>11</v>
      </c>
      <c r="G4131" s="22" t="s">
        <v>15</v>
      </c>
    </row>
    <row r="4132" ht="15.15" spans="1:7">
      <c r="A4132" s="20">
        <v>4130</v>
      </c>
      <c r="B4132" s="20">
        <v>7712</v>
      </c>
      <c r="C4132" s="21">
        <v>45126</v>
      </c>
      <c r="D4132" s="20">
        <v>3291.84</v>
      </c>
      <c r="E4132" s="22" t="s">
        <v>10</v>
      </c>
      <c r="F4132" s="22" t="s">
        <v>16</v>
      </c>
      <c r="G4132" s="22" t="s">
        <v>15</v>
      </c>
    </row>
    <row r="4133" ht="15.15" spans="1:7">
      <c r="A4133" s="20">
        <v>4131</v>
      </c>
      <c r="B4133" s="20">
        <v>5903</v>
      </c>
      <c r="C4133" s="21">
        <v>45285</v>
      </c>
      <c r="D4133" s="20">
        <v>3291.84</v>
      </c>
      <c r="E4133" s="22" t="s">
        <v>10</v>
      </c>
      <c r="F4133" s="22" t="s">
        <v>19</v>
      </c>
      <c r="G4133" s="22" t="s">
        <v>20</v>
      </c>
    </row>
    <row r="4134" ht="15.15" spans="1:7">
      <c r="A4134" s="20">
        <v>4132</v>
      </c>
      <c r="B4134" s="20">
        <v>1116</v>
      </c>
      <c r="C4134" s="21">
        <v>45015</v>
      </c>
      <c r="D4134" s="20">
        <v>3291.84</v>
      </c>
      <c r="E4134" s="22" t="s">
        <v>10</v>
      </c>
      <c r="F4134" s="22" t="s">
        <v>18</v>
      </c>
      <c r="G4134" s="22" t="s">
        <v>15</v>
      </c>
    </row>
    <row r="4135" ht="15.15" spans="1:7">
      <c r="A4135" s="20">
        <v>4133</v>
      </c>
      <c r="B4135" s="20">
        <v>6907</v>
      </c>
      <c r="C4135" s="21">
        <v>45045</v>
      </c>
      <c r="D4135" s="20">
        <v>3291.84</v>
      </c>
      <c r="E4135" s="22" t="s">
        <v>10</v>
      </c>
      <c r="F4135" s="22" t="s">
        <v>14</v>
      </c>
      <c r="G4135" s="22" t="s">
        <v>15</v>
      </c>
    </row>
    <row r="4136" ht="15.15" spans="1:7">
      <c r="A4136" s="20">
        <v>4134</v>
      </c>
      <c r="B4136" s="20">
        <v>3657</v>
      </c>
      <c r="C4136" s="21">
        <v>45130</v>
      </c>
      <c r="D4136" s="20">
        <v>3291.84</v>
      </c>
      <c r="E4136" s="22" t="s">
        <v>10</v>
      </c>
      <c r="F4136" s="22" t="s">
        <v>13</v>
      </c>
      <c r="G4136" s="22" t="s">
        <v>17</v>
      </c>
    </row>
    <row r="4137" ht="15.15" spans="1:7">
      <c r="A4137" s="20">
        <v>4135</v>
      </c>
      <c r="B4137" s="20">
        <v>2558</v>
      </c>
      <c r="C4137" s="21">
        <v>44983</v>
      </c>
      <c r="D4137" s="20">
        <v>3291.84</v>
      </c>
      <c r="E4137" s="22" t="s">
        <v>10</v>
      </c>
      <c r="F4137" s="22" t="s">
        <v>16</v>
      </c>
      <c r="G4137" s="22" t="s">
        <v>15</v>
      </c>
    </row>
    <row r="4138" ht="15.15" spans="1:7">
      <c r="A4138" s="20">
        <v>4136</v>
      </c>
      <c r="B4138" s="20">
        <v>1258</v>
      </c>
      <c r="C4138" s="21">
        <v>45195</v>
      </c>
      <c r="D4138" s="20">
        <v>3291.84</v>
      </c>
      <c r="E4138" s="22" t="s">
        <v>10</v>
      </c>
      <c r="F4138" s="22" t="s">
        <v>18</v>
      </c>
      <c r="G4138" s="22" t="s">
        <v>20</v>
      </c>
    </row>
    <row r="4139" ht="15.15" spans="1:7">
      <c r="A4139" s="20">
        <v>4137</v>
      </c>
      <c r="B4139" s="20">
        <v>6940</v>
      </c>
      <c r="C4139" s="21">
        <v>44930</v>
      </c>
      <c r="D4139" s="20">
        <v>3291.84</v>
      </c>
      <c r="E4139" s="22" t="s">
        <v>10</v>
      </c>
      <c r="F4139" s="22" t="s">
        <v>16</v>
      </c>
      <c r="G4139" s="22" t="s">
        <v>15</v>
      </c>
    </row>
    <row r="4140" ht="15.15" spans="1:7">
      <c r="A4140" s="20">
        <v>4138</v>
      </c>
      <c r="B4140" s="20">
        <v>5458</v>
      </c>
      <c r="C4140" s="21">
        <v>45117</v>
      </c>
      <c r="D4140" s="20">
        <v>3291.84</v>
      </c>
      <c r="E4140" s="22" t="s">
        <v>10</v>
      </c>
      <c r="F4140" s="22" t="s">
        <v>16</v>
      </c>
      <c r="G4140" s="22" t="s">
        <v>12</v>
      </c>
    </row>
    <row r="4141" ht="15.15" spans="1:7">
      <c r="A4141" s="20">
        <v>4139</v>
      </c>
      <c r="B4141" s="20">
        <v>8108</v>
      </c>
      <c r="C4141" s="21">
        <v>45167</v>
      </c>
      <c r="D4141" s="20">
        <v>3291.84</v>
      </c>
      <c r="E4141" s="22" t="s">
        <v>10</v>
      </c>
      <c r="F4141" s="22" t="s">
        <v>18</v>
      </c>
      <c r="G4141" s="22" t="s">
        <v>15</v>
      </c>
    </row>
    <row r="4142" ht="15.15" spans="1:7">
      <c r="A4142" s="20">
        <v>4140</v>
      </c>
      <c r="B4142" s="20">
        <v>8630</v>
      </c>
      <c r="C4142" s="21">
        <v>45115</v>
      </c>
      <c r="D4142" s="20">
        <v>3291.84</v>
      </c>
      <c r="E4142" s="22" t="s">
        <v>22</v>
      </c>
      <c r="F4142" s="22" t="s">
        <v>18</v>
      </c>
      <c r="G4142" s="22" t="s">
        <v>15</v>
      </c>
    </row>
    <row r="4143" ht="15.15" spans="1:7">
      <c r="A4143" s="20">
        <v>4141</v>
      </c>
      <c r="B4143" s="20">
        <v>9823</v>
      </c>
      <c r="C4143" s="21">
        <v>45217</v>
      </c>
      <c r="D4143" s="20">
        <v>3291.84</v>
      </c>
      <c r="E4143" s="22" t="s">
        <v>10</v>
      </c>
      <c r="F4143" s="22" t="s">
        <v>16</v>
      </c>
      <c r="G4143" s="22" t="s">
        <v>20</v>
      </c>
    </row>
    <row r="4144" ht="15.15" spans="1:7">
      <c r="A4144" s="20">
        <v>4142</v>
      </c>
      <c r="B4144" s="20">
        <v>9488</v>
      </c>
      <c r="C4144" s="21">
        <v>45241</v>
      </c>
      <c r="D4144" s="20">
        <v>3291.84</v>
      </c>
      <c r="E4144" s="22" t="s">
        <v>10</v>
      </c>
      <c r="F4144" s="22" t="s">
        <v>18</v>
      </c>
      <c r="G4144" s="22" t="s">
        <v>12</v>
      </c>
    </row>
    <row r="4145" ht="15.15" spans="1:7">
      <c r="A4145" s="20">
        <v>4143</v>
      </c>
      <c r="B4145" s="20">
        <v>5400</v>
      </c>
      <c r="C4145" s="21">
        <v>45265</v>
      </c>
      <c r="D4145" s="20">
        <v>3291.84</v>
      </c>
      <c r="E4145" s="22" t="s">
        <v>10</v>
      </c>
      <c r="F4145" s="22" t="s">
        <v>16</v>
      </c>
      <c r="G4145" s="22" t="s">
        <v>15</v>
      </c>
    </row>
    <row r="4146" ht="15.15" spans="1:7">
      <c r="A4146" s="20">
        <v>4144</v>
      </c>
      <c r="B4146" s="20">
        <v>5170</v>
      </c>
      <c r="C4146" s="21">
        <v>45134</v>
      </c>
      <c r="D4146" s="20">
        <v>3291.84</v>
      </c>
      <c r="E4146" s="22" t="s">
        <v>21</v>
      </c>
      <c r="F4146" s="22" t="s">
        <v>14</v>
      </c>
      <c r="G4146" s="22" t="s">
        <v>17</v>
      </c>
    </row>
    <row r="4147" ht="15.15" spans="1:7">
      <c r="A4147" s="20">
        <v>4145</v>
      </c>
      <c r="B4147" s="20">
        <v>7875</v>
      </c>
      <c r="C4147" s="21">
        <v>45258</v>
      </c>
      <c r="D4147" s="20">
        <v>3291.84</v>
      </c>
      <c r="E4147" s="22" t="s">
        <v>10</v>
      </c>
      <c r="F4147" s="22" t="s">
        <v>14</v>
      </c>
      <c r="G4147" s="22" t="s">
        <v>15</v>
      </c>
    </row>
    <row r="4148" ht="15.15" spans="1:7">
      <c r="A4148" s="20">
        <v>4146</v>
      </c>
      <c r="B4148" s="20">
        <v>9437</v>
      </c>
      <c r="C4148" s="21">
        <v>44928</v>
      </c>
      <c r="D4148" s="20">
        <v>3291.84</v>
      </c>
      <c r="E4148" s="22" t="s">
        <v>10</v>
      </c>
      <c r="F4148" s="22" t="s">
        <v>18</v>
      </c>
      <c r="G4148" s="22" t="s">
        <v>15</v>
      </c>
    </row>
    <row r="4149" ht="15.15" spans="1:7">
      <c r="A4149" s="20">
        <v>4147</v>
      </c>
      <c r="B4149" s="20">
        <v>5070</v>
      </c>
      <c r="C4149" s="21">
        <v>45055</v>
      </c>
      <c r="D4149" s="20">
        <v>3291.84</v>
      </c>
      <c r="E4149" s="22" t="s">
        <v>10</v>
      </c>
      <c r="F4149" s="22" t="s">
        <v>11</v>
      </c>
      <c r="G4149" s="22" t="s">
        <v>20</v>
      </c>
    </row>
    <row r="4150" ht="15.15" spans="1:7">
      <c r="A4150" s="20">
        <v>4148</v>
      </c>
      <c r="B4150" s="20">
        <v>6062</v>
      </c>
      <c r="C4150" s="21">
        <v>44978</v>
      </c>
      <c r="D4150" s="20">
        <v>3291.84</v>
      </c>
      <c r="E4150" s="22" t="s">
        <v>10</v>
      </c>
      <c r="F4150" s="22" t="s">
        <v>16</v>
      </c>
      <c r="G4150" s="22" t="s">
        <v>15</v>
      </c>
    </row>
    <row r="4151" ht="15.15" spans="1:7">
      <c r="A4151" s="20">
        <v>4149</v>
      </c>
      <c r="B4151" s="20">
        <v>4860</v>
      </c>
      <c r="C4151" s="21">
        <v>45086</v>
      </c>
      <c r="D4151" s="20">
        <v>3291.84</v>
      </c>
      <c r="E4151" s="22" t="s">
        <v>10</v>
      </c>
      <c r="F4151" s="22" t="s">
        <v>18</v>
      </c>
      <c r="G4151" s="22" t="s">
        <v>20</v>
      </c>
    </row>
    <row r="4152" ht="15.15" spans="1:7">
      <c r="A4152" s="20">
        <v>4150</v>
      </c>
      <c r="B4152" s="20">
        <v>9731</v>
      </c>
      <c r="C4152" s="21">
        <v>45277</v>
      </c>
      <c r="D4152" s="20">
        <v>3291.84</v>
      </c>
      <c r="E4152" s="22" t="s">
        <v>10</v>
      </c>
      <c r="F4152" s="22" t="s">
        <v>18</v>
      </c>
      <c r="G4152" s="22" t="s">
        <v>17</v>
      </c>
    </row>
    <row r="4153" ht="15.15" spans="1:7">
      <c r="A4153" s="20">
        <v>4151</v>
      </c>
      <c r="B4153" s="20">
        <v>783</v>
      </c>
      <c r="C4153" s="21">
        <v>45259</v>
      </c>
      <c r="D4153" s="20">
        <v>3291.84</v>
      </c>
      <c r="E4153" s="22" t="s">
        <v>10</v>
      </c>
      <c r="F4153" s="22" t="s">
        <v>16</v>
      </c>
      <c r="G4153" s="22" t="s">
        <v>17</v>
      </c>
    </row>
    <row r="4154" ht="15.15" spans="1:7">
      <c r="A4154" s="20">
        <v>4152</v>
      </c>
      <c r="B4154" s="20">
        <v>6010</v>
      </c>
      <c r="C4154" s="21">
        <v>44946</v>
      </c>
      <c r="D4154" s="20">
        <v>3291.84</v>
      </c>
      <c r="E4154" s="22" t="s">
        <v>10</v>
      </c>
      <c r="F4154" s="22" t="s">
        <v>14</v>
      </c>
      <c r="G4154" s="22" t="s">
        <v>15</v>
      </c>
    </row>
    <row r="4155" ht="15.15" spans="1:7">
      <c r="A4155" s="20">
        <v>4153</v>
      </c>
      <c r="B4155" s="20">
        <v>1182</v>
      </c>
      <c r="C4155" s="21">
        <v>45100</v>
      </c>
      <c r="D4155" s="20">
        <v>3291.84</v>
      </c>
      <c r="E4155" s="22" t="s">
        <v>10</v>
      </c>
      <c r="F4155" s="22" t="s">
        <v>14</v>
      </c>
      <c r="G4155" s="22" t="s">
        <v>20</v>
      </c>
    </row>
    <row r="4156" ht="15.15" spans="1:7">
      <c r="A4156" s="20">
        <v>4154</v>
      </c>
      <c r="B4156" s="20">
        <v>4613</v>
      </c>
      <c r="C4156" s="21">
        <v>44992</v>
      </c>
      <c r="D4156" s="20">
        <v>3291.84</v>
      </c>
      <c r="E4156" s="22" t="s">
        <v>10</v>
      </c>
      <c r="F4156" s="22" t="s">
        <v>11</v>
      </c>
      <c r="G4156" s="22" t="s">
        <v>17</v>
      </c>
    </row>
    <row r="4157" ht="15.15" spans="1:7">
      <c r="A4157" s="20">
        <v>4155</v>
      </c>
      <c r="B4157" s="20">
        <v>4280</v>
      </c>
      <c r="C4157" s="21">
        <v>45214</v>
      </c>
      <c r="D4157" s="20">
        <v>3291.84</v>
      </c>
      <c r="E4157" s="22" t="s">
        <v>10</v>
      </c>
      <c r="F4157" s="22" t="s">
        <v>18</v>
      </c>
      <c r="G4157" s="22" t="s">
        <v>12</v>
      </c>
    </row>
    <row r="4158" ht="15.15" spans="1:7">
      <c r="A4158" s="20">
        <v>4156</v>
      </c>
      <c r="B4158" s="20">
        <v>548</v>
      </c>
      <c r="C4158" s="21">
        <v>44942</v>
      </c>
      <c r="D4158" s="20">
        <v>3291.84</v>
      </c>
      <c r="E4158" s="22" t="s">
        <v>10</v>
      </c>
      <c r="F4158" s="22" t="s">
        <v>14</v>
      </c>
      <c r="G4158" s="22" t="s">
        <v>17</v>
      </c>
    </row>
    <row r="4159" ht="15.15" spans="1:7">
      <c r="A4159" s="20">
        <v>4157</v>
      </c>
      <c r="B4159" s="20">
        <v>6690</v>
      </c>
      <c r="C4159" s="21">
        <v>45078</v>
      </c>
      <c r="D4159" s="20">
        <v>3291.84</v>
      </c>
      <c r="E4159" s="22" t="s">
        <v>10</v>
      </c>
      <c r="F4159" s="22" t="s">
        <v>18</v>
      </c>
      <c r="G4159" s="22" t="s">
        <v>15</v>
      </c>
    </row>
    <row r="4160" ht="15.15" spans="1:7">
      <c r="A4160" s="20">
        <v>4158</v>
      </c>
      <c r="B4160" s="20">
        <v>4170</v>
      </c>
      <c r="C4160" s="21">
        <v>45185</v>
      </c>
      <c r="D4160" s="20">
        <v>3291.84</v>
      </c>
      <c r="E4160" s="22" t="s">
        <v>10</v>
      </c>
      <c r="F4160" s="22" t="s">
        <v>11</v>
      </c>
      <c r="G4160" s="22" t="s">
        <v>17</v>
      </c>
    </row>
    <row r="4161" ht="15.15" spans="1:7">
      <c r="A4161" s="20">
        <v>4159</v>
      </c>
      <c r="B4161" s="20">
        <v>8999</v>
      </c>
      <c r="C4161" s="21">
        <v>44987</v>
      </c>
      <c r="D4161" s="20">
        <v>3291.84</v>
      </c>
      <c r="E4161" s="22" t="s">
        <v>10</v>
      </c>
      <c r="F4161" s="22" t="s">
        <v>18</v>
      </c>
      <c r="G4161" s="22" t="s">
        <v>15</v>
      </c>
    </row>
    <row r="4162" ht="15.15" spans="1:7">
      <c r="A4162" s="20">
        <v>4160</v>
      </c>
      <c r="B4162" s="20">
        <v>1695</v>
      </c>
      <c r="C4162" s="21">
        <v>45220</v>
      </c>
      <c r="D4162" s="20">
        <v>3291.84</v>
      </c>
      <c r="E4162" s="22" t="s">
        <v>10</v>
      </c>
      <c r="F4162" s="22" t="s">
        <v>14</v>
      </c>
      <c r="G4162" s="22" t="s">
        <v>20</v>
      </c>
    </row>
    <row r="4163" ht="15.15" spans="1:7">
      <c r="A4163" s="20">
        <v>4161</v>
      </c>
      <c r="B4163" s="20">
        <v>2295</v>
      </c>
      <c r="C4163" s="21">
        <v>45094</v>
      </c>
      <c r="D4163" s="20">
        <v>3291.84</v>
      </c>
      <c r="E4163" s="22" t="s">
        <v>10</v>
      </c>
      <c r="F4163" s="22" t="s">
        <v>11</v>
      </c>
      <c r="G4163" s="22" t="s">
        <v>20</v>
      </c>
    </row>
    <row r="4164" ht="15.15" spans="1:7">
      <c r="A4164" s="20">
        <v>4162</v>
      </c>
      <c r="B4164" s="20">
        <v>4695</v>
      </c>
      <c r="C4164" s="21">
        <v>45263</v>
      </c>
      <c r="D4164" s="20">
        <v>3291.84</v>
      </c>
      <c r="E4164" s="22" t="s">
        <v>10</v>
      </c>
      <c r="F4164" s="22" t="s">
        <v>16</v>
      </c>
      <c r="G4164" s="22" t="s">
        <v>12</v>
      </c>
    </row>
    <row r="4165" ht="15.15" spans="1:7">
      <c r="A4165" s="20">
        <v>4163</v>
      </c>
      <c r="B4165" s="20">
        <v>9729</v>
      </c>
      <c r="C4165" s="21">
        <v>45253</v>
      </c>
      <c r="D4165" s="20">
        <v>3291.84</v>
      </c>
      <c r="E4165" s="22" t="s">
        <v>10</v>
      </c>
      <c r="F4165" s="22" t="s">
        <v>18</v>
      </c>
      <c r="G4165" s="22" t="s">
        <v>17</v>
      </c>
    </row>
    <row r="4166" ht="15.15" spans="1:7">
      <c r="A4166" s="20">
        <v>4164</v>
      </c>
      <c r="B4166" s="20">
        <v>7589</v>
      </c>
      <c r="C4166" s="21">
        <v>44953</v>
      </c>
      <c r="D4166" s="20">
        <v>3291.84</v>
      </c>
      <c r="E4166" s="22" t="s">
        <v>10</v>
      </c>
      <c r="F4166" s="22" t="s">
        <v>11</v>
      </c>
      <c r="G4166" s="22" t="s">
        <v>17</v>
      </c>
    </row>
    <row r="4167" ht="15.15" spans="1:7">
      <c r="A4167" s="20">
        <v>4165</v>
      </c>
      <c r="B4167" s="20">
        <v>6796</v>
      </c>
      <c r="C4167" s="21">
        <v>45244</v>
      </c>
      <c r="D4167" s="20">
        <v>3291.84</v>
      </c>
      <c r="E4167" s="22" t="s">
        <v>10</v>
      </c>
      <c r="F4167" s="22" t="s">
        <v>14</v>
      </c>
      <c r="G4167" s="22" t="s">
        <v>20</v>
      </c>
    </row>
    <row r="4168" ht="15.15" spans="1:7">
      <c r="A4168" s="20">
        <v>4166</v>
      </c>
      <c r="B4168" s="20">
        <v>6828</v>
      </c>
      <c r="C4168" s="21">
        <v>45025</v>
      </c>
      <c r="D4168" s="20">
        <v>3291.84</v>
      </c>
      <c r="E4168" s="22" t="s">
        <v>10</v>
      </c>
      <c r="F4168" s="22" t="s">
        <v>14</v>
      </c>
      <c r="G4168" s="22" t="s">
        <v>17</v>
      </c>
    </row>
    <row r="4169" ht="15.15" spans="1:7">
      <c r="A4169" s="20">
        <v>4167</v>
      </c>
      <c r="B4169" s="20">
        <v>6219</v>
      </c>
      <c r="C4169" s="21">
        <v>44998</v>
      </c>
      <c r="D4169" s="20">
        <v>3291.84</v>
      </c>
      <c r="E4169" s="22" t="s">
        <v>10</v>
      </c>
      <c r="F4169" s="22" t="s">
        <v>18</v>
      </c>
      <c r="G4169" s="22" t="s">
        <v>20</v>
      </c>
    </row>
    <row r="4170" ht="15.15" spans="1:7">
      <c r="A4170" s="20">
        <v>4168</v>
      </c>
      <c r="B4170" s="20">
        <v>7491</v>
      </c>
      <c r="C4170" s="21">
        <v>45235</v>
      </c>
      <c r="D4170" s="20">
        <v>3291.84</v>
      </c>
      <c r="E4170" s="22" t="s">
        <v>10</v>
      </c>
      <c r="F4170" s="22" t="s">
        <v>13</v>
      </c>
      <c r="G4170" s="22" t="s">
        <v>20</v>
      </c>
    </row>
    <row r="4171" ht="15.15" spans="1:7">
      <c r="A4171" s="20">
        <v>4169</v>
      </c>
      <c r="B4171" s="20">
        <v>9707</v>
      </c>
      <c r="C4171" s="21">
        <v>45172</v>
      </c>
      <c r="D4171" s="20">
        <v>3291.84</v>
      </c>
      <c r="E4171" s="22" t="s">
        <v>10</v>
      </c>
      <c r="F4171" s="22" t="s">
        <v>16</v>
      </c>
      <c r="G4171" s="22" t="s">
        <v>17</v>
      </c>
    </row>
    <row r="4172" ht="15.15" spans="1:7">
      <c r="A4172" s="20">
        <v>4170</v>
      </c>
      <c r="B4172" s="20">
        <v>2339</v>
      </c>
      <c r="C4172" s="21">
        <v>45197</v>
      </c>
      <c r="D4172" s="20">
        <v>3291.84</v>
      </c>
      <c r="E4172" s="22" t="s">
        <v>10</v>
      </c>
      <c r="F4172" s="22" t="s">
        <v>13</v>
      </c>
      <c r="G4172" s="22" t="s">
        <v>17</v>
      </c>
    </row>
    <row r="4173" ht="15.15" spans="1:7">
      <c r="A4173" s="20">
        <v>4171</v>
      </c>
      <c r="B4173" s="20">
        <v>643</v>
      </c>
      <c r="C4173" s="21">
        <v>44957</v>
      </c>
      <c r="D4173" s="20">
        <v>3291.84</v>
      </c>
      <c r="E4173" s="22" t="s">
        <v>10</v>
      </c>
      <c r="F4173" s="22" t="s">
        <v>11</v>
      </c>
      <c r="G4173" s="22" t="s">
        <v>20</v>
      </c>
    </row>
    <row r="4174" ht="15.15" spans="1:7">
      <c r="A4174" s="20">
        <v>4172</v>
      </c>
      <c r="B4174" s="20">
        <v>4626</v>
      </c>
      <c r="C4174" s="21">
        <v>45236</v>
      </c>
      <c r="D4174" s="20">
        <v>3291.84</v>
      </c>
      <c r="E4174" s="22" t="s">
        <v>10</v>
      </c>
      <c r="F4174" s="22" t="s">
        <v>13</v>
      </c>
      <c r="G4174" s="22" t="s">
        <v>15</v>
      </c>
    </row>
    <row r="4175" ht="15.15" spans="1:7">
      <c r="A4175" s="20">
        <v>4173</v>
      </c>
      <c r="B4175" s="20">
        <v>1146</v>
      </c>
      <c r="C4175" s="21">
        <v>45229</v>
      </c>
      <c r="D4175" s="20">
        <v>3291.84</v>
      </c>
      <c r="E4175" s="22" t="s">
        <v>21</v>
      </c>
      <c r="F4175" s="22" t="s">
        <v>14</v>
      </c>
      <c r="G4175" s="22" t="s">
        <v>12</v>
      </c>
    </row>
    <row r="4176" ht="15.15" spans="1:7">
      <c r="A4176" s="20">
        <v>4174</v>
      </c>
      <c r="B4176" s="20">
        <v>1771</v>
      </c>
      <c r="C4176" s="21">
        <v>44978</v>
      </c>
      <c r="D4176" s="20">
        <v>3291.84</v>
      </c>
      <c r="E4176" s="22" t="s">
        <v>10</v>
      </c>
      <c r="F4176" s="22" t="s">
        <v>14</v>
      </c>
      <c r="G4176" s="22" t="s">
        <v>15</v>
      </c>
    </row>
    <row r="4177" ht="15.15" spans="1:7">
      <c r="A4177" s="20">
        <v>4175</v>
      </c>
      <c r="B4177" s="20">
        <v>4086</v>
      </c>
      <c r="C4177" s="21">
        <v>44999</v>
      </c>
      <c r="D4177" s="20">
        <v>3291.84</v>
      </c>
      <c r="E4177" s="22" t="s">
        <v>10</v>
      </c>
      <c r="F4177" s="22" t="s">
        <v>18</v>
      </c>
      <c r="G4177" s="22" t="s">
        <v>15</v>
      </c>
    </row>
    <row r="4178" ht="15.15" spans="1:7">
      <c r="A4178" s="20">
        <v>4176</v>
      </c>
      <c r="B4178" s="20">
        <v>333</v>
      </c>
      <c r="C4178" s="21">
        <v>45079</v>
      </c>
      <c r="D4178" s="20">
        <v>3291.84</v>
      </c>
      <c r="E4178" s="22" t="s">
        <v>10</v>
      </c>
      <c r="F4178" s="22" t="s">
        <v>19</v>
      </c>
      <c r="G4178" s="22" t="s">
        <v>17</v>
      </c>
    </row>
    <row r="4179" ht="15.15" spans="1:7">
      <c r="A4179" s="20">
        <v>4177</v>
      </c>
      <c r="B4179" s="20">
        <v>2469</v>
      </c>
      <c r="C4179" s="21">
        <v>45239</v>
      </c>
      <c r="D4179" s="20">
        <v>3291.84</v>
      </c>
      <c r="E4179" s="22" t="s">
        <v>22</v>
      </c>
      <c r="F4179" s="22" t="s">
        <v>11</v>
      </c>
      <c r="G4179" s="22" t="s">
        <v>15</v>
      </c>
    </row>
    <row r="4180" ht="15.15" spans="1:7">
      <c r="A4180" s="20">
        <v>4178</v>
      </c>
      <c r="B4180" s="20">
        <v>3733</v>
      </c>
      <c r="C4180" s="21">
        <v>45166</v>
      </c>
      <c r="D4180" s="20">
        <v>3291.84</v>
      </c>
      <c r="E4180" s="22" t="s">
        <v>10</v>
      </c>
      <c r="F4180" s="22" t="s">
        <v>13</v>
      </c>
      <c r="G4180" s="22" t="s">
        <v>17</v>
      </c>
    </row>
    <row r="4181" ht="15.15" spans="1:7">
      <c r="A4181" s="20">
        <v>4179</v>
      </c>
      <c r="B4181" s="20">
        <v>5970</v>
      </c>
      <c r="C4181" s="21">
        <v>45241</v>
      </c>
      <c r="D4181" s="20">
        <v>3291.84</v>
      </c>
      <c r="E4181" s="22" t="s">
        <v>10</v>
      </c>
      <c r="F4181" s="22" t="s">
        <v>11</v>
      </c>
      <c r="G4181" s="22" t="s">
        <v>20</v>
      </c>
    </row>
    <row r="4182" ht="15.15" spans="1:7">
      <c r="A4182" s="20">
        <v>4180</v>
      </c>
      <c r="B4182" s="20">
        <v>163</v>
      </c>
      <c r="C4182" s="21">
        <v>45024</v>
      </c>
      <c r="D4182" s="20">
        <v>3291.84</v>
      </c>
      <c r="E4182" s="22" t="s">
        <v>10</v>
      </c>
      <c r="F4182" s="22" t="s">
        <v>11</v>
      </c>
      <c r="G4182" s="22" t="s">
        <v>20</v>
      </c>
    </row>
    <row r="4183" ht="15.15" spans="1:7">
      <c r="A4183" s="20">
        <v>4181</v>
      </c>
      <c r="B4183" s="20">
        <v>642</v>
      </c>
      <c r="C4183" s="21">
        <v>45089</v>
      </c>
      <c r="D4183" s="20">
        <v>3291.84</v>
      </c>
      <c r="E4183" s="22" t="s">
        <v>10</v>
      </c>
      <c r="F4183" s="22" t="s">
        <v>19</v>
      </c>
      <c r="G4183" s="22" t="s">
        <v>20</v>
      </c>
    </row>
    <row r="4184" ht="15.15" spans="1:7">
      <c r="A4184" s="20">
        <v>4182</v>
      </c>
      <c r="B4184" s="20">
        <v>2165</v>
      </c>
      <c r="C4184" s="21">
        <v>45285</v>
      </c>
      <c r="D4184" s="20">
        <v>3291.84</v>
      </c>
      <c r="E4184" s="22" t="s">
        <v>10</v>
      </c>
      <c r="F4184" s="22" t="s">
        <v>18</v>
      </c>
      <c r="G4184" s="22" t="s">
        <v>12</v>
      </c>
    </row>
    <row r="4185" ht="15.15" spans="1:7">
      <c r="A4185" s="20">
        <v>4183</v>
      </c>
      <c r="B4185" s="20">
        <v>163</v>
      </c>
      <c r="C4185" s="21">
        <v>45015</v>
      </c>
      <c r="D4185" s="20">
        <v>3291.84</v>
      </c>
      <c r="E4185" s="22" t="s">
        <v>10</v>
      </c>
      <c r="F4185" s="22" t="s">
        <v>11</v>
      </c>
      <c r="G4185" s="22" t="s">
        <v>17</v>
      </c>
    </row>
    <row r="4186" ht="15.15" spans="1:7">
      <c r="A4186" s="20">
        <v>4184</v>
      </c>
      <c r="B4186" s="20">
        <v>8314</v>
      </c>
      <c r="C4186" s="21">
        <v>45272</v>
      </c>
      <c r="D4186" s="20">
        <v>3291.84</v>
      </c>
      <c r="E4186" s="22" t="s">
        <v>10</v>
      </c>
      <c r="F4186" s="22" t="s">
        <v>16</v>
      </c>
      <c r="G4186" s="22" t="s">
        <v>15</v>
      </c>
    </row>
    <row r="4187" ht="15.15" spans="1:7">
      <c r="A4187" s="20">
        <v>4185</v>
      </c>
      <c r="B4187" s="20">
        <v>9950</v>
      </c>
      <c r="C4187" s="21">
        <v>44932</v>
      </c>
      <c r="D4187" s="20">
        <v>3291.84</v>
      </c>
      <c r="E4187" s="22" t="s">
        <v>10</v>
      </c>
      <c r="F4187" s="22" t="s">
        <v>14</v>
      </c>
      <c r="G4187" s="22" t="s">
        <v>12</v>
      </c>
    </row>
    <row r="4188" ht="15.15" spans="1:7">
      <c r="A4188" s="20">
        <v>4186</v>
      </c>
      <c r="B4188" s="20">
        <v>3034</v>
      </c>
      <c r="C4188" s="21">
        <v>45268</v>
      </c>
      <c r="D4188" s="20">
        <v>3291.84</v>
      </c>
      <c r="E4188" s="22" t="s">
        <v>10</v>
      </c>
      <c r="F4188" s="22" t="s">
        <v>16</v>
      </c>
      <c r="G4188" s="22" t="s">
        <v>17</v>
      </c>
    </row>
    <row r="4189" ht="15.15" spans="1:7">
      <c r="A4189" s="20">
        <v>4187</v>
      </c>
      <c r="B4189" s="20">
        <v>71</v>
      </c>
      <c r="C4189" s="21">
        <v>45076</v>
      </c>
      <c r="D4189" s="20">
        <v>3291.84</v>
      </c>
      <c r="E4189" s="22" t="s">
        <v>10</v>
      </c>
      <c r="F4189" s="22" t="s">
        <v>14</v>
      </c>
      <c r="G4189" s="22" t="s">
        <v>17</v>
      </c>
    </row>
    <row r="4190" ht="15.15" spans="1:7">
      <c r="A4190" s="20">
        <v>4188</v>
      </c>
      <c r="B4190" s="20">
        <v>4613</v>
      </c>
      <c r="C4190" s="21">
        <v>44984</v>
      </c>
      <c r="D4190" s="20">
        <v>3291.84</v>
      </c>
      <c r="E4190" s="22" t="s">
        <v>10</v>
      </c>
      <c r="F4190" s="22" t="s">
        <v>11</v>
      </c>
      <c r="G4190" s="22" t="s">
        <v>12</v>
      </c>
    </row>
    <row r="4191" ht="15.15" spans="1:7">
      <c r="A4191" s="20">
        <v>4189</v>
      </c>
      <c r="B4191" s="20">
        <v>7986</v>
      </c>
      <c r="C4191" s="21">
        <v>45263</v>
      </c>
      <c r="D4191" s="20">
        <v>3291.84</v>
      </c>
      <c r="E4191" s="22" t="s">
        <v>10</v>
      </c>
      <c r="F4191" s="22" t="s">
        <v>18</v>
      </c>
      <c r="G4191" s="22" t="s">
        <v>12</v>
      </c>
    </row>
    <row r="4192" ht="15.15" spans="1:7">
      <c r="A4192" s="20">
        <v>4190</v>
      </c>
      <c r="B4192" s="20">
        <v>5343</v>
      </c>
      <c r="C4192" s="21">
        <v>45051</v>
      </c>
      <c r="D4192" s="20">
        <v>3291.84</v>
      </c>
      <c r="E4192" s="22" t="s">
        <v>10</v>
      </c>
      <c r="F4192" s="22" t="s">
        <v>13</v>
      </c>
      <c r="G4192" s="22" t="s">
        <v>17</v>
      </c>
    </row>
    <row r="4193" ht="15.15" spans="1:7">
      <c r="A4193" s="20">
        <v>4191</v>
      </c>
      <c r="B4193" s="20">
        <v>5791</v>
      </c>
      <c r="C4193" s="21">
        <v>45245</v>
      </c>
      <c r="D4193" s="20">
        <v>3291.84</v>
      </c>
      <c r="E4193" s="22" t="s">
        <v>10</v>
      </c>
      <c r="F4193" s="22" t="s">
        <v>13</v>
      </c>
      <c r="G4193" s="22" t="s">
        <v>15</v>
      </c>
    </row>
    <row r="4194" ht="15.15" spans="1:7">
      <c r="A4194" s="20">
        <v>4192</v>
      </c>
      <c r="B4194" s="20">
        <v>8542</v>
      </c>
      <c r="C4194" s="21">
        <v>45106</v>
      </c>
      <c r="D4194" s="20">
        <v>3291.84</v>
      </c>
      <c r="E4194" s="22" t="s">
        <v>10</v>
      </c>
      <c r="F4194" s="22" t="s">
        <v>18</v>
      </c>
      <c r="G4194" s="22" t="s">
        <v>20</v>
      </c>
    </row>
    <row r="4195" ht="15.15" spans="1:7">
      <c r="A4195" s="20">
        <v>4193</v>
      </c>
      <c r="B4195" s="20">
        <v>8828</v>
      </c>
      <c r="C4195" s="21">
        <v>45051</v>
      </c>
      <c r="D4195" s="20">
        <v>3291.84</v>
      </c>
      <c r="E4195" s="22" t="s">
        <v>10</v>
      </c>
      <c r="F4195" s="22" t="s">
        <v>11</v>
      </c>
      <c r="G4195" s="22" t="s">
        <v>20</v>
      </c>
    </row>
    <row r="4196" ht="15.15" spans="1:7">
      <c r="A4196" s="20">
        <v>4194</v>
      </c>
      <c r="B4196" s="20">
        <v>6515</v>
      </c>
      <c r="C4196" s="21">
        <v>45046</v>
      </c>
      <c r="D4196" s="20">
        <v>3291.84</v>
      </c>
      <c r="E4196" s="22" t="s">
        <v>10</v>
      </c>
      <c r="F4196" s="22" t="s">
        <v>14</v>
      </c>
      <c r="G4196" s="22" t="s">
        <v>15</v>
      </c>
    </row>
    <row r="4197" ht="15.15" spans="1:7">
      <c r="A4197" s="20">
        <v>4195</v>
      </c>
      <c r="B4197" s="20">
        <v>3899</v>
      </c>
      <c r="C4197" s="21">
        <v>45063</v>
      </c>
      <c r="D4197" s="20">
        <v>3291.84</v>
      </c>
      <c r="E4197" s="22" t="s">
        <v>10</v>
      </c>
      <c r="F4197" s="22" t="s">
        <v>16</v>
      </c>
      <c r="G4197" s="22" t="s">
        <v>15</v>
      </c>
    </row>
    <row r="4198" ht="15.15" spans="1:7">
      <c r="A4198" s="20">
        <v>4196</v>
      </c>
      <c r="B4198" s="20">
        <v>962</v>
      </c>
      <c r="C4198" s="21">
        <v>45033</v>
      </c>
      <c r="D4198" s="20">
        <v>3291.84</v>
      </c>
      <c r="E4198" s="22" t="s">
        <v>10</v>
      </c>
      <c r="F4198" s="22" t="s">
        <v>18</v>
      </c>
      <c r="G4198" s="22" t="s">
        <v>17</v>
      </c>
    </row>
    <row r="4199" ht="15.15" spans="1:7">
      <c r="A4199" s="20">
        <v>4197</v>
      </c>
      <c r="B4199" s="20">
        <v>5921</v>
      </c>
      <c r="C4199" s="21">
        <v>44994</v>
      </c>
      <c r="D4199" s="20">
        <v>3291.84</v>
      </c>
      <c r="E4199" s="22" t="s">
        <v>10</v>
      </c>
      <c r="F4199" s="22" t="s">
        <v>13</v>
      </c>
      <c r="G4199" s="22" t="s">
        <v>20</v>
      </c>
    </row>
    <row r="4200" ht="15.15" spans="1:7">
      <c r="A4200" s="20">
        <v>4198</v>
      </c>
      <c r="B4200" s="20">
        <v>1207</v>
      </c>
      <c r="C4200" s="21">
        <v>45257</v>
      </c>
      <c r="D4200" s="20">
        <v>3291.84</v>
      </c>
      <c r="E4200" s="22" t="s">
        <v>10</v>
      </c>
      <c r="F4200" s="22" t="s">
        <v>18</v>
      </c>
      <c r="G4200" s="22" t="s">
        <v>15</v>
      </c>
    </row>
    <row r="4201" ht="15.15" spans="1:7">
      <c r="A4201" s="20">
        <v>4199</v>
      </c>
      <c r="B4201" s="20">
        <v>4685</v>
      </c>
      <c r="C4201" s="21">
        <v>45270</v>
      </c>
      <c r="D4201" s="20">
        <v>3291.84</v>
      </c>
      <c r="E4201" s="22" t="s">
        <v>10</v>
      </c>
      <c r="F4201" s="22" t="s">
        <v>14</v>
      </c>
      <c r="G4201" s="22" t="s">
        <v>17</v>
      </c>
    </row>
    <row r="4202" ht="15.15" spans="1:7">
      <c r="A4202" s="20">
        <v>4200</v>
      </c>
      <c r="B4202" s="20">
        <v>9292</v>
      </c>
      <c r="C4202" s="21">
        <v>45238</v>
      </c>
      <c r="D4202" s="20">
        <v>3291.84</v>
      </c>
      <c r="E4202" s="22" t="s">
        <v>10</v>
      </c>
      <c r="F4202" s="22" t="s">
        <v>13</v>
      </c>
      <c r="G4202" s="22" t="s">
        <v>12</v>
      </c>
    </row>
    <row r="4203" ht="15.15" spans="1:7">
      <c r="A4203" s="20">
        <v>4201</v>
      </c>
      <c r="B4203" s="20">
        <v>3592</v>
      </c>
      <c r="C4203" s="21">
        <v>45176</v>
      </c>
      <c r="D4203" s="20">
        <v>3291.84</v>
      </c>
      <c r="E4203" s="22" t="s">
        <v>10</v>
      </c>
      <c r="F4203" s="22" t="s">
        <v>18</v>
      </c>
      <c r="G4203" s="22" t="s">
        <v>12</v>
      </c>
    </row>
    <row r="4204" ht="15.15" spans="1:7">
      <c r="A4204" s="20">
        <v>4202</v>
      </c>
      <c r="B4204" s="20">
        <v>2255</v>
      </c>
      <c r="C4204" s="21">
        <v>45247</v>
      </c>
      <c r="D4204" s="20">
        <v>3291.84</v>
      </c>
      <c r="E4204" s="22" t="s">
        <v>10</v>
      </c>
      <c r="F4204" s="22" t="s">
        <v>18</v>
      </c>
      <c r="G4204" s="22" t="s">
        <v>12</v>
      </c>
    </row>
    <row r="4205" ht="15.15" spans="1:7">
      <c r="A4205" s="20">
        <v>4203</v>
      </c>
      <c r="B4205" s="20">
        <v>1225</v>
      </c>
      <c r="C4205" s="21">
        <v>44940</v>
      </c>
      <c r="D4205" s="20">
        <v>3291.84</v>
      </c>
      <c r="E4205" s="22" t="s">
        <v>10</v>
      </c>
      <c r="F4205" s="22" t="s">
        <v>16</v>
      </c>
      <c r="G4205" s="22" t="s">
        <v>20</v>
      </c>
    </row>
    <row r="4206" ht="15.15" spans="1:7">
      <c r="A4206" s="20">
        <v>4204</v>
      </c>
      <c r="B4206" s="20">
        <v>3026</v>
      </c>
      <c r="C4206" s="21">
        <v>45240</v>
      </c>
      <c r="D4206" s="20">
        <v>3291.84</v>
      </c>
      <c r="E4206" s="22" t="s">
        <v>10</v>
      </c>
      <c r="F4206" s="22" t="s">
        <v>11</v>
      </c>
      <c r="G4206" s="22" t="s">
        <v>12</v>
      </c>
    </row>
    <row r="4207" ht="15.15" spans="1:7">
      <c r="A4207" s="20">
        <v>4205</v>
      </c>
      <c r="B4207" s="20">
        <v>6585</v>
      </c>
      <c r="C4207" s="21">
        <v>45258</v>
      </c>
      <c r="D4207" s="20">
        <v>3291.84</v>
      </c>
      <c r="E4207" s="22" t="s">
        <v>10</v>
      </c>
      <c r="F4207" s="22" t="s">
        <v>11</v>
      </c>
      <c r="G4207" s="22" t="s">
        <v>12</v>
      </c>
    </row>
    <row r="4208" ht="15.15" spans="1:7">
      <c r="A4208" s="20">
        <v>4206</v>
      </c>
      <c r="B4208" s="20">
        <v>4090</v>
      </c>
      <c r="C4208" s="21">
        <v>45197</v>
      </c>
      <c r="D4208" s="20">
        <v>3291.84</v>
      </c>
      <c r="E4208" s="22" t="s">
        <v>10</v>
      </c>
      <c r="F4208" s="22" t="s">
        <v>16</v>
      </c>
      <c r="G4208" s="22" t="s">
        <v>20</v>
      </c>
    </row>
    <row r="4209" ht="15.15" spans="1:7">
      <c r="A4209" s="20">
        <v>4207</v>
      </c>
      <c r="B4209" s="20">
        <v>7930</v>
      </c>
      <c r="C4209" s="21">
        <v>45072</v>
      </c>
      <c r="D4209" s="20">
        <v>3291.84</v>
      </c>
      <c r="E4209" s="22" t="s">
        <v>10</v>
      </c>
      <c r="F4209" s="22" t="s">
        <v>14</v>
      </c>
      <c r="G4209" s="22" t="s">
        <v>20</v>
      </c>
    </row>
    <row r="4210" ht="15.15" spans="1:7">
      <c r="A4210" s="20">
        <v>4208</v>
      </c>
      <c r="B4210" s="20">
        <v>5795</v>
      </c>
      <c r="C4210" s="21">
        <v>45171</v>
      </c>
      <c r="D4210" s="20">
        <v>3291.84</v>
      </c>
      <c r="E4210" s="22" t="s">
        <v>10</v>
      </c>
      <c r="F4210" s="22" t="s">
        <v>19</v>
      </c>
      <c r="G4210" s="22" t="s">
        <v>15</v>
      </c>
    </row>
    <row r="4211" ht="15.15" spans="1:7">
      <c r="A4211" s="20">
        <v>4209</v>
      </c>
      <c r="B4211" s="20">
        <v>9300</v>
      </c>
      <c r="C4211" s="21">
        <v>45157</v>
      </c>
      <c r="D4211" s="20">
        <v>3291.84</v>
      </c>
      <c r="E4211" s="22" t="s">
        <v>10</v>
      </c>
      <c r="F4211" s="22" t="s">
        <v>11</v>
      </c>
      <c r="G4211" s="22" t="s">
        <v>12</v>
      </c>
    </row>
    <row r="4212" ht="15.15" spans="1:7">
      <c r="A4212" s="20">
        <v>4210</v>
      </c>
      <c r="B4212" s="20">
        <v>4672</v>
      </c>
      <c r="C4212" s="21">
        <v>45046</v>
      </c>
      <c r="D4212" s="20">
        <v>3291.84</v>
      </c>
      <c r="E4212" s="22" t="s">
        <v>10</v>
      </c>
      <c r="F4212" s="22" t="s">
        <v>18</v>
      </c>
      <c r="G4212" s="22" t="s">
        <v>15</v>
      </c>
    </row>
    <row r="4213" ht="15.15" spans="1:7">
      <c r="A4213" s="20">
        <v>4211</v>
      </c>
      <c r="B4213" s="20">
        <v>9169</v>
      </c>
      <c r="C4213" s="21">
        <v>45017</v>
      </c>
      <c r="D4213" s="20">
        <v>3291.84</v>
      </c>
      <c r="E4213" s="22" t="s">
        <v>10</v>
      </c>
      <c r="F4213" s="22" t="s">
        <v>13</v>
      </c>
      <c r="G4213" s="22" t="s">
        <v>17</v>
      </c>
    </row>
    <row r="4214" ht="15.15" spans="1:7">
      <c r="A4214" s="20">
        <v>4212</v>
      </c>
      <c r="B4214" s="20">
        <v>7524</v>
      </c>
      <c r="C4214" s="21">
        <v>45290</v>
      </c>
      <c r="D4214" s="20">
        <v>3291.84</v>
      </c>
      <c r="E4214" s="22" t="s">
        <v>10</v>
      </c>
      <c r="F4214" s="22" t="s">
        <v>18</v>
      </c>
      <c r="G4214" s="22" t="s">
        <v>17</v>
      </c>
    </row>
    <row r="4215" ht="15.15" spans="1:7">
      <c r="A4215" s="20">
        <v>4213</v>
      </c>
      <c r="B4215" s="20">
        <v>6158</v>
      </c>
      <c r="C4215" s="21">
        <v>45007</v>
      </c>
      <c r="D4215" s="20">
        <v>3291.84</v>
      </c>
      <c r="E4215" s="22" t="s">
        <v>10</v>
      </c>
      <c r="F4215" s="22" t="s">
        <v>16</v>
      </c>
      <c r="G4215" s="22" t="s">
        <v>12</v>
      </c>
    </row>
    <row r="4216" ht="15.15" spans="1:7">
      <c r="A4216" s="20">
        <v>4214</v>
      </c>
      <c r="B4216" s="20">
        <v>1908</v>
      </c>
      <c r="C4216" s="21">
        <v>45155</v>
      </c>
      <c r="D4216" s="20">
        <v>3291.84</v>
      </c>
      <c r="E4216" s="22" t="s">
        <v>10</v>
      </c>
      <c r="F4216" s="22" t="s">
        <v>13</v>
      </c>
      <c r="G4216" s="22" t="s">
        <v>20</v>
      </c>
    </row>
    <row r="4217" ht="15.15" spans="1:7">
      <c r="A4217" s="20">
        <v>4215</v>
      </c>
      <c r="B4217" s="20">
        <v>8298</v>
      </c>
      <c r="C4217" s="21">
        <v>45006</v>
      </c>
      <c r="D4217" s="20">
        <v>3291.84</v>
      </c>
      <c r="E4217" s="22" t="s">
        <v>10</v>
      </c>
      <c r="F4217" s="22" t="s">
        <v>11</v>
      </c>
      <c r="G4217" s="22" t="s">
        <v>20</v>
      </c>
    </row>
    <row r="4218" ht="15.15" spans="1:7">
      <c r="A4218" s="20">
        <v>4216</v>
      </c>
      <c r="B4218" s="20">
        <v>8212</v>
      </c>
      <c r="C4218" s="21">
        <v>45044</v>
      </c>
      <c r="D4218" s="20">
        <v>3291.84</v>
      </c>
      <c r="E4218" s="22" t="s">
        <v>10</v>
      </c>
      <c r="F4218" s="22" t="s">
        <v>11</v>
      </c>
      <c r="G4218" s="22" t="s">
        <v>17</v>
      </c>
    </row>
    <row r="4219" ht="15.15" spans="1:7">
      <c r="A4219" s="20">
        <v>4217</v>
      </c>
      <c r="B4219" s="20">
        <v>3731</v>
      </c>
      <c r="C4219" s="21">
        <v>45054</v>
      </c>
      <c r="D4219" s="20">
        <v>3291.84</v>
      </c>
      <c r="E4219" s="22" t="s">
        <v>10</v>
      </c>
      <c r="F4219" s="22" t="s">
        <v>11</v>
      </c>
      <c r="G4219" s="22" t="s">
        <v>12</v>
      </c>
    </row>
    <row r="4220" ht="15.15" spans="1:7">
      <c r="A4220" s="20">
        <v>4218</v>
      </c>
      <c r="B4220" s="20">
        <v>7070</v>
      </c>
      <c r="C4220" s="21">
        <v>45192</v>
      </c>
      <c r="D4220" s="20">
        <v>3291.84</v>
      </c>
      <c r="E4220" s="22" t="s">
        <v>10</v>
      </c>
      <c r="F4220" s="22" t="s">
        <v>16</v>
      </c>
      <c r="G4220" s="22" t="s">
        <v>12</v>
      </c>
    </row>
    <row r="4221" ht="15.15" spans="1:7">
      <c r="A4221" s="20">
        <v>4219</v>
      </c>
      <c r="B4221" s="20">
        <v>5676</v>
      </c>
      <c r="C4221" s="21">
        <v>45158</v>
      </c>
      <c r="D4221" s="20">
        <v>3291.84</v>
      </c>
      <c r="E4221" s="22" t="s">
        <v>10</v>
      </c>
      <c r="F4221" s="22" t="s">
        <v>14</v>
      </c>
      <c r="G4221" s="22" t="s">
        <v>20</v>
      </c>
    </row>
    <row r="4222" ht="15.15" spans="1:7">
      <c r="A4222" s="20">
        <v>4220</v>
      </c>
      <c r="B4222" s="20">
        <v>7284</v>
      </c>
      <c r="C4222" s="21">
        <v>45261</v>
      </c>
      <c r="D4222" s="20">
        <v>3291.84</v>
      </c>
      <c r="E4222" s="22" t="s">
        <v>10</v>
      </c>
      <c r="F4222" s="22" t="s">
        <v>11</v>
      </c>
      <c r="G4222" s="22" t="s">
        <v>15</v>
      </c>
    </row>
    <row r="4223" ht="15.15" spans="1:7">
      <c r="A4223" s="20">
        <v>4221</v>
      </c>
      <c r="B4223" s="20">
        <v>1903</v>
      </c>
      <c r="C4223" s="21">
        <v>45026</v>
      </c>
      <c r="D4223" s="20">
        <v>3291.84</v>
      </c>
      <c r="E4223" s="22" t="s">
        <v>10</v>
      </c>
      <c r="F4223" s="22" t="s">
        <v>13</v>
      </c>
      <c r="G4223" s="22" t="s">
        <v>17</v>
      </c>
    </row>
    <row r="4224" ht="15.15" spans="1:7">
      <c r="A4224" s="20">
        <v>4222</v>
      </c>
      <c r="B4224" s="20">
        <v>5220</v>
      </c>
      <c r="C4224" s="21">
        <v>45244</v>
      </c>
      <c r="D4224" s="20">
        <v>3291.84</v>
      </c>
      <c r="E4224" s="22" t="s">
        <v>10</v>
      </c>
      <c r="F4224" s="22" t="s">
        <v>16</v>
      </c>
      <c r="G4224" s="22" t="s">
        <v>17</v>
      </c>
    </row>
    <row r="4225" ht="15.15" spans="1:7">
      <c r="A4225" s="20">
        <v>4223</v>
      </c>
      <c r="B4225" s="20">
        <v>7226</v>
      </c>
      <c r="C4225" s="21">
        <v>45041</v>
      </c>
      <c r="D4225" s="20">
        <v>3291.84</v>
      </c>
      <c r="E4225" s="22" t="s">
        <v>10</v>
      </c>
      <c r="F4225" s="22" t="s">
        <v>18</v>
      </c>
      <c r="G4225" s="22" t="s">
        <v>12</v>
      </c>
    </row>
    <row r="4226" ht="15.15" spans="1:7">
      <c r="A4226" s="20">
        <v>4224</v>
      </c>
      <c r="B4226" s="20">
        <v>3241</v>
      </c>
      <c r="C4226" s="21">
        <v>45133</v>
      </c>
      <c r="D4226" s="20">
        <v>3291.84</v>
      </c>
      <c r="E4226" s="22" t="s">
        <v>10</v>
      </c>
      <c r="F4226" s="22" t="s">
        <v>18</v>
      </c>
      <c r="G4226" s="22" t="s">
        <v>20</v>
      </c>
    </row>
    <row r="4227" ht="15.15" spans="1:7">
      <c r="A4227" s="20">
        <v>4225</v>
      </c>
      <c r="B4227" s="20">
        <v>7310</v>
      </c>
      <c r="C4227" s="21">
        <v>45019</v>
      </c>
      <c r="D4227" s="20">
        <v>3291.84</v>
      </c>
      <c r="E4227" s="22" t="s">
        <v>10</v>
      </c>
      <c r="F4227" s="22" t="s">
        <v>14</v>
      </c>
      <c r="G4227" s="22" t="s">
        <v>15</v>
      </c>
    </row>
    <row r="4228" ht="15.15" spans="1:7">
      <c r="A4228" s="20">
        <v>4226</v>
      </c>
      <c r="B4228" s="20">
        <v>7589</v>
      </c>
      <c r="C4228" s="21">
        <v>45005</v>
      </c>
      <c r="D4228" s="20">
        <v>3291.84</v>
      </c>
      <c r="E4228" s="22" t="s">
        <v>10</v>
      </c>
      <c r="F4228" s="22" t="s">
        <v>11</v>
      </c>
      <c r="G4228" s="22" t="s">
        <v>12</v>
      </c>
    </row>
    <row r="4229" ht="15.15" spans="1:7">
      <c r="A4229" s="20">
        <v>4227</v>
      </c>
      <c r="B4229" s="20">
        <v>6568</v>
      </c>
      <c r="C4229" s="21">
        <v>45231</v>
      </c>
      <c r="D4229" s="20">
        <v>3291.84</v>
      </c>
      <c r="E4229" s="22" t="s">
        <v>10</v>
      </c>
      <c r="F4229" s="22" t="s">
        <v>18</v>
      </c>
      <c r="G4229" s="22" t="s">
        <v>12</v>
      </c>
    </row>
    <row r="4230" ht="15.15" spans="1:7">
      <c r="A4230" s="20">
        <v>4228</v>
      </c>
      <c r="B4230" s="20">
        <v>7954</v>
      </c>
      <c r="C4230" s="21">
        <v>45280</v>
      </c>
      <c r="D4230" s="20">
        <v>3291.84</v>
      </c>
      <c r="E4230" s="22" t="s">
        <v>10</v>
      </c>
      <c r="F4230" s="22" t="s">
        <v>18</v>
      </c>
      <c r="G4230" s="22" t="s">
        <v>20</v>
      </c>
    </row>
    <row r="4231" ht="15.15" spans="1:7">
      <c r="A4231" s="20">
        <v>4229</v>
      </c>
      <c r="B4231" s="20">
        <v>1398</v>
      </c>
      <c r="C4231" s="21">
        <v>45212</v>
      </c>
      <c r="D4231" s="20">
        <v>3291.84</v>
      </c>
      <c r="E4231" s="22" t="s">
        <v>22</v>
      </c>
      <c r="F4231" s="22" t="s">
        <v>13</v>
      </c>
      <c r="G4231" s="22" t="s">
        <v>15</v>
      </c>
    </row>
    <row r="4232" ht="15.15" spans="1:7">
      <c r="A4232" s="20">
        <v>4230</v>
      </c>
      <c r="B4232" s="20">
        <v>3553</v>
      </c>
      <c r="C4232" s="21">
        <v>45041</v>
      </c>
      <c r="D4232" s="20">
        <v>3291.84</v>
      </c>
      <c r="E4232" s="22" t="s">
        <v>10</v>
      </c>
      <c r="F4232" s="22" t="s">
        <v>11</v>
      </c>
      <c r="G4232" s="22" t="s">
        <v>15</v>
      </c>
    </row>
    <row r="4233" ht="15.15" spans="1:7">
      <c r="A4233" s="20">
        <v>4231</v>
      </c>
      <c r="B4233" s="20">
        <v>6914</v>
      </c>
      <c r="C4233" s="21">
        <v>45178</v>
      </c>
      <c r="D4233" s="20">
        <v>3291.84</v>
      </c>
      <c r="E4233" s="22" t="s">
        <v>10</v>
      </c>
      <c r="F4233" s="22" t="s">
        <v>18</v>
      </c>
      <c r="G4233" s="22" t="s">
        <v>15</v>
      </c>
    </row>
    <row r="4234" ht="15.15" spans="1:7">
      <c r="A4234" s="20">
        <v>4232</v>
      </c>
      <c r="B4234" s="20">
        <v>3009</v>
      </c>
      <c r="C4234" s="21">
        <v>45215</v>
      </c>
      <c r="D4234" s="20">
        <v>3291.84</v>
      </c>
      <c r="E4234" s="22" t="s">
        <v>10</v>
      </c>
      <c r="F4234" s="22" t="s">
        <v>13</v>
      </c>
      <c r="G4234" s="22" t="s">
        <v>17</v>
      </c>
    </row>
    <row r="4235" ht="15.15" spans="1:7">
      <c r="A4235" s="20">
        <v>4233</v>
      </c>
      <c r="B4235" s="20">
        <v>9494</v>
      </c>
      <c r="C4235" s="21">
        <v>45222</v>
      </c>
      <c r="D4235" s="20">
        <v>3291.84</v>
      </c>
      <c r="E4235" s="22" t="s">
        <v>10</v>
      </c>
      <c r="F4235" s="22" t="s">
        <v>11</v>
      </c>
      <c r="G4235" s="22" t="s">
        <v>15</v>
      </c>
    </row>
    <row r="4236" ht="15.15" spans="1:7">
      <c r="A4236" s="20">
        <v>4234</v>
      </c>
      <c r="B4236" s="20">
        <v>2591</v>
      </c>
      <c r="C4236" s="21">
        <v>45198</v>
      </c>
      <c r="D4236" s="20">
        <v>3291.84</v>
      </c>
      <c r="E4236" s="22" t="s">
        <v>10</v>
      </c>
      <c r="F4236" s="22" t="s">
        <v>11</v>
      </c>
      <c r="G4236" s="22" t="s">
        <v>15</v>
      </c>
    </row>
    <row r="4237" ht="15.15" spans="1:7">
      <c r="A4237" s="20">
        <v>4235</v>
      </c>
      <c r="B4237" s="20">
        <v>1090</v>
      </c>
      <c r="C4237" s="21">
        <v>44967</v>
      </c>
      <c r="D4237" s="20">
        <v>3291.84</v>
      </c>
      <c r="E4237" s="22" t="s">
        <v>10</v>
      </c>
      <c r="F4237" s="22" t="s">
        <v>13</v>
      </c>
      <c r="G4237" s="22" t="s">
        <v>12</v>
      </c>
    </row>
    <row r="4238" ht="15.15" spans="1:7">
      <c r="A4238" s="20">
        <v>4236</v>
      </c>
      <c r="B4238" s="20">
        <v>4044</v>
      </c>
      <c r="C4238" s="21">
        <v>45020</v>
      </c>
      <c r="D4238" s="20">
        <v>3291.84</v>
      </c>
      <c r="E4238" s="22" t="s">
        <v>10</v>
      </c>
      <c r="F4238" s="22" t="s">
        <v>13</v>
      </c>
      <c r="G4238" s="22" t="s">
        <v>15</v>
      </c>
    </row>
    <row r="4239" ht="15.15" spans="1:7">
      <c r="A4239" s="20">
        <v>4237</v>
      </c>
      <c r="B4239" s="20">
        <v>7080</v>
      </c>
      <c r="C4239" s="21">
        <v>45239</v>
      </c>
      <c r="D4239" s="20">
        <v>3291.84</v>
      </c>
      <c r="E4239" s="22" t="s">
        <v>10</v>
      </c>
      <c r="F4239" s="22" t="s">
        <v>11</v>
      </c>
      <c r="G4239" s="22" t="s">
        <v>15</v>
      </c>
    </row>
    <row r="4240" ht="15.15" spans="1:7">
      <c r="A4240" s="20">
        <v>4238</v>
      </c>
      <c r="B4240" s="20">
        <v>1637</v>
      </c>
      <c r="C4240" s="21">
        <v>45123</v>
      </c>
      <c r="D4240" s="20">
        <v>3291.84</v>
      </c>
      <c r="E4240" s="22" t="s">
        <v>10</v>
      </c>
      <c r="F4240" s="22" t="s">
        <v>16</v>
      </c>
      <c r="G4240" s="22" t="s">
        <v>20</v>
      </c>
    </row>
    <row r="4241" ht="15.15" spans="1:7">
      <c r="A4241" s="20">
        <v>4239</v>
      </c>
      <c r="B4241" s="20">
        <v>1026</v>
      </c>
      <c r="C4241" s="21">
        <v>45104</v>
      </c>
      <c r="D4241" s="20">
        <v>3291.84</v>
      </c>
      <c r="E4241" s="22" t="s">
        <v>10</v>
      </c>
      <c r="F4241" s="22" t="s">
        <v>16</v>
      </c>
      <c r="G4241" s="22" t="s">
        <v>20</v>
      </c>
    </row>
    <row r="4242" ht="15.15" spans="1:7">
      <c r="A4242" s="20">
        <v>4240</v>
      </c>
      <c r="B4242" s="20">
        <v>9970</v>
      </c>
      <c r="C4242" s="21">
        <v>45259</v>
      </c>
      <c r="D4242" s="20">
        <v>3291.84</v>
      </c>
      <c r="E4242" s="22" t="s">
        <v>10</v>
      </c>
      <c r="F4242" s="22" t="s">
        <v>19</v>
      </c>
      <c r="G4242" s="22" t="s">
        <v>20</v>
      </c>
    </row>
    <row r="4243" ht="15.15" spans="1:7">
      <c r="A4243" s="20">
        <v>4241</v>
      </c>
      <c r="B4243" s="20">
        <v>9766</v>
      </c>
      <c r="C4243" s="21">
        <v>45280</v>
      </c>
      <c r="D4243" s="20">
        <v>3291.84</v>
      </c>
      <c r="E4243" s="22" t="s">
        <v>10</v>
      </c>
      <c r="F4243" s="22" t="s">
        <v>16</v>
      </c>
      <c r="G4243" s="22" t="s">
        <v>20</v>
      </c>
    </row>
    <row r="4244" ht="15.15" spans="1:7">
      <c r="A4244" s="20">
        <v>4242</v>
      </c>
      <c r="B4244" s="20">
        <v>8706</v>
      </c>
      <c r="C4244" s="21">
        <v>44997</v>
      </c>
      <c r="D4244" s="20">
        <v>3291.84</v>
      </c>
      <c r="E4244" s="22" t="s">
        <v>10</v>
      </c>
      <c r="F4244" s="22" t="s">
        <v>11</v>
      </c>
      <c r="G4244" s="22" t="s">
        <v>12</v>
      </c>
    </row>
    <row r="4245" ht="15.15" spans="1:7">
      <c r="A4245" s="20">
        <v>4243</v>
      </c>
      <c r="B4245" s="20">
        <v>8061</v>
      </c>
      <c r="C4245" s="21">
        <v>45265</v>
      </c>
      <c r="D4245" s="20">
        <v>3291.84</v>
      </c>
      <c r="E4245" s="22" t="s">
        <v>10</v>
      </c>
      <c r="F4245" s="22" t="s">
        <v>16</v>
      </c>
      <c r="G4245" s="22" t="s">
        <v>12</v>
      </c>
    </row>
    <row r="4246" ht="15.15" spans="1:7">
      <c r="A4246" s="20">
        <v>4244</v>
      </c>
      <c r="B4246" s="20">
        <v>4924</v>
      </c>
      <c r="C4246" s="21">
        <v>45241</v>
      </c>
      <c r="D4246" s="20">
        <v>3291.84</v>
      </c>
      <c r="E4246" s="22" t="s">
        <v>10</v>
      </c>
      <c r="F4246" s="22" t="s">
        <v>13</v>
      </c>
      <c r="G4246" s="22" t="s">
        <v>20</v>
      </c>
    </row>
    <row r="4247" ht="15.15" spans="1:7">
      <c r="A4247" s="20">
        <v>4245</v>
      </c>
      <c r="B4247" s="20">
        <v>5978</v>
      </c>
      <c r="C4247" s="21">
        <v>45000</v>
      </c>
      <c r="D4247" s="20">
        <v>3291.84</v>
      </c>
      <c r="E4247" s="22" t="s">
        <v>10</v>
      </c>
      <c r="F4247" s="22" t="s">
        <v>19</v>
      </c>
      <c r="G4247" s="22" t="s">
        <v>20</v>
      </c>
    </row>
    <row r="4248" ht="15.15" spans="1:7">
      <c r="A4248" s="20">
        <v>4246</v>
      </c>
      <c r="B4248" s="20">
        <v>1485</v>
      </c>
      <c r="C4248" s="21">
        <v>45257</v>
      </c>
      <c r="D4248" s="20">
        <v>3291.84</v>
      </c>
      <c r="E4248" s="22" t="s">
        <v>10</v>
      </c>
      <c r="F4248" s="22" t="s">
        <v>11</v>
      </c>
      <c r="G4248" s="22" t="s">
        <v>20</v>
      </c>
    </row>
    <row r="4249" ht="15.15" spans="1:7">
      <c r="A4249" s="20">
        <v>4247</v>
      </c>
      <c r="B4249" s="20">
        <v>4532</v>
      </c>
      <c r="C4249" s="21">
        <v>45035</v>
      </c>
      <c r="D4249" s="20">
        <v>3291.84</v>
      </c>
      <c r="E4249" s="22" t="s">
        <v>10</v>
      </c>
      <c r="F4249" s="22" t="s">
        <v>11</v>
      </c>
      <c r="G4249" s="22" t="s">
        <v>15</v>
      </c>
    </row>
    <row r="4250" ht="15.15" spans="1:7">
      <c r="A4250" s="20">
        <v>4248</v>
      </c>
      <c r="B4250" s="20">
        <v>140</v>
      </c>
      <c r="C4250" s="21">
        <v>45254</v>
      </c>
      <c r="D4250" s="20">
        <v>3291.84</v>
      </c>
      <c r="E4250" s="22" t="s">
        <v>10</v>
      </c>
      <c r="F4250" s="22" t="s">
        <v>13</v>
      </c>
      <c r="G4250" s="22" t="s">
        <v>15</v>
      </c>
    </row>
    <row r="4251" ht="15.15" spans="1:7">
      <c r="A4251" s="20">
        <v>4249</v>
      </c>
      <c r="B4251" s="20">
        <v>1910</v>
      </c>
      <c r="C4251" s="21">
        <v>45098</v>
      </c>
      <c r="D4251" s="20">
        <v>3291.84</v>
      </c>
      <c r="E4251" s="22" t="s">
        <v>10</v>
      </c>
      <c r="F4251" s="22" t="s">
        <v>14</v>
      </c>
      <c r="G4251" s="22" t="s">
        <v>17</v>
      </c>
    </row>
    <row r="4252" ht="15.15" spans="1:7">
      <c r="A4252" s="20">
        <v>4250</v>
      </c>
      <c r="B4252" s="20">
        <v>6065</v>
      </c>
      <c r="C4252" s="21">
        <v>44999</v>
      </c>
      <c r="D4252" s="20">
        <v>3291.84</v>
      </c>
      <c r="E4252" s="22" t="s">
        <v>10</v>
      </c>
      <c r="F4252" s="22" t="s">
        <v>13</v>
      </c>
      <c r="G4252" s="22" t="s">
        <v>15</v>
      </c>
    </row>
    <row r="4253" ht="15.15" spans="1:7">
      <c r="A4253" s="20">
        <v>4251</v>
      </c>
      <c r="B4253" s="20">
        <v>9036</v>
      </c>
      <c r="C4253" s="21">
        <v>45026</v>
      </c>
      <c r="D4253" s="20">
        <v>3291.84</v>
      </c>
      <c r="E4253" s="22" t="s">
        <v>10</v>
      </c>
      <c r="F4253" s="22" t="s">
        <v>11</v>
      </c>
      <c r="G4253" s="22" t="s">
        <v>20</v>
      </c>
    </row>
    <row r="4254" ht="15.15" spans="1:7">
      <c r="A4254" s="20">
        <v>4252</v>
      </c>
      <c r="B4254" s="20">
        <v>9304</v>
      </c>
      <c r="C4254" s="21">
        <v>45221</v>
      </c>
      <c r="D4254" s="20">
        <v>3291.84</v>
      </c>
      <c r="E4254" s="22" t="s">
        <v>10</v>
      </c>
      <c r="F4254" s="22" t="s">
        <v>16</v>
      </c>
      <c r="G4254" s="22" t="s">
        <v>17</v>
      </c>
    </row>
    <row r="4255" ht="15.15" spans="1:7">
      <c r="A4255" s="20">
        <v>4253</v>
      </c>
      <c r="B4255" s="20">
        <v>1221</v>
      </c>
      <c r="C4255" s="21">
        <v>44943</v>
      </c>
      <c r="D4255" s="20">
        <v>3291.84</v>
      </c>
      <c r="E4255" s="22" t="s">
        <v>10</v>
      </c>
      <c r="F4255" s="22" t="s">
        <v>13</v>
      </c>
      <c r="G4255" s="22" t="s">
        <v>12</v>
      </c>
    </row>
    <row r="4256" ht="15.15" spans="1:7">
      <c r="A4256" s="20">
        <v>4254</v>
      </c>
      <c r="B4256" s="20">
        <v>3156</v>
      </c>
      <c r="C4256" s="21">
        <v>45195</v>
      </c>
      <c r="D4256" s="20">
        <v>3291.84</v>
      </c>
      <c r="E4256" s="22" t="s">
        <v>10</v>
      </c>
      <c r="F4256" s="22" t="s">
        <v>13</v>
      </c>
      <c r="G4256" s="22" t="s">
        <v>20</v>
      </c>
    </row>
    <row r="4257" ht="15.15" spans="1:7">
      <c r="A4257" s="20">
        <v>4255</v>
      </c>
      <c r="B4257" s="20">
        <v>1128</v>
      </c>
      <c r="C4257" s="21">
        <v>45136</v>
      </c>
      <c r="D4257" s="20">
        <v>3291.84</v>
      </c>
      <c r="E4257" s="22" t="s">
        <v>10</v>
      </c>
      <c r="F4257" s="22" t="s">
        <v>14</v>
      </c>
      <c r="G4257" s="22" t="s">
        <v>12</v>
      </c>
    </row>
    <row r="4258" ht="15.15" spans="1:7">
      <c r="A4258" s="20">
        <v>4256</v>
      </c>
      <c r="B4258" s="20">
        <v>1759</v>
      </c>
      <c r="C4258" s="21">
        <v>45145</v>
      </c>
      <c r="D4258" s="20">
        <v>3291.84</v>
      </c>
      <c r="E4258" s="22" t="s">
        <v>10</v>
      </c>
      <c r="F4258" s="22" t="s">
        <v>16</v>
      </c>
      <c r="G4258" s="22" t="s">
        <v>12</v>
      </c>
    </row>
    <row r="4259" ht="15.15" spans="1:7">
      <c r="A4259" s="20">
        <v>4257</v>
      </c>
      <c r="B4259" s="20">
        <v>5898</v>
      </c>
      <c r="C4259" s="21">
        <v>45168</v>
      </c>
      <c r="D4259" s="20">
        <v>3291.84</v>
      </c>
      <c r="E4259" s="22" t="s">
        <v>10</v>
      </c>
      <c r="F4259" s="22" t="s">
        <v>14</v>
      </c>
      <c r="G4259" s="22" t="s">
        <v>12</v>
      </c>
    </row>
    <row r="4260" ht="15.15" spans="1:7">
      <c r="A4260" s="20">
        <v>4258</v>
      </c>
      <c r="B4260" s="20">
        <v>8829</v>
      </c>
      <c r="C4260" s="21">
        <v>45121</v>
      </c>
      <c r="D4260" s="20">
        <v>3291.84</v>
      </c>
      <c r="E4260" s="22" t="s">
        <v>10</v>
      </c>
      <c r="F4260" s="22" t="s">
        <v>11</v>
      </c>
      <c r="G4260" s="22" t="s">
        <v>20</v>
      </c>
    </row>
    <row r="4261" ht="15.15" spans="1:7">
      <c r="A4261" s="20">
        <v>4259</v>
      </c>
      <c r="B4261" s="20">
        <v>2076</v>
      </c>
      <c r="C4261" s="21">
        <v>45233</v>
      </c>
      <c r="D4261" s="20">
        <v>3291.84</v>
      </c>
      <c r="E4261" s="22" t="s">
        <v>10</v>
      </c>
      <c r="F4261" s="22" t="s">
        <v>13</v>
      </c>
      <c r="G4261" s="22" t="s">
        <v>15</v>
      </c>
    </row>
    <row r="4262" ht="15.15" spans="1:7">
      <c r="A4262" s="20">
        <v>4260</v>
      </c>
      <c r="B4262" s="20">
        <v>5630</v>
      </c>
      <c r="C4262" s="21">
        <v>44960</v>
      </c>
      <c r="D4262" s="20">
        <v>3291.84</v>
      </c>
      <c r="E4262" s="22" t="s">
        <v>10</v>
      </c>
      <c r="F4262" s="22" t="s">
        <v>11</v>
      </c>
      <c r="G4262" s="22" t="s">
        <v>12</v>
      </c>
    </row>
    <row r="4263" ht="15.15" spans="1:7">
      <c r="A4263" s="20">
        <v>4261</v>
      </c>
      <c r="B4263" s="20">
        <v>3569</v>
      </c>
      <c r="C4263" s="21">
        <v>45254</v>
      </c>
      <c r="D4263" s="20">
        <v>3291.84</v>
      </c>
      <c r="E4263" s="22" t="s">
        <v>10</v>
      </c>
      <c r="F4263" s="22" t="s">
        <v>19</v>
      </c>
      <c r="G4263" s="22" t="s">
        <v>15</v>
      </c>
    </row>
    <row r="4264" ht="15.15" spans="1:7">
      <c r="A4264" s="20">
        <v>4262</v>
      </c>
      <c r="B4264" s="20">
        <v>8213</v>
      </c>
      <c r="C4264" s="21">
        <v>44965</v>
      </c>
      <c r="D4264" s="20">
        <v>3291.84</v>
      </c>
      <c r="E4264" s="22" t="s">
        <v>10</v>
      </c>
      <c r="F4264" s="22" t="s">
        <v>16</v>
      </c>
      <c r="G4264" s="22" t="s">
        <v>17</v>
      </c>
    </row>
    <row r="4265" ht="15.15" spans="1:7">
      <c r="A4265" s="20">
        <v>4263</v>
      </c>
      <c r="B4265" s="20">
        <v>4581</v>
      </c>
      <c r="C4265" s="21">
        <v>44991</v>
      </c>
      <c r="D4265" s="20">
        <v>3291.84</v>
      </c>
      <c r="E4265" s="22" t="s">
        <v>10</v>
      </c>
      <c r="F4265" s="22" t="s">
        <v>19</v>
      </c>
      <c r="G4265" s="22" t="s">
        <v>15</v>
      </c>
    </row>
    <row r="4266" ht="15.15" spans="1:7">
      <c r="A4266" s="20">
        <v>4264</v>
      </c>
      <c r="B4266" s="20">
        <v>9755</v>
      </c>
      <c r="C4266" s="21">
        <v>45072</v>
      </c>
      <c r="D4266" s="20">
        <v>3291.84</v>
      </c>
      <c r="E4266" s="22" t="s">
        <v>10</v>
      </c>
      <c r="F4266" s="22" t="s">
        <v>11</v>
      </c>
      <c r="G4266" s="22" t="s">
        <v>20</v>
      </c>
    </row>
    <row r="4267" ht="15.15" spans="1:7">
      <c r="A4267" s="20">
        <v>4265</v>
      </c>
      <c r="B4267" s="20">
        <v>3057</v>
      </c>
      <c r="C4267" s="21">
        <v>45290</v>
      </c>
      <c r="D4267" s="20">
        <v>3291.84</v>
      </c>
      <c r="E4267" s="22" t="s">
        <v>10</v>
      </c>
      <c r="F4267" s="22" t="s">
        <v>13</v>
      </c>
      <c r="G4267" s="22" t="s">
        <v>12</v>
      </c>
    </row>
    <row r="4268" ht="15.15" spans="1:7">
      <c r="A4268" s="20">
        <v>4266</v>
      </c>
      <c r="B4268" s="20">
        <v>7899</v>
      </c>
      <c r="C4268" s="21">
        <v>45166</v>
      </c>
      <c r="D4268" s="20">
        <v>3291.84</v>
      </c>
      <c r="E4268" s="22" t="s">
        <v>10</v>
      </c>
      <c r="F4268" s="22" t="s">
        <v>11</v>
      </c>
      <c r="G4268" s="22" t="s">
        <v>17</v>
      </c>
    </row>
    <row r="4269" ht="15.15" spans="1:7">
      <c r="A4269" s="20">
        <v>4267</v>
      </c>
      <c r="B4269" s="20">
        <v>5389</v>
      </c>
      <c r="C4269" s="21">
        <v>45239</v>
      </c>
      <c r="D4269" s="20">
        <v>3291.84</v>
      </c>
      <c r="E4269" s="22" t="s">
        <v>10</v>
      </c>
      <c r="F4269" s="22" t="s">
        <v>16</v>
      </c>
      <c r="G4269" s="22" t="s">
        <v>17</v>
      </c>
    </row>
    <row r="4270" ht="15.15" spans="1:7">
      <c r="A4270" s="20">
        <v>4268</v>
      </c>
      <c r="B4270" s="20">
        <v>757</v>
      </c>
      <c r="C4270" s="21">
        <v>45265</v>
      </c>
      <c r="D4270" s="20">
        <v>3291.84</v>
      </c>
      <c r="E4270" s="22" t="s">
        <v>10</v>
      </c>
      <c r="F4270" s="22" t="s">
        <v>16</v>
      </c>
      <c r="G4270" s="22" t="s">
        <v>17</v>
      </c>
    </row>
    <row r="4271" ht="15.15" spans="1:7">
      <c r="A4271" s="20">
        <v>4269</v>
      </c>
      <c r="B4271" s="20">
        <v>3079</v>
      </c>
      <c r="C4271" s="21">
        <v>44971</v>
      </c>
      <c r="D4271" s="20">
        <v>3291.84</v>
      </c>
      <c r="E4271" s="22" t="s">
        <v>10</v>
      </c>
      <c r="F4271" s="22" t="s">
        <v>18</v>
      </c>
      <c r="G4271" s="22" t="s">
        <v>20</v>
      </c>
    </row>
    <row r="4272" ht="15.15" spans="1:7">
      <c r="A4272" s="20">
        <v>4270</v>
      </c>
      <c r="B4272" s="20">
        <v>5833</v>
      </c>
      <c r="C4272" s="21">
        <v>45053</v>
      </c>
      <c r="D4272" s="20">
        <v>3291.84</v>
      </c>
      <c r="E4272" s="22" t="s">
        <v>10</v>
      </c>
      <c r="F4272" s="22" t="s">
        <v>14</v>
      </c>
      <c r="G4272" s="22" t="s">
        <v>20</v>
      </c>
    </row>
    <row r="4273" ht="15.15" spans="1:7">
      <c r="A4273" s="20">
        <v>4271</v>
      </c>
      <c r="B4273" s="20">
        <v>9868</v>
      </c>
      <c r="C4273" s="21">
        <v>45249</v>
      </c>
      <c r="D4273" s="20">
        <v>3291.84</v>
      </c>
      <c r="E4273" s="22" t="s">
        <v>10</v>
      </c>
      <c r="F4273" s="22" t="s">
        <v>14</v>
      </c>
      <c r="G4273" s="22" t="s">
        <v>17</v>
      </c>
    </row>
    <row r="4274" ht="15.15" spans="1:7">
      <c r="A4274" s="20">
        <v>4272</v>
      </c>
      <c r="B4274" s="20">
        <v>908</v>
      </c>
      <c r="C4274" s="21">
        <v>45035</v>
      </c>
      <c r="D4274" s="20">
        <v>3291.84</v>
      </c>
      <c r="E4274" s="22" t="s">
        <v>10</v>
      </c>
      <c r="F4274" s="22" t="s">
        <v>14</v>
      </c>
      <c r="G4274" s="22" t="s">
        <v>17</v>
      </c>
    </row>
    <row r="4275" ht="15.15" spans="1:7">
      <c r="A4275" s="20">
        <v>4273</v>
      </c>
      <c r="B4275" s="20">
        <v>8926</v>
      </c>
      <c r="C4275" s="21">
        <v>45187</v>
      </c>
      <c r="D4275" s="20">
        <v>3291.84</v>
      </c>
      <c r="E4275" s="22" t="s">
        <v>10</v>
      </c>
      <c r="F4275" s="22" t="s">
        <v>18</v>
      </c>
      <c r="G4275" s="22" t="s">
        <v>20</v>
      </c>
    </row>
    <row r="4276" ht="15.15" spans="1:7">
      <c r="A4276" s="20">
        <v>4274</v>
      </c>
      <c r="B4276" s="20">
        <v>5478</v>
      </c>
      <c r="C4276" s="21">
        <v>45271</v>
      </c>
      <c r="D4276" s="20">
        <v>3291.84</v>
      </c>
      <c r="E4276" s="22" t="s">
        <v>10</v>
      </c>
      <c r="F4276" s="22" t="s">
        <v>11</v>
      </c>
      <c r="G4276" s="22" t="s">
        <v>20</v>
      </c>
    </row>
    <row r="4277" ht="15.15" spans="1:7">
      <c r="A4277" s="20">
        <v>4275</v>
      </c>
      <c r="B4277" s="20">
        <v>8026</v>
      </c>
      <c r="C4277" s="21">
        <v>45043</v>
      </c>
      <c r="D4277" s="20">
        <v>3291.84</v>
      </c>
      <c r="E4277" s="22" t="s">
        <v>10</v>
      </c>
      <c r="F4277" s="22" t="s">
        <v>11</v>
      </c>
      <c r="G4277" s="22" t="s">
        <v>17</v>
      </c>
    </row>
    <row r="4278" ht="15.15" spans="1:7">
      <c r="A4278" s="20">
        <v>4276</v>
      </c>
      <c r="B4278" s="20">
        <v>1954</v>
      </c>
      <c r="C4278" s="21">
        <v>45242</v>
      </c>
      <c r="D4278" s="20">
        <v>3291.84</v>
      </c>
      <c r="E4278" s="22" t="s">
        <v>22</v>
      </c>
      <c r="F4278" s="22" t="s">
        <v>16</v>
      </c>
      <c r="G4278" s="22" t="s">
        <v>12</v>
      </c>
    </row>
    <row r="4279" ht="15.15" spans="1:7">
      <c r="A4279" s="20">
        <v>4277</v>
      </c>
      <c r="B4279" s="20">
        <v>3122</v>
      </c>
      <c r="C4279" s="21">
        <v>45050</v>
      </c>
      <c r="D4279" s="20">
        <v>3291.84</v>
      </c>
      <c r="E4279" s="22" t="s">
        <v>10</v>
      </c>
      <c r="F4279" s="22" t="s">
        <v>14</v>
      </c>
      <c r="G4279" s="22" t="s">
        <v>17</v>
      </c>
    </row>
    <row r="4280" ht="15.15" spans="1:7">
      <c r="A4280" s="20">
        <v>4278</v>
      </c>
      <c r="B4280" s="20">
        <v>1583</v>
      </c>
      <c r="C4280" s="21">
        <v>45019</v>
      </c>
      <c r="D4280" s="20">
        <v>3291.84</v>
      </c>
      <c r="E4280" s="22" t="s">
        <v>10</v>
      </c>
      <c r="F4280" s="22" t="s">
        <v>16</v>
      </c>
      <c r="G4280" s="22" t="s">
        <v>15</v>
      </c>
    </row>
    <row r="4281" ht="15.15" spans="1:7">
      <c r="A4281" s="20">
        <v>4279</v>
      </c>
      <c r="B4281" s="20">
        <v>6281</v>
      </c>
      <c r="C4281" s="21">
        <v>44997</v>
      </c>
      <c r="D4281" s="20">
        <v>3291.84</v>
      </c>
      <c r="E4281" s="22" t="s">
        <v>10</v>
      </c>
      <c r="F4281" s="22" t="s">
        <v>18</v>
      </c>
      <c r="G4281" s="22" t="s">
        <v>17</v>
      </c>
    </row>
    <row r="4282" ht="15.15" spans="1:7">
      <c r="A4282" s="20">
        <v>4280</v>
      </c>
      <c r="B4282" s="20">
        <v>3493</v>
      </c>
      <c r="C4282" s="21">
        <v>45071</v>
      </c>
      <c r="D4282" s="20">
        <v>3291.84</v>
      </c>
      <c r="E4282" s="22" t="s">
        <v>10</v>
      </c>
      <c r="F4282" s="22" t="s">
        <v>11</v>
      </c>
      <c r="G4282" s="22" t="s">
        <v>20</v>
      </c>
    </row>
    <row r="4283" ht="15.15" spans="1:7">
      <c r="A4283" s="20">
        <v>4281</v>
      </c>
      <c r="B4283" s="20">
        <v>3477</v>
      </c>
      <c r="C4283" s="21">
        <v>45124</v>
      </c>
      <c r="D4283" s="20">
        <v>3291.84</v>
      </c>
      <c r="E4283" s="22" t="s">
        <v>10</v>
      </c>
      <c r="F4283" s="22" t="s">
        <v>13</v>
      </c>
      <c r="G4283" s="22" t="s">
        <v>20</v>
      </c>
    </row>
    <row r="4284" ht="15.15" spans="1:7">
      <c r="A4284" s="20">
        <v>4282</v>
      </c>
      <c r="B4284" s="20">
        <v>2647</v>
      </c>
      <c r="C4284" s="21">
        <v>45051</v>
      </c>
      <c r="D4284" s="20">
        <v>3291.84</v>
      </c>
      <c r="E4284" s="22" t="s">
        <v>10</v>
      </c>
      <c r="F4284" s="22" t="s">
        <v>11</v>
      </c>
      <c r="G4284" s="22" t="s">
        <v>15</v>
      </c>
    </row>
    <row r="4285" ht="15.15" spans="1:7">
      <c r="A4285" s="20">
        <v>4283</v>
      </c>
      <c r="B4285" s="20">
        <v>7710</v>
      </c>
      <c r="C4285" s="21">
        <v>45116</v>
      </c>
      <c r="D4285" s="20">
        <v>3291.84</v>
      </c>
      <c r="E4285" s="22" t="s">
        <v>10</v>
      </c>
      <c r="F4285" s="22" t="s">
        <v>16</v>
      </c>
      <c r="G4285" s="22" t="s">
        <v>15</v>
      </c>
    </row>
    <row r="4286" ht="15.15" spans="1:7">
      <c r="A4286" s="20">
        <v>4284</v>
      </c>
      <c r="B4286" s="20">
        <v>4466</v>
      </c>
      <c r="C4286" s="21">
        <v>45281</v>
      </c>
      <c r="D4286" s="20">
        <v>3291.84</v>
      </c>
      <c r="E4286" s="22" t="s">
        <v>10</v>
      </c>
      <c r="F4286" s="22" t="s">
        <v>13</v>
      </c>
      <c r="G4286" s="22" t="s">
        <v>20</v>
      </c>
    </row>
    <row r="4287" ht="15.15" spans="1:7">
      <c r="A4287" s="20">
        <v>4285</v>
      </c>
      <c r="B4287" s="20">
        <v>4384</v>
      </c>
      <c r="C4287" s="21">
        <v>45007</v>
      </c>
      <c r="D4287" s="20">
        <v>3291.84</v>
      </c>
      <c r="E4287" s="22" t="s">
        <v>10</v>
      </c>
      <c r="F4287" s="22" t="s">
        <v>11</v>
      </c>
      <c r="G4287" s="22" t="s">
        <v>12</v>
      </c>
    </row>
    <row r="4288" ht="15.15" spans="1:7">
      <c r="A4288" s="20">
        <v>4286</v>
      </c>
      <c r="B4288" s="20">
        <v>9061</v>
      </c>
      <c r="C4288" s="21">
        <v>45109</v>
      </c>
      <c r="D4288" s="20">
        <v>3291.84</v>
      </c>
      <c r="E4288" s="22" t="s">
        <v>10</v>
      </c>
      <c r="F4288" s="22" t="s">
        <v>18</v>
      </c>
      <c r="G4288" s="22" t="s">
        <v>15</v>
      </c>
    </row>
    <row r="4289" ht="15.15" spans="1:7">
      <c r="A4289" s="20">
        <v>4287</v>
      </c>
      <c r="B4289" s="20">
        <v>3010</v>
      </c>
      <c r="C4289" s="21">
        <v>45265</v>
      </c>
      <c r="D4289" s="20">
        <v>3291.84</v>
      </c>
      <c r="E4289" s="22" t="s">
        <v>10</v>
      </c>
      <c r="F4289" s="22" t="s">
        <v>14</v>
      </c>
      <c r="G4289" s="22" t="s">
        <v>15</v>
      </c>
    </row>
    <row r="4290" ht="15.15" spans="1:7">
      <c r="A4290" s="20">
        <v>4288</v>
      </c>
      <c r="B4290" s="20">
        <v>4247</v>
      </c>
      <c r="C4290" s="21">
        <v>45153</v>
      </c>
      <c r="D4290" s="20">
        <v>3291.84</v>
      </c>
      <c r="E4290" s="22" t="s">
        <v>10</v>
      </c>
      <c r="F4290" s="22" t="s">
        <v>18</v>
      </c>
      <c r="G4290" s="22" t="s">
        <v>12</v>
      </c>
    </row>
    <row r="4291" ht="15.15" spans="1:7">
      <c r="A4291" s="20">
        <v>4289</v>
      </c>
      <c r="B4291" s="20">
        <v>9180</v>
      </c>
      <c r="C4291" s="21">
        <v>45182</v>
      </c>
      <c r="D4291" s="20">
        <v>3291.84</v>
      </c>
      <c r="E4291" s="22" t="s">
        <v>10</v>
      </c>
      <c r="F4291" s="22" t="s">
        <v>11</v>
      </c>
      <c r="G4291" s="22" t="s">
        <v>20</v>
      </c>
    </row>
    <row r="4292" ht="15.15" spans="1:7">
      <c r="A4292" s="20">
        <v>4290</v>
      </c>
      <c r="B4292" s="20">
        <v>2106</v>
      </c>
      <c r="C4292" s="21">
        <v>45085</v>
      </c>
      <c r="D4292" s="20">
        <v>3291.84</v>
      </c>
      <c r="E4292" s="22" t="s">
        <v>10</v>
      </c>
      <c r="F4292" s="22" t="s">
        <v>14</v>
      </c>
      <c r="G4292" s="22" t="s">
        <v>20</v>
      </c>
    </row>
    <row r="4293" ht="15.15" spans="1:7">
      <c r="A4293" s="20">
        <v>4291</v>
      </c>
      <c r="B4293" s="20">
        <v>7030</v>
      </c>
      <c r="C4293" s="21">
        <v>45045</v>
      </c>
      <c r="D4293" s="20">
        <v>3291.84</v>
      </c>
      <c r="E4293" s="22" t="s">
        <v>10</v>
      </c>
      <c r="F4293" s="22" t="s">
        <v>11</v>
      </c>
      <c r="G4293" s="22" t="s">
        <v>17</v>
      </c>
    </row>
    <row r="4294" ht="15.15" spans="1:7">
      <c r="A4294" s="20">
        <v>4292</v>
      </c>
      <c r="B4294" s="20">
        <v>4236</v>
      </c>
      <c r="C4294" s="21">
        <v>45119</v>
      </c>
      <c r="D4294" s="20">
        <v>3291.84</v>
      </c>
      <c r="E4294" s="22" t="s">
        <v>10</v>
      </c>
      <c r="F4294" s="22" t="s">
        <v>13</v>
      </c>
      <c r="G4294" s="22" t="s">
        <v>20</v>
      </c>
    </row>
    <row r="4295" ht="15.15" spans="1:7">
      <c r="A4295" s="20">
        <v>4293</v>
      </c>
      <c r="B4295" s="20">
        <v>5155</v>
      </c>
      <c r="C4295" s="21">
        <v>44979</v>
      </c>
      <c r="D4295" s="20">
        <v>3291.84</v>
      </c>
      <c r="E4295" s="22" t="s">
        <v>10</v>
      </c>
      <c r="F4295" s="22" t="s">
        <v>13</v>
      </c>
      <c r="G4295" s="22" t="s">
        <v>12</v>
      </c>
    </row>
    <row r="4296" ht="15.15" spans="1:7">
      <c r="A4296" s="20">
        <v>4294</v>
      </c>
      <c r="B4296" s="20">
        <v>6142</v>
      </c>
      <c r="C4296" s="21">
        <v>45166</v>
      </c>
      <c r="D4296" s="20">
        <v>3291.84</v>
      </c>
      <c r="E4296" s="22" t="s">
        <v>10</v>
      </c>
      <c r="F4296" s="22" t="s">
        <v>14</v>
      </c>
      <c r="G4296" s="22" t="s">
        <v>20</v>
      </c>
    </row>
    <row r="4297" ht="15.15" spans="1:7">
      <c r="A4297" s="20">
        <v>4295</v>
      </c>
      <c r="B4297" s="20">
        <v>3243</v>
      </c>
      <c r="C4297" s="21">
        <v>45287</v>
      </c>
      <c r="D4297" s="20">
        <v>3291.84</v>
      </c>
      <c r="E4297" s="22" t="s">
        <v>10</v>
      </c>
      <c r="F4297" s="22" t="s">
        <v>13</v>
      </c>
      <c r="G4297" s="22" t="s">
        <v>15</v>
      </c>
    </row>
    <row r="4298" ht="15.15" spans="1:7">
      <c r="A4298" s="20">
        <v>4296</v>
      </c>
      <c r="B4298" s="20">
        <v>6540</v>
      </c>
      <c r="C4298" s="21">
        <v>44995</v>
      </c>
      <c r="D4298" s="20">
        <v>3291.84</v>
      </c>
      <c r="E4298" s="22" t="s">
        <v>10</v>
      </c>
      <c r="F4298" s="22" t="s">
        <v>18</v>
      </c>
      <c r="G4298" s="22" t="s">
        <v>20</v>
      </c>
    </row>
    <row r="4299" ht="15.15" spans="1:7">
      <c r="A4299" s="20">
        <v>4297</v>
      </c>
      <c r="B4299" s="20">
        <v>8978</v>
      </c>
      <c r="C4299" s="21">
        <v>45251</v>
      </c>
      <c r="D4299" s="20">
        <v>3291.84</v>
      </c>
      <c r="E4299" s="22" t="s">
        <v>10</v>
      </c>
      <c r="F4299" s="22" t="s">
        <v>18</v>
      </c>
      <c r="G4299" s="22" t="s">
        <v>12</v>
      </c>
    </row>
    <row r="4300" ht="15.15" spans="1:7">
      <c r="A4300" s="20">
        <v>4298</v>
      </c>
      <c r="B4300" s="20">
        <v>702</v>
      </c>
      <c r="C4300" s="21">
        <v>45290</v>
      </c>
      <c r="D4300" s="20">
        <v>3291.84</v>
      </c>
      <c r="E4300" s="22" t="s">
        <v>10</v>
      </c>
      <c r="F4300" s="22" t="s">
        <v>13</v>
      </c>
      <c r="G4300" s="22" t="s">
        <v>20</v>
      </c>
    </row>
    <row r="4301" ht="15.15" spans="1:7">
      <c r="A4301" s="20">
        <v>4299</v>
      </c>
      <c r="B4301" s="20">
        <v>1455</v>
      </c>
      <c r="C4301" s="21">
        <v>45105</v>
      </c>
      <c r="D4301" s="20">
        <v>3291.84</v>
      </c>
      <c r="E4301" s="22" t="s">
        <v>10</v>
      </c>
      <c r="F4301" s="22" t="s">
        <v>18</v>
      </c>
      <c r="G4301" s="22" t="s">
        <v>20</v>
      </c>
    </row>
    <row r="4302" ht="15.15" spans="1:7">
      <c r="A4302" s="20">
        <v>4300</v>
      </c>
      <c r="B4302" s="20">
        <v>369</v>
      </c>
      <c r="C4302" s="21">
        <v>45229</v>
      </c>
      <c r="D4302" s="20">
        <v>3291.84</v>
      </c>
      <c r="E4302" s="22" t="s">
        <v>10</v>
      </c>
      <c r="F4302" s="22" t="s">
        <v>14</v>
      </c>
      <c r="G4302" s="22" t="s">
        <v>12</v>
      </c>
    </row>
    <row r="4303" ht="15.15" spans="1:7">
      <c r="A4303" s="20">
        <v>4301</v>
      </c>
      <c r="B4303" s="20">
        <v>7597</v>
      </c>
      <c r="C4303" s="21">
        <v>45243</v>
      </c>
      <c r="D4303" s="20">
        <v>3291.84</v>
      </c>
      <c r="E4303" s="22" t="s">
        <v>22</v>
      </c>
      <c r="F4303" s="22" t="s">
        <v>16</v>
      </c>
      <c r="G4303" s="22" t="s">
        <v>15</v>
      </c>
    </row>
    <row r="4304" ht="15.15" spans="1:7">
      <c r="A4304" s="20">
        <v>4302</v>
      </c>
      <c r="B4304" s="20">
        <v>6036</v>
      </c>
      <c r="C4304" s="21">
        <v>45146</v>
      </c>
      <c r="D4304" s="20">
        <v>3291.84</v>
      </c>
      <c r="E4304" s="22" t="s">
        <v>10</v>
      </c>
      <c r="F4304" s="22" t="s">
        <v>11</v>
      </c>
      <c r="G4304" s="22" t="s">
        <v>20</v>
      </c>
    </row>
    <row r="4305" ht="15.15" spans="1:7">
      <c r="A4305" s="20">
        <v>4303</v>
      </c>
      <c r="B4305" s="20">
        <v>5621</v>
      </c>
      <c r="C4305" s="21">
        <v>45181</v>
      </c>
      <c r="D4305" s="20">
        <v>3291.84</v>
      </c>
      <c r="E4305" s="22" t="s">
        <v>10</v>
      </c>
      <c r="F4305" s="22" t="s">
        <v>13</v>
      </c>
      <c r="G4305" s="22" t="s">
        <v>17</v>
      </c>
    </row>
    <row r="4306" ht="15.15" spans="1:7">
      <c r="A4306" s="20">
        <v>4304</v>
      </c>
      <c r="B4306" s="20">
        <v>6270</v>
      </c>
      <c r="C4306" s="21">
        <v>44928</v>
      </c>
      <c r="D4306" s="20">
        <v>3291.84</v>
      </c>
      <c r="E4306" s="22" t="s">
        <v>10</v>
      </c>
      <c r="F4306" s="22" t="s">
        <v>14</v>
      </c>
      <c r="G4306" s="22" t="s">
        <v>17</v>
      </c>
    </row>
    <row r="4307" ht="15.15" spans="1:7">
      <c r="A4307" s="20">
        <v>4305</v>
      </c>
      <c r="B4307" s="20">
        <v>6478</v>
      </c>
      <c r="C4307" s="21">
        <v>45203</v>
      </c>
      <c r="D4307" s="20">
        <v>3291.84</v>
      </c>
      <c r="E4307" s="22" t="s">
        <v>10</v>
      </c>
      <c r="F4307" s="22" t="s">
        <v>13</v>
      </c>
      <c r="G4307" s="22" t="s">
        <v>20</v>
      </c>
    </row>
    <row r="4308" ht="15.15" spans="1:7">
      <c r="A4308" s="20">
        <v>4306</v>
      </c>
      <c r="B4308" s="20">
        <v>7024</v>
      </c>
      <c r="C4308" s="21">
        <v>45126</v>
      </c>
      <c r="D4308" s="20">
        <v>3291.84</v>
      </c>
      <c r="E4308" s="22" t="s">
        <v>10</v>
      </c>
      <c r="F4308" s="22" t="s">
        <v>18</v>
      </c>
      <c r="G4308" s="22" t="s">
        <v>17</v>
      </c>
    </row>
    <row r="4309" ht="15.15" spans="1:7">
      <c r="A4309" s="20">
        <v>4307</v>
      </c>
      <c r="B4309" s="20">
        <v>5280</v>
      </c>
      <c r="C4309" s="21">
        <v>44966</v>
      </c>
      <c r="D4309" s="20">
        <v>3291.84</v>
      </c>
      <c r="E4309" s="22" t="s">
        <v>10</v>
      </c>
      <c r="F4309" s="22" t="s">
        <v>14</v>
      </c>
      <c r="G4309" s="22" t="s">
        <v>20</v>
      </c>
    </row>
    <row r="4310" ht="15.15" spans="1:7">
      <c r="A4310" s="20">
        <v>4308</v>
      </c>
      <c r="B4310" s="20">
        <v>6026</v>
      </c>
      <c r="C4310" s="21">
        <v>45264</v>
      </c>
      <c r="D4310" s="20">
        <v>3291.84</v>
      </c>
      <c r="E4310" s="22" t="s">
        <v>22</v>
      </c>
      <c r="F4310" s="22" t="s">
        <v>13</v>
      </c>
      <c r="G4310" s="22" t="s">
        <v>20</v>
      </c>
    </row>
    <row r="4311" ht="15.15" spans="1:7">
      <c r="A4311" s="20">
        <v>4309</v>
      </c>
      <c r="B4311" s="20">
        <v>3312</v>
      </c>
      <c r="C4311" s="21">
        <v>45226</v>
      </c>
      <c r="D4311" s="20">
        <v>3291.84</v>
      </c>
      <c r="E4311" s="22" t="s">
        <v>10</v>
      </c>
      <c r="F4311" s="22" t="s">
        <v>14</v>
      </c>
      <c r="G4311" s="22" t="s">
        <v>17</v>
      </c>
    </row>
    <row r="4312" ht="15.15" spans="1:7">
      <c r="A4312" s="20">
        <v>4310</v>
      </c>
      <c r="B4312" s="20">
        <v>8993</v>
      </c>
      <c r="C4312" s="21">
        <v>45270</v>
      </c>
      <c r="D4312" s="20">
        <v>3291.84</v>
      </c>
      <c r="E4312" s="22" t="s">
        <v>10</v>
      </c>
      <c r="F4312" s="22" t="s">
        <v>13</v>
      </c>
      <c r="G4312" s="22" t="s">
        <v>17</v>
      </c>
    </row>
    <row r="4313" ht="15.15" spans="1:7">
      <c r="A4313" s="20">
        <v>4311</v>
      </c>
      <c r="B4313" s="20">
        <v>6019</v>
      </c>
      <c r="C4313" s="21">
        <v>45118</v>
      </c>
      <c r="D4313" s="20">
        <v>3291.84</v>
      </c>
      <c r="E4313" s="22" t="s">
        <v>10</v>
      </c>
      <c r="F4313" s="22" t="s">
        <v>13</v>
      </c>
      <c r="G4313" s="22" t="s">
        <v>20</v>
      </c>
    </row>
    <row r="4314" ht="15.15" spans="1:7">
      <c r="A4314" s="20">
        <v>4312</v>
      </c>
      <c r="B4314" s="20">
        <v>5454</v>
      </c>
      <c r="C4314" s="21">
        <v>45163</v>
      </c>
      <c r="D4314" s="20">
        <v>3291.84</v>
      </c>
      <c r="E4314" s="22" t="s">
        <v>10</v>
      </c>
      <c r="F4314" s="22" t="s">
        <v>14</v>
      </c>
      <c r="G4314" s="22" t="s">
        <v>15</v>
      </c>
    </row>
    <row r="4315" ht="15.15" spans="1:7">
      <c r="A4315" s="20">
        <v>4313</v>
      </c>
      <c r="B4315" s="20">
        <v>4341</v>
      </c>
      <c r="C4315" s="21">
        <v>45255</v>
      </c>
      <c r="D4315" s="20">
        <v>3291.84</v>
      </c>
      <c r="E4315" s="22" t="s">
        <v>10</v>
      </c>
      <c r="F4315" s="22" t="s">
        <v>11</v>
      </c>
      <c r="G4315" s="22" t="s">
        <v>12</v>
      </c>
    </row>
    <row r="4316" ht="15.15" spans="1:7">
      <c r="A4316" s="20">
        <v>4314</v>
      </c>
      <c r="B4316" s="20">
        <v>785</v>
      </c>
      <c r="C4316" s="21">
        <v>44997</v>
      </c>
      <c r="D4316" s="20">
        <v>3291.84</v>
      </c>
      <c r="E4316" s="22" t="s">
        <v>10</v>
      </c>
      <c r="F4316" s="22" t="s">
        <v>18</v>
      </c>
      <c r="G4316" s="22" t="s">
        <v>17</v>
      </c>
    </row>
    <row r="4317" ht="15.15" spans="1:7">
      <c r="A4317" s="20">
        <v>4315</v>
      </c>
      <c r="B4317" s="20">
        <v>5705</v>
      </c>
      <c r="C4317" s="21">
        <v>45278</v>
      </c>
      <c r="D4317" s="20">
        <v>3291.84</v>
      </c>
      <c r="E4317" s="22" t="s">
        <v>10</v>
      </c>
      <c r="F4317" s="22" t="s">
        <v>13</v>
      </c>
      <c r="G4317" s="22" t="s">
        <v>12</v>
      </c>
    </row>
    <row r="4318" ht="15.15" spans="1:7">
      <c r="A4318" s="20">
        <v>4316</v>
      </c>
      <c r="B4318" s="20">
        <v>1276</v>
      </c>
      <c r="C4318" s="21">
        <v>45114</v>
      </c>
      <c r="D4318" s="20">
        <v>3291.84</v>
      </c>
      <c r="E4318" s="22" t="s">
        <v>10</v>
      </c>
      <c r="F4318" s="22" t="s">
        <v>18</v>
      </c>
      <c r="G4318" s="22" t="s">
        <v>15</v>
      </c>
    </row>
    <row r="4319" ht="15.15" spans="1:7">
      <c r="A4319" s="20">
        <v>4317</v>
      </c>
      <c r="B4319" s="20">
        <v>1376</v>
      </c>
      <c r="C4319" s="21">
        <v>45004</v>
      </c>
      <c r="D4319" s="20">
        <v>3291.84</v>
      </c>
      <c r="E4319" s="22" t="s">
        <v>22</v>
      </c>
      <c r="F4319" s="22" t="s">
        <v>11</v>
      </c>
      <c r="G4319" s="22" t="s">
        <v>12</v>
      </c>
    </row>
    <row r="4320" ht="15.15" spans="1:7">
      <c r="A4320" s="20">
        <v>4318</v>
      </c>
      <c r="B4320" s="20">
        <v>7264</v>
      </c>
      <c r="C4320" s="21">
        <v>44931</v>
      </c>
      <c r="D4320" s="20">
        <v>3291.84</v>
      </c>
      <c r="E4320" s="22" t="s">
        <v>10</v>
      </c>
      <c r="F4320" s="22" t="s">
        <v>16</v>
      </c>
      <c r="G4320" s="22" t="s">
        <v>12</v>
      </c>
    </row>
    <row r="4321" ht="15.15" spans="1:7">
      <c r="A4321" s="20">
        <v>4319</v>
      </c>
      <c r="B4321" s="20">
        <v>187</v>
      </c>
      <c r="C4321" s="21">
        <v>45072</v>
      </c>
      <c r="D4321" s="20">
        <v>3291.84</v>
      </c>
      <c r="E4321" s="22" t="s">
        <v>10</v>
      </c>
      <c r="F4321" s="22" t="s">
        <v>18</v>
      </c>
      <c r="G4321" s="22" t="s">
        <v>17</v>
      </c>
    </row>
    <row r="4322" ht="15.15" spans="1:7">
      <c r="A4322" s="20">
        <v>4320</v>
      </c>
      <c r="B4322" s="20">
        <v>5095</v>
      </c>
      <c r="C4322" s="21">
        <v>45134</v>
      </c>
      <c r="D4322" s="20">
        <v>3291.84</v>
      </c>
      <c r="E4322" s="22" t="s">
        <v>10</v>
      </c>
      <c r="F4322" s="22" t="s">
        <v>13</v>
      </c>
      <c r="G4322" s="22" t="s">
        <v>12</v>
      </c>
    </row>
    <row r="4323" ht="15.15" spans="1:7">
      <c r="A4323" s="20">
        <v>4321</v>
      </c>
      <c r="B4323" s="20">
        <v>4623</v>
      </c>
      <c r="C4323" s="21">
        <v>44973</v>
      </c>
      <c r="D4323" s="20">
        <v>3291.84</v>
      </c>
      <c r="E4323" s="22" t="s">
        <v>10</v>
      </c>
      <c r="F4323" s="22" t="s">
        <v>16</v>
      </c>
      <c r="G4323" s="22" t="s">
        <v>12</v>
      </c>
    </row>
    <row r="4324" ht="15.15" spans="1:7">
      <c r="A4324" s="20">
        <v>4322</v>
      </c>
      <c r="B4324" s="20">
        <v>1985</v>
      </c>
      <c r="C4324" s="21">
        <v>45146</v>
      </c>
      <c r="D4324" s="20">
        <v>3291.84</v>
      </c>
      <c r="E4324" s="22" t="s">
        <v>10</v>
      </c>
      <c r="F4324" s="22" t="s">
        <v>19</v>
      </c>
      <c r="G4324" s="22" t="s">
        <v>17</v>
      </c>
    </row>
    <row r="4325" ht="15.15" spans="1:7">
      <c r="A4325" s="20">
        <v>4323</v>
      </c>
      <c r="B4325" s="20">
        <v>5964</v>
      </c>
      <c r="C4325" s="21">
        <v>45150</v>
      </c>
      <c r="D4325" s="20">
        <v>3291.84</v>
      </c>
      <c r="E4325" s="22" t="s">
        <v>10</v>
      </c>
      <c r="F4325" s="22" t="s">
        <v>13</v>
      </c>
      <c r="G4325" s="22" t="s">
        <v>20</v>
      </c>
    </row>
    <row r="4326" ht="15.15" spans="1:7">
      <c r="A4326" s="20">
        <v>4324</v>
      </c>
      <c r="B4326" s="20">
        <v>87</v>
      </c>
      <c r="C4326" s="21">
        <v>45285</v>
      </c>
      <c r="D4326" s="20">
        <v>3291.84</v>
      </c>
      <c r="E4326" s="22" t="s">
        <v>10</v>
      </c>
      <c r="F4326" s="22" t="s">
        <v>13</v>
      </c>
      <c r="G4326" s="22" t="s">
        <v>15</v>
      </c>
    </row>
    <row r="4327" ht="15.15" spans="1:7">
      <c r="A4327" s="20">
        <v>4325</v>
      </c>
      <c r="B4327" s="20">
        <v>7087</v>
      </c>
      <c r="C4327" s="21">
        <v>45267</v>
      </c>
      <c r="D4327" s="20">
        <v>3291.84</v>
      </c>
      <c r="E4327" s="22" t="s">
        <v>10</v>
      </c>
      <c r="F4327" s="22" t="s">
        <v>13</v>
      </c>
      <c r="G4327" s="22" t="s">
        <v>15</v>
      </c>
    </row>
    <row r="4328" ht="15.15" spans="1:7">
      <c r="A4328" s="20">
        <v>4326</v>
      </c>
      <c r="B4328" s="20">
        <v>5921</v>
      </c>
      <c r="C4328" s="21">
        <v>45286</v>
      </c>
      <c r="D4328" s="20">
        <v>3291.84</v>
      </c>
      <c r="E4328" s="22" t="s">
        <v>10</v>
      </c>
      <c r="F4328" s="22" t="s">
        <v>13</v>
      </c>
      <c r="G4328" s="22" t="s">
        <v>20</v>
      </c>
    </row>
    <row r="4329" ht="15.15" spans="1:7">
      <c r="A4329" s="20">
        <v>4327</v>
      </c>
      <c r="B4329" s="20">
        <v>3493</v>
      </c>
      <c r="C4329" s="21">
        <v>44944</v>
      </c>
      <c r="D4329" s="20">
        <v>3291.84</v>
      </c>
      <c r="E4329" s="22" t="s">
        <v>10</v>
      </c>
      <c r="F4329" s="22" t="s">
        <v>19</v>
      </c>
      <c r="G4329" s="22" t="s">
        <v>12</v>
      </c>
    </row>
    <row r="4330" ht="15.15" spans="1:7">
      <c r="A4330" s="20">
        <v>4328</v>
      </c>
      <c r="B4330" s="20">
        <v>2523</v>
      </c>
      <c r="C4330" s="21">
        <v>45105</v>
      </c>
      <c r="D4330" s="20">
        <v>3291.84</v>
      </c>
      <c r="E4330" s="22" t="s">
        <v>10</v>
      </c>
      <c r="F4330" s="22" t="s">
        <v>11</v>
      </c>
      <c r="G4330" s="22" t="s">
        <v>15</v>
      </c>
    </row>
    <row r="4331" ht="15.15" spans="1:7">
      <c r="A4331" s="20">
        <v>4329</v>
      </c>
      <c r="B4331" s="20">
        <v>5878</v>
      </c>
      <c r="C4331" s="21">
        <v>45226</v>
      </c>
      <c r="D4331" s="20">
        <v>3291.84</v>
      </c>
      <c r="E4331" s="22" t="s">
        <v>10</v>
      </c>
      <c r="F4331" s="22" t="s">
        <v>13</v>
      </c>
      <c r="G4331" s="22" t="s">
        <v>17</v>
      </c>
    </row>
    <row r="4332" ht="15.15" spans="1:7">
      <c r="A4332" s="20">
        <v>4330</v>
      </c>
      <c r="B4332" s="20">
        <v>1069</v>
      </c>
      <c r="C4332" s="21">
        <v>45078</v>
      </c>
      <c r="D4332" s="20">
        <v>3291.84</v>
      </c>
      <c r="E4332" s="22" t="s">
        <v>21</v>
      </c>
      <c r="F4332" s="22" t="s">
        <v>14</v>
      </c>
      <c r="G4332" s="22" t="s">
        <v>17</v>
      </c>
    </row>
    <row r="4333" ht="15.15" spans="1:7">
      <c r="A4333" s="20">
        <v>4331</v>
      </c>
      <c r="B4333" s="20">
        <v>5405</v>
      </c>
      <c r="C4333" s="21">
        <v>45204</v>
      </c>
      <c r="D4333" s="20">
        <v>3291.84</v>
      </c>
      <c r="E4333" s="22" t="s">
        <v>10</v>
      </c>
      <c r="F4333" s="22" t="s">
        <v>11</v>
      </c>
      <c r="G4333" s="22" t="s">
        <v>17</v>
      </c>
    </row>
    <row r="4334" ht="15.15" spans="1:7">
      <c r="A4334" s="20">
        <v>4332</v>
      </c>
      <c r="B4334" s="20">
        <v>1417</v>
      </c>
      <c r="C4334" s="21">
        <v>45240</v>
      </c>
      <c r="D4334" s="20">
        <v>3291.84</v>
      </c>
      <c r="E4334" s="22" t="s">
        <v>10</v>
      </c>
      <c r="F4334" s="22" t="s">
        <v>11</v>
      </c>
      <c r="G4334" s="22" t="s">
        <v>20</v>
      </c>
    </row>
    <row r="4335" ht="15.15" spans="1:7">
      <c r="A4335" s="20">
        <v>4333</v>
      </c>
      <c r="B4335" s="20">
        <v>5410</v>
      </c>
      <c r="C4335" s="21">
        <v>45131</v>
      </c>
      <c r="D4335" s="20">
        <v>3291.84</v>
      </c>
      <c r="E4335" s="22" t="s">
        <v>10</v>
      </c>
      <c r="F4335" s="22" t="s">
        <v>16</v>
      </c>
      <c r="G4335" s="22" t="s">
        <v>17</v>
      </c>
    </row>
    <row r="4336" ht="15.15" spans="1:7">
      <c r="A4336" s="20">
        <v>4334</v>
      </c>
      <c r="B4336" s="20">
        <v>8737</v>
      </c>
      <c r="C4336" s="21">
        <v>44979</v>
      </c>
      <c r="D4336" s="20">
        <v>3291.84</v>
      </c>
      <c r="E4336" s="22" t="s">
        <v>22</v>
      </c>
      <c r="F4336" s="22" t="s">
        <v>16</v>
      </c>
      <c r="G4336" s="22" t="s">
        <v>15</v>
      </c>
    </row>
    <row r="4337" ht="15.15" spans="1:7">
      <c r="A4337" s="20">
        <v>4335</v>
      </c>
      <c r="B4337" s="20">
        <v>5552</v>
      </c>
      <c r="C4337" s="21">
        <v>44984</v>
      </c>
      <c r="D4337" s="20">
        <v>3291.84</v>
      </c>
      <c r="E4337" s="22" t="s">
        <v>10</v>
      </c>
      <c r="F4337" s="22" t="s">
        <v>13</v>
      </c>
      <c r="G4337" s="22" t="s">
        <v>12</v>
      </c>
    </row>
    <row r="4338" ht="15.15" spans="1:7">
      <c r="A4338" s="20">
        <v>4336</v>
      </c>
      <c r="B4338" s="20">
        <v>5872</v>
      </c>
      <c r="C4338" s="21">
        <v>45145</v>
      </c>
      <c r="D4338" s="20">
        <v>3291.84</v>
      </c>
      <c r="E4338" s="22" t="s">
        <v>10</v>
      </c>
      <c r="F4338" s="22" t="s">
        <v>16</v>
      </c>
      <c r="G4338" s="22" t="s">
        <v>12</v>
      </c>
    </row>
    <row r="4339" ht="15.15" spans="1:7">
      <c r="A4339" s="20">
        <v>4337</v>
      </c>
      <c r="B4339" s="20">
        <v>9077</v>
      </c>
      <c r="C4339" s="21">
        <v>44945</v>
      </c>
      <c r="D4339" s="20">
        <v>3291.84</v>
      </c>
      <c r="E4339" s="22" t="s">
        <v>10</v>
      </c>
      <c r="F4339" s="22" t="s">
        <v>16</v>
      </c>
      <c r="G4339" s="22" t="s">
        <v>17</v>
      </c>
    </row>
    <row r="4340" ht="15.15" spans="1:7">
      <c r="A4340" s="20">
        <v>4338</v>
      </c>
      <c r="B4340" s="20">
        <v>3547</v>
      </c>
      <c r="C4340" s="21">
        <v>45020</v>
      </c>
      <c r="D4340" s="20">
        <v>3291.84</v>
      </c>
      <c r="E4340" s="22" t="s">
        <v>10</v>
      </c>
      <c r="F4340" s="22" t="s">
        <v>16</v>
      </c>
      <c r="G4340" s="22" t="s">
        <v>20</v>
      </c>
    </row>
    <row r="4341" ht="15.15" spans="1:7">
      <c r="A4341" s="20">
        <v>4339</v>
      </c>
      <c r="B4341" s="20">
        <v>9005</v>
      </c>
      <c r="C4341" s="21">
        <v>45251</v>
      </c>
      <c r="D4341" s="20">
        <v>3291.84</v>
      </c>
      <c r="E4341" s="22" t="s">
        <v>10</v>
      </c>
      <c r="F4341" s="22" t="s">
        <v>13</v>
      </c>
      <c r="G4341" s="22" t="s">
        <v>12</v>
      </c>
    </row>
    <row r="4342" ht="15.15" spans="1:7">
      <c r="A4342" s="20">
        <v>4340</v>
      </c>
      <c r="B4342" s="20">
        <v>7447</v>
      </c>
      <c r="C4342" s="21">
        <v>45102</v>
      </c>
      <c r="D4342" s="20">
        <v>3291.84</v>
      </c>
      <c r="E4342" s="22" t="s">
        <v>10</v>
      </c>
      <c r="F4342" s="22" t="s">
        <v>18</v>
      </c>
      <c r="G4342" s="22" t="s">
        <v>15</v>
      </c>
    </row>
    <row r="4343" ht="15.15" spans="1:7">
      <c r="A4343" s="20">
        <v>4341</v>
      </c>
      <c r="B4343" s="20">
        <v>8004</v>
      </c>
      <c r="C4343" s="21">
        <v>45124</v>
      </c>
      <c r="D4343" s="20">
        <v>3291.84</v>
      </c>
      <c r="E4343" s="22" t="s">
        <v>10</v>
      </c>
      <c r="F4343" s="22" t="s">
        <v>16</v>
      </c>
      <c r="G4343" s="22" t="s">
        <v>12</v>
      </c>
    </row>
    <row r="4344" ht="15.15" spans="1:7">
      <c r="A4344" s="20">
        <v>4342</v>
      </c>
      <c r="B4344" s="20">
        <v>3331</v>
      </c>
      <c r="C4344" s="21">
        <v>45214</v>
      </c>
      <c r="D4344" s="20">
        <v>3291.84</v>
      </c>
      <c r="E4344" s="22" t="s">
        <v>10</v>
      </c>
      <c r="F4344" s="22" t="s">
        <v>13</v>
      </c>
      <c r="G4344" s="22" t="s">
        <v>17</v>
      </c>
    </row>
    <row r="4345" ht="15.15" spans="1:7">
      <c r="A4345" s="20">
        <v>4343</v>
      </c>
      <c r="B4345" s="20">
        <v>5029</v>
      </c>
      <c r="C4345" s="21">
        <v>45288</v>
      </c>
      <c r="D4345" s="20">
        <v>3291.84</v>
      </c>
      <c r="E4345" s="22" t="s">
        <v>10</v>
      </c>
      <c r="F4345" s="22" t="s">
        <v>16</v>
      </c>
      <c r="G4345" s="22" t="s">
        <v>20</v>
      </c>
    </row>
    <row r="4346" ht="15.15" spans="1:7">
      <c r="A4346" s="20">
        <v>4344</v>
      </c>
      <c r="B4346" s="20">
        <v>8652</v>
      </c>
      <c r="C4346" s="21">
        <v>45244</v>
      </c>
      <c r="D4346" s="20">
        <v>3291.84</v>
      </c>
      <c r="E4346" s="22" t="s">
        <v>10</v>
      </c>
      <c r="F4346" s="22" t="s">
        <v>16</v>
      </c>
      <c r="G4346" s="22" t="s">
        <v>17</v>
      </c>
    </row>
    <row r="4347" ht="15.15" spans="1:7">
      <c r="A4347" s="20">
        <v>4345</v>
      </c>
      <c r="B4347" s="20">
        <v>9727</v>
      </c>
      <c r="C4347" s="21">
        <v>45256</v>
      </c>
      <c r="D4347" s="20">
        <v>3291.84</v>
      </c>
      <c r="E4347" s="22" t="s">
        <v>10</v>
      </c>
      <c r="F4347" s="22" t="s">
        <v>14</v>
      </c>
      <c r="G4347" s="22" t="s">
        <v>12</v>
      </c>
    </row>
    <row r="4348" ht="15.15" spans="1:7">
      <c r="A4348" s="20">
        <v>4346</v>
      </c>
      <c r="B4348" s="20">
        <v>1008</v>
      </c>
      <c r="C4348" s="21">
        <v>44952</v>
      </c>
      <c r="D4348" s="20">
        <v>3291.84</v>
      </c>
      <c r="E4348" s="22" t="s">
        <v>22</v>
      </c>
      <c r="F4348" s="22" t="s">
        <v>14</v>
      </c>
      <c r="G4348" s="22" t="s">
        <v>15</v>
      </c>
    </row>
    <row r="4349" ht="15.15" spans="1:7">
      <c r="A4349" s="20">
        <v>4347</v>
      </c>
      <c r="B4349" s="20">
        <v>2431</v>
      </c>
      <c r="C4349" s="21">
        <v>45281</v>
      </c>
      <c r="D4349" s="20">
        <v>3291.84</v>
      </c>
      <c r="E4349" s="22" t="s">
        <v>10</v>
      </c>
      <c r="F4349" s="22" t="s">
        <v>14</v>
      </c>
      <c r="G4349" s="22" t="s">
        <v>12</v>
      </c>
    </row>
    <row r="4350" ht="15.15" spans="1:7">
      <c r="A4350" s="20">
        <v>4348</v>
      </c>
      <c r="B4350" s="20">
        <v>4847</v>
      </c>
      <c r="C4350" s="21">
        <v>45271</v>
      </c>
      <c r="D4350" s="20">
        <v>3291.84</v>
      </c>
      <c r="E4350" s="22" t="s">
        <v>10</v>
      </c>
      <c r="F4350" s="22" t="s">
        <v>14</v>
      </c>
      <c r="G4350" s="22" t="s">
        <v>12</v>
      </c>
    </row>
    <row r="4351" ht="15.15" spans="1:7">
      <c r="A4351" s="20">
        <v>4349</v>
      </c>
      <c r="B4351" s="20">
        <v>9305</v>
      </c>
      <c r="C4351" s="21">
        <v>45101</v>
      </c>
      <c r="D4351" s="20">
        <v>3291.84</v>
      </c>
      <c r="E4351" s="22" t="s">
        <v>10</v>
      </c>
      <c r="F4351" s="22" t="s">
        <v>19</v>
      </c>
      <c r="G4351" s="22" t="s">
        <v>17</v>
      </c>
    </row>
    <row r="4352" ht="15.15" spans="1:7">
      <c r="A4352" s="20">
        <v>4350</v>
      </c>
      <c r="B4352" s="20">
        <v>1084</v>
      </c>
      <c r="C4352" s="21">
        <v>44984</v>
      </c>
      <c r="D4352" s="20">
        <v>3291.84</v>
      </c>
      <c r="E4352" s="22" t="s">
        <v>10</v>
      </c>
      <c r="F4352" s="22" t="s">
        <v>11</v>
      </c>
      <c r="G4352" s="22" t="s">
        <v>20</v>
      </c>
    </row>
    <row r="4353" ht="15.15" spans="1:7">
      <c r="A4353" s="20">
        <v>4351</v>
      </c>
      <c r="B4353" s="20">
        <v>6861</v>
      </c>
      <c r="C4353" s="21">
        <v>45285</v>
      </c>
      <c r="D4353" s="20">
        <v>3291.84</v>
      </c>
      <c r="E4353" s="22" t="s">
        <v>10</v>
      </c>
      <c r="F4353" s="22" t="s">
        <v>18</v>
      </c>
      <c r="G4353" s="22" t="s">
        <v>20</v>
      </c>
    </row>
    <row r="4354" ht="15.15" spans="1:7">
      <c r="A4354" s="20">
        <v>4352</v>
      </c>
      <c r="B4354" s="20">
        <v>4923</v>
      </c>
      <c r="C4354" s="21">
        <v>45259</v>
      </c>
      <c r="D4354" s="20">
        <v>3291.84</v>
      </c>
      <c r="E4354" s="22" t="s">
        <v>10</v>
      </c>
      <c r="F4354" s="22" t="s">
        <v>13</v>
      </c>
      <c r="G4354" s="22" t="s">
        <v>17</v>
      </c>
    </row>
    <row r="4355" ht="15.15" spans="1:7">
      <c r="A4355" s="20">
        <v>4353</v>
      </c>
      <c r="B4355" s="20">
        <v>5692</v>
      </c>
      <c r="C4355" s="21">
        <v>45272</v>
      </c>
      <c r="D4355" s="20">
        <v>3291.84</v>
      </c>
      <c r="E4355" s="22" t="s">
        <v>10</v>
      </c>
      <c r="F4355" s="22" t="s">
        <v>13</v>
      </c>
      <c r="G4355" s="22" t="s">
        <v>12</v>
      </c>
    </row>
    <row r="4356" ht="15.15" spans="1:7">
      <c r="A4356" s="20">
        <v>4354</v>
      </c>
      <c r="B4356" s="20">
        <v>4244</v>
      </c>
      <c r="C4356" s="21">
        <v>45027</v>
      </c>
      <c r="D4356" s="20">
        <v>3291.84</v>
      </c>
      <c r="E4356" s="22" t="s">
        <v>10</v>
      </c>
      <c r="F4356" s="22" t="s">
        <v>14</v>
      </c>
      <c r="G4356" s="22" t="s">
        <v>20</v>
      </c>
    </row>
    <row r="4357" ht="15.15" spans="1:7">
      <c r="A4357" s="20">
        <v>4355</v>
      </c>
      <c r="B4357" s="20">
        <v>6665</v>
      </c>
      <c r="C4357" s="21">
        <v>45123</v>
      </c>
      <c r="D4357" s="20">
        <v>3291.84</v>
      </c>
      <c r="E4357" s="22" t="s">
        <v>22</v>
      </c>
      <c r="F4357" s="22" t="s">
        <v>16</v>
      </c>
      <c r="G4357" s="22" t="s">
        <v>17</v>
      </c>
    </row>
    <row r="4358" ht="15.15" spans="1:7">
      <c r="A4358" s="20">
        <v>4356</v>
      </c>
      <c r="B4358" s="20">
        <v>28</v>
      </c>
      <c r="C4358" s="21">
        <v>45005</v>
      </c>
      <c r="D4358" s="20">
        <v>3291.84</v>
      </c>
      <c r="E4358" s="22" t="s">
        <v>10</v>
      </c>
      <c r="F4358" s="22" t="s">
        <v>11</v>
      </c>
      <c r="G4358" s="22" t="s">
        <v>15</v>
      </c>
    </row>
    <row r="4359" ht="15.15" spans="1:7">
      <c r="A4359" s="20">
        <v>4357</v>
      </c>
      <c r="B4359" s="20">
        <v>2997</v>
      </c>
      <c r="C4359" s="21">
        <v>45280</v>
      </c>
      <c r="D4359" s="20">
        <v>3291.84</v>
      </c>
      <c r="E4359" s="22" t="s">
        <v>10</v>
      </c>
      <c r="F4359" s="22" t="s">
        <v>11</v>
      </c>
      <c r="G4359" s="22" t="s">
        <v>12</v>
      </c>
    </row>
    <row r="4360" ht="15.15" spans="1:7">
      <c r="A4360" s="20">
        <v>4358</v>
      </c>
      <c r="B4360" s="20">
        <v>3713</v>
      </c>
      <c r="C4360" s="21">
        <v>45227</v>
      </c>
      <c r="D4360" s="20">
        <v>3291.84</v>
      </c>
      <c r="E4360" s="22" t="s">
        <v>10</v>
      </c>
      <c r="F4360" s="22" t="s">
        <v>14</v>
      </c>
      <c r="G4360" s="22" t="s">
        <v>17</v>
      </c>
    </row>
    <row r="4361" ht="15.15" spans="1:7">
      <c r="A4361" s="20">
        <v>4359</v>
      </c>
      <c r="B4361" s="20">
        <v>9270</v>
      </c>
      <c r="C4361" s="21">
        <v>44936</v>
      </c>
      <c r="D4361" s="20">
        <v>3291.84</v>
      </c>
      <c r="E4361" s="22" t="s">
        <v>10</v>
      </c>
      <c r="F4361" s="22" t="s">
        <v>11</v>
      </c>
      <c r="G4361" s="22" t="s">
        <v>15</v>
      </c>
    </row>
    <row r="4362" ht="15.15" spans="1:7">
      <c r="A4362" s="20">
        <v>4360</v>
      </c>
      <c r="B4362" s="20">
        <v>6910</v>
      </c>
      <c r="C4362" s="21">
        <v>45142</v>
      </c>
      <c r="D4362" s="20">
        <v>3291.84</v>
      </c>
      <c r="E4362" s="22" t="s">
        <v>10</v>
      </c>
      <c r="F4362" s="22" t="s">
        <v>18</v>
      </c>
      <c r="G4362" s="22" t="s">
        <v>15</v>
      </c>
    </row>
    <row r="4363" ht="15.15" spans="1:7">
      <c r="A4363" s="20">
        <v>4361</v>
      </c>
      <c r="B4363" s="20">
        <v>5214</v>
      </c>
      <c r="C4363" s="21">
        <v>45033</v>
      </c>
      <c r="D4363" s="20">
        <v>3291.84</v>
      </c>
      <c r="E4363" s="22" t="s">
        <v>10</v>
      </c>
      <c r="F4363" s="22" t="s">
        <v>11</v>
      </c>
      <c r="G4363" s="22" t="s">
        <v>17</v>
      </c>
    </row>
    <row r="4364" ht="15.15" spans="1:7">
      <c r="A4364" s="20">
        <v>4362</v>
      </c>
      <c r="B4364" s="20">
        <v>5961</v>
      </c>
      <c r="C4364" s="21">
        <v>44998</v>
      </c>
      <c r="D4364" s="20">
        <v>3291.84</v>
      </c>
      <c r="E4364" s="22" t="s">
        <v>10</v>
      </c>
      <c r="F4364" s="22" t="s">
        <v>11</v>
      </c>
      <c r="G4364" s="22" t="s">
        <v>17</v>
      </c>
    </row>
    <row r="4365" ht="15.15" spans="1:7">
      <c r="A4365" s="20">
        <v>4363</v>
      </c>
      <c r="B4365" s="20">
        <v>4743</v>
      </c>
      <c r="C4365" s="21">
        <v>45259</v>
      </c>
      <c r="D4365" s="20">
        <v>3291.84</v>
      </c>
      <c r="E4365" s="22" t="s">
        <v>10</v>
      </c>
      <c r="F4365" s="22" t="s">
        <v>18</v>
      </c>
      <c r="G4365" s="22" t="s">
        <v>20</v>
      </c>
    </row>
    <row r="4366" ht="15.15" spans="1:7">
      <c r="A4366" s="20">
        <v>4364</v>
      </c>
      <c r="B4366" s="20">
        <v>7271</v>
      </c>
      <c r="C4366" s="21">
        <v>45195</v>
      </c>
      <c r="D4366" s="20">
        <v>3291.84</v>
      </c>
      <c r="E4366" s="22" t="s">
        <v>10</v>
      </c>
      <c r="F4366" s="22" t="s">
        <v>11</v>
      </c>
      <c r="G4366" s="22" t="s">
        <v>20</v>
      </c>
    </row>
    <row r="4367" ht="15.15" spans="1:7">
      <c r="A4367" s="20">
        <v>4365</v>
      </c>
      <c r="B4367" s="20">
        <v>6726</v>
      </c>
      <c r="C4367" s="21">
        <v>45050</v>
      </c>
      <c r="D4367" s="20">
        <v>3291.84</v>
      </c>
      <c r="E4367" s="22" t="s">
        <v>10</v>
      </c>
      <c r="F4367" s="22" t="s">
        <v>11</v>
      </c>
      <c r="G4367" s="22" t="s">
        <v>20</v>
      </c>
    </row>
    <row r="4368" ht="15.15" spans="1:7">
      <c r="A4368" s="20">
        <v>4366</v>
      </c>
      <c r="B4368" s="20">
        <v>9749</v>
      </c>
      <c r="C4368" s="21">
        <v>45225</v>
      </c>
      <c r="D4368" s="20">
        <v>3291.84</v>
      </c>
      <c r="E4368" s="22" t="s">
        <v>10</v>
      </c>
      <c r="F4368" s="22" t="s">
        <v>16</v>
      </c>
      <c r="G4368" s="22" t="s">
        <v>15</v>
      </c>
    </row>
    <row r="4369" ht="15.15" spans="1:7">
      <c r="A4369" s="20">
        <v>4367</v>
      </c>
      <c r="B4369" s="20">
        <v>6485</v>
      </c>
      <c r="C4369" s="21">
        <v>45127</v>
      </c>
      <c r="D4369" s="20">
        <v>3291.84</v>
      </c>
      <c r="E4369" s="22" t="s">
        <v>10</v>
      </c>
      <c r="F4369" s="22" t="s">
        <v>13</v>
      </c>
      <c r="G4369" s="22" t="s">
        <v>15</v>
      </c>
    </row>
    <row r="4370" ht="15.15" spans="1:7">
      <c r="A4370" s="20">
        <v>4368</v>
      </c>
      <c r="B4370" s="20">
        <v>4249</v>
      </c>
      <c r="C4370" s="21">
        <v>45117</v>
      </c>
      <c r="D4370" s="20">
        <v>3291.84</v>
      </c>
      <c r="E4370" s="22" t="s">
        <v>10</v>
      </c>
      <c r="F4370" s="22" t="s">
        <v>16</v>
      </c>
      <c r="G4370" s="22" t="s">
        <v>17</v>
      </c>
    </row>
    <row r="4371" ht="15.15" spans="1:7">
      <c r="A4371" s="20">
        <v>4369</v>
      </c>
      <c r="B4371" s="20">
        <v>9927</v>
      </c>
      <c r="C4371" s="21">
        <v>45089</v>
      </c>
      <c r="D4371" s="20">
        <v>3291.84</v>
      </c>
      <c r="E4371" s="22" t="s">
        <v>10</v>
      </c>
      <c r="F4371" s="22" t="s">
        <v>11</v>
      </c>
      <c r="G4371" s="22" t="s">
        <v>12</v>
      </c>
    </row>
    <row r="4372" ht="15.15" spans="1:7">
      <c r="A4372" s="20">
        <v>4370</v>
      </c>
      <c r="B4372" s="20">
        <v>7886</v>
      </c>
      <c r="C4372" s="21">
        <v>45287</v>
      </c>
      <c r="D4372" s="20">
        <v>3291.84</v>
      </c>
      <c r="E4372" s="22" t="s">
        <v>10</v>
      </c>
      <c r="F4372" s="22" t="s">
        <v>11</v>
      </c>
      <c r="G4372" s="22" t="s">
        <v>20</v>
      </c>
    </row>
    <row r="4373" ht="15.15" spans="1:7">
      <c r="A4373" s="20">
        <v>4371</v>
      </c>
      <c r="B4373" s="20">
        <v>5118</v>
      </c>
      <c r="C4373" s="21">
        <v>45155</v>
      </c>
      <c r="D4373" s="20">
        <v>3291.84</v>
      </c>
      <c r="E4373" s="22" t="s">
        <v>10</v>
      </c>
      <c r="F4373" s="22" t="s">
        <v>18</v>
      </c>
      <c r="G4373" s="22" t="s">
        <v>12</v>
      </c>
    </row>
    <row r="4374" ht="15.15" spans="1:7">
      <c r="A4374" s="20">
        <v>4372</v>
      </c>
      <c r="B4374" s="20">
        <v>8711</v>
      </c>
      <c r="C4374" s="21">
        <v>45225</v>
      </c>
      <c r="D4374" s="20">
        <v>3291.84</v>
      </c>
      <c r="E4374" s="22" t="s">
        <v>10</v>
      </c>
      <c r="F4374" s="22" t="s">
        <v>13</v>
      </c>
      <c r="G4374" s="22" t="s">
        <v>17</v>
      </c>
    </row>
    <row r="4375" ht="15.15" spans="1:7">
      <c r="A4375" s="20">
        <v>4373</v>
      </c>
      <c r="B4375" s="20">
        <v>7024</v>
      </c>
      <c r="C4375" s="21">
        <v>44942</v>
      </c>
      <c r="D4375" s="20">
        <v>3291.84</v>
      </c>
      <c r="E4375" s="22" t="s">
        <v>10</v>
      </c>
      <c r="F4375" s="22" t="s">
        <v>18</v>
      </c>
      <c r="G4375" s="22" t="s">
        <v>15</v>
      </c>
    </row>
    <row r="4376" ht="15.15" spans="1:7">
      <c r="A4376" s="20">
        <v>4374</v>
      </c>
      <c r="B4376" s="20">
        <v>3200</v>
      </c>
      <c r="C4376" s="21">
        <v>45218</v>
      </c>
      <c r="D4376" s="20">
        <v>3291.84</v>
      </c>
      <c r="E4376" s="22" t="s">
        <v>10</v>
      </c>
      <c r="F4376" s="22" t="s">
        <v>13</v>
      </c>
      <c r="G4376" s="22" t="s">
        <v>12</v>
      </c>
    </row>
    <row r="4377" ht="15.15" spans="1:7">
      <c r="A4377" s="20">
        <v>4375</v>
      </c>
      <c r="B4377" s="20">
        <v>9804</v>
      </c>
      <c r="C4377" s="21">
        <v>45224</v>
      </c>
      <c r="D4377" s="20">
        <v>3291.84</v>
      </c>
      <c r="E4377" s="22" t="s">
        <v>10</v>
      </c>
      <c r="F4377" s="22" t="s">
        <v>13</v>
      </c>
      <c r="G4377" s="22" t="s">
        <v>17</v>
      </c>
    </row>
    <row r="4378" ht="15.15" spans="1:7">
      <c r="A4378" s="20">
        <v>4376</v>
      </c>
      <c r="B4378" s="20">
        <v>3986</v>
      </c>
      <c r="C4378" s="21">
        <v>45131</v>
      </c>
      <c r="D4378" s="20">
        <v>3291.84</v>
      </c>
      <c r="E4378" s="22" t="s">
        <v>10</v>
      </c>
      <c r="F4378" s="22" t="s">
        <v>18</v>
      </c>
      <c r="G4378" s="22" t="s">
        <v>17</v>
      </c>
    </row>
    <row r="4379" ht="15.15" spans="1:7">
      <c r="A4379" s="20">
        <v>4377</v>
      </c>
      <c r="B4379" s="20">
        <v>7117</v>
      </c>
      <c r="C4379" s="21">
        <v>45267</v>
      </c>
      <c r="D4379" s="20">
        <v>3291.84</v>
      </c>
      <c r="E4379" s="22" t="s">
        <v>10</v>
      </c>
      <c r="F4379" s="22" t="s">
        <v>16</v>
      </c>
      <c r="G4379" s="22" t="s">
        <v>17</v>
      </c>
    </row>
    <row r="4380" ht="15.15" spans="1:7">
      <c r="A4380" s="20">
        <v>4378</v>
      </c>
      <c r="B4380" s="20">
        <v>8505</v>
      </c>
      <c r="C4380" s="21">
        <v>45039</v>
      </c>
      <c r="D4380" s="20">
        <v>3291.84</v>
      </c>
      <c r="E4380" s="22" t="s">
        <v>10</v>
      </c>
      <c r="F4380" s="22" t="s">
        <v>18</v>
      </c>
      <c r="G4380" s="22" t="s">
        <v>12</v>
      </c>
    </row>
    <row r="4381" ht="15.15" spans="1:7">
      <c r="A4381" s="20">
        <v>4379</v>
      </c>
      <c r="B4381" s="20">
        <v>4653</v>
      </c>
      <c r="C4381" s="21">
        <v>45223</v>
      </c>
      <c r="D4381" s="20">
        <v>3291.84</v>
      </c>
      <c r="E4381" s="22" t="s">
        <v>10</v>
      </c>
      <c r="F4381" s="22" t="s">
        <v>14</v>
      </c>
      <c r="G4381" s="22" t="s">
        <v>20</v>
      </c>
    </row>
    <row r="4382" ht="15.15" spans="1:7">
      <c r="A4382" s="20">
        <v>4380</v>
      </c>
      <c r="B4382" s="20">
        <v>6756</v>
      </c>
      <c r="C4382" s="21">
        <v>45135</v>
      </c>
      <c r="D4382" s="20">
        <v>3291.84</v>
      </c>
      <c r="E4382" s="22" t="s">
        <v>10</v>
      </c>
      <c r="F4382" s="22" t="s">
        <v>16</v>
      </c>
      <c r="G4382" s="22" t="s">
        <v>15</v>
      </c>
    </row>
    <row r="4383" ht="15.15" spans="1:7">
      <c r="A4383" s="20">
        <v>4381</v>
      </c>
      <c r="B4383" s="20">
        <v>9673</v>
      </c>
      <c r="C4383" s="21">
        <v>45207</v>
      </c>
      <c r="D4383" s="20">
        <v>3291.84</v>
      </c>
      <c r="E4383" s="22" t="s">
        <v>10</v>
      </c>
      <c r="F4383" s="22" t="s">
        <v>14</v>
      </c>
      <c r="G4383" s="22" t="s">
        <v>20</v>
      </c>
    </row>
    <row r="4384" ht="15.15" spans="1:7">
      <c r="A4384" s="20">
        <v>4382</v>
      </c>
      <c r="B4384" s="20">
        <v>1929</v>
      </c>
      <c r="C4384" s="21">
        <v>45055</v>
      </c>
      <c r="D4384" s="20">
        <v>3291.84</v>
      </c>
      <c r="E4384" s="22" t="s">
        <v>10</v>
      </c>
      <c r="F4384" s="22" t="s">
        <v>14</v>
      </c>
      <c r="G4384" s="22" t="s">
        <v>12</v>
      </c>
    </row>
    <row r="4385" ht="15.15" spans="1:7">
      <c r="A4385" s="20">
        <v>4383</v>
      </c>
      <c r="B4385" s="20">
        <v>9853</v>
      </c>
      <c r="C4385" s="21">
        <v>45052</v>
      </c>
      <c r="D4385" s="20">
        <v>3291.84</v>
      </c>
      <c r="E4385" s="22" t="s">
        <v>10</v>
      </c>
      <c r="F4385" s="22" t="s">
        <v>16</v>
      </c>
      <c r="G4385" s="22" t="s">
        <v>12</v>
      </c>
    </row>
    <row r="4386" ht="15.15" spans="1:7">
      <c r="A4386" s="20">
        <v>4384</v>
      </c>
      <c r="B4386" s="20">
        <v>2726</v>
      </c>
      <c r="C4386" s="21">
        <v>45206</v>
      </c>
      <c r="D4386" s="20">
        <v>3291.84</v>
      </c>
      <c r="E4386" s="22" t="s">
        <v>10</v>
      </c>
      <c r="F4386" s="22" t="s">
        <v>18</v>
      </c>
      <c r="G4386" s="22" t="s">
        <v>15</v>
      </c>
    </row>
    <row r="4387" ht="15.15" spans="1:7">
      <c r="A4387" s="20">
        <v>4385</v>
      </c>
      <c r="B4387" s="20">
        <v>8331</v>
      </c>
      <c r="C4387" s="21">
        <v>44944</v>
      </c>
      <c r="D4387" s="20">
        <v>3291.84</v>
      </c>
      <c r="E4387" s="22" t="s">
        <v>10</v>
      </c>
      <c r="F4387" s="22" t="s">
        <v>18</v>
      </c>
      <c r="G4387" s="22" t="s">
        <v>20</v>
      </c>
    </row>
    <row r="4388" ht="15.15" spans="1:7">
      <c r="A4388" s="20">
        <v>4386</v>
      </c>
      <c r="B4388" s="20">
        <v>4300</v>
      </c>
      <c r="C4388" s="21">
        <v>44963</v>
      </c>
      <c r="D4388" s="20">
        <v>3291.84</v>
      </c>
      <c r="E4388" s="22" t="s">
        <v>10</v>
      </c>
      <c r="F4388" s="22" t="s">
        <v>11</v>
      </c>
      <c r="G4388" s="22" t="s">
        <v>12</v>
      </c>
    </row>
    <row r="4389" ht="15.15" spans="1:7">
      <c r="A4389" s="20">
        <v>4387</v>
      </c>
      <c r="B4389" s="20">
        <v>7722</v>
      </c>
      <c r="C4389" s="21">
        <v>45280</v>
      </c>
      <c r="D4389" s="20">
        <v>3291.84</v>
      </c>
      <c r="E4389" s="22" t="s">
        <v>10</v>
      </c>
      <c r="F4389" s="22" t="s">
        <v>11</v>
      </c>
      <c r="G4389" s="22" t="s">
        <v>12</v>
      </c>
    </row>
    <row r="4390" ht="15.15" spans="1:7">
      <c r="A4390" s="20">
        <v>4388</v>
      </c>
      <c r="B4390" s="20">
        <v>5170</v>
      </c>
      <c r="C4390" s="21">
        <v>45086</v>
      </c>
      <c r="D4390" s="20">
        <v>3291.84</v>
      </c>
      <c r="E4390" s="22" t="s">
        <v>10</v>
      </c>
      <c r="F4390" s="22" t="s">
        <v>14</v>
      </c>
      <c r="G4390" s="22" t="s">
        <v>12</v>
      </c>
    </row>
    <row r="4391" ht="15.15" spans="1:7">
      <c r="A4391" s="20">
        <v>4389</v>
      </c>
      <c r="B4391" s="20">
        <v>2240</v>
      </c>
      <c r="C4391" s="21">
        <v>44974</v>
      </c>
      <c r="D4391" s="20">
        <v>3291.84</v>
      </c>
      <c r="E4391" s="22" t="s">
        <v>10</v>
      </c>
      <c r="F4391" s="22" t="s">
        <v>18</v>
      </c>
      <c r="G4391" s="22" t="s">
        <v>20</v>
      </c>
    </row>
    <row r="4392" ht="15.15" spans="1:7">
      <c r="A4392" s="20">
        <v>4390</v>
      </c>
      <c r="B4392" s="20">
        <v>6151</v>
      </c>
      <c r="C4392" s="21">
        <v>45266</v>
      </c>
      <c r="D4392" s="20">
        <v>3291.84</v>
      </c>
      <c r="E4392" s="22" t="s">
        <v>10</v>
      </c>
      <c r="F4392" s="22" t="s">
        <v>16</v>
      </c>
      <c r="G4392" s="22" t="s">
        <v>17</v>
      </c>
    </row>
    <row r="4393" ht="15.15" spans="1:7">
      <c r="A4393" s="20">
        <v>4391</v>
      </c>
      <c r="B4393" s="20">
        <v>6378</v>
      </c>
      <c r="C4393" s="21">
        <v>45265</v>
      </c>
      <c r="D4393" s="20">
        <v>3291.84</v>
      </c>
      <c r="E4393" s="22" t="s">
        <v>10</v>
      </c>
      <c r="F4393" s="22" t="s">
        <v>13</v>
      </c>
      <c r="G4393" s="22" t="s">
        <v>12</v>
      </c>
    </row>
    <row r="4394" ht="15.15" spans="1:7">
      <c r="A4394" s="20">
        <v>4392</v>
      </c>
      <c r="B4394" s="20">
        <v>3173</v>
      </c>
      <c r="C4394" s="21">
        <v>45183</v>
      </c>
      <c r="D4394" s="20">
        <v>3291.84</v>
      </c>
      <c r="E4394" s="22" t="s">
        <v>10</v>
      </c>
      <c r="F4394" s="22" t="s">
        <v>11</v>
      </c>
      <c r="G4394" s="22" t="s">
        <v>15</v>
      </c>
    </row>
    <row r="4395" ht="15.15" spans="1:7">
      <c r="A4395" s="20">
        <v>4393</v>
      </c>
      <c r="B4395" s="20">
        <v>9493</v>
      </c>
      <c r="C4395" s="21">
        <v>45265</v>
      </c>
      <c r="D4395" s="20">
        <v>3291.84</v>
      </c>
      <c r="E4395" s="22" t="s">
        <v>10</v>
      </c>
      <c r="F4395" s="22" t="s">
        <v>16</v>
      </c>
      <c r="G4395" s="22" t="s">
        <v>12</v>
      </c>
    </row>
    <row r="4396" ht="15.15" spans="1:7">
      <c r="A4396" s="20">
        <v>4394</v>
      </c>
      <c r="B4396" s="20">
        <v>4823</v>
      </c>
      <c r="C4396" s="21">
        <v>45077</v>
      </c>
      <c r="D4396" s="20">
        <v>3291.84</v>
      </c>
      <c r="E4396" s="22" t="s">
        <v>10</v>
      </c>
      <c r="F4396" s="22" t="s">
        <v>19</v>
      </c>
      <c r="G4396" s="22" t="s">
        <v>15</v>
      </c>
    </row>
    <row r="4397" ht="15.15" spans="1:7">
      <c r="A4397" s="20">
        <v>4395</v>
      </c>
      <c r="B4397" s="20">
        <v>8269</v>
      </c>
      <c r="C4397" s="21">
        <v>45155</v>
      </c>
      <c r="D4397" s="20">
        <v>3291.84</v>
      </c>
      <c r="E4397" s="22" t="s">
        <v>10</v>
      </c>
      <c r="F4397" s="22" t="s">
        <v>13</v>
      </c>
      <c r="G4397" s="22" t="s">
        <v>12</v>
      </c>
    </row>
    <row r="4398" ht="15.15" spans="1:7">
      <c r="A4398" s="20">
        <v>4396</v>
      </c>
      <c r="B4398" s="20">
        <v>1103</v>
      </c>
      <c r="C4398" s="21">
        <v>45152</v>
      </c>
      <c r="D4398" s="20">
        <v>3291.84</v>
      </c>
      <c r="E4398" s="22" t="s">
        <v>10</v>
      </c>
      <c r="F4398" s="22" t="s">
        <v>14</v>
      </c>
      <c r="G4398" s="22" t="s">
        <v>20</v>
      </c>
    </row>
    <row r="4399" ht="15.15" spans="1:7">
      <c r="A4399" s="20">
        <v>4397</v>
      </c>
      <c r="B4399" s="20">
        <v>6210</v>
      </c>
      <c r="C4399" s="21">
        <v>45080</v>
      </c>
      <c r="D4399" s="20">
        <v>3291.84</v>
      </c>
      <c r="E4399" s="22" t="s">
        <v>10</v>
      </c>
      <c r="F4399" s="22" t="s">
        <v>16</v>
      </c>
      <c r="G4399" s="22" t="s">
        <v>17</v>
      </c>
    </row>
    <row r="4400" ht="15.15" spans="1:7">
      <c r="A4400" s="20">
        <v>4398</v>
      </c>
      <c r="B4400" s="20">
        <v>2633</v>
      </c>
      <c r="C4400" s="21">
        <v>45233</v>
      </c>
      <c r="D4400" s="20">
        <v>3291.84</v>
      </c>
      <c r="E4400" s="22" t="s">
        <v>10</v>
      </c>
      <c r="F4400" s="22" t="s">
        <v>13</v>
      </c>
      <c r="G4400" s="22" t="s">
        <v>15</v>
      </c>
    </row>
    <row r="4401" ht="15.15" spans="1:7">
      <c r="A4401" s="20">
        <v>4399</v>
      </c>
      <c r="B4401" s="20">
        <v>510</v>
      </c>
      <c r="C4401" s="21">
        <v>45276</v>
      </c>
      <c r="D4401" s="20">
        <v>3291.84</v>
      </c>
      <c r="E4401" s="22" t="s">
        <v>10</v>
      </c>
      <c r="F4401" s="22" t="s">
        <v>18</v>
      </c>
      <c r="G4401" s="22" t="s">
        <v>17</v>
      </c>
    </row>
    <row r="4402" ht="15.15" spans="1:7">
      <c r="A4402" s="20">
        <v>4400</v>
      </c>
      <c r="B4402" s="20">
        <v>1539</v>
      </c>
      <c r="C4402" s="21">
        <v>45126</v>
      </c>
      <c r="D4402" s="20">
        <v>3291.84</v>
      </c>
      <c r="E4402" s="22" t="s">
        <v>10</v>
      </c>
      <c r="F4402" s="22" t="s">
        <v>13</v>
      </c>
      <c r="G4402" s="22" t="s">
        <v>12</v>
      </c>
    </row>
    <row r="4403" ht="15.15" spans="1:7">
      <c r="A4403" s="20">
        <v>4401</v>
      </c>
      <c r="B4403" s="20">
        <v>4161</v>
      </c>
      <c r="C4403" s="21">
        <v>45195</v>
      </c>
      <c r="D4403" s="20">
        <v>3291.84</v>
      </c>
      <c r="E4403" s="22" t="s">
        <v>10</v>
      </c>
      <c r="F4403" s="22" t="s">
        <v>13</v>
      </c>
      <c r="G4403" s="22" t="s">
        <v>15</v>
      </c>
    </row>
    <row r="4404" ht="15.15" spans="1:7">
      <c r="A4404" s="20">
        <v>4402</v>
      </c>
      <c r="B4404" s="20">
        <v>2661</v>
      </c>
      <c r="C4404" s="21">
        <v>44980</v>
      </c>
      <c r="D4404" s="20">
        <v>3291.84</v>
      </c>
      <c r="E4404" s="22" t="s">
        <v>10</v>
      </c>
      <c r="F4404" s="22" t="s">
        <v>16</v>
      </c>
      <c r="G4404" s="22" t="s">
        <v>15</v>
      </c>
    </row>
    <row r="4405" ht="15.15" spans="1:7">
      <c r="A4405" s="20">
        <v>4403</v>
      </c>
      <c r="B4405" s="20">
        <v>3927</v>
      </c>
      <c r="C4405" s="21">
        <v>45037</v>
      </c>
      <c r="D4405" s="20">
        <v>3291.84</v>
      </c>
      <c r="E4405" s="22" t="s">
        <v>10</v>
      </c>
      <c r="F4405" s="22" t="s">
        <v>18</v>
      </c>
      <c r="G4405" s="22" t="s">
        <v>12</v>
      </c>
    </row>
    <row r="4406" ht="15.15" spans="1:7">
      <c r="A4406" s="20">
        <v>4404</v>
      </c>
      <c r="B4406" s="20">
        <v>5936</v>
      </c>
      <c r="C4406" s="21">
        <v>45291</v>
      </c>
      <c r="D4406" s="20">
        <v>3291.84</v>
      </c>
      <c r="E4406" s="22" t="s">
        <v>10</v>
      </c>
      <c r="F4406" s="22" t="s">
        <v>18</v>
      </c>
      <c r="G4406" s="22" t="s">
        <v>15</v>
      </c>
    </row>
    <row r="4407" ht="15.15" spans="1:7">
      <c r="A4407" s="20">
        <v>4405</v>
      </c>
      <c r="B4407" s="20">
        <v>2122</v>
      </c>
      <c r="C4407" s="21">
        <v>45211</v>
      </c>
      <c r="D4407" s="20">
        <v>3291.84</v>
      </c>
      <c r="E4407" s="22" t="s">
        <v>10</v>
      </c>
      <c r="F4407" s="22" t="s">
        <v>16</v>
      </c>
      <c r="G4407" s="22" t="s">
        <v>12</v>
      </c>
    </row>
    <row r="4408" ht="15.15" spans="1:7">
      <c r="A4408" s="20">
        <v>4406</v>
      </c>
      <c r="B4408" s="20">
        <v>2782</v>
      </c>
      <c r="C4408" s="21">
        <v>45205</v>
      </c>
      <c r="D4408" s="20">
        <v>3291.84</v>
      </c>
      <c r="E4408" s="22" t="s">
        <v>10</v>
      </c>
      <c r="F4408" s="22" t="s">
        <v>16</v>
      </c>
      <c r="G4408" s="22" t="s">
        <v>20</v>
      </c>
    </row>
    <row r="4409" ht="15.15" spans="1:7">
      <c r="A4409" s="20">
        <v>4407</v>
      </c>
      <c r="B4409" s="20">
        <v>1059</v>
      </c>
      <c r="C4409" s="21">
        <v>45266</v>
      </c>
      <c r="D4409" s="20">
        <v>3291.84</v>
      </c>
      <c r="E4409" s="22" t="s">
        <v>10</v>
      </c>
      <c r="F4409" s="22" t="s">
        <v>18</v>
      </c>
      <c r="G4409" s="22" t="s">
        <v>15</v>
      </c>
    </row>
    <row r="4410" ht="15.15" spans="1:7">
      <c r="A4410" s="20">
        <v>4408</v>
      </c>
      <c r="B4410" s="20">
        <v>5442</v>
      </c>
      <c r="C4410" s="21">
        <v>44972</v>
      </c>
      <c r="D4410" s="20">
        <v>3291.84</v>
      </c>
      <c r="E4410" s="22" t="s">
        <v>10</v>
      </c>
      <c r="F4410" s="22" t="s">
        <v>14</v>
      </c>
      <c r="G4410" s="22" t="s">
        <v>20</v>
      </c>
    </row>
    <row r="4411" ht="15.15" spans="1:7">
      <c r="A4411" s="20">
        <v>4409</v>
      </c>
      <c r="B4411" s="20">
        <v>5832</v>
      </c>
      <c r="C4411" s="21">
        <v>45163</v>
      </c>
      <c r="D4411" s="20">
        <v>3291.84</v>
      </c>
      <c r="E4411" s="22" t="s">
        <v>10</v>
      </c>
      <c r="F4411" s="22" t="s">
        <v>16</v>
      </c>
      <c r="G4411" s="22" t="s">
        <v>20</v>
      </c>
    </row>
    <row r="4412" ht="15.15" spans="1:7">
      <c r="A4412" s="20">
        <v>4410</v>
      </c>
      <c r="B4412" s="20">
        <v>1321</v>
      </c>
      <c r="C4412" s="21">
        <v>45047</v>
      </c>
      <c r="D4412" s="20">
        <v>3291.84</v>
      </c>
      <c r="E4412" s="22" t="s">
        <v>10</v>
      </c>
      <c r="F4412" s="22" t="s">
        <v>14</v>
      </c>
      <c r="G4412" s="22" t="s">
        <v>17</v>
      </c>
    </row>
    <row r="4413" ht="15.15" spans="1:7">
      <c r="A4413" s="20">
        <v>4411</v>
      </c>
      <c r="B4413" s="20">
        <v>9933</v>
      </c>
      <c r="C4413" s="21">
        <v>45273</v>
      </c>
      <c r="D4413" s="20">
        <v>3291.84</v>
      </c>
      <c r="E4413" s="22" t="s">
        <v>10</v>
      </c>
      <c r="F4413" s="22" t="s">
        <v>11</v>
      </c>
      <c r="G4413" s="22" t="s">
        <v>20</v>
      </c>
    </row>
    <row r="4414" ht="15.15" spans="1:7">
      <c r="A4414" s="20">
        <v>4412</v>
      </c>
      <c r="B4414" s="20">
        <v>8438</v>
      </c>
      <c r="C4414" s="21">
        <v>45054</v>
      </c>
      <c r="D4414" s="20">
        <v>3291.84</v>
      </c>
      <c r="E4414" s="22" t="s">
        <v>10</v>
      </c>
      <c r="F4414" s="22" t="s">
        <v>13</v>
      </c>
      <c r="G4414" s="22" t="s">
        <v>17</v>
      </c>
    </row>
    <row r="4415" ht="15.15" spans="1:7">
      <c r="A4415" s="20">
        <v>4413</v>
      </c>
      <c r="B4415" s="20">
        <v>8804</v>
      </c>
      <c r="C4415" s="21">
        <v>45042</v>
      </c>
      <c r="D4415" s="20">
        <v>3291.84</v>
      </c>
      <c r="E4415" s="22" t="s">
        <v>10</v>
      </c>
      <c r="F4415" s="22" t="s">
        <v>18</v>
      </c>
      <c r="G4415" s="22" t="s">
        <v>15</v>
      </c>
    </row>
    <row r="4416" ht="15.15" spans="1:7">
      <c r="A4416" s="20">
        <v>4414</v>
      </c>
      <c r="B4416" s="20">
        <v>962</v>
      </c>
      <c r="C4416" s="21">
        <v>45285</v>
      </c>
      <c r="D4416" s="20">
        <v>3291.84</v>
      </c>
      <c r="E4416" s="22" t="s">
        <v>10</v>
      </c>
      <c r="F4416" s="22" t="s">
        <v>18</v>
      </c>
      <c r="G4416" s="22" t="s">
        <v>17</v>
      </c>
    </row>
    <row r="4417" ht="15.15" spans="1:7">
      <c r="A4417" s="20">
        <v>4415</v>
      </c>
      <c r="B4417" s="20">
        <v>5956</v>
      </c>
      <c r="C4417" s="21">
        <v>45012</v>
      </c>
      <c r="D4417" s="20">
        <v>3291.84</v>
      </c>
      <c r="E4417" s="22" t="s">
        <v>10</v>
      </c>
      <c r="F4417" s="22" t="s">
        <v>18</v>
      </c>
      <c r="G4417" s="22" t="s">
        <v>17</v>
      </c>
    </row>
    <row r="4418" ht="15.15" spans="1:7">
      <c r="A4418" s="20">
        <v>4416</v>
      </c>
      <c r="B4418" s="20">
        <v>858</v>
      </c>
      <c r="C4418" s="21">
        <v>45024</v>
      </c>
      <c r="D4418" s="20">
        <v>3291.84</v>
      </c>
      <c r="E4418" s="22" t="s">
        <v>10</v>
      </c>
      <c r="F4418" s="22" t="s">
        <v>18</v>
      </c>
      <c r="G4418" s="22" t="s">
        <v>20</v>
      </c>
    </row>
    <row r="4419" ht="15.15" spans="1:7">
      <c r="A4419" s="20">
        <v>4417</v>
      </c>
      <c r="B4419" s="20">
        <v>1011</v>
      </c>
      <c r="C4419" s="21">
        <v>45039</v>
      </c>
      <c r="D4419" s="20">
        <v>3291.84</v>
      </c>
      <c r="E4419" s="22" t="s">
        <v>10</v>
      </c>
      <c r="F4419" s="22" t="s">
        <v>16</v>
      </c>
      <c r="G4419" s="22" t="s">
        <v>12</v>
      </c>
    </row>
    <row r="4420" ht="15.15" spans="1:7">
      <c r="A4420" s="20">
        <v>4418</v>
      </c>
      <c r="B4420" s="20">
        <v>2278</v>
      </c>
      <c r="C4420" s="21">
        <v>45125</v>
      </c>
      <c r="D4420" s="20">
        <v>3291.84</v>
      </c>
      <c r="E4420" s="22" t="s">
        <v>10</v>
      </c>
      <c r="F4420" s="22" t="s">
        <v>16</v>
      </c>
      <c r="G4420" s="22" t="s">
        <v>17</v>
      </c>
    </row>
    <row r="4421" ht="15.15" spans="1:7">
      <c r="A4421" s="20">
        <v>4419</v>
      </c>
      <c r="B4421" s="20">
        <v>8656</v>
      </c>
      <c r="C4421" s="21">
        <v>45148</v>
      </c>
      <c r="D4421" s="20">
        <v>3291.84</v>
      </c>
      <c r="E4421" s="22" t="s">
        <v>10</v>
      </c>
      <c r="F4421" s="22" t="s">
        <v>11</v>
      </c>
      <c r="G4421" s="22" t="s">
        <v>20</v>
      </c>
    </row>
    <row r="4422" ht="15.15" spans="1:7">
      <c r="A4422" s="20">
        <v>4420</v>
      </c>
      <c r="B4422" s="20">
        <v>9796</v>
      </c>
      <c r="C4422" s="21">
        <v>44936</v>
      </c>
      <c r="D4422" s="20">
        <v>3291.84</v>
      </c>
      <c r="E4422" s="22" t="s">
        <v>10</v>
      </c>
      <c r="F4422" s="22" t="s">
        <v>18</v>
      </c>
      <c r="G4422" s="22" t="s">
        <v>17</v>
      </c>
    </row>
    <row r="4423" ht="15.15" spans="1:7">
      <c r="A4423" s="20">
        <v>4421</v>
      </c>
      <c r="B4423" s="20">
        <v>7279</v>
      </c>
      <c r="C4423" s="21">
        <v>45265</v>
      </c>
      <c r="D4423" s="20">
        <v>3291.84</v>
      </c>
      <c r="E4423" s="22" t="s">
        <v>10</v>
      </c>
      <c r="F4423" s="22" t="s">
        <v>18</v>
      </c>
      <c r="G4423" s="22" t="s">
        <v>15</v>
      </c>
    </row>
    <row r="4424" ht="15.15" spans="1:7">
      <c r="A4424" s="20">
        <v>4422</v>
      </c>
      <c r="B4424" s="20">
        <v>4450</v>
      </c>
      <c r="C4424" s="21">
        <v>45224</v>
      </c>
      <c r="D4424" s="20">
        <v>3291.84</v>
      </c>
      <c r="E4424" s="22" t="s">
        <v>10</v>
      </c>
      <c r="F4424" s="22" t="s">
        <v>16</v>
      </c>
      <c r="G4424" s="22" t="s">
        <v>12</v>
      </c>
    </row>
    <row r="4425" ht="15.15" spans="1:7">
      <c r="A4425" s="20">
        <v>4423</v>
      </c>
      <c r="B4425" s="20">
        <v>2934</v>
      </c>
      <c r="C4425" s="21">
        <v>45119</v>
      </c>
      <c r="D4425" s="20">
        <v>3291.84</v>
      </c>
      <c r="E4425" s="22" t="s">
        <v>10</v>
      </c>
      <c r="F4425" s="22" t="s">
        <v>16</v>
      </c>
      <c r="G4425" s="22" t="s">
        <v>20</v>
      </c>
    </row>
    <row r="4426" ht="15.15" spans="1:7">
      <c r="A4426" s="20">
        <v>4424</v>
      </c>
      <c r="B4426" s="20">
        <v>9885</v>
      </c>
      <c r="C4426" s="21">
        <v>45223</v>
      </c>
      <c r="D4426" s="20">
        <v>3291.84</v>
      </c>
      <c r="E4426" s="22" t="s">
        <v>10</v>
      </c>
      <c r="F4426" s="22" t="s">
        <v>18</v>
      </c>
      <c r="G4426" s="22" t="s">
        <v>20</v>
      </c>
    </row>
    <row r="4427" ht="15.15" spans="1:7">
      <c r="A4427" s="20">
        <v>4425</v>
      </c>
      <c r="B4427" s="20">
        <v>8878</v>
      </c>
      <c r="C4427" s="21">
        <v>45066</v>
      </c>
      <c r="D4427" s="20">
        <v>3291.84</v>
      </c>
      <c r="E4427" s="22" t="s">
        <v>10</v>
      </c>
      <c r="F4427" s="22" t="s">
        <v>18</v>
      </c>
      <c r="G4427" s="22" t="s">
        <v>20</v>
      </c>
    </row>
    <row r="4428" ht="15.15" spans="1:7">
      <c r="A4428" s="20">
        <v>4426</v>
      </c>
      <c r="B4428" s="20">
        <v>6843</v>
      </c>
      <c r="C4428" s="21">
        <v>45234</v>
      </c>
      <c r="D4428" s="20">
        <v>3291.84</v>
      </c>
      <c r="E4428" s="22" t="s">
        <v>10</v>
      </c>
      <c r="F4428" s="22" t="s">
        <v>13</v>
      </c>
      <c r="G4428" s="22" t="s">
        <v>15</v>
      </c>
    </row>
    <row r="4429" ht="15.15" spans="1:7">
      <c r="A4429" s="20">
        <v>4427</v>
      </c>
      <c r="B4429" s="20">
        <v>3327</v>
      </c>
      <c r="C4429" s="21">
        <v>45092</v>
      </c>
      <c r="D4429" s="20">
        <v>3291.84</v>
      </c>
      <c r="E4429" s="22" t="s">
        <v>10</v>
      </c>
      <c r="F4429" s="22" t="s">
        <v>16</v>
      </c>
      <c r="G4429" s="22" t="s">
        <v>15</v>
      </c>
    </row>
    <row r="4430" ht="15.15" spans="1:7">
      <c r="A4430" s="20">
        <v>4428</v>
      </c>
      <c r="B4430" s="20">
        <v>4291</v>
      </c>
      <c r="C4430" s="21">
        <v>45116</v>
      </c>
      <c r="D4430" s="20">
        <v>3291.84</v>
      </c>
      <c r="E4430" s="22" t="s">
        <v>10</v>
      </c>
      <c r="F4430" s="22" t="s">
        <v>11</v>
      </c>
      <c r="G4430" s="22" t="s">
        <v>17</v>
      </c>
    </row>
    <row r="4431" ht="15.15" spans="1:7">
      <c r="A4431" s="20">
        <v>4429</v>
      </c>
      <c r="B4431" s="20">
        <v>7977</v>
      </c>
      <c r="C4431" s="21">
        <v>45224</v>
      </c>
      <c r="D4431" s="20">
        <v>3291.84</v>
      </c>
      <c r="E4431" s="22" t="s">
        <v>10</v>
      </c>
      <c r="F4431" s="22" t="s">
        <v>14</v>
      </c>
      <c r="G4431" s="22" t="s">
        <v>15</v>
      </c>
    </row>
    <row r="4432" ht="15.15" spans="1:7">
      <c r="A4432" s="20">
        <v>4430</v>
      </c>
      <c r="B4432" s="20">
        <v>7686</v>
      </c>
      <c r="C4432" s="21">
        <v>44994</v>
      </c>
      <c r="D4432" s="20">
        <v>3291.84</v>
      </c>
      <c r="E4432" s="22" t="s">
        <v>10</v>
      </c>
      <c r="F4432" s="22" t="s">
        <v>18</v>
      </c>
      <c r="G4432" s="22" t="s">
        <v>17</v>
      </c>
    </row>
    <row r="4433" ht="15.15" spans="1:7">
      <c r="A4433" s="20">
        <v>4431</v>
      </c>
      <c r="B4433" s="20">
        <v>5358</v>
      </c>
      <c r="C4433" s="21">
        <v>45208</v>
      </c>
      <c r="D4433" s="20">
        <v>3291.84</v>
      </c>
      <c r="E4433" s="22" t="s">
        <v>10</v>
      </c>
      <c r="F4433" s="22" t="s">
        <v>11</v>
      </c>
      <c r="G4433" s="22" t="s">
        <v>17</v>
      </c>
    </row>
    <row r="4434" ht="15.15" spans="1:7">
      <c r="A4434" s="20">
        <v>4432</v>
      </c>
      <c r="B4434" s="20">
        <v>4816</v>
      </c>
      <c r="C4434" s="21">
        <v>45107</v>
      </c>
      <c r="D4434" s="20">
        <v>3291.84</v>
      </c>
      <c r="E4434" s="22" t="s">
        <v>10</v>
      </c>
      <c r="F4434" s="22" t="s">
        <v>11</v>
      </c>
      <c r="G4434" s="22" t="s">
        <v>15</v>
      </c>
    </row>
    <row r="4435" ht="15.15" spans="1:7">
      <c r="A4435" s="20">
        <v>4433</v>
      </c>
      <c r="B4435" s="20">
        <v>7504</v>
      </c>
      <c r="C4435" s="21">
        <v>45101</v>
      </c>
      <c r="D4435" s="20">
        <v>3291.84</v>
      </c>
      <c r="E4435" s="22" t="s">
        <v>10</v>
      </c>
      <c r="F4435" s="22" t="s">
        <v>16</v>
      </c>
      <c r="G4435" s="22" t="s">
        <v>12</v>
      </c>
    </row>
    <row r="4436" ht="15.15" spans="1:7">
      <c r="A4436" s="20">
        <v>4434</v>
      </c>
      <c r="B4436" s="20">
        <v>8327</v>
      </c>
      <c r="C4436" s="21">
        <v>44998</v>
      </c>
      <c r="D4436" s="20">
        <v>3291.84</v>
      </c>
      <c r="E4436" s="22" t="s">
        <v>10</v>
      </c>
      <c r="F4436" s="22" t="s">
        <v>14</v>
      </c>
      <c r="G4436" s="22" t="s">
        <v>12</v>
      </c>
    </row>
    <row r="4437" ht="15.15" spans="1:7">
      <c r="A4437" s="20">
        <v>4435</v>
      </c>
      <c r="B4437" s="20">
        <v>5712</v>
      </c>
      <c r="C4437" s="21">
        <v>45265</v>
      </c>
      <c r="D4437" s="20">
        <v>3291.84</v>
      </c>
      <c r="E4437" s="22" t="s">
        <v>10</v>
      </c>
      <c r="F4437" s="22" t="s">
        <v>13</v>
      </c>
      <c r="G4437" s="22" t="s">
        <v>12</v>
      </c>
    </row>
    <row r="4438" ht="15.15" spans="1:7">
      <c r="A4438" s="20">
        <v>4436</v>
      </c>
      <c r="B4438" s="20">
        <v>2288</v>
      </c>
      <c r="C4438" s="21">
        <v>45016</v>
      </c>
      <c r="D4438" s="20">
        <v>3291.84</v>
      </c>
      <c r="E4438" s="22" t="s">
        <v>10</v>
      </c>
      <c r="F4438" s="22" t="s">
        <v>14</v>
      </c>
      <c r="G4438" s="22" t="s">
        <v>12</v>
      </c>
    </row>
    <row r="4439" ht="15.15" spans="1:7">
      <c r="A4439" s="20">
        <v>4437</v>
      </c>
      <c r="B4439" s="20">
        <v>326</v>
      </c>
      <c r="C4439" s="21">
        <v>45143</v>
      </c>
      <c r="D4439" s="20">
        <v>3291.84</v>
      </c>
      <c r="E4439" s="22" t="s">
        <v>10</v>
      </c>
      <c r="F4439" s="22" t="s">
        <v>11</v>
      </c>
      <c r="G4439" s="22" t="s">
        <v>20</v>
      </c>
    </row>
    <row r="4440" ht="15.15" spans="1:7">
      <c r="A4440" s="20">
        <v>4438</v>
      </c>
      <c r="B4440" s="20">
        <v>3899</v>
      </c>
      <c r="C4440" s="21">
        <v>45176</v>
      </c>
      <c r="D4440" s="20">
        <v>3291.84</v>
      </c>
      <c r="E4440" s="22" t="s">
        <v>10</v>
      </c>
      <c r="F4440" s="22" t="s">
        <v>16</v>
      </c>
      <c r="G4440" s="22" t="s">
        <v>15</v>
      </c>
    </row>
    <row r="4441" ht="15.15" spans="1:7">
      <c r="A4441" s="20">
        <v>4439</v>
      </c>
      <c r="B4441" s="20">
        <v>4589</v>
      </c>
      <c r="C4441" s="21">
        <v>45243</v>
      </c>
      <c r="D4441" s="20">
        <v>3291.84</v>
      </c>
      <c r="E4441" s="22" t="s">
        <v>10</v>
      </c>
      <c r="F4441" s="22" t="s">
        <v>14</v>
      </c>
      <c r="G4441" s="22" t="s">
        <v>20</v>
      </c>
    </row>
    <row r="4442" ht="15.15" spans="1:7">
      <c r="A4442" s="20">
        <v>4440</v>
      </c>
      <c r="B4442" s="20">
        <v>6062</v>
      </c>
      <c r="C4442" s="21">
        <v>45249</v>
      </c>
      <c r="D4442" s="20">
        <v>3291.84</v>
      </c>
      <c r="E4442" s="22" t="s">
        <v>10</v>
      </c>
      <c r="F4442" s="22" t="s">
        <v>16</v>
      </c>
      <c r="G4442" s="22" t="s">
        <v>17</v>
      </c>
    </row>
    <row r="4443" ht="15.15" spans="1:7">
      <c r="A4443" s="20">
        <v>4441</v>
      </c>
      <c r="B4443" s="20">
        <v>7348</v>
      </c>
      <c r="C4443" s="21">
        <v>45120</v>
      </c>
      <c r="D4443" s="20">
        <v>3291.84</v>
      </c>
      <c r="E4443" s="22" t="s">
        <v>10</v>
      </c>
      <c r="F4443" s="22" t="s">
        <v>13</v>
      </c>
      <c r="G4443" s="22" t="s">
        <v>17</v>
      </c>
    </row>
    <row r="4444" ht="15.15" spans="1:7">
      <c r="A4444" s="20">
        <v>4442</v>
      </c>
      <c r="B4444" s="20">
        <v>7336</v>
      </c>
      <c r="C4444" s="21">
        <v>45170</v>
      </c>
      <c r="D4444" s="20">
        <v>3291.84</v>
      </c>
      <c r="E4444" s="22" t="s">
        <v>10</v>
      </c>
      <c r="F4444" s="22" t="s">
        <v>11</v>
      </c>
      <c r="G4444" s="22" t="s">
        <v>20</v>
      </c>
    </row>
    <row r="4445" ht="15.15" spans="1:7">
      <c r="A4445" s="20">
        <v>4443</v>
      </c>
      <c r="B4445" s="20">
        <v>1776</v>
      </c>
      <c r="C4445" s="21">
        <v>45238</v>
      </c>
      <c r="D4445" s="20">
        <v>3291.84</v>
      </c>
      <c r="E4445" s="22" t="s">
        <v>10</v>
      </c>
      <c r="F4445" s="22" t="s">
        <v>14</v>
      </c>
      <c r="G4445" s="22" t="s">
        <v>15</v>
      </c>
    </row>
    <row r="4446" ht="15.15" spans="1:7">
      <c r="A4446" s="20">
        <v>4444</v>
      </c>
      <c r="B4446" s="20">
        <v>2772</v>
      </c>
      <c r="C4446" s="21">
        <v>45085</v>
      </c>
      <c r="D4446" s="20">
        <v>3291.84</v>
      </c>
      <c r="E4446" s="22" t="s">
        <v>10</v>
      </c>
      <c r="F4446" s="22" t="s">
        <v>18</v>
      </c>
      <c r="G4446" s="22" t="s">
        <v>15</v>
      </c>
    </row>
    <row r="4447" ht="15.15" spans="1:7">
      <c r="A4447" s="20">
        <v>4445</v>
      </c>
      <c r="B4447" s="20">
        <v>3802</v>
      </c>
      <c r="C4447" s="21">
        <v>44984</v>
      </c>
      <c r="D4447" s="20">
        <v>3291.84</v>
      </c>
      <c r="E4447" s="22" t="s">
        <v>10</v>
      </c>
      <c r="F4447" s="22" t="s">
        <v>13</v>
      </c>
      <c r="G4447" s="22" t="s">
        <v>15</v>
      </c>
    </row>
    <row r="4448" ht="15.15" spans="1:7">
      <c r="A4448" s="20">
        <v>4446</v>
      </c>
      <c r="B4448" s="20">
        <v>7948</v>
      </c>
      <c r="C4448" s="21">
        <v>45008</v>
      </c>
      <c r="D4448" s="20">
        <v>3291.84</v>
      </c>
      <c r="E4448" s="22" t="s">
        <v>10</v>
      </c>
      <c r="F4448" s="22" t="s">
        <v>16</v>
      </c>
      <c r="G4448" s="22" t="s">
        <v>17</v>
      </c>
    </row>
    <row r="4449" ht="15.15" spans="1:7">
      <c r="A4449" s="20">
        <v>4447</v>
      </c>
      <c r="B4449" s="20">
        <v>7511</v>
      </c>
      <c r="C4449" s="21">
        <v>45199</v>
      </c>
      <c r="D4449" s="20">
        <v>3291.84</v>
      </c>
      <c r="E4449" s="22" t="s">
        <v>10</v>
      </c>
      <c r="F4449" s="22" t="s">
        <v>18</v>
      </c>
      <c r="G4449" s="22" t="s">
        <v>17</v>
      </c>
    </row>
    <row r="4450" ht="15.15" spans="1:7">
      <c r="A4450" s="20">
        <v>4448</v>
      </c>
      <c r="B4450" s="20">
        <v>5259</v>
      </c>
      <c r="C4450" s="21">
        <v>45236</v>
      </c>
      <c r="D4450" s="20">
        <v>3291.84</v>
      </c>
      <c r="E4450" s="22" t="s">
        <v>10</v>
      </c>
      <c r="F4450" s="22" t="s">
        <v>16</v>
      </c>
      <c r="G4450" s="22" t="s">
        <v>15</v>
      </c>
    </row>
    <row r="4451" ht="15.15" spans="1:7">
      <c r="A4451" s="20">
        <v>4449</v>
      </c>
      <c r="B4451" s="20">
        <v>9933</v>
      </c>
      <c r="C4451" s="21">
        <v>45070</v>
      </c>
      <c r="D4451" s="20">
        <v>3291.84</v>
      </c>
      <c r="E4451" s="22" t="s">
        <v>10</v>
      </c>
      <c r="F4451" s="22" t="s">
        <v>11</v>
      </c>
      <c r="G4451" s="22" t="s">
        <v>15</v>
      </c>
    </row>
    <row r="4452" ht="15.15" spans="1:7">
      <c r="A4452" s="20">
        <v>4450</v>
      </c>
      <c r="B4452" s="20">
        <v>9258</v>
      </c>
      <c r="C4452" s="21">
        <v>45043</v>
      </c>
      <c r="D4452" s="20">
        <v>3291.84</v>
      </c>
      <c r="E4452" s="22" t="s">
        <v>10</v>
      </c>
      <c r="F4452" s="22" t="s">
        <v>16</v>
      </c>
      <c r="G4452" s="22" t="s">
        <v>17</v>
      </c>
    </row>
    <row r="4453" ht="15.15" spans="1:7">
      <c r="A4453" s="20">
        <v>4451</v>
      </c>
      <c r="B4453" s="20">
        <v>4466</v>
      </c>
      <c r="C4453" s="21">
        <v>45060</v>
      </c>
      <c r="D4453" s="20">
        <v>3291.84</v>
      </c>
      <c r="E4453" s="22" t="s">
        <v>10</v>
      </c>
      <c r="F4453" s="22" t="s">
        <v>13</v>
      </c>
      <c r="G4453" s="22" t="s">
        <v>15</v>
      </c>
    </row>
    <row r="4454" ht="15.15" spans="1:7">
      <c r="A4454" s="20">
        <v>4452</v>
      </c>
      <c r="B4454" s="20">
        <v>6856</v>
      </c>
      <c r="C4454" s="21">
        <v>45112</v>
      </c>
      <c r="D4454" s="20">
        <v>3291.84</v>
      </c>
      <c r="E4454" s="22" t="s">
        <v>10</v>
      </c>
      <c r="F4454" s="22" t="s">
        <v>14</v>
      </c>
      <c r="G4454" s="22" t="s">
        <v>15</v>
      </c>
    </row>
    <row r="4455" ht="15.15" spans="1:7">
      <c r="A4455" s="20">
        <v>4453</v>
      </c>
      <c r="B4455" s="20">
        <v>523</v>
      </c>
      <c r="C4455" s="21">
        <v>45092</v>
      </c>
      <c r="D4455" s="20">
        <v>3291.84</v>
      </c>
      <c r="E4455" s="22" t="s">
        <v>10</v>
      </c>
      <c r="F4455" s="22" t="s">
        <v>16</v>
      </c>
      <c r="G4455" s="22" t="s">
        <v>17</v>
      </c>
    </row>
    <row r="4456" ht="15.15" spans="1:7">
      <c r="A4456" s="20">
        <v>4454</v>
      </c>
      <c r="B4456" s="20">
        <v>9946</v>
      </c>
      <c r="C4456" s="21">
        <v>45205</v>
      </c>
      <c r="D4456" s="20">
        <v>3291.84</v>
      </c>
      <c r="E4456" s="22" t="s">
        <v>10</v>
      </c>
      <c r="F4456" s="22" t="s">
        <v>18</v>
      </c>
      <c r="G4456" s="22" t="s">
        <v>20</v>
      </c>
    </row>
    <row r="4457" ht="15.15" spans="1:7">
      <c r="A4457" s="20">
        <v>4455</v>
      </c>
      <c r="B4457" s="20">
        <v>1079</v>
      </c>
      <c r="C4457" s="21">
        <v>44960</v>
      </c>
      <c r="D4457" s="20">
        <v>3291.84</v>
      </c>
      <c r="E4457" s="22" t="s">
        <v>10</v>
      </c>
      <c r="F4457" s="22" t="s">
        <v>18</v>
      </c>
      <c r="G4457" s="22" t="s">
        <v>12</v>
      </c>
    </row>
    <row r="4458" ht="15.15" spans="1:7">
      <c r="A4458" s="20">
        <v>4456</v>
      </c>
      <c r="B4458" s="20">
        <v>1433</v>
      </c>
      <c r="C4458" s="21">
        <v>45086</v>
      </c>
      <c r="D4458" s="20">
        <v>3291.84</v>
      </c>
      <c r="E4458" s="22" t="s">
        <v>10</v>
      </c>
      <c r="F4458" s="22" t="s">
        <v>11</v>
      </c>
      <c r="G4458" s="22" t="s">
        <v>12</v>
      </c>
    </row>
    <row r="4459" ht="15.15" spans="1:7">
      <c r="A4459" s="20">
        <v>4457</v>
      </c>
      <c r="B4459" s="20">
        <v>8207</v>
      </c>
      <c r="C4459" s="21">
        <v>45035</v>
      </c>
      <c r="D4459" s="20">
        <v>3291.84</v>
      </c>
      <c r="E4459" s="22" t="s">
        <v>10</v>
      </c>
      <c r="F4459" s="22" t="s">
        <v>16</v>
      </c>
      <c r="G4459" s="22" t="s">
        <v>15</v>
      </c>
    </row>
    <row r="4460" ht="15.15" spans="1:7">
      <c r="A4460" s="20">
        <v>4458</v>
      </c>
      <c r="B4460" s="20">
        <v>6341</v>
      </c>
      <c r="C4460" s="21">
        <v>45231</v>
      </c>
      <c r="D4460" s="20">
        <v>3291.84</v>
      </c>
      <c r="E4460" s="22" t="s">
        <v>10</v>
      </c>
      <c r="F4460" s="22" t="s">
        <v>14</v>
      </c>
      <c r="G4460" s="22" t="s">
        <v>20</v>
      </c>
    </row>
    <row r="4461" ht="15.15" spans="1:7">
      <c r="A4461" s="20">
        <v>4459</v>
      </c>
      <c r="B4461" s="20">
        <v>3193</v>
      </c>
      <c r="C4461" s="21">
        <v>45148</v>
      </c>
      <c r="D4461" s="20">
        <v>3291.84</v>
      </c>
      <c r="E4461" s="22" t="s">
        <v>10</v>
      </c>
      <c r="F4461" s="22" t="s">
        <v>14</v>
      </c>
      <c r="G4461" s="22" t="s">
        <v>17</v>
      </c>
    </row>
    <row r="4462" ht="15.15" spans="1:7">
      <c r="A4462" s="20">
        <v>4460</v>
      </c>
      <c r="B4462" s="20">
        <v>5220</v>
      </c>
      <c r="C4462" s="21">
        <v>45099</v>
      </c>
      <c r="D4462" s="20">
        <v>3291.84</v>
      </c>
      <c r="E4462" s="22" t="s">
        <v>10</v>
      </c>
      <c r="F4462" s="22" t="s">
        <v>16</v>
      </c>
      <c r="G4462" s="22" t="s">
        <v>15</v>
      </c>
    </row>
    <row r="4463" ht="15.15" spans="1:7">
      <c r="A4463" s="20">
        <v>4461</v>
      </c>
      <c r="B4463" s="20">
        <v>1515</v>
      </c>
      <c r="C4463" s="21">
        <v>45291</v>
      </c>
      <c r="D4463" s="20">
        <v>3291.84</v>
      </c>
      <c r="E4463" s="22" t="s">
        <v>10</v>
      </c>
      <c r="F4463" s="22" t="s">
        <v>14</v>
      </c>
      <c r="G4463" s="22" t="s">
        <v>12</v>
      </c>
    </row>
    <row r="4464" ht="15.15" spans="1:7">
      <c r="A4464" s="20">
        <v>4462</v>
      </c>
      <c r="B4464" s="20">
        <v>2038</v>
      </c>
      <c r="C4464" s="21">
        <v>44929</v>
      </c>
      <c r="D4464" s="20">
        <v>3291.84</v>
      </c>
      <c r="E4464" s="22" t="s">
        <v>10</v>
      </c>
      <c r="F4464" s="22" t="s">
        <v>18</v>
      </c>
      <c r="G4464" s="22" t="s">
        <v>12</v>
      </c>
    </row>
    <row r="4465" ht="15.15" spans="1:7">
      <c r="A4465" s="20">
        <v>4463</v>
      </c>
      <c r="B4465" s="20">
        <v>2049</v>
      </c>
      <c r="C4465" s="21">
        <v>44939</v>
      </c>
      <c r="D4465" s="20">
        <v>3291.84</v>
      </c>
      <c r="E4465" s="22" t="s">
        <v>10</v>
      </c>
      <c r="F4465" s="22" t="s">
        <v>18</v>
      </c>
      <c r="G4465" s="22" t="s">
        <v>15</v>
      </c>
    </row>
    <row r="4466" ht="15.15" spans="1:7">
      <c r="A4466" s="20">
        <v>4464</v>
      </c>
      <c r="B4466" s="20">
        <v>9392</v>
      </c>
      <c r="C4466" s="21">
        <v>45106</v>
      </c>
      <c r="D4466" s="20">
        <v>3291.84</v>
      </c>
      <c r="E4466" s="22" t="s">
        <v>10</v>
      </c>
      <c r="F4466" s="22" t="s">
        <v>13</v>
      </c>
      <c r="G4466" s="22" t="s">
        <v>17</v>
      </c>
    </row>
    <row r="4467" ht="15.15" spans="1:7">
      <c r="A4467" s="20">
        <v>4465</v>
      </c>
      <c r="B4467" s="20">
        <v>9558</v>
      </c>
      <c r="C4467" s="21">
        <v>45191</v>
      </c>
      <c r="D4467" s="20">
        <v>3291.84</v>
      </c>
      <c r="E4467" s="22" t="s">
        <v>10</v>
      </c>
      <c r="F4467" s="22" t="s">
        <v>16</v>
      </c>
      <c r="G4467" s="22" t="s">
        <v>17</v>
      </c>
    </row>
    <row r="4468" ht="15.15" spans="1:7">
      <c r="A4468" s="20">
        <v>4466</v>
      </c>
      <c r="B4468" s="20">
        <v>5174</v>
      </c>
      <c r="C4468" s="21">
        <v>45286</v>
      </c>
      <c r="D4468" s="20">
        <v>3291.84</v>
      </c>
      <c r="E4468" s="22" t="s">
        <v>10</v>
      </c>
      <c r="F4468" s="22" t="s">
        <v>11</v>
      </c>
      <c r="G4468" s="22" t="s">
        <v>12</v>
      </c>
    </row>
    <row r="4469" ht="15.15" spans="1:7">
      <c r="A4469" s="20">
        <v>4467</v>
      </c>
      <c r="B4469" s="20">
        <v>6755</v>
      </c>
      <c r="C4469" s="21">
        <v>45205</v>
      </c>
      <c r="D4469" s="20">
        <v>3291.84</v>
      </c>
      <c r="E4469" s="22" t="s">
        <v>10</v>
      </c>
      <c r="F4469" s="22" t="s">
        <v>11</v>
      </c>
      <c r="G4469" s="22" t="s">
        <v>20</v>
      </c>
    </row>
    <row r="4470" ht="15.15" spans="1:7">
      <c r="A4470" s="20">
        <v>4468</v>
      </c>
      <c r="B4470" s="20">
        <v>6345</v>
      </c>
      <c r="C4470" s="21">
        <v>44956</v>
      </c>
      <c r="D4470" s="20">
        <v>3291.84</v>
      </c>
      <c r="E4470" s="22" t="s">
        <v>10</v>
      </c>
      <c r="F4470" s="22" t="s">
        <v>18</v>
      </c>
      <c r="G4470" s="22" t="s">
        <v>15</v>
      </c>
    </row>
    <row r="4471" ht="15.15" spans="1:7">
      <c r="A4471" s="20">
        <v>4469</v>
      </c>
      <c r="B4471" s="20">
        <v>2431</v>
      </c>
      <c r="C4471" s="21">
        <v>45040</v>
      </c>
      <c r="D4471" s="20">
        <v>3291.84</v>
      </c>
      <c r="E4471" s="22" t="s">
        <v>10</v>
      </c>
      <c r="F4471" s="22" t="s">
        <v>14</v>
      </c>
      <c r="G4471" s="22" t="s">
        <v>12</v>
      </c>
    </row>
    <row r="4472" ht="15.15" spans="1:7">
      <c r="A4472" s="20">
        <v>4470</v>
      </c>
      <c r="B4472" s="20">
        <v>3056</v>
      </c>
      <c r="C4472" s="21">
        <v>45125</v>
      </c>
      <c r="D4472" s="20">
        <v>3291.84</v>
      </c>
      <c r="E4472" s="22" t="s">
        <v>10</v>
      </c>
      <c r="F4472" s="22" t="s">
        <v>11</v>
      </c>
      <c r="G4472" s="22" t="s">
        <v>15</v>
      </c>
    </row>
    <row r="4473" ht="15.15" spans="1:7">
      <c r="A4473" s="20">
        <v>4471</v>
      </c>
      <c r="B4473" s="20">
        <v>1636</v>
      </c>
      <c r="C4473" s="21">
        <v>45186</v>
      </c>
      <c r="D4473" s="20">
        <v>3291.84</v>
      </c>
      <c r="E4473" s="22" t="s">
        <v>10</v>
      </c>
      <c r="F4473" s="22" t="s">
        <v>14</v>
      </c>
      <c r="G4473" s="22" t="s">
        <v>12</v>
      </c>
    </row>
    <row r="4474" ht="15.15" spans="1:7">
      <c r="A4474" s="20">
        <v>4472</v>
      </c>
      <c r="B4474" s="20">
        <v>9073</v>
      </c>
      <c r="C4474" s="21">
        <v>44983</v>
      </c>
      <c r="D4474" s="20">
        <v>3291.84</v>
      </c>
      <c r="E4474" s="22" t="s">
        <v>10</v>
      </c>
      <c r="F4474" s="22" t="s">
        <v>14</v>
      </c>
      <c r="G4474" s="22" t="s">
        <v>15</v>
      </c>
    </row>
    <row r="4475" ht="15.15" spans="1:7">
      <c r="A4475" s="20">
        <v>4473</v>
      </c>
      <c r="B4475" s="20">
        <v>5649</v>
      </c>
      <c r="C4475" s="21">
        <v>45229</v>
      </c>
      <c r="D4475" s="20">
        <v>3291.84</v>
      </c>
      <c r="E4475" s="22" t="s">
        <v>10</v>
      </c>
      <c r="F4475" s="22" t="s">
        <v>14</v>
      </c>
      <c r="G4475" s="22" t="s">
        <v>20</v>
      </c>
    </row>
    <row r="4476" ht="15.15" spans="1:7">
      <c r="A4476" s="20">
        <v>4474</v>
      </c>
      <c r="B4476" s="20">
        <v>4326</v>
      </c>
      <c r="C4476" s="21">
        <v>45060</v>
      </c>
      <c r="D4476" s="20">
        <v>3291.84</v>
      </c>
      <c r="E4476" s="22" t="s">
        <v>10</v>
      </c>
      <c r="F4476" s="22" t="s">
        <v>16</v>
      </c>
      <c r="G4476" s="22" t="s">
        <v>12</v>
      </c>
    </row>
    <row r="4477" ht="15.15" spans="1:7">
      <c r="A4477" s="20">
        <v>4475</v>
      </c>
      <c r="B4477" s="20">
        <v>1289</v>
      </c>
      <c r="C4477" s="21">
        <v>45288</v>
      </c>
      <c r="D4477" s="20">
        <v>3291.84</v>
      </c>
      <c r="E4477" s="22" t="s">
        <v>10</v>
      </c>
      <c r="F4477" s="22" t="s">
        <v>16</v>
      </c>
      <c r="G4477" s="22" t="s">
        <v>20</v>
      </c>
    </row>
    <row r="4478" ht="15.15" spans="1:7">
      <c r="A4478" s="20">
        <v>4476</v>
      </c>
      <c r="B4478" s="20">
        <v>6726</v>
      </c>
      <c r="C4478" s="21">
        <v>45199</v>
      </c>
      <c r="D4478" s="20">
        <v>3291.84</v>
      </c>
      <c r="E4478" s="22" t="s">
        <v>10</v>
      </c>
      <c r="F4478" s="22" t="s">
        <v>11</v>
      </c>
      <c r="G4478" s="22" t="s">
        <v>20</v>
      </c>
    </row>
    <row r="4479" ht="15.15" spans="1:7">
      <c r="A4479" s="20">
        <v>4477</v>
      </c>
      <c r="B4479" s="20">
        <v>2720</v>
      </c>
      <c r="C4479" s="21">
        <v>45257</v>
      </c>
      <c r="D4479" s="20">
        <v>3291.84</v>
      </c>
      <c r="E4479" s="22" t="s">
        <v>22</v>
      </c>
      <c r="F4479" s="22" t="s">
        <v>16</v>
      </c>
      <c r="G4479" s="22" t="s">
        <v>12</v>
      </c>
    </row>
    <row r="4480" ht="15.15" spans="1:7">
      <c r="A4480" s="20">
        <v>4478</v>
      </c>
      <c r="B4480" s="20">
        <v>8361</v>
      </c>
      <c r="C4480" s="21">
        <v>45171</v>
      </c>
      <c r="D4480" s="20">
        <v>3291.84</v>
      </c>
      <c r="E4480" s="22" t="s">
        <v>10</v>
      </c>
      <c r="F4480" s="22" t="s">
        <v>13</v>
      </c>
      <c r="G4480" s="22" t="s">
        <v>15</v>
      </c>
    </row>
    <row r="4481" ht="15.15" spans="1:7">
      <c r="A4481" s="20">
        <v>4479</v>
      </c>
      <c r="B4481" s="20">
        <v>6866</v>
      </c>
      <c r="C4481" s="21">
        <v>45238</v>
      </c>
      <c r="D4481" s="20">
        <v>3291.84</v>
      </c>
      <c r="E4481" s="22" t="s">
        <v>10</v>
      </c>
      <c r="F4481" s="22" t="s">
        <v>16</v>
      </c>
      <c r="G4481" s="22" t="s">
        <v>15</v>
      </c>
    </row>
    <row r="4482" ht="15.15" spans="1:7">
      <c r="A4482" s="20">
        <v>4480</v>
      </c>
      <c r="B4482" s="20">
        <v>2255</v>
      </c>
      <c r="C4482" s="21">
        <v>45253</v>
      </c>
      <c r="D4482" s="20">
        <v>3291.84</v>
      </c>
      <c r="E4482" s="22" t="s">
        <v>10</v>
      </c>
      <c r="F4482" s="22" t="s">
        <v>18</v>
      </c>
      <c r="G4482" s="22" t="s">
        <v>12</v>
      </c>
    </row>
    <row r="4483" ht="15.15" spans="1:7">
      <c r="A4483" s="20">
        <v>4481</v>
      </c>
      <c r="B4483" s="20">
        <v>7097</v>
      </c>
      <c r="C4483" s="21">
        <v>45141</v>
      </c>
      <c r="D4483" s="20">
        <v>3291.84</v>
      </c>
      <c r="E4483" s="22" t="s">
        <v>10</v>
      </c>
      <c r="F4483" s="22" t="s">
        <v>18</v>
      </c>
      <c r="G4483" s="22" t="s">
        <v>20</v>
      </c>
    </row>
    <row r="4484" ht="15.15" spans="1:7">
      <c r="A4484" s="20">
        <v>4482</v>
      </c>
      <c r="B4484" s="20">
        <v>2403</v>
      </c>
      <c r="C4484" s="21">
        <v>45259</v>
      </c>
      <c r="D4484" s="20">
        <v>3291.84</v>
      </c>
      <c r="E4484" s="22" t="s">
        <v>10</v>
      </c>
      <c r="F4484" s="22" t="s">
        <v>11</v>
      </c>
      <c r="G4484" s="22" t="s">
        <v>12</v>
      </c>
    </row>
    <row r="4485" ht="15.15" spans="1:7">
      <c r="A4485" s="20">
        <v>4483</v>
      </c>
      <c r="B4485" s="20">
        <v>7409</v>
      </c>
      <c r="C4485" s="21">
        <v>45260</v>
      </c>
      <c r="D4485" s="20">
        <v>3291.84</v>
      </c>
      <c r="E4485" s="22" t="s">
        <v>10</v>
      </c>
      <c r="F4485" s="22" t="s">
        <v>16</v>
      </c>
      <c r="G4485" s="22" t="s">
        <v>17</v>
      </c>
    </row>
    <row r="4486" ht="15.15" spans="1:7">
      <c r="A4486" s="20">
        <v>4484</v>
      </c>
      <c r="B4486" s="20">
        <v>4164</v>
      </c>
      <c r="C4486" s="21">
        <v>45091</v>
      </c>
      <c r="D4486" s="20">
        <v>3291.84</v>
      </c>
      <c r="E4486" s="22" t="s">
        <v>10</v>
      </c>
      <c r="F4486" s="22" t="s">
        <v>13</v>
      </c>
      <c r="G4486" s="22" t="s">
        <v>12</v>
      </c>
    </row>
    <row r="4487" ht="15.15" spans="1:7">
      <c r="A4487" s="20">
        <v>4485</v>
      </c>
      <c r="B4487" s="20">
        <v>4745</v>
      </c>
      <c r="C4487" s="21">
        <v>45143</v>
      </c>
      <c r="D4487" s="20">
        <v>3291.84</v>
      </c>
      <c r="E4487" s="22" t="s">
        <v>10</v>
      </c>
      <c r="F4487" s="22" t="s">
        <v>13</v>
      </c>
      <c r="G4487" s="22" t="s">
        <v>17</v>
      </c>
    </row>
    <row r="4488" ht="15.15" spans="1:7">
      <c r="A4488" s="20">
        <v>4486</v>
      </c>
      <c r="B4488" s="20">
        <v>2699</v>
      </c>
      <c r="C4488" s="21">
        <v>45263</v>
      </c>
      <c r="D4488" s="20">
        <v>3291.84</v>
      </c>
      <c r="E4488" s="22" t="s">
        <v>10</v>
      </c>
      <c r="F4488" s="22" t="s">
        <v>14</v>
      </c>
      <c r="G4488" s="22" t="s">
        <v>17</v>
      </c>
    </row>
    <row r="4489" ht="15.15" spans="1:7">
      <c r="A4489" s="20">
        <v>4487</v>
      </c>
      <c r="B4489" s="20">
        <v>7439</v>
      </c>
      <c r="C4489" s="21">
        <v>45149</v>
      </c>
      <c r="D4489" s="20">
        <v>3291.84</v>
      </c>
      <c r="E4489" s="22" t="s">
        <v>10</v>
      </c>
      <c r="F4489" s="22" t="s">
        <v>11</v>
      </c>
      <c r="G4489" s="22" t="s">
        <v>17</v>
      </c>
    </row>
    <row r="4490" ht="15.15" spans="1:7">
      <c r="A4490" s="20">
        <v>4488</v>
      </c>
      <c r="B4490" s="20">
        <v>8084</v>
      </c>
      <c r="C4490" s="21">
        <v>45073</v>
      </c>
      <c r="D4490" s="20">
        <v>3291.84</v>
      </c>
      <c r="E4490" s="22" t="s">
        <v>10</v>
      </c>
      <c r="F4490" s="22" t="s">
        <v>18</v>
      </c>
      <c r="G4490" s="22" t="s">
        <v>17</v>
      </c>
    </row>
    <row r="4491" ht="15.15" spans="1:7">
      <c r="A4491" s="20">
        <v>4489</v>
      </c>
      <c r="B4491" s="20">
        <v>4837</v>
      </c>
      <c r="C4491" s="21">
        <v>45190</v>
      </c>
      <c r="D4491" s="20">
        <v>3291.84</v>
      </c>
      <c r="E4491" s="22" t="s">
        <v>10</v>
      </c>
      <c r="F4491" s="22" t="s">
        <v>16</v>
      </c>
      <c r="G4491" s="22" t="s">
        <v>20</v>
      </c>
    </row>
    <row r="4492" ht="15.15" spans="1:7">
      <c r="A4492" s="20">
        <v>4490</v>
      </c>
      <c r="B4492" s="20">
        <v>7095</v>
      </c>
      <c r="C4492" s="21">
        <v>45039</v>
      </c>
      <c r="D4492" s="20">
        <v>3291.84</v>
      </c>
      <c r="E4492" s="22" t="s">
        <v>10</v>
      </c>
      <c r="F4492" s="22" t="s">
        <v>11</v>
      </c>
      <c r="G4492" s="22" t="s">
        <v>17</v>
      </c>
    </row>
    <row r="4493" ht="15.15" spans="1:7">
      <c r="A4493" s="20">
        <v>4491</v>
      </c>
      <c r="B4493" s="20">
        <v>2666</v>
      </c>
      <c r="C4493" s="21">
        <v>45264</v>
      </c>
      <c r="D4493" s="20">
        <v>3291.84</v>
      </c>
      <c r="E4493" s="22" t="s">
        <v>10</v>
      </c>
      <c r="F4493" s="22" t="s">
        <v>18</v>
      </c>
      <c r="G4493" s="22" t="s">
        <v>20</v>
      </c>
    </row>
    <row r="4494" ht="15.15" spans="1:7">
      <c r="A4494" s="20">
        <v>4492</v>
      </c>
      <c r="B4494" s="20">
        <v>9665</v>
      </c>
      <c r="C4494" s="21">
        <v>45067</v>
      </c>
      <c r="D4494" s="20">
        <v>3291.84</v>
      </c>
      <c r="E4494" s="22" t="s">
        <v>10</v>
      </c>
      <c r="F4494" s="22" t="s">
        <v>18</v>
      </c>
      <c r="G4494" s="22" t="s">
        <v>12</v>
      </c>
    </row>
    <row r="4495" ht="15.15" spans="1:7">
      <c r="A4495" s="20">
        <v>4493</v>
      </c>
      <c r="B4495" s="20">
        <v>2626</v>
      </c>
      <c r="C4495" s="21">
        <v>45091</v>
      </c>
      <c r="D4495" s="20">
        <v>3291.84</v>
      </c>
      <c r="E4495" s="22" t="s">
        <v>10</v>
      </c>
      <c r="F4495" s="22" t="s">
        <v>16</v>
      </c>
      <c r="G4495" s="22" t="s">
        <v>17</v>
      </c>
    </row>
    <row r="4496" ht="15.15" spans="1:7">
      <c r="A4496" s="20">
        <v>4494</v>
      </c>
      <c r="B4496" s="20">
        <v>7517</v>
      </c>
      <c r="C4496" s="21">
        <v>45164</v>
      </c>
      <c r="D4496" s="20">
        <v>3291.84</v>
      </c>
      <c r="E4496" s="22" t="s">
        <v>10</v>
      </c>
      <c r="F4496" s="22" t="s">
        <v>14</v>
      </c>
      <c r="G4496" s="22" t="s">
        <v>12</v>
      </c>
    </row>
    <row r="4497" ht="15.15" spans="1:7">
      <c r="A4497" s="20">
        <v>4495</v>
      </c>
      <c r="B4497" s="20">
        <v>5692</v>
      </c>
      <c r="C4497" s="21">
        <v>44988</v>
      </c>
      <c r="D4497" s="20">
        <v>3291.84</v>
      </c>
      <c r="E4497" s="22" t="s">
        <v>10</v>
      </c>
      <c r="F4497" s="22" t="s">
        <v>13</v>
      </c>
      <c r="G4497" s="22" t="s">
        <v>20</v>
      </c>
    </row>
    <row r="4498" ht="15.15" spans="1:7">
      <c r="A4498" s="20">
        <v>4496</v>
      </c>
      <c r="B4498" s="20">
        <v>9520</v>
      </c>
      <c r="C4498" s="21">
        <v>45206</v>
      </c>
      <c r="D4498" s="20">
        <v>3291.84</v>
      </c>
      <c r="E4498" s="22" t="s">
        <v>10</v>
      </c>
      <c r="F4498" s="22" t="s">
        <v>18</v>
      </c>
      <c r="G4498" s="22" t="s">
        <v>17</v>
      </c>
    </row>
    <row r="4499" ht="15.15" spans="1:7">
      <c r="A4499" s="20">
        <v>4497</v>
      </c>
      <c r="B4499" s="20">
        <v>9586</v>
      </c>
      <c r="C4499" s="21">
        <v>45269</v>
      </c>
      <c r="D4499" s="20">
        <v>3291.84</v>
      </c>
      <c r="E4499" s="22" t="s">
        <v>10</v>
      </c>
      <c r="F4499" s="22" t="s">
        <v>11</v>
      </c>
      <c r="G4499" s="22" t="s">
        <v>15</v>
      </c>
    </row>
    <row r="4500" ht="15.15" spans="1:7">
      <c r="A4500" s="20">
        <v>4498</v>
      </c>
      <c r="B4500" s="20">
        <v>9317</v>
      </c>
      <c r="C4500" s="21">
        <v>45057</v>
      </c>
      <c r="D4500" s="20">
        <v>3291.84</v>
      </c>
      <c r="E4500" s="22" t="s">
        <v>10</v>
      </c>
      <c r="F4500" s="22" t="s">
        <v>13</v>
      </c>
      <c r="G4500" s="22" t="s">
        <v>17</v>
      </c>
    </row>
    <row r="4501" ht="15.15" spans="1:7">
      <c r="A4501" s="20">
        <v>4499</v>
      </c>
      <c r="B4501" s="20">
        <v>6722</v>
      </c>
      <c r="C4501" s="21">
        <v>45215</v>
      </c>
      <c r="D4501" s="20">
        <v>3291.84</v>
      </c>
      <c r="E4501" s="22" t="s">
        <v>10</v>
      </c>
      <c r="F4501" s="22" t="s">
        <v>18</v>
      </c>
      <c r="G4501" s="22" t="s">
        <v>15</v>
      </c>
    </row>
    <row r="4502" ht="15.15" spans="1:7">
      <c r="A4502" s="20">
        <v>4500</v>
      </c>
      <c r="B4502" s="20">
        <v>8109</v>
      </c>
      <c r="C4502" s="21">
        <v>45290</v>
      </c>
      <c r="D4502" s="20">
        <v>3291.84</v>
      </c>
      <c r="E4502" s="22" t="s">
        <v>10</v>
      </c>
      <c r="F4502" s="22" t="s">
        <v>18</v>
      </c>
      <c r="G4502" s="22" t="s">
        <v>17</v>
      </c>
    </row>
    <row r="4503" ht="15.15" spans="1:7">
      <c r="A4503" s="20">
        <v>4501</v>
      </c>
      <c r="B4503" s="20">
        <v>6907</v>
      </c>
      <c r="C4503" s="21">
        <v>45002</v>
      </c>
      <c r="D4503" s="20">
        <v>3291.84</v>
      </c>
      <c r="E4503" s="22" t="s">
        <v>10</v>
      </c>
      <c r="F4503" s="22" t="s">
        <v>14</v>
      </c>
      <c r="G4503" s="22" t="s">
        <v>17</v>
      </c>
    </row>
    <row r="4504" ht="15.15" spans="1:7">
      <c r="A4504" s="20">
        <v>4502</v>
      </c>
      <c r="B4504" s="20">
        <v>2194</v>
      </c>
      <c r="C4504" s="21">
        <v>44937</v>
      </c>
      <c r="D4504" s="20">
        <v>3291.84</v>
      </c>
      <c r="E4504" s="22" t="s">
        <v>10</v>
      </c>
      <c r="F4504" s="22" t="s">
        <v>16</v>
      </c>
      <c r="G4504" s="22" t="s">
        <v>15</v>
      </c>
    </row>
    <row r="4505" ht="15.15" spans="1:7">
      <c r="A4505" s="20">
        <v>4503</v>
      </c>
      <c r="B4505" s="20">
        <v>5499</v>
      </c>
      <c r="C4505" s="21">
        <v>45220</v>
      </c>
      <c r="D4505" s="20">
        <v>3291.84</v>
      </c>
      <c r="E4505" s="22" t="s">
        <v>22</v>
      </c>
      <c r="F4505" s="22" t="s">
        <v>11</v>
      </c>
      <c r="G4505" s="22" t="s">
        <v>20</v>
      </c>
    </row>
    <row r="4506" ht="15.15" spans="1:7">
      <c r="A4506" s="20">
        <v>4504</v>
      </c>
      <c r="B4506" s="20">
        <v>2608</v>
      </c>
      <c r="C4506" s="21">
        <v>44931</v>
      </c>
      <c r="D4506" s="20">
        <v>3291.84</v>
      </c>
      <c r="E4506" s="22" t="s">
        <v>10</v>
      </c>
      <c r="F4506" s="22" t="s">
        <v>13</v>
      </c>
      <c r="G4506" s="22" t="s">
        <v>12</v>
      </c>
    </row>
    <row r="4507" ht="15.15" spans="1:7">
      <c r="A4507" s="20">
        <v>4505</v>
      </c>
      <c r="B4507" s="20">
        <v>2908</v>
      </c>
      <c r="C4507" s="21">
        <v>45233</v>
      </c>
      <c r="D4507" s="20">
        <v>3291.84</v>
      </c>
      <c r="E4507" s="22" t="s">
        <v>10</v>
      </c>
      <c r="F4507" s="22" t="s">
        <v>18</v>
      </c>
      <c r="G4507" s="22" t="s">
        <v>20</v>
      </c>
    </row>
    <row r="4508" ht="15.15" spans="1:7">
      <c r="A4508" s="20">
        <v>4506</v>
      </c>
      <c r="B4508" s="20">
        <v>8999</v>
      </c>
      <c r="C4508" s="21">
        <v>45274</v>
      </c>
      <c r="D4508" s="20">
        <v>3291.84</v>
      </c>
      <c r="E4508" s="22" t="s">
        <v>10</v>
      </c>
      <c r="F4508" s="22" t="s">
        <v>18</v>
      </c>
      <c r="G4508" s="22" t="s">
        <v>15</v>
      </c>
    </row>
    <row r="4509" ht="15.15" spans="1:7">
      <c r="A4509" s="20">
        <v>4507</v>
      </c>
      <c r="B4509" s="20">
        <v>9732</v>
      </c>
      <c r="C4509" s="21">
        <v>45247</v>
      </c>
      <c r="D4509" s="20">
        <v>3291.84</v>
      </c>
      <c r="E4509" s="22" t="s">
        <v>10</v>
      </c>
      <c r="F4509" s="22" t="s">
        <v>11</v>
      </c>
      <c r="G4509" s="22" t="s">
        <v>17</v>
      </c>
    </row>
    <row r="4510" ht="15.15" spans="1:7">
      <c r="A4510" s="20">
        <v>4508</v>
      </c>
      <c r="B4510" s="20">
        <v>2209</v>
      </c>
      <c r="C4510" s="21">
        <v>45219</v>
      </c>
      <c r="D4510" s="20">
        <v>3291.84</v>
      </c>
      <c r="E4510" s="22" t="s">
        <v>10</v>
      </c>
      <c r="F4510" s="22" t="s">
        <v>14</v>
      </c>
      <c r="G4510" s="22" t="s">
        <v>15</v>
      </c>
    </row>
    <row r="4511" ht="15.15" spans="1:7">
      <c r="A4511" s="20">
        <v>4509</v>
      </c>
      <c r="B4511" s="20">
        <v>8308</v>
      </c>
      <c r="C4511" s="21">
        <v>44971</v>
      </c>
      <c r="D4511" s="20">
        <v>3291.84</v>
      </c>
      <c r="E4511" s="22" t="s">
        <v>10</v>
      </c>
      <c r="F4511" s="22" t="s">
        <v>18</v>
      </c>
      <c r="G4511" s="22" t="s">
        <v>12</v>
      </c>
    </row>
    <row r="4512" ht="15.15" spans="1:7">
      <c r="A4512" s="20">
        <v>4510</v>
      </c>
      <c r="B4512" s="20">
        <v>8980</v>
      </c>
      <c r="C4512" s="21">
        <v>44946</v>
      </c>
      <c r="D4512" s="20">
        <v>3291.84</v>
      </c>
      <c r="E4512" s="22" t="s">
        <v>10</v>
      </c>
      <c r="F4512" s="22" t="s">
        <v>11</v>
      </c>
      <c r="G4512" s="22" t="s">
        <v>17</v>
      </c>
    </row>
    <row r="4513" ht="15.15" spans="1:7">
      <c r="A4513" s="20">
        <v>4511</v>
      </c>
      <c r="B4513" s="20">
        <v>9597</v>
      </c>
      <c r="C4513" s="21">
        <v>45128</v>
      </c>
      <c r="D4513" s="20">
        <v>3291.84</v>
      </c>
      <c r="E4513" s="22" t="s">
        <v>10</v>
      </c>
      <c r="F4513" s="22" t="s">
        <v>11</v>
      </c>
      <c r="G4513" s="22" t="s">
        <v>15</v>
      </c>
    </row>
    <row r="4514" ht="15.15" spans="1:7">
      <c r="A4514" s="20">
        <v>4512</v>
      </c>
      <c r="B4514" s="20">
        <v>8081</v>
      </c>
      <c r="C4514" s="21">
        <v>45038</v>
      </c>
      <c r="D4514" s="20">
        <v>3291.84</v>
      </c>
      <c r="E4514" s="22" t="s">
        <v>10</v>
      </c>
      <c r="F4514" s="22" t="s">
        <v>11</v>
      </c>
      <c r="G4514" s="22" t="s">
        <v>17</v>
      </c>
    </row>
    <row r="4515" ht="15.15" spans="1:7">
      <c r="A4515" s="20">
        <v>4513</v>
      </c>
      <c r="B4515" s="20">
        <v>5518</v>
      </c>
      <c r="C4515" s="21">
        <v>45019</v>
      </c>
      <c r="D4515" s="20">
        <v>3291.84</v>
      </c>
      <c r="E4515" s="22" t="s">
        <v>10</v>
      </c>
      <c r="F4515" s="22" t="s">
        <v>13</v>
      </c>
      <c r="G4515" s="22" t="s">
        <v>20</v>
      </c>
    </row>
    <row r="4516" ht="15.15" spans="1:7">
      <c r="A4516" s="20">
        <v>4514</v>
      </c>
      <c r="B4516" s="20">
        <v>1079</v>
      </c>
      <c r="C4516" s="21">
        <v>44955</v>
      </c>
      <c r="D4516" s="20">
        <v>3291.84</v>
      </c>
      <c r="E4516" s="22" t="s">
        <v>10</v>
      </c>
      <c r="F4516" s="22" t="s">
        <v>18</v>
      </c>
      <c r="G4516" s="22" t="s">
        <v>17</v>
      </c>
    </row>
    <row r="4517" ht="15.15" spans="1:7">
      <c r="A4517" s="20">
        <v>4515</v>
      </c>
      <c r="B4517" s="20">
        <v>1262</v>
      </c>
      <c r="C4517" s="21">
        <v>45062</v>
      </c>
      <c r="D4517" s="20">
        <v>3291.84</v>
      </c>
      <c r="E4517" s="22" t="s">
        <v>10</v>
      </c>
      <c r="F4517" s="22" t="s">
        <v>13</v>
      </c>
      <c r="G4517" s="22" t="s">
        <v>17</v>
      </c>
    </row>
    <row r="4518" ht="15.15" spans="1:7">
      <c r="A4518" s="20">
        <v>4516</v>
      </c>
      <c r="B4518" s="20">
        <v>4370</v>
      </c>
      <c r="C4518" s="21">
        <v>45252</v>
      </c>
      <c r="D4518" s="20">
        <v>3291.84</v>
      </c>
      <c r="E4518" s="22" t="s">
        <v>10</v>
      </c>
      <c r="F4518" s="22" t="s">
        <v>14</v>
      </c>
      <c r="G4518" s="22" t="s">
        <v>15</v>
      </c>
    </row>
    <row r="4519" ht="15.15" spans="1:7">
      <c r="A4519" s="20">
        <v>4517</v>
      </c>
      <c r="B4519" s="20">
        <v>1709</v>
      </c>
      <c r="C4519" s="21">
        <v>45143</v>
      </c>
      <c r="D4519" s="20">
        <v>3291.84</v>
      </c>
      <c r="E4519" s="22" t="s">
        <v>22</v>
      </c>
      <c r="F4519" s="22" t="s">
        <v>16</v>
      </c>
      <c r="G4519" s="22" t="s">
        <v>17</v>
      </c>
    </row>
    <row r="4520" ht="15.15" spans="1:7">
      <c r="A4520" s="20">
        <v>4518</v>
      </c>
      <c r="B4520" s="20">
        <v>3400</v>
      </c>
      <c r="C4520" s="21">
        <v>45195</v>
      </c>
      <c r="D4520" s="20">
        <v>3291.84</v>
      </c>
      <c r="E4520" s="22" t="s">
        <v>10</v>
      </c>
      <c r="F4520" s="22" t="s">
        <v>14</v>
      </c>
      <c r="G4520" s="22" t="s">
        <v>20</v>
      </c>
    </row>
    <row r="4521" ht="15.15" spans="1:7">
      <c r="A4521" s="20">
        <v>4519</v>
      </c>
      <c r="B4521" s="20">
        <v>9197</v>
      </c>
      <c r="C4521" s="21">
        <v>45243</v>
      </c>
      <c r="D4521" s="20">
        <v>3291.84</v>
      </c>
      <c r="E4521" s="22" t="s">
        <v>10</v>
      </c>
      <c r="F4521" s="22" t="s">
        <v>11</v>
      </c>
      <c r="G4521" s="22" t="s">
        <v>12</v>
      </c>
    </row>
    <row r="4522" ht="15.15" spans="1:7">
      <c r="A4522" s="20">
        <v>4520</v>
      </c>
      <c r="B4522" s="20">
        <v>8684</v>
      </c>
      <c r="C4522" s="21">
        <v>45261</v>
      </c>
      <c r="D4522" s="20">
        <v>3291.84</v>
      </c>
      <c r="E4522" s="22" t="s">
        <v>10</v>
      </c>
      <c r="F4522" s="22" t="s">
        <v>16</v>
      </c>
      <c r="G4522" s="22" t="s">
        <v>12</v>
      </c>
    </row>
    <row r="4523" ht="15.15" spans="1:7">
      <c r="A4523" s="20">
        <v>4521</v>
      </c>
      <c r="B4523" s="20">
        <v>1685</v>
      </c>
      <c r="C4523" s="21">
        <v>45099</v>
      </c>
      <c r="D4523" s="20">
        <v>3291.84</v>
      </c>
      <c r="E4523" s="22" t="s">
        <v>10</v>
      </c>
      <c r="F4523" s="22" t="s">
        <v>11</v>
      </c>
      <c r="G4523" s="22" t="s">
        <v>15</v>
      </c>
    </row>
    <row r="4524" ht="15.15" spans="1:7">
      <c r="A4524" s="20">
        <v>4522</v>
      </c>
      <c r="B4524" s="20">
        <v>7520</v>
      </c>
      <c r="C4524" s="21">
        <v>45107</v>
      </c>
      <c r="D4524" s="20">
        <v>3291.84</v>
      </c>
      <c r="E4524" s="22" t="s">
        <v>10</v>
      </c>
      <c r="F4524" s="22" t="s">
        <v>11</v>
      </c>
      <c r="G4524" s="22" t="s">
        <v>20</v>
      </c>
    </row>
    <row r="4525" ht="15.15" spans="1:7">
      <c r="A4525" s="20">
        <v>4523</v>
      </c>
      <c r="B4525" s="20">
        <v>2456</v>
      </c>
      <c r="C4525" s="21">
        <v>45196</v>
      </c>
      <c r="D4525" s="20">
        <v>3291.84</v>
      </c>
      <c r="E4525" s="22" t="s">
        <v>10</v>
      </c>
      <c r="F4525" s="22" t="s">
        <v>16</v>
      </c>
      <c r="G4525" s="22" t="s">
        <v>12</v>
      </c>
    </row>
    <row r="4526" ht="15.15" spans="1:7">
      <c r="A4526" s="20">
        <v>4524</v>
      </c>
      <c r="B4526" s="20">
        <v>668</v>
      </c>
      <c r="C4526" s="21">
        <v>45156</v>
      </c>
      <c r="D4526" s="20">
        <v>3291.84</v>
      </c>
      <c r="E4526" s="22" t="s">
        <v>10</v>
      </c>
      <c r="F4526" s="22" t="s">
        <v>18</v>
      </c>
      <c r="G4526" s="22" t="s">
        <v>20</v>
      </c>
    </row>
    <row r="4527" ht="15.15" spans="1:7">
      <c r="A4527" s="20">
        <v>4525</v>
      </c>
      <c r="B4527" s="20">
        <v>6051</v>
      </c>
      <c r="C4527" s="21">
        <v>45120</v>
      </c>
      <c r="D4527" s="20">
        <v>3291.84</v>
      </c>
      <c r="E4527" s="22" t="s">
        <v>10</v>
      </c>
      <c r="F4527" s="22" t="s">
        <v>16</v>
      </c>
      <c r="G4527" s="22" t="s">
        <v>17</v>
      </c>
    </row>
    <row r="4528" ht="15.15" spans="1:7">
      <c r="A4528" s="20">
        <v>4526</v>
      </c>
      <c r="B4528" s="20">
        <v>4074</v>
      </c>
      <c r="C4528" s="21">
        <v>45134</v>
      </c>
      <c r="D4528" s="20">
        <v>3291.84</v>
      </c>
      <c r="E4528" s="22" t="s">
        <v>21</v>
      </c>
      <c r="F4528" s="22" t="s">
        <v>16</v>
      </c>
      <c r="G4528" s="22" t="s">
        <v>12</v>
      </c>
    </row>
    <row r="4529" ht="15.15" spans="1:7">
      <c r="A4529" s="20">
        <v>4527</v>
      </c>
      <c r="B4529" s="20">
        <v>1901</v>
      </c>
      <c r="C4529" s="21">
        <v>45171</v>
      </c>
      <c r="D4529" s="20">
        <v>3291.84</v>
      </c>
      <c r="E4529" s="22" t="s">
        <v>10</v>
      </c>
      <c r="F4529" s="22" t="s">
        <v>18</v>
      </c>
      <c r="G4529" s="22" t="s">
        <v>15</v>
      </c>
    </row>
    <row r="4530" ht="15.15" spans="1:7">
      <c r="A4530" s="20">
        <v>4528</v>
      </c>
      <c r="B4530" s="20">
        <v>2314</v>
      </c>
      <c r="C4530" s="21">
        <v>45033</v>
      </c>
      <c r="D4530" s="20">
        <v>3291.84</v>
      </c>
      <c r="E4530" s="22" t="s">
        <v>10</v>
      </c>
      <c r="F4530" s="22" t="s">
        <v>16</v>
      </c>
      <c r="G4530" s="22" t="s">
        <v>20</v>
      </c>
    </row>
    <row r="4531" ht="15.15" spans="1:7">
      <c r="A4531" s="20">
        <v>4529</v>
      </c>
      <c r="B4531" s="20">
        <v>5399</v>
      </c>
      <c r="C4531" s="21">
        <v>45146</v>
      </c>
      <c r="D4531" s="20">
        <v>3291.84</v>
      </c>
      <c r="E4531" s="22" t="s">
        <v>10</v>
      </c>
      <c r="F4531" s="22" t="s">
        <v>19</v>
      </c>
      <c r="G4531" s="22" t="s">
        <v>20</v>
      </c>
    </row>
    <row r="4532" ht="15.15" spans="1:7">
      <c r="A4532" s="20">
        <v>4530</v>
      </c>
      <c r="B4532" s="20">
        <v>8515</v>
      </c>
      <c r="C4532" s="21">
        <v>44989</v>
      </c>
      <c r="D4532" s="20">
        <v>3291.84</v>
      </c>
      <c r="E4532" s="22" t="s">
        <v>10</v>
      </c>
      <c r="F4532" s="22" t="s">
        <v>16</v>
      </c>
      <c r="G4532" s="22" t="s">
        <v>12</v>
      </c>
    </row>
    <row r="4533" ht="15.15" spans="1:7">
      <c r="A4533" s="20">
        <v>4531</v>
      </c>
      <c r="B4533" s="20">
        <v>6185</v>
      </c>
      <c r="C4533" s="21">
        <v>45041</v>
      </c>
      <c r="D4533" s="20">
        <v>3291.84</v>
      </c>
      <c r="E4533" s="22" t="s">
        <v>10</v>
      </c>
      <c r="F4533" s="22" t="s">
        <v>13</v>
      </c>
      <c r="G4533" s="22" t="s">
        <v>15</v>
      </c>
    </row>
    <row r="4534" ht="15.15" spans="1:7">
      <c r="A4534" s="20">
        <v>4532</v>
      </c>
      <c r="B4534" s="20">
        <v>6270</v>
      </c>
      <c r="C4534" s="21">
        <v>45227</v>
      </c>
      <c r="D4534" s="20">
        <v>3291.84</v>
      </c>
      <c r="E4534" s="22" t="s">
        <v>10</v>
      </c>
      <c r="F4534" s="22" t="s">
        <v>14</v>
      </c>
      <c r="G4534" s="22" t="s">
        <v>20</v>
      </c>
    </row>
    <row r="4535" ht="15.15" spans="1:7">
      <c r="A4535" s="20">
        <v>4533</v>
      </c>
      <c r="B4535" s="20">
        <v>9751</v>
      </c>
      <c r="C4535" s="21">
        <v>44945</v>
      </c>
      <c r="D4535" s="20">
        <v>3291.84</v>
      </c>
      <c r="E4535" s="22" t="s">
        <v>10</v>
      </c>
      <c r="F4535" s="22" t="s">
        <v>13</v>
      </c>
      <c r="G4535" s="22" t="s">
        <v>12</v>
      </c>
    </row>
    <row r="4536" ht="15.15" spans="1:7">
      <c r="A4536" s="20">
        <v>4534</v>
      </c>
      <c r="B4536" s="20">
        <v>6277</v>
      </c>
      <c r="C4536" s="21">
        <v>45264</v>
      </c>
      <c r="D4536" s="20">
        <v>3291.84</v>
      </c>
      <c r="E4536" s="22" t="s">
        <v>10</v>
      </c>
      <c r="F4536" s="22" t="s">
        <v>16</v>
      </c>
      <c r="G4536" s="22" t="s">
        <v>12</v>
      </c>
    </row>
    <row r="4537" ht="15.15" spans="1:7">
      <c r="A4537" s="20">
        <v>4535</v>
      </c>
      <c r="B4537" s="20">
        <v>8667</v>
      </c>
      <c r="C4537" s="21">
        <v>45213</v>
      </c>
      <c r="D4537" s="20">
        <v>3291.84</v>
      </c>
      <c r="E4537" s="22" t="s">
        <v>10</v>
      </c>
      <c r="F4537" s="22" t="s">
        <v>13</v>
      </c>
      <c r="G4537" s="22" t="s">
        <v>15</v>
      </c>
    </row>
    <row r="4538" ht="15.15" spans="1:7">
      <c r="A4538" s="20">
        <v>4536</v>
      </c>
      <c r="B4538" s="20">
        <v>5054</v>
      </c>
      <c r="C4538" s="21">
        <v>45015</v>
      </c>
      <c r="D4538" s="20">
        <v>3291.84</v>
      </c>
      <c r="E4538" s="22" t="s">
        <v>10</v>
      </c>
      <c r="F4538" s="22" t="s">
        <v>11</v>
      </c>
      <c r="G4538" s="22" t="s">
        <v>17</v>
      </c>
    </row>
    <row r="4539" ht="15.15" spans="1:7">
      <c r="A4539" s="20">
        <v>4537</v>
      </c>
      <c r="B4539" s="20">
        <v>3553</v>
      </c>
      <c r="C4539" s="21">
        <v>45194</v>
      </c>
      <c r="D4539" s="20">
        <v>3291.84</v>
      </c>
      <c r="E4539" s="22" t="s">
        <v>10</v>
      </c>
      <c r="F4539" s="22" t="s">
        <v>11</v>
      </c>
      <c r="G4539" s="22" t="s">
        <v>17</v>
      </c>
    </row>
    <row r="4540" ht="15.15" spans="1:7">
      <c r="A4540" s="20">
        <v>4538</v>
      </c>
      <c r="B4540" s="20">
        <v>9164</v>
      </c>
      <c r="C4540" s="21">
        <v>45247</v>
      </c>
      <c r="D4540" s="20">
        <v>3291.84</v>
      </c>
      <c r="E4540" s="22" t="s">
        <v>10</v>
      </c>
      <c r="F4540" s="22" t="s">
        <v>18</v>
      </c>
      <c r="G4540" s="22" t="s">
        <v>20</v>
      </c>
    </row>
    <row r="4541" ht="15.15" spans="1:7">
      <c r="A4541" s="20">
        <v>4539</v>
      </c>
      <c r="B4541" s="20">
        <v>2884</v>
      </c>
      <c r="C4541" s="21">
        <v>45094</v>
      </c>
      <c r="D4541" s="20">
        <v>3291.84</v>
      </c>
      <c r="E4541" s="22" t="s">
        <v>10</v>
      </c>
      <c r="F4541" s="22" t="s">
        <v>18</v>
      </c>
      <c r="G4541" s="22" t="s">
        <v>15</v>
      </c>
    </row>
    <row r="4542" ht="15.15" spans="1:7">
      <c r="A4542" s="20">
        <v>4540</v>
      </c>
      <c r="B4542" s="20">
        <v>3712</v>
      </c>
      <c r="C4542" s="21">
        <v>45053</v>
      </c>
      <c r="D4542" s="20">
        <v>3291.84</v>
      </c>
      <c r="E4542" s="22" t="s">
        <v>10</v>
      </c>
      <c r="F4542" s="22" t="s">
        <v>14</v>
      </c>
      <c r="G4542" s="22" t="s">
        <v>12</v>
      </c>
    </row>
    <row r="4543" ht="15.15" spans="1:7">
      <c r="A4543" s="20">
        <v>4541</v>
      </c>
      <c r="B4543" s="20">
        <v>5166</v>
      </c>
      <c r="C4543" s="21">
        <v>45207</v>
      </c>
      <c r="D4543" s="20">
        <v>3291.84</v>
      </c>
      <c r="E4543" s="22" t="s">
        <v>10</v>
      </c>
      <c r="F4543" s="22" t="s">
        <v>14</v>
      </c>
      <c r="G4543" s="22" t="s">
        <v>12</v>
      </c>
    </row>
    <row r="4544" ht="15.15" spans="1:7">
      <c r="A4544" s="20">
        <v>4542</v>
      </c>
      <c r="B4544" s="20">
        <v>4482</v>
      </c>
      <c r="C4544" s="21">
        <v>45078</v>
      </c>
      <c r="D4544" s="20">
        <v>3291.84</v>
      </c>
      <c r="E4544" s="22" t="s">
        <v>10</v>
      </c>
      <c r="F4544" s="22" t="s">
        <v>11</v>
      </c>
      <c r="G4544" s="22" t="s">
        <v>15</v>
      </c>
    </row>
    <row r="4545" ht="15.15" spans="1:7">
      <c r="A4545" s="20">
        <v>4543</v>
      </c>
      <c r="B4545" s="20">
        <v>4690</v>
      </c>
      <c r="C4545" s="21">
        <v>45184</v>
      </c>
      <c r="D4545" s="20">
        <v>3291.84</v>
      </c>
      <c r="E4545" s="22" t="s">
        <v>10</v>
      </c>
      <c r="F4545" s="22" t="s">
        <v>16</v>
      </c>
      <c r="G4545" s="22" t="s">
        <v>17</v>
      </c>
    </row>
    <row r="4546" ht="15.15" spans="1:7">
      <c r="A4546" s="20">
        <v>4544</v>
      </c>
      <c r="B4546" s="20">
        <v>7349</v>
      </c>
      <c r="C4546" s="21">
        <v>44991</v>
      </c>
      <c r="D4546" s="20">
        <v>3291.84</v>
      </c>
      <c r="E4546" s="22" t="s">
        <v>22</v>
      </c>
      <c r="F4546" s="22" t="s">
        <v>16</v>
      </c>
      <c r="G4546" s="22" t="s">
        <v>12</v>
      </c>
    </row>
    <row r="4547" ht="15.15" spans="1:7">
      <c r="A4547" s="20">
        <v>4545</v>
      </c>
      <c r="B4547" s="20">
        <v>3862</v>
      </c>
      <c r="C4547" s="21">
        <v>44974</v>
      </c>
      <c r="D4547" s="20">
        <v>3291.84</v>
      </c>
      <c r="E4547" s="22" t="s">
        <v>10</v>
      </c>
      <c r="F4547" s="22" t="s">
        <v>13</v>
      </c>
      <c r="G4547" s="22" t="s">
        <v>20</v>
      </c>
    </row>
    <row r="4548" ht="15.15" spans="1:7">
      <c r="A4548" s="20">
        <v>4546</v>
      </c>
      <c r="B4548" s="20">
        <v>5368</v>
      </c>
      <c r="C4548" s="21">
        <v>45255</v>
      </c>
      <c r="D4548" s="20">
        <v>3291.84</v>
      </c>
      <c r="E4548" s="22" t="s">
        <v>10</v>
      </c>
      <c r="F4548" s="22" t="s">
        <v>18</v>
      </c>
      <c r="G4548" s="22" t="s">
        <v>15</v>
      </c>
    </row>
    <row r="4549" ht="15.15" spans="1:7">
      <c r="A4549" s="20">
        <v>4547</v>
      </c>
      <c r="B4549" s="20">
        <v>1845</v>
      </c>
      <c r="C4549" s="21">
        <v>45225</v>
      </c>
      <c r="D4549" s="20">
        <v>3291.84</v>
      </c>
      <c r="E4549" s="22" t="s">
        <v>10</v>
      </c>
      <c r="F4549" s="22" t="s">
        <v>13</v>
      </c>
      <c r="G4549" s="22" t="s">
        <v>20</v>
      </c>
    </row>
    <row r="4550" ht="15.15" spans="1:7">
      <c r="A4550" s="20">
        <v>4548</v>
      </c>
      <c r="B4550" s="20">
        <v>8315</v>
      </c>
      <c r="C4550" s="21">
        <v>45248</v>
      </c>
      <c r="D4550" s="20">
        <v>3291.84</v>
      </c>
      <c r="E4550" s="22" t="s">
        <v>10</v>
      </c>
      <c r="F4550" s="22" t="s">
        <v>14</v>
      </c>
      <c r="G4550" s="22" t="s">
        <v>12</v>
      </c>
    </row>
    <row r="4551" ht="15.15" spans="1:7">
      <c r="A4551" s="20">
        <v>4549</v>
      </c>
      <c r="B4551" s="20">
        <v>1028</v>
      </c>
      <c r="C4551" s="21">
        <v>45115</v>
      </c>
      <c r="D4551" s="20">
        <v>3291.84</v>
      </c>
      <c r="E4551" s="22" t="s">
        <v>10</v>
      </c>
      <c r="F4551" s="22" t="s">
        <v>13</v>
      </c>
      <c r="G4551" s="22" t="s">
        <v>17</v>
      </c>
    </row>
    <row r="4552" ht="15.15" spans="1:7">
      <c r="A4552" s="20">
        <v>4550</v>
      </c>
      <c r="B4552" s="20">
        <v>2957</v>
      </c>
      <c r="C4552" s="21">
        <v>44958</v>
      </c>
      <c r="D4552" s="20">
        <v>3291.84</v>
      </c>
      <c r="E4552" s="22" t="s">
        <v>10</v>
      </c>
      <c r="F4552" s="22" t="s">
        <v>13</v>
      </c>
      <c r="G4552" s="22" t="s">
        <v>17</v>
      </c>
    </row>
    <row r="4553" ht="15.15" spans="1:7">
      <c r="A4553" s="20">
        <v>4551</v>
      </c>
      <c r="B4553" s="20">
        <v>2134</v>
      </c>
      <c r="C4553" s="21">
        <v>45212</v>
      </c>
      <c r="D4553" s="20">
        <v>3291.84</v>
      </c>
      <c r="E4553" s="22" t="s">
        <v>10</v>
      </c>
      <c r="F4553" s="22" t="s">
        <v>16</v>
      </c>
      <c r="G4553" s="22" t="s">
        <v>20</v>
      </c>
    </row>
    <row r="4554" ht="15.15" spans="1:7">
      <c r="A4554" s="20">
        <v>4552</v>
      </c>
      <c r="B4554" s="20">
        <v>129</v>
      </c>
      <c r="C4554" s="21">
        <v>45269</v>
      </c>
      <c r="D4554" s="20">
        <v>3291.84</v>
      </c>
      <c r="E4554" s="22" t="s">
        <v>10</v>
      </c>
      <c r="F4554" s="22" t="s">
        <v>18</v>
      </c>
      <c r="G4554" s="22" t="s">
        <v>12</v>
      </c>
    </row>
    <row r="4555" ht="15.15" spans="1:7">
      <c r="A4555" s="20">
        <v>4553</v>
      </c>
      <c r="B4555" s="20">
        <v>5389</v>
      </c>
      <c r="C4555" s="21">
        <v>45150</v>
      </c>
      <c r="D4555" s="20">
        <v>3291.84</v>
      </c>
      <c r="E4555" s="22" t="s">
        <v>10</v>
      </c>
      <c r="F4555" s="22" t="s">
        <v>16</v>
      </c>
      <c r="G4555" s="22" t="s">
        <v>12</v>
      </c>
    </row>
    <row r="4556" ht="15.15" spans="1:7">
      <c r="A4556" s="20">
        <v>4554</v>
      </c>
      <c r="B4556" s="20">
        <v>9163</v>
      </c>
      <c r="C4556" s="21">
        <v>45265</v>
      </c>
      <c r="D4556" s="20">
        <v>3291.84</v>
      </c>
      <c r="E4556" s="22" t="s">
        <v>10</v>
      </c>
      <c r="F4556" s="22" t="s">
        <v>14</v>
      </c>
      <c r="G4556" s="22" t="s">
        <v>12</v>
      </c>
    </row>
    <row r="4557" ht="15.15" spans="1:7">
      <c r="A4557" s="20">
        <v>4555</v>
      </c>
      <c r="B4557" s="20">
        <v>6172</v>
      </c>
      <c r="C4557" s="21">
        <v>45283</v>
      </c>
      <c r="D4557" s="20">
        <v>3291.84</v>
      </c>
      <c r="E4557" s="22" t="s">
        <v>10</v>
      </c>
      <c r="F4557" s="22" t="s">
        <v>14</v>
      </c>
      <c r="G4557" s="22" t="s">
        <v>20</v>
      </c>
    </row>
    <row r="4558" ht="15.15" spans="1:7">
      <c r="A4558" s="20">
        <v>4556</v>
      </c>
      <c r="B4558" s="20">
        <v>4493</v>
      </c>
      <c r="C4558" s="21">
        <v>45181</v>
      </c>
      <c r="D4558" s="20">
        <v>3291.84</v>
      </c>
      <c r="E4558" s="22" t="s">
        <v>10</v>
      </c>
      <c r="F4558" s="22" t="s">
        <v>19</v>
      </c>
      <c r="G4558" s="22" t="s">
        <v>17</v>
      </c>
    </row>
    <row r="4559" ht="15.15" spans="1:7">
      <c r="A4559" s="20">
        <v>4557</v>
      </c>
      <c r="B4559" s="20">
        <v>1765</v>
      </c>
      <c r="C4559" s="21">
        <v>45026</v>
      </c>
      <c r="D4559" s="20">
        <v>3291.84</v>
      </c>
      <c r="E4559" s="22" t="s">
        <v>10</v>
      </c>
      <c r="F4559" s="22" t="s">
        <v>18</v>
      </c>
      <c r="G4559" s="22" t="s">
        <v>15</v>
      </c>
    </row>
    <row r="4560" ht="15.15" spans="1:7">
      <c r="A4560" s="20">
        <v>4558</v>
      </c>
      <c r="B4560" s="20">
        <v>6195</v>
      </c>
      <c r="C4560" s="21">
        <v>45000</v>
      </c>
      <c r="D4560" s="20">
        <v>3291.84</v>
      </c>
      <c r="E4560" s="22" t="s">
        <v>10</v>
      </c>
      <c r="F4560" s="22" t="s">
        <v>11</v>
      </c>
      <c r="G4560" s="22" t="s">
        <v>15</v>
      </c>
    </row>
    <row r="4561" ht="15.15" spans="1:7">
      <c r="A4561" s="20">
        <v>4559</v>
      </c>
      <c r="B4561" s="20">
        <v>5314</v>
      </c>
      <c r="C4561" s="21">
        <v>45224</v>
      </c>
      <c r="D4561" s="20">
        <v>3291.84</v>
      </c>
      <c r="E4561" s="22" t="s">
        <v>10</v>
      </c>
      <c r="F4561" s="22" t="s">
        <v>18</v>
      </c>
      <c r="G4561" s="22" t="s">
        <v>12</v>
      </c>
    </row>
    <row r="4562" ht="15.15" spans="1:7">
      <c r="A4562" s="20">
        <v>4560</v>
      </c>
      <c r="B4562" s="20">
        <v>1934</v>
      </c>
      <c r="C4562" s="21">
        <v>45155</v>
      </c>
      <c r="D4562" s="20">
        <v>3291.84</v>
      </c>
      <c r="E4562" s="22" t="s">
        <v>10</v>
      </c>
      <c r="F4562" s="22" t="s">
        <v>11</v>
      </c>
      <c r="G4562" s="22" t="s">
        <v>12</v>
      </c>
    </row>
    <row r="4563" ht="15.15" spans="1:7">
      <c r="A4563" s="20">
        <v>4561</v>
      </c>
      <c r="B4563" s="20">
        <v>4625</v>
      </c>
      <c r="C4563" s="21">
        <v>45235</v>
      </c>
      <c r="D4563" s="20">
        <v>3291.84</v>
      </c>
      <c r="E4563" s="22" t="s">
        <v>10</v>
      </c>
      <c r="F4563" s="22" t="s">
        <v>14</v>
      </c>
      <c r="G4563" s="22" t="s">
        <v>15</v>
      </c>
    </row>
    <row r="4564" ht="15.15" spans="1:7">
      <c r="A4564" s="20">
        <v>4562</v>
      </c>
      <c r="B4564" s="20">
        <v>2673</v>
      </c>
      <c r="C4564" s="21">
        <v>45289</v>
      </c>
      <c r="D4564" s="20">
        <v>3291.84</v>
      </c>
      <c r="E4564" s="22" t="s">
        <v>10</v>
      </c>
      <c r="F4564" s="22" t="s">
        <v>18</v>
      </c>
      <c r="G4564" s="22" t="s">
        <v>12</v>
      </c>
    </row>
    <row r="4565" ht="15.15" spans="1:7">
      <c r="A4565" s="20">
        <v>4563</v>
      </c>
      <c r="B4565" s="20">
        <v>8516</v>
      </c>
      <c r="C4565" s="21">
        <v>45057</v>
      </c>
      <c r="D4565" s="20">
        <v>3291.84</v>
      </c>
      <c r="E4565" s="22" t="s">
        <v>10</v>
      </c>
      <c r="F4565" s="22" t="s">
        <v>18</v>
      </c>
      <c r="G4565" s="22" t="s">
        <v>15</v>
      </c>
    </row>
    <row r="4566" ht="15.15" spans="1:7">
      <c r="A4566" s="20">
        <v>4564</v>
      </c>
      <c r="B4566" s="20">
        <v>4440</v>
      </c>
      <c r="C4566" s="21">
        <v>45082</v>
      </c>
      <c r="D4566" s="20">
        <v>3291.84</v>
      </c>
      <c r="E4566" s="22" t="s">
        <v>10</v>
      </c>
      <c r="F4566" s="22" t="s">
        <v>14</v>
      </c>
      <c r="G4566" s="22" t="s">
        <v>20</v>
      </c>
    </row>
    <row r="4567" ht="15.15" spans="1:7">
      <c r="A4567" s="20">
        <v>4565</v>
      </c>
      <c r="B4567" s="20">
        <v>6185</v>
      </c>
      <c r="C4567" s="21">
        <v>45259</v>
      </c>
      <c r="D4567" s="20">
        <v>3291.84</v>
      </c>
      <c r="E4567" s="22" t="s">
        <v>10</v>
      </c>
      <c r="F4567" s="22" t="s">
        <v>13</v>
      </c>
      <c r="G4567" s="22" t="s">
        <v>17</v>
      </c>
    </row>
    <row r="4568" ht="15.15" spans="1:7">
      <c r="A4568" s="20">
        <v>4566</v>
      </c>
      <c r="B4568" s="20">
        <v>9300</v>
      </c>
      <c r="C4568" s="21">
        <v>45211</v>
      </c>
      <c r="D4568" s="20">
        <v>3291.84</v>
      </c>
      <c r="E4568" s="22" t="s">
        <v>10</v>
      </c>
      <c r="F4568" s="22" t="s">
        <v>11</v>
      </c>
      <c r="G4568" s="22" t="s">
        <v>20</v>
      </c>
    </row>
    <row r="4569" ht="15.15" spans="1:7">
      <c r="A4569" s="20">
        <v>4567</v>
      </c>
      <c r="B4569" s="20">
        <v>4445</v>
      </c>
      <c r="C4569" s="21">
        <v>44941</v>
      </c>
      <c r="D4569" s="20">
        <v>3291.84</v>
      </c>
      <c r="E4569" s="22" t="s">
        <v>10</v>
      </c>
      <c r="F4569" s="22" t="s">
        <v>14</v>
      </c>
      <c r="G4569" s="22" t="s">
        <v>20</v>
      </c>
    </row>
    <row r="4570" ht="15.15" spans="1:7">
      <c r="A4570" s="20">
        <v>4568</v>
      </c>
      <c r="B4570" s="20">
        <v>5608</v>
      </c>
      <c r="C4570" s="21">
        <v>45258</v>
      </c>
      <c r="D4570" s="20">
        <v>3291.84</v>
      </c>
      <c r="E4570" s="22" t="s">
        <v>10</v>
      </c>
      <c r="F4570" s="22" t="s">
        <v>11</v>
      </c>
      <c r="G4570" s="22" t="s">
        <v>17</v>
      </c>
    </row>
    <row r="4571" ht="15.15" spans="1:7">
      <c r="A4571" s="20">
        <v>4569</v>
      </c>
      <c r="B4571" s="20">
        <v>2698</v>
      </c>
      <c r="C4571" s="21">
        <v>45271</v>
      </c>
      <c r="D4571" s="20">
        <v>3291.84</v>
      </c>
      <c r="E4571" s="22" t="s">
        <v>10</v>
      </c>
      <c r="F4571" s="22" t="s">
        <v>18</v>
      </c>
      <c r="G4571" s="22" t="s">
        <v>15</v>
      </c>
    </row>
    <row r="4572" ht="15.15" spans="1:7">
      <c r="A4572" s="20">
        <v>4570</v>
      </c>
      <c r="B4572" s="20">
        <v>7461</v>
      </c>
      <c r="C4572" s="21">
        <v>45020</v>
      </c>
      <c r="D4572" s="20">
        <v>3291.84</v>
      </c>
      <c r="E4572" s="22" t="s">
        <v>10</v>
      </c>
      <c r="F4572" s="22" t="s">
        <v>18</v>
      </c>
      <c r="G4572" s="22" t="s">
        <v>20</v>
      </c>
    </row>
    <row r="4573" ht="15.15" spans="1:7">
      <c r="A4573" s="20">
        <v>4571</v>
      </c>
      <c r="B4573" s="20">
        <v>9968</v>
      </c>
      <c r="C4573" s="21">
        <v>44957</v>
      </c>
      <c r="D4573" s="20">
        <v>3291.84</v>
      </c>
      <c r="E4573" s="22" t="s">
        <v>10</v>
      </c>
      <c r="F4573" s="22" t="s">
        <v>16</v>
      </c>
      <c r="G4573" s="22" t="s">
        <v>17</v>
      </c>
    </row>
    <row r="4574" ht="15.15" spans="1:7">
      <c r="A4574" s="20">
        <v>4572</v>
      </c>
      <c r="B4574" s="20">
        <v>2223</v>
      </c>
      <c r="C4574" s="21">
        <v>44942</v>
      </c>
      <c r="D4574" s="20">
        <v>3291.84</v>
      </c>
      <c r="E4574" s="22" t="s">
        <v>10</v>
      </c>
      <c r="F4574" s="22" t="s">
        <v>11</v>
      </c>
      <c r="G4574" s="22" t="s">
        <v>17</v>
      </c>
    </row>
    <row r="4575" ht="15.15" spans="1:7">
      <c r="A4575" s="20">
        <v>4573</v>
      </c>
      <c r="B4575" s="20">
        <v>6834</v>
      </c>
      <c r="C4575" s="21">
        <v>45036</v>
      </c>
      <c r="D4575" s="20">
        <v>3291.84</v>
      </c>
      <c r="E4575" s="22" t="s">
        <v>10</v>
      </c>
      <c r="F4575" s="22" t="s">
        <v>13</v>
      </c>
      <c r="G4575" s="22" t="s">
        <v>17</v>
      </c>
    </row>
    <row r="4576" ht="15.15" spans="1:7">
      <c r="A4576" s="20">
        <v>4574</v>
      </c>
      <c r="B4576" s="20">
        <v>783</v>
      </c>
      <c r="C4576" s="21">
        <v>45223</v>
      </c>
      <c r="D4576" s="20">
        <v>3291.84</v>
      </c>
      <c r="E4576" s="22" t="s">
        <v>10</v>
      </c>
      <c r="F4576" s="22" t="s">
        <v>16</v>
      </c>
      <c r="G4576" s="22" t="s">
        <v>20</v>
      </c>
    </row>
    <row r="4577" ht="15.15" spans="1:7">
      <c r="A4577" s="20">
        <v>4575</v>
      </c>
      <c r="B4577" s="20">
        <v>4211</v>
      </c>
      <c r="C4577" s="21">
        <v>44966</v>
      </c>
      <c r="D4577" s="20">
        <v>3291.84</v>
      </c>
      <c r="E4577" s="22" t="s">
        <v>10</v>
      </c>
      <c r="F4577" s="22" t="s">
        <v>14</v>
      </c>
      <c r="G4577" s="22" t="s">
        <v>17</v>
      </c>
    </row>
    <row r="4578" ht="15.15" spans="1:7">
      <c r="A4578" s="20">
        <v>4576</v>
      </c>
      <c r="B4578" s="20">
        <v>3170</v>
      </c>
      <c r="C4578" s="21">
        <v>45100</v>
      </c>
      <c r="D4578" s="20">
        <v>3291.84</v>
      </c>
      <c r="E4578" s="22" t="s">
        <v>10</v>
      </c>
      <c r="F4578" s="22" t="s">
        <v>14</v>
      </c>
      <c r="G4578" s="22" t="s">
        <v>20</v>
      </c>
    </row>
    <row r="4579" ht="15.15" spans="1:7">
      <c r="A4579" s="20">
        <v>4577</v>
      </c>
      <c r="B4579" s="20">
        <v>7424</v>
      </c>
      <c r="C4579" s="21">
        <v>45145</v>
      </c>
      <c r="D4579" s="20">
        <v>3291.84</v>
      </c>
      <c r="E4579" s="22" t="s">
        <v>10</v>
      </c>
      <c r="F4579" s="22" t="s">
        <v>11</v>
      </c>
      <c r="G4579" s="22" t="s">
        <v>20</v>
      </c>
    </row>
    <row r="4580" ht="15.15" spans="1:7">
      <c r="A4580" s="20">
        <v>4578</v>
      </c>
      <c r="B4580" s="20">
        <v>7356</v>
      </c>
      <c r="C4580" s="21">
        <v>45264</v>
      </c>
      <c r="D4580" s="20">
        <v>3291.84</v>
      </c>
      <c r="E4580" s="22" t="s">
        <v>10</v>
      </c>
      <c r="F4580" s="22" t="s">
        <v>13</v>
      </c>
      <c r="G4580" s="22" t="s">
        <v>17</v>
      </c>
    </row>
    <row r="4581" ht="15.15" spans="1:7">
      <c r="A4581" s="20">
        <v>4579</v>
      </c>
      <c r="B4581" s="20">
        <v>2519</v>
      </c>
      <c r="C4581" s="21">
        <v>45249</v>
      </c>
      <c r="D4581" s="20">
        <v>3291.84</v>
      </c>
      <c r="E4581" s="22" t="s">
        <v>10</v>
      </c>
      <c r="F4581" s="22" t="s">
        <v>18</v>
      </c>
      <c r="G4581" s="22" t="s">
        <v>20</v>
      </c>
    </row>
    <row r="4582" ht="15.15" spans="1:7">
      <c r="A4582" s="20">
        <v>4580</v>
      </c>
      <c r="B4582" s="20">
        <v>6448</v>
      </c>
      <c r="C4582" s="21">
        <v>45186</v>
      </c>
      <c r="D4582" s="20">
        <v>3291.84</v>
      </c>
      <c r="E4582" s="22" t="s">
        <v>10</v>
      </c>
      <c r="F4582" s="22" t="s">
        <v>16</v>
      </c>
      <c r="G4582" s="22" t="s">
        <v>12</v>
      </c>
    </row>
    <row r="4583" ht="15.15" spans="1:7">
      <c r="A4583" s="20">
        <v>4581</v>
      </c>
      <c r="B4583" s="20">
        <v>7408</v>
      </c>
      <c r="C4583" s="21">
        <v>44981</v>
      </c>
      <c r="D4583" s="20">
        <v>3291.84</v>
      </c>
      <c r="E4583" s="22" t="s">
        <v>10</v>
      </c>
      <c r="F4583" s="22" t="s">
        <v>13</v>
      </c>
      <c r="G4583" s="22" t="s">
        <v>15</v>
      </c>
    </row>
    <row r="4584" ht="15.15" spans="1:7">
      <c r="A4584" s="20">
        <v>4582</v>
      </c>
      <c r="B4584" s="20">
        <v>2702</v>
      </c>
      <c r="C4584" s="21">
        <v>44960</v>
      </c>
      <c r="D4584" s="20">
        <v>3291.84</v>
      </c>
      <c r="E4584" s="22" t="s">
        <v>10</v>
      </c>
      <c r="F4584" s="22" t="s">
        <v>14</v>
      </c>
      <c r="G4584" s="22" t="s">
        <v>20</v>
      </c>
    </row>
    <row r="4585" ht="15.15" spans="1:7">
      <c r="A4585" s="20">
        <v>4583</v>
      </c>
      <c r="B4585" s="20">
        <v>426</v>
      </c>
      <c r="C4585" s="21">
        <v>45164</v>
      </c>
      <c r="D4585" s="20">
        <v>3291.84</v>
      </c>
      <c r="E4585" s="22" t="s">
        <v>10</v>
      </c>
      <c r="F4585" s="22" t="s">
        <v>16</v>
      </c>
      <c r="G4585" s="22" t="s">
        <v>17</v>
      </c>
    </row>
    <row r="4586" ht="15.15" spans="1:7">
      <c r="A4586" s="20">
        <v>4584</v>
      </c>
      <c r="B4586" s="20">
        <v>3567</v>
      </c>
      <c r="C4586" s="21">
        <v>45291</v>
      </c>
      <c r="D4586" s="20">
        <v>3291.84</v>
      </c>
      <c r="E4586" s="22" t="s">
        <v>10</v>
      </c>
      <c r="F4586" s="22" t="s">
        <v>14</v>
      </c>
      <c r="G4586" s="22" t="s">
        <v>17</v>
      </c>
    </row>
    <row r="4587" ht="15.15" spans="1:7">
      <c r="A4587" s="20">
        <v>4585</v>
      </c>
      <c r="B4587" s="20">
        <v>6316</v>
      </c>
      <c r="C4587" s="21">
        <v>44973</v>
      </c>
      <c r="D4587" s="20">
        <v>3291.84</v>
      </c>
      <c r="E4587" s="22" t="s">
        <v>10</v>
      </c>
      <c r="F4587" s="22" t="s">
        <v>16</v>
      </c>
      <c r="G4587" s="22" t="s">
        <v>17</v>
      </c>
    </row>
    <row r="4588" ht="15.15" spans="1:7">
      <c r="A4588" s="20">
        <v>4586</v>
      </c>
      <c r="B4588" s="20">
        <v>8703</v>
      </c>
      <c r="C4588" s="21">
        <v>44979</v>
      </c>
      <c r="D4588" s="20">
        <v>3291.84</v>
      </c>
      <c r="E4588" s="22" t="s">
        <v>10</v>
      </c>
      <c r="F4588" s="22" t="s">
        <v>16</v>
      </c>
      <c r="G4588" s="22" t="s">
        <v>15</v>
      </c>
    </row>
    <row r="4589" ht="15.15" spans="1:7">
      <c r="A4589" s="20">
        <v>4587</v>
      </c>
      <c r="B4589" s="20">
        <v>1784</v>
      </c>
      <c r="C4589" s="21">
        <v>44995</v>
      </c>
      <c r="D4589" s="20">
        <v>3291.84</v>
      </c>
      <c r="E4589" s="22" t="s">
        <v>10</v>
      </c>
      <c r="F4589" s="22" t="s">
        <v>16</v>
      </c>
      <c r="G4589" s="22" t="s">
        <v>15</v>
      </c>
    </row>
    <row r="4590" ht="15.15" spans="1:7">
      <c r="A4590" s="20">
        <v>4588</v>
      </c>
      <c r="B4590" s="20">
        <v>6172</v>
      </c>
      <c r="C4590" s="21">
        <v>44932</v>
      </c>
      <c r="D4590" s="20">
        <v>3291.84</v>
      </c>
      <c r="E4590" s="22" t="s">
        <v>10</v>
      </c>
      <c r="F4590" s="22" t="s">
        <v>14</v>
      </c>
      <c r="G4590" s="22" t="s">
        <v>15</v>
      </c>
    </row>
    <row r="4591" ht="15.15" spans="1:7">
      <c r="A4591" s="20">
        <v>4589</v>
      </c>
      <c r="B4591" s="20">
        <v>6080</v>
      </c>
      <c r="C4591" s="21">
        <v>45273</v>
      </c>
      <c r="D4591" s="20">
        <v>3291.84</v>
      </c>
      <c r="E4591" s="22" t="s">
        <v>10</v>
      </c>
      <c r="F4591" s="22" t="s">
        <v>16</v>
      </c>
      <c r="G4591" s="22" t="s">
        <v>15</v>
      </c>
    </row>
    <row r="4592" ht="15.15" spans="1:7">
      <c r="A4592" s="20">
        <v>4590</v>
      </c>
      <c r="B4592" s="20">
        <v>9028</v>
      </c>
      <c r="C4592" s="21">
        <v>45195</v>
      </c>
      <c r="D4592" s="20">
        <v>3291.84</v>
      </c>
      <c r="E4592" s="22" t="s">
        <v>10</v>
      </c>
      <c r="F4592" s="22" t="s">
        <v>13</v>
      </c>
      <c r="G4592" s="22" t="s">
        <v>20</v>
      </c>
    </row>
    <row r="4593" ht="15.15" spans="1:7">
      <c r="A4593" s="20">
        <v>4591</v>
      </c>
      <c r="B4593" s="20">
        <v>6815</v>
      </c>
      <c r="C4593" s="21">
        <v>45167</v>
      </c>
      <c r="D4593" s="20">
        <v>3291.84</v>
      </c>
      <c r="E4593" s="22" t="s">
        <v>10</v>
      </c>
      <c r="F4593" s="22" t="s">
        <v>13</v>
      </c>
      <c r="G4593" s="22" t="s">
        <v>17</v>
      </c>
    </row>
    <row r="4594" ht="15.15" spans="1:7">
      <c r="A4594" s="20">
        <v>4592</v>
      </c>
      <c r="B4594" s="20">
        <v>2772</v>
      </c>
      <c r="C4594" s="21">
        <v>45245</v>
      </c>
      <c r="D4594" s="20">
        <v>3291.84</v>
      </c>
      <c r="E4594" s="22" t="s">
        <v>10</v>
      </c>
      <c r="F4594" s="22" t="s">
        <v>18</v>
      </c>
      <c r="G4594" s="22" t="s">
        <v>15</v>
      </c>
    </row>
    <row r="4595" ht="15.15" spans="1:7">
      <c r="A4595" s="20">
        <v>4593</v>
      </c>
      <c r="B4595" s="20">
        <v>159</v>
      </c>
      <c r="C4595" s="21">
        <v>45262</v>
      </c>
      <c r="D4595" s="20">
        <v>3291.84</v>
      </c>
      <c r="E4595" s="22" t="s">
        <v>10</v>
      </c>
      <c r="F4595" s="22" t="s">
        <v>13</v>
      </c>
      <c r="G4595" s="22" t="s">
        <v>20</v>
      </c>
    </row>
    <row r="4596" ht="15.15" spans="1:7">
      <c r="A4596" s="20">
        <v>4594</v>
      </c>
      <c r="B4596" s="20">
        <v>5644</v>
      </c>
      <c r="C4596" s="21">
        <v>45052</v>
      </c>
      <c r="D4596" s="20">
        <v>3291.84</v>
      </c>
      <c r="E4596" s="22" t="s">
        <v>10</v>
      </c>
      <c r="F4596" s="22" t="s">
        <v>18</v>
      </c>
      <c r="G4596" s="22" t="s">
        <v>12</v>
      </c>
    </row>
    <row r="4597" ht="15.15" spans="1:7">
      <c r="A4597" s="20">
        <v>4595</v>
      </c>
      <c r="B4597" s="20">
        <v>1365</v>
      </c>
      <c r="C4597" s="21">
        <v>45282</v>
      </c>
      <c r="D4597" s="20">
        <v>3291.84</v>
      </c>
      <c r="E4597" s="22" t="s">
        <v>10</v>
      </c>
      <c r="F4597" s="22" t="s">
        <v>11</v>
      </c>
      <c r="G4597" s="22" t="s">
        <v>17</v>
      </c>
    </row>
    <row r="4598" ht="15.15" spans="1:7">
      <c r="A4598" s="20">
        <v>4596</v>
      </c>
      <c r="B4598" s="20">
        <v>6632</v>
      </c>
      <c r="C4598" s="21">
        <v>44984</v>
      </c>
      <c r="D4598" s="20">
        <v>3291.84</v>
      </c>
      <c r="E4598" s="22" t="s">
        <v>10</v>
      </c>
      <c r="F4598" s="22" t="s">
        <v>11</v>
      </c>
      <c r="G4598" s="22" t="s">
        <v>12</v>
      </c>
    </row>
    <row r="4599" ht="15.15" spans="1:7">
      <c r="A4599" s="20">
        <v>4597</v>
      </c>
      <c r="B4599" s="20">
        <v>9954</v>
      </c>
      <c r="C4599" s="21">
        <v>45240</v>
      </c>
      <c r="D4599" s="20">
        <v>3291.84</v>
      </c>
      <c r="E4599" s="22" t="s">
        <v>10</v>
      </c>
      <c r="F4599" s="22" t="s">
        <v>16</v>
      </c>
      <c r="G4599" s="22" t="s">
        <v>20</v>
      </c>
    </row>
    <row r="4600" ht="15.15" spans="1:7">
      <c r="A4600" s="20">
        <v>4598</v>
      </c>
      <c r="B4600" s="20">
        <v>8630</v>
      </c>
      <c r="C4600" s="21">
        <v>44981</v>
      </c>
      <c r="D4600" s="20">
        <v>3291.84</v>
      </c>
      <c r="E4600" s="22" t="s">
        <v>10</v>
      </c>
      <c r="F4600" s="22" t="s">
        <v>18</v>
      </c>
      <c r="G4600" s="22" t="s">
        <v>17</v>
      </c>
    </row>
    <row r="4601" ht="15.15" spans="1:7">
      <c r="A4601" s="20">
        <v>4599</v>
      </c>
      <c r="B4601" s="20">
        <v>9052</v>
      </c>
      <c r="C4601" s="21">
        <v>45284</v>
      </c>
      <c r="D4601" s="20">
        <v>3291.84</v>
      </c>
      <c r="E4601" s="22" t="s">
        <v>10</v>
      </c>
      <c r="F4601" s="22" t="s">
        <v>18</v>
      </c>
      <c r="G4601" s="22" t="s">
        <v>15</v>
      </c>
    </row>
    <row r="4602" ht="15.15" spans="1:7">
      <c r="A4602" s="20">
        <v>4600</v>
      </c>
      <c r="B4602" s="20">
        <v>8644</v>
      </c>
      <c r="C4602" s="21">
        <v>44994</v>
      </c>
      <c r="D4602" s="20">
        <v>3291.84</v>
      </c>
      <c r="E4602" s="22" t="s">
        <v>10</v>
      </c>
      <c r="F4602" s="22" t="s">
        <v>11</v>
      </c>
      <c r="G4602" s="22" t="s">
        <v>17</v>
      </c>
    </row>
    <row r="4603" ht="15.15" spans="1:7">
      <c r="A4603" s="20">
        <v>4601</v>
      </c>
      <c r="B4603" s="20">
        <v>9793</v>
      </c>
      <c r="C4603" s="21">
        <v>45001</v>
      </c>
      <c r="D4603" s="20">
        <v>3291.84</v>
      </c>
      <c r="E4603" s="22" t="s">
        <v>10</v>
      </c>
      <c r="F4603" s="22" t="s">
        <v>18</v>
      </c>
      <c r="G4603" s="22" t="s">
        <v>12</v>
      </c>
    </row>
    <row r="4604" ht="15.15" spans="1:7">
      <c r="A4604" s="20">
        <v>4602</v>
      </c>
      <c r="B4604" s="20">
        <v>8387</v>
      </c>
      <c r="C4604" s="21">
        <v>45142</v>
      </c>
      <c r="D4604" s="20">
        <v>3291.84</v>
      </c>
      <c r="E4604" s="22" t="s">
        <v>10</v>
      </c>
      <c r="F4604" s="22" t="s">
        <v>14</v>
      </c>
      <c r="G4604" s="22" t="s">
        <v>20</v>
      </c>
    </row>
    <row r="4605" ht="15.15" spans="1:7">
      <c r="A4605" s="20">
        <v>4603</v>
      </c>
      <c r="B4605" s="20">
        <v>8430</v>
      </c>
      <c r="C4605" s="21">
        <v>44939</v>
      </c>
      <c r="D4605" s="20">
        <v>3291.84</v>
      </c>
      <c r="E4605" s="22" t="s">
        <v>10</v>
      </c>
      <c r="F4605" s="22" t="s">
        <v>16</v>
      </c>
      <c r="G4605" s="22" t="s">
        <v>17</v>
      </c>
    </row>
    <row r="4606" ht="15.15" spans="1:7">
      <c r="A4606" s="20">
        <v>4604</v>
      </c>
      <c r="B4606" s="20">
        <v>6346</v>
      </c>
      <c r="C4606" s="21">
        <v>45228</v>
      </c>
      <c r="D4606" s="20">
        <v>3291.84</v>
      </c>
      <c r="E4606" s="22" t="s">
        <v>10</v>
      </c>
      <c r="F4606" s="22" t="s">
        <v>16</v>
      </c>
      <c r="G4606" s="22" t="s">
        <v>15</v>
      </c>
    </row>
    <row r="4607" ht="15.15" spans="1:7">
      <c r="A4607" s="20">
        <v>4605</v>
      </c>
      <c r="B4607" s="20">
        <v>7355</v>
      </c>
      <c r="C4607" s="21">
        <v>45083</v>
      </c>
      <c r="D4607" s="20">
        <v>3291.84</v>
      </c>
      <c r="E4607" s="22" t="s">
        <v>10</v>
      </c>
      <c r="F4607" s="22" t="s">
        <v>13</v>
      </c>
      <c r="G4607" s="22" t="s">
        <v>15</v>
      </c>
    </row>
    <row r="4608" ht="15.15" spans="1:7">
      <c r="A4608" s="20">
        <v>4606</v>
      </c>
      <c r="B4608" s="20">
        <v>3537</v>
      </c>
      <c r="C4608" s="21">
        <v>45224</v>
      </c>
      <c r="D4608" s="20">
        <v>3291.84</v>
      </c>
      <c r="E4608" s="22" t="s">
        <v>10</v>
      </c>
      <c r="F4608" s="22" t="s">
        <v>11</v>
      </c>
      <c r="G4608" s="22" t="s">
        <v>15</v>
      </c>
    </row>
    <row r="4609" ht="15.15" spans="1:7">
      <c r="A4609" s="20">
        <v>4607</v>
      </c>
      <c r="B4609" s="20">
        <v>1798</v>
      </c>
      <c r="C4609" s="21">
        <v>45275</v>
      </c>
      <c r="D4609" s="20">
        <v>3291.84</v>
      </c>
      <c r="E4609" s="22" t="s">
        <v>10</v>
      </c>
      <c r="F4609" s="22" t="s">
        <v>14</v>
      </c>
      <c r="G4609" s="22" t="s">
        <v>20</v>
      </c>
    </row>
    <row r="4610" ht="15.15" spans="1:7">
      <c r="A4610" s="20">
        <v>4608</v>
      </c>
      <c r="B4610" s="20">
        <v>4672</v>
      </c>
      <c r="C4610" s="21">
        <v>45225</v>
      </c>
      <c r="D4610" s="20">
        <v>3291.84</v>
      </c>
      <c r="E4610" s="22" t="s">
        <v>10</v>
      </c>
      <c r="F4610" s="22" t="s">
        <v>18</v>
      </c>
      <c r="G4610" s="22" t="s">
        <v>20</v>
      </c>
    </row>
    <row r="4611" ht="15.15" spans="1:7">
      <c r="A4611" s="20">
        <v>4609</v>
      </c>
      <c r="B4611" s="20">
        <v>3035</v>
      </c>
      <c r="C4611" s="21">
        <v>45239</v>
      </c>
      <c r="D4611" s="20">
        <v>3291.84</v>
      </c>
      <c r="E4611" s="22" t="s">
        <v>10</v>
      </c>
      <c r="F4611" s="22" t="s">
        <v>18</v>
      </c>
      <c r="G4611" s="22" t="s">
        <v>12</v>
      </c>
    </row>
    <row r="4612" ht="15.15" spans="1:7">
      <c r="A4612" s="20">
        <v>4610</v>
      </c>
      <c r="B4612" s="20">
        <v>2072</v>
      </c>
      <c r="C4612" s="21">
        <v>45128</v>
      </c>
      <c r="D4612" s="20">
        <v>3291.84</v>
      </c>
      <c r="E4612" s="22" t="s">
        <v>10</v>
      </c>
      <c r="F4612" s="22" t="s">
        <v>14</v>
      </c>
      <c r="G4612" s="22" t="s">
        <v>15</v>
      </c>
    </row>
    <row r="4613" ht="15.15" spans="1:7">
      <c r="A4613" s="20">
        <v>4611</v>
      </c>
      <c r="B4613" s="20">
        <v>7034</v>
      </c>
      <c r="C4613" s="21">
        <v>45231</v>
      </c>
      <c r="D4613" s="20">
        <v>3291.84</v>
      </c>
      <c r="E4613" s="22" t="s">
        <v>10</v>
      </c>
      <c r="F4613" s="22" t="s">
        <v>11</v>
      </c>
      <c r="G4613" s="22" t="s">
        <v>12</v>
      </c>
    </row>
    <row r="4614" ht="15.15" spans="1:7">
      <c r="A4614" s="20">
        <v>4612</v>
      </c>
      <c r="B4614" s="20">
        <v>3380</v>
      </c>
      <c r="C4614" s="21">
        <v>44991</v>
      </c>
      <c r="D4614" s="20">
        <v>3291.84</v>
      </c>
      <c r="E4614" s="22" t="s">
        <v>10</v>
      </c>
      <c r="F4614" s="22" t="s">
        <v>11</v>
      </c>
      <c r="G4614" s="22" t="s">
        <v>20</v>
      </c>
    </row>
    <row r="4615" ht="15.15" spans="1:7">
      <c r="A4615" s="20">
        <v>4613</v>
      </c>
      <c r="B4615" s="20">
        <v>210</v>
      </c>
      <c r="C4615" s="21">
        <v>45179</v>
      </c>
      <c r="D4615" s="20">
        <v>3291.84</v>
      </c>
      <c r="E4615" s="22" t="s">
        <v>10</v>
      </c>
      <c r="F4615" s="22" t="s">
        <v>13</v>
      </c>
      <c r="G4615" s="22" t="s">
        <v>12</v>
      </c>
    </row>
    <row r="4616" ht="15.15" spans="1:7">
      <c r="A4616" s="20">
        <v>4614</v>
      </c>
      <c r="B4616" s="20">
        <v>1988</v>
      </c>
      <c r="C4616" s="21">
        <v>45106</v>
      </c>
      <c r="D4616" s="20">
        <v>3291.84</v>
      </c>
      <c r="E4616" s="22" t="s">
        <v>10</v>
      </c>
      <c r="F4616" s="22" t="s">
        <v>14</v>
      </c>
      <c r="G4616" s="22" t="s">
        <v>12</v>
      </c>
    </row>
    <row r="4617" ht="15.15" spans="1:7">
      <c r="A4617" s="20">
        <v>4615</v>
      </c>
      <c r="B4617" s="20">
        <v>9177</v>
      </c>
      <c r="C4617" s="21">
        <v>45282</v>
      </c>
      <c r="D4617" s="20">
        <v>3291.84</v>
      </c>
      <c r="E4617" s="22" t="s">
        <v>10</v>
      </c>
      <c r="F4617" s="22" t="s">
        <v>16</v>
      </c>
      <c r="G4617" s="22" t="s">
        <v>12</v>
      </c>
    </row>
    <row r="4618" ht="15.15" spans="1:7">
      <c r="A4618" s="20">
        <v>4616</v>
      </c>
      <c r="B4618" s="20">
        <v>1245</v>
      </c>
      <c r="C4618" s="21">
        <v>45072</v>
      </c>
      <c r="D4618" s="20">
        <v>3291.84</v>
      </c>
      <c r="E4618" s="22" t="s">
        <v>22</v>
      </c>
      <c r="F4618" s="22" t="s">
        <v>11</v>
      </c>
      <c r="G4618" s="22" t="s">
        <v>15</v>
      </c>
    </row>
    <row r="4619" ht="15.15" spans="1:7">
      <c r="A4619" s="20">
        <v>4617</v>
      </c>
      <c r="B4619" s="20">
        <v>2574</v>
      </c>
      <c r="C4619" s="21">
        <v>45238</v>
      </c>
      <c r="D4619" s="20">
        <v>3291.84</v>
      </c>
      <c r="E4619" s="22" t="s">
        <v>10</v>
      </c>
      <c r="F4619" s="22" t="s">
        <v>11</v>
      </c>
      <c r="G4619" s="22" t="s">
        <v>17</v>
      </c>
    </row>
    <row r="4620" ht="15.15" spans="1:7">
      <c r="A4620" s="20">
        <v>4618</v>
      </c>
      <c r="B4620" s="20">
        <v>3035</v>
      </c>
      <c r="C4620" s="21">
        <v>45179</v>
      </c>
      <c r="D4620" s="20">
        <v>3291.84</v>
      </c>
      <c r="E4620" s="22" t="s">
        <v>10</v>
      </c>
      <c r="F4620" s="22" t="s">
        <v>18</v>
      </c>
      <c r="G4620" s="22" t="s">
        <v>17</v>
      </c>
    </row>
    <row r="4621" ht="15.15" spans="1:7">
      <c r="A4621" s="20">
        <v>4619</v>
      </c>
      <c r="B4621" s="20">
        <v>5651</v>
      </c>
      <c r="C4621" s="21">
        <v>45282</v>
      </c>
      <c r="D4621" s="20">
        <v>3291.84</v>
      </c>
      <c r="E4621" s="22" t="s">
        <v>10</v>
      </c>
      <c r="F4621" s="22" t="s">
        <v>18</v>
      </c>
      <c r="G4621" s="22" t="s">
        <v>20</v>
      </c>
    </row>
    <row r="4622" ht="15.15" spans="1:7">
      <c r="A4622" s="20">
        <v>4620</v>
      </c>
      <c r="B4622" s="20">
        <v>5990</v>
      </c>
      <c r="C4622" s="21">
        <v>45022</v>
      </c>
      <c r="D4622" s="20">
        <v>3291.84</v>
      </c>
      <c r="E4622" s="22" t="s">
        <v>10</v>
      </c>
      <c r="F4622" s="22" t="s">
        <v>16</v>
      </c>
      <c r="G4622" s="22" t="s">
        <v>15</v>
      </c>
    </row>
    <row r="4623" ht="15.15" spans="1:7">
      <c r="A4623" s="20">
        <v>4621</v>
      </c>
      <c r="B4623" s="20">
        <v>9927</v>
      </c>
      <c r="C4623" s="21">
        <v>44967</v>
      </c>
      <c r="D4623" s="20">
        <v>3291.84</v>
      </c>
      <c r="E4623" s="22" t="s">
        <v>22</v>
      </c>
      <c r="F4623" s="22" t="s">
        <v>11</v>
      </c>
      <c r="G4623" s="22" t="s">
        <v>15</v>
      </c>
    </row>
    <row r="4624" ht="15.15" spans="1:7">
      <c r="A4624" s="20">
        <v>4622</v>
      </c>
      <c r="B4624" s="20">
        <v>373</v>
      </c>
      <c r="C4624" s="21">
        <v>45102</v>
      </c>
      <c r="D4624" s="20">
        <v>3291.84</v>
      </c>
      <c r="E4624" s="22" t="s">
        <v>10</v>
      </c>
      <c r="F4624" s="22" t="s">
        <v>14</v>
      </c>
      <c r="G4624" s="22" t="s">
        <v>17</v>
      </c>
    </row>
    <row r="4625" ht="15.15" spans="1:7">
      <c r="A4625" s="20">
        <v>4623</v>
      </c>
      <c r="B4625" s="20">
        <v>7825</v>
      </c>
      <c r="C4625" s="21">
        <v>44996</v>
      </c>
      <c r="D4625" s="20">
        <v>3291.84</v>
      </c>
      <c r="E4625" s="22" t="s">
        <v>10</v>
      </c>
      <c r="F4625" s="22" t="s">
        <v>18</v>
      </c>
      <c r="G4625" s="22" t="s">
        <v>20</v>
      </c>
    </row>
    <row r="4626" ht="15.15" spans="1:7">
      <c r="A4626" s="20">
        <v>4624</v>
      </c>
      <c r="B4626" s="20">
        <v>9454</v>
      </c>
      <c r="C4626" s="21">
        <v>45128</v>
      </c>
      <c r="D4626" s="20">
        <v>3291.84</v>
      </c>
      <c r="E4626" s="22" t="s">
        <v>10</v>
      </c>
      <c r="F4626" s="22" t="s">
        <v>13</v>
      </c>
      <c r="G4626" s="22" t="s">
        <v>15</v>
      </c>
    </row>
    <row r="4627" ht="15.15" spans="1:7">
      <c r="A4627" s="20">
        <v>4625</v>
      </c>
      <c r="B4627" s="20">
        <v>6344</v>
      </c>
      <c r="C4627" s="21">
        <v>45235</v>
      </c>
      <c r="D4627" s="20">
        <v>3291.84</v>
      </c>
      <c r="E4627" s="22" t="s">
        <v>10</v>
      </c>
      <c r="F4627" s="22" t="s">
        <v>18</v>
      </c>
      <c r="G4627" s="22" t="s">
        <v>17</v>
      </c>
    </row>
    <row r="4628" ht="15.15" spans="1:7">
      <c r="A4628" s="20">
        <v>4626</v>
      </c>
      <c r="B4628" s="20">
        <v>1903</v>
      </c>
      <c r="C4628" s="21">
        <v>45117</v>
      </c>
      <c r="D4628" s="20">
        <v>3291.84</v>
      </c>
      <c r="E4628" s="22" t="s">
        <v>10</v>
      </c>
      <c r="F4628" s="22" t="s">
        <v>13</v>
      </c>
      <c r="G4628" s="22" t="s">
        <v>17</v>
      </c>
    </row>
    <row r="4629" ht="15.15" spans="1:7">
      <c r="A4629" s="20">
        <v>4627</v>
      </c>
      <c r="B4629" s="20">
        <v>8152</v>
      </c>
      <c r="C4629" s="21">
        <v>45234</v>
      </c>
      <c r="D4629" s="20">
        <v>3291.84</v>
      </c>
      <c r="E4629" s="22" t="s">
        <v>10</v>
      </c>
      <c r="F4629" s="22" t="s">
        <v>14</v>
      </c>
      <c r="G4629" s="22" t="s">
        <v>17</v>
      </c>
    </row>
    <row r="4630" ht="15.15" spans="1:7">
      <c r="A4630" s="20">
        <v>4628</v>
      </c>
      <c r="B4630" s="20">
        <v>1716</v>
      </c>
      <c r="C4630" s="21">
        <v>45040</v>
      </c>
      <c r="D4630" s="20">
        <v>3291.84</v>
      </c>
      <c r="E4630" s="22" t="s">
        <v>10</v>
      </c>
      <c r="F4630" s="22" t="s">
        <v>18</v>
      </c>
      <c r="G4630" s="22" t="s">
        <v>12</v>
      </c>
    </row>
    <row r="4631" ht="15.15" spans="1:7">
      <c r="A4631" s="20">
        <v>4629</v>
      </c>
      <c r="B4631" s="20">
        <v>9927</v>
      </c>
      <c r="C4631" s="21">
        <v>45279</v>
      </c>
      <c r="D4631" s="20">
        <v>3291.84</v>
      </c>
      <c r="E4631" s="22" t="s">
        <v>10</v>
      </c>
      <c r="F4631" s="22" t="s">
        <v>11</v>
      </c>
      <c r="G4631" s="22" t="s">
        <v>17</v>
      </c>
    </row>
    <row r="4632" ht="15.15" spans="1:7">
      <c r="A4632" s="20">
        <v>4630</v>
      </c>
      <c r="B4632" s="20">
        <v>5285</v>
      </c>
      <c r="C4632" s="21">
        <v>45270</v>
      </c>
      <c r="D4632" s="20">
        <v>3291.84</v>
      </c>
      <c r="E4632" s="22" t="s">
        <v>10</v>
      </c>
      <c r="F4632" s="22" t="s">
        <v>16</v>
      </c>
      <c r="G4632" s="22" t="s">
        <v>17</v>
      </c>
    </row>
    <row r="4633" ht="15.15" spans="1:7">
      <c r="A4633" s="20">
        <v>4631</v>
      </c>
      <c r="B4633" s="20">
        <v>8320</v>
      </c>
      <c r="C4633" s="21">
        <v>45192</v>
      </c>
      <c r="D4633" s="20">
        <v>3291.84</v>
      </c>
      <c r="E4633" s="22" t="s">
        <v>10</v>
      </c>
      <c r="F4633" s="22" t="s">
        <v>16</v>
      </c>
      <c r="G4633" s="22" t="s">
        <v>17</v>
      </c>
    </row>
    <row r="4634" ht="15.15" spans="1:7">
      <c r="A4634" s="20">
        <v>4632</v>
      </c>
      <c r="B4634" s="20">
        <v>9911</v>
      </c>
      <c r="C4634" s="21">
        <v>45168</v>
      </c>
      <c r="D4634" s="20">
        <v>3291.84</v>
      </c>
      <c r="E4634" s="22" t="s">
        <v>10</v>
      </c>
      <c r="F4634" s="22" t="s">
        <v>16</v>
      </c>
      <c r="G4634" s="22" t="s">
        <v>17</v>
      </c>
    </row>
    <row r="4635" ht="15.15" spans="1:7">
      <c r="A4635" s="20">
        <v>4633</v>
      </c>
      <c r="B4635" s="20">
        <v>923</v>
      </c>
      <c r="C4635" s="21">
        <v>45124</v>
      </c>
      <c r="D4635" s="20">
        <v>3291.84</v>
      </c>
      <c r="E4635" s="22" t="s">
        <v>10</v>
      </c>
      <c r="F4635" s="22" t="s">
        <v>13</v>
      </c>
      <c r="G4635" s="22" t="s">
        <v>12</v>
      </c>
    </row>
    <row r="4636" ht="15.15" spans="1:7">
      <c r="A4636" s="20">
        <v>4634</v>
      </c>
      <c r="B4636" s="20">
        <v>4501</v>
      </c>
      <c r="C4636" s="21">
        <v>45026</v>
      </c>
      <c r="D4636" s="20">
        <v>3291.84</v>
      </c>
      <c r="E4636" s="22" t="s">
        <v>10</v>
      </c>
      <c r="F4636" s="22" t="s">
        <v>18</v>
      </c>
      <c r="G4636" s="22" t="s">
        <v>17</v>
      </c>
    </row>
    <row r="4637" ht="15.15" spans="1:7">
      <c r="A4637" s="20">
        <v>4635</v>
      </c>
      <c r="B4637" s="20">
        <v>1515</v>
      </c>
      <c r="C4637" s="21">
        <v>44982</v>
      </c>
      <c r="D4637" s="20">
        <v>3291.84</v>
      </c>
      <c r="E4637" s="22" t="s">
        <v>10</v>
      </c>
      <c r="F4637" s="22" t="s">
        <v>14</v>
      </c>
      <c r="G4637" s="22" t="s">
        <v>17</v>
      </c>
    </row>
    <row r="4638" ht="15.15" spans="1:7">
      <c r="A4638" s="20">
        <v>4636</v>
      </c>
      <c r="B4638" s="20">
        <v>1192</v>
      </c>
      <c r="C4638" s="21">
        <v>44937</v>
      </c>
      <c r="D4638" s="20">
        <v>3291.84</v>
      </c>
      <c r="E4638" s="22" t="s">
        <v>10</v>
      </c>
      <c r="F4638" s="22" t="s">
        <v>13</v>
      </c>
      <c r="G4638" s="22" t="s">
        <v>15</v>
      </c>
    </row>
    <row r="4639" ht="15.15" spans="1:7">
      <c r="A4639" s="20">
        <v>4637</v>
      </c>
      <c r="B4639" s="20">
        <v>4841</v>
      </c>
      <c r="C4639" s="21">
        <v>45077</v>
      </c>
      <c r="D4639" s="20">
        <v>3291.84</v>
      </c>
      <c r="E4639" s="22" t="s">
        <v>10</v>
      </c>
      <c r="F4639" s="22" t="s">
        <v>19</v>
      </c>
      <c r="G4639" s="22" t="s">
        <v>20</v>
      </c>
    </row>
    <row r="4640" ht="15.15" spans="1:7">
      <c r="A4640" s="20">
        <v>4638</v>
      </c>
      <c r="B4640" s="20">
        <v>6431</v>
      </c>
      <c r="C4640" s="21">
        <v>44928</v>
      </c>
      <c r="D4640" s="20">
        <v>3291.84</v>
      </c>
      <c r="E4640" s="22" t="s">
        <v>10</v>
      </c>
      <c r="F4640" s="22" t="s">
        <v>11</v>
      </c>
      <c r="G4640" s="22" t="s">
        <v>12</v>
      </c>
    </row>
    <row r="4641" ht="15.15" spans="1:7">
      <c r="A4641" s="20">
        <v>4639</v>
      </c>
      <c r="B4641" s="20">
        <v>6485</v>
      </c>
      <c r="C4641" s="21">
        <v>45012</v>
      </c>
      <c r="D4641" s="20">
        <v>3291.84</v>
      </c>
      <c r="E4641" s="22" t="s">
        <v>10</v>
      </c>
      <c r="F4641" s="22" t="s">
        <v>13</v>
      </c>
      <c r="G4641" s="22" t="s">
        <v>17</v>
      </c>
    </row>
    <row r="4642" ht="15.15" spans="1:7">
      <c r="A4642" s="20">
        <v>4640</v>
      </c>
      <c r="B4642" s="20">
        <v>1746</v>
      </c>
      <c r="C4642" s="21">
        <v>45255</v>
      </c>
      <c r="D4642" s="20">
        <v>3291.84</v>
      </c>
      <c r="E4642" s="22" t="s">
        <v>10</v>
      </c>
      <c r="F4642" s="22" t="s">
        <v>16</v>
      </c>
      <c r="G4642" s="22" t="s">
        <v>17</v>
      </c>
    </row>
    <row r="4643" ht="15.15" spans="1:7">
      <c r="A4643" s="20">
        <v>4641</v>
      </c>
      <c r="B4643" s="20">
        <v>9281</v>
      </c>
      <c r="C4643" s="21">
        <v>45205</v>
      </c>
      <c r="D4643" s="20">
        <v>3291.84</v>
      </c>
      <c r="E4643" s="22" t="s">
        <v>10</v>
      </c>
      <c r="F4643" s="22" t="s">
        <v>14</v>
      </c>
      <c r="G4643" s="22" t="s">
        <v>17</v>
      </c>
    </row>
    <row r="4644" ht="15.15" spans="1:7">
      <c r="A4644" s="20">
        <v>4642</v>
      </c>
      <c r="B4644" s="20">
        <v>5360</v>
      </c>
      <c r="C4644" s="21">
        <v>45069</v>
      </c>
      <c r="D4644" s="20">
        <v>3291.84</v>
      </c>
      <c r="E4644" s="22" t="s">
        <v>10</v>
      </c>
      <c r="F4644" s="22" t="s">
        <v>18</v>
      </c>
      <c r="G4644" s="22" t="s">
        <v>20</v>
      </c>
    </row>
    <row r="4645" ht="15.15" spans="1:7">
      <c r="A4645" s="20">
        <v>4643</v>
      </c>
      <c r="B4645" s="20">
        <v>1494</v>
      </c>
      <c r="C4645" s="21">
        <v>45085</v>
      </c>
      <c r="D4645" s="20">
        <v>3291.84</v>
      </c>
      <c r="E4645" s="22" t="s">
        <v>10</v>
      </c>
      <c r="F4645" s="22" t="s">
        <v>13</v>
      </c>
      <c r="G4645" s="22" t="s">
        <v>12</v>
      </c>
    </row>
    <row r="4646" ht="15.15" spans="1:7">
      <c r="A4646" s="20">
        <v>4644</v>
      </c>
      <c r="B4646" s="20">
        <v>6137</v>
      </c>
      <c r="C4646" s="21">
        <v>45008</v>
      </c>
      <c r="D4646" s="20">
        <v>3291.84</v>
      </c>
      <c r="E4646" s="22" t="s">
        <v>10</v>
      </c>
      <c r="F4646" s="22" t="s">
        <v>18</v>
      </c>
      <c r="G4646" s="22" t="s">
        <v>17</v>
      </c>
    </row>
    <row r="4647" ht="15.15" spans="1:7">
      <c r="A4647" s="20">
        <v>4645</v>
      </c>
      <c r="B4647" s="20">
        <v>2321</v>
      </c>
      <c r="C4647" s="21">
        <v>45261</v>
      </c>
      <c r="D4647" s="20">
        <v>3291.84</v>
      </c>
      <c r="E4647" s="22" t="s">
        <v>10</v>
      </c>
      <c r="F4647" s="22" t="s">
        <v>11</v>
      </c>
      <c r="G4647" s="22" t="s">
        <v>17</v>
      </c>
    </row>
    <row r="4648" ht="15.15" spans="1:7">
      <c r="A4648" s="20">
        <v>4646</v>
      </c>
      <c r="B4648" s="20">
        <v>8795</v>
      </c>
      <c r="C4648" s="21">
        <v>45281</v>
      </c>
      <c r="D4648" s="20">
        <v>3291.84</v>
      </c>
      <c r="E4648" s="22" t="s">
        <v>10</v>
      </c>
      <c r="F4648" s="22" t="s">
        <v>14</v>
      </c>
      <c r="G4648" s="22" t="s">
        <v>15</v>
      </c>
    </row>
    <row r="4649" ht="15.15" spans="1:7">
      <c r="A4649" s="20">
        <v>4647</v>
      </c>
      <c r="B4649" s="20">
        <v>8801</v>
      </c>
      <c r="C4649" s="21">
        <v>44943</v>
      </c>
      <c r="D4649" s="20">
        <v>3291.84</v>
      </c>
      <c r="E4649" s="22" t="s">
        <v>22</v>
      </c>
      <c r="F4649" s="22" t="s">
        <v>16</v>
      </c>
      <c r="G4649" s="22" t="s">
        <v>15</v>
      </c>
    </row>
    <row r="4650" ht="15.15" spans="1:7">
      <c r="A4650" s="20">
        <v>4648</v>
      </c>
      <c r="B4650" s="20">
        <v>4127</v>
      </c>
      <c r="C4650" s="21">
        <v>45002</v>
      </c>
      <c r="D4650" s="20">
        <v>3291.84</v>
      </c>
      <c r="E4650" s="22" t="s">
        <v>10</v>
      </c>
      <c r="F4650" s="22" t="s">
        <v>11</v>
      </c>
      <c r="G4650" s="22" t="s">
        <v>20</v>
      </c>
    </row>
    <row r="4651" ht="15.15" spans="1:7">
      <c r="A4651" s="20">
        <v>4649</v>
      </c>
      <c r="B4651" s="20">
        <v>839</v>
      </c>
      <c r="C4651" s="21">
        <v>44929</v>
      </c>
      <c r="D4651" s="20">
        <v>3291.84</v>
      </c>
      <c r="E4651" s="22" t="s">
        <v>10</v>
      </c>
      <c r="F4651" s="22" t="s">
        <v>16</v>
      </c>
      <c r="G4651" s="22" t="s">
        <v>20</v>
      </c>
    </row>
    <row r="4652" ht="15.15" spans="1:7">
      <c r="A4652" s="20">
        <v>4650</v>
      </c>
      <c r="B4652" s="20">
        <v>5139</v>
      </c>
      <c r="C4652" s="21">
        <v>45072</v>
      </c>
      <c r="D4652" s="20">
        <v>3291.84</v>
      </c>
      <c r="E4652" s="22" t="s">
        <v>10</v>
      </c>
      <c r="F4652" s="22" t="s">
        <v>13</v>
      </c>
      <c r="G4652" s="22" t="s">
        <v>20</v>
      </c>
    </row>
    <row r="4653" ht="15.15" spans="1:7">
      <c r="A4653" s="20">
        <v>4651</v>
      </c>
      <c r="B4653" s="20">
        <v>8510</v>
      </c>
      <c r="C4653" s="21">
        <v>45036</v>
      </c>
      <c r="D4653" s="20">
        <v>3291.84</v>
      </c>
      <c r="E4653" s="22" t="s">
        <v>10</v>
      </c>
      <c r="F4653" s="22" t="s">
        <v>14</v>
      </c>
      <c r="G4653" s="22" t="s">
        <v>20</v>
      </c>
    </row>
    <row r="4654" ht="15.15" spans="1:7">
      <c r="A4654" s="20">
        <v>4652</v>
      </c>
      <c r="B4654" s="20">
        <v>6820</v>
      </c>
      <c r="C4654" s="21">
        <v>44975</v>
      </c>
      <c r="D4654" s="20">
        <v>3291.84</v>
      </c>
      <c r="E4654" s="22" t="s">
        <v>10</v>
      </c>
      <c r="F4654" s="22" t="s">
        <v>13</v>
      </c>
      <c r="G4654" s="22" t="s">
        <v>17</v>
      </c>
    </row>
    <row r="4655" ht="15.15" spans="1:7">
      <c r="A4655" s="20">
        <v>4653</v>
      </c>
      <c r="B4655" s="20">
        <v>7692</v>
      </c>
      <c r="C4655" s="21">
        <v>45040</v>
      </c>
      <c r="D4655" s="20">
        <v>3291.84</v>
      </c>
      <c r="E4655" s="22" t="s">
        <v>10</v>
      </c>
      <c r="F4655" s="22" t="s">
        <v>16</v>
      </c>
      <c r="G4655" s="22" t="s">
        <v>12</v>
      </c>
    </row>
    <row r="4656" ht="15.15" spans="1:7">
      <c r="A4656" s="20">
        <v>4654</v>
      </c>
      <c r="B4656" s="20">
        <v>7886</v>
      </c>
      <c r="C4656" s="21">
        <v>45120</v>
      </c>
      <c r="D4656" s="20">
        <v>3291.84</v>
      </c>
      <c r="E4656" s="22" t="s">
        <v>10</v>
      </c>
      <c r="F4656" s="22" t="s">
        <v>11</v>
      </c>
      <c r="G4656" s="22" t="s">
        <v>20</v>
      </c>
    </row>
    <row r="4657" ht="15.15" spans="1:7">
      <c r="A4657" s="20">
        <v>4655</v>
      </c>
      <c r="B4657" s="20">
        <v>5646</v>
      </c>
      <c r="C4657" s="21">
        <v>45218</v>
      </c>
      <c r="D4657" s="20">
        <v>3291.84</v>
      </c>
      <c r="E4657" s="22" t="s">
        <v>10</v>
      </c>
      <c r="F4657" s="22" t="s">
        <v>18</v>
      </c>
      <c r="G4657" s="22" t="s">
        <v>15</v>
      </c>
    </row>
    <row r="4658" ht="15.15" spans="1:7">
      <c r="A4658" s="20">
        <v>4656</v>
      </c>
      <c r="B4658" s="20">
        <v>4945</v>
      </c>
      <c r="C4658" s="21">
        <v>45052</v>
      </c>
      <c r="D4658" s="20">
        <v>3291.84</v>
      </c>
      <c r="E4658" s="22" t="s">
        <v>10</v>
      </c>
      <c r="F4658" s="22" t="s">
        <v>13</v>
      </c>
      <c r="G4658" s="22" t="s">
        <v>12</v>
      </c>
    </row>
    <row r="4659" ht="15.15" spans="1:7">
      <c r="A4659" s="20">
        <v>4657</v>
      </c>
      <c r="B4659" s="20">
        <v>1141</v>
      </c>
      <c r="C4659" s="21">
        <v>45225</v>
      </c>
      <c r="D4659" s="20">
        <v>3291.84</v>
      </c>
      <c r="E4659" s="22" t="s">
        <v>10</v>
      </c>
      <c r="F4659" s="22" t="s">
        <v>14</v>
      </c>
      <c r="G4659" s="22" t="s">
        <v>20</v>
      </c>
    </row>
    <row r="4660" ht="15.15" spans="1:7">
      <c r="A4660" s="20">
        <v>4658</v>
      </c>
      <c r="B4660" s="20">
        <v>5073</v>
      </c>
      <c r="C4660" s="21">
        <v>45064</v>
      </c>
      <c r="D4660" s="20">
        <v>3291.84</v>
      </c>
      <c r="E4660" s="22" t="s">
        <v>10</v>
      </c>
      <c r="F4660" s="22" t="s">
        <v>18</v>
      </c>
      <c r="G4660" s="22" t="s">
        <v>20</v>
      </c>
    </row>
    <row r="4661" ht="15.15" spans="1:7">
      <c r="A4661" s="20">
        <v>4659</v>
      </c>
      <c r="B4661" s="20">
        <v>8</v>
      </c>
      <c r="C4661" s="21">
        <v>45222</v>
      </c>
      <c r="D4661" s="20">
        <v>3291.84</v>
      </c>
      <c r="E4661" s="22" t="s">
        <v>10</v>
      </c>
      <c r="F4661" s="22" t="s">
        <v>16</v>
      </c>
      <c r="G4661" s="22" t="s">
        <v>17</v>
      </c>
    </row>
    <row r="4662" ht="15.15" spans="1:7">
      <c r="A4662" s="20">
        <v>4660</v>
      </c>
      <c r="B4662" s="20">
        <v>7508</v>
      </c>
      <c r="C4662" s="21">
        <v>45113</v>
      </c>
      <c r="D4662" s="20">
        <v>3291.84</v>
      </c>
      <c r="E4662" s="22" t="s">
        <v>10</v>
      </c>
      <c r="F4662" s="22" t="s">
        <v>13</v>
      </c>
      <c r="G4662" s="22" t="s">
        <v>20</v>
      </c>
    </row>
    <row r="4663" ht="15.15" spans="1:7">
      <c r="A4663" s="20">
        <v>4661</v>
      </c>
      <c r="B4663" s="20">
        <v>3548</v>
      </c>
      <c r="C4663" s="21">
        <v>45061</v>
      </c>
      <c r="D4663" s="20">
        <v>3291.84</v>
      </c>
      <c r="E4663" s="22" t="s">
        <v>10</v>
      </c>
      <c r="F4663" s="22" t="s">
        <v>16</v>
      </c>
      <c r="G4663" s="22" t="s">
        <v>17</v>
      </c>
    </row>
    <row r="4664" ht="15.15" spans="1:7">
      <c r="A4664" s="20">
        <v>4662</v>
      </c>
      <c r="B4664" s="20">
        <v>4131</v>
      </c>
      <c r="C4664" s="21">
        <v>44929</v>
      </c>
      <c r="D4664" s="20">
        <v>3291.84</v>
      </c>
      <c r="E4664" s="22" t="s">
        <v>10</v>
      </c>
      <c r="F4664" s="22" t="s">
        <v>14</v>
      </c>
      <c r="G4664" s="22" t="s">
        <v>12</v>
      </c>
    </row>
    <row r="4665" ht="15.15" spans="1:7">
      <c r="A4665" s="20">
        <v>4663</v>
      </c>
      <c r="B4665" s="20">
        <v>5781</v>
      </c>
      <c r="C4665" s="21">
        <v>45169</v>
      </c>
      <c r="D4665" s="20">
        <v>3291.84</v>
      </c>
      <c r="E4665" s="22" t="s">
        <v>10</v>
      </c>
      <c r="F4665" s="22" t="s">
        <v>11</v>
      </c>
      <c r="G4665" s="22" t="s">
        <v>15</v>
      </c>
    </row>
    <row r="4666" ht="15.15" spans="1:7">
      <c r="A4666" s="20">
        <v>4664</v>
      </c>
      <c r="B4666" s="20">
        <v>3490</v>
      </c>
      <c r="C4666" s="21">
        <v>44941</v>
      </c>
      <c r="D4666" s="20">
        <v>3291.84</v>
      </c>
      <c r="E4666" s="22" t="s">
        <v>10</v>
      </c>
      <c r="F4666" s="22" t="s">
        <v>11</v>
      </c>
      <c r="G4666" s="22" t="s">
        <v>20</v>
      </c>
    </row>
    <row r="4667" ht="15.15" spans="1:7">
      <c r="A4667" s="20">
        <v>4665</v>
      </c>
      <c r="B4667" s="20">
        <v>190</v>
      </c>
      <c r="C4667" s="21">
        <v>45050</v>
      </c>
      <c r="D4667" s="20">
        <v>3291.84</v>
      </c>
      <c r="E4667" s="22" t="s">
        <v>10</v>
      </c>
      <c r="F4667" s="22" t="s">
        <v>11</v>
      </c>
      <c r="G4667" s="22" t="s">
        <v>17</v>
      </c>
    </row>
    <row r="4668" ht="15.15" spans="1:7">
      <c r="A4668" s="20">
        <v>4666</v>
      </c>
      <c r="B4668" s="20">
        <v>748</v>
      </c>
      <c r="C4668" s="21">
        <v>45200</v>
      </c>
      <c r="D4668" s="20">
        <v>3291.84</v>
      </c>
      <c r="E4668" s="22" t="s">
        <v>10</v>
      </c>
      <c r="F4668" s="22" t="s">
        <v>16</v>
      </c>
      <c r="G4668" s="22" t="s">
        <v>20</v>
      </c>
    </row>
    <row r="4669" ht="15.15" spans="1:7">
      <c r="A4669" s="20">
        <v>4667</v>
      </c>
      <c r="B4669" s="20">
        <v>5769</v>
      </c>
      <c r="C4669" s="21">
        <v>44990</v>
      </c>
      <c r="D4669" s="20">
        <v>3291.84</v>
      </c>
      <c r="E4669" s="22" t="s">
        <v>10</v>
      </c>
      <c r="F4669" s="22" t="s">
        <v>11</v>
      </c>
      <c r="G4669" s="22" t="s">
        <v>17</v>
      </c>
    </row>
    <row r="4670" ht="15.15" spans="1:7">
      <c r="A4670" s="20">
        <v>4668</v>
      </c>
      <c r="B4670" s="20">
        <v>591</v>
      </c>
      <c r="C4670" s="21">
        <v>45283</v>
      </c>
      <c r="D4670" s="20">
        <v>3291.84</v>
      </c>
      <c r="E4670" s="22" t="s">
        <v>10</v>
      </c>
      <c r="F4670" s="22" t="s">
        <v>11</v>
      </c>
      <c r="G4670" s="22" t="s">
        <v>15</v>
      </c>
    </row>
    <row r="4671" ht="15.15" spans="1:7">
      <c r="A4671" s="20">
        <v>4669</v>
      </c>
      <c r="B4671" s="20">
        <v>1078</v>
      </c>
      <c r="C4671" s="21">
        <v>45255</v>
      </c>
      <c r="D4671" s="20">
        <v>3291.84</v>
      </c>
      <c r="E4671" s="22" t="s">
        <v>10</v>
      </c>
      <c r="F4671" s="22" t="s">
        <v>11</v>
      </c>
      <c r="G4671" s="22" t="s">
        <v>15</v>
      </c>
    </row>
    <row r="4672" ht="15.15" spans="1:7">
      <c r="A4672" s="20">
        <v>4670</v>
      </c>
      <c r="B4672" s="20">
        <v>2626</v>
      </c>
      <c r="C4672" s="21">
        <v>44936</v>
      </c>
      <c r="D4672" s="20">
        <v>3291.84</v>
      </c>
      <c r="E4672" s="22" t="s">
        <v>10</v>
      </c>
      <c r="F4672" s="22" t="s">
        <v>16</v>
      </c>
      <c r="G4672" s="22" t="s">
        <v>12</v>
      </c>
    </row>
    <row r="4673" ht="15.15" spans="1:7">
      <c r="A4673" s="20">
        <v>4671</v>
      </c>
      <c r="B4673" s="20">
        <v>7139</v>
      </c>
      <c r="C4673" s="21">
        <v>45169</v>
      </c>
      <c r="D4673" s="20">
        <v>3291.84</v>
      </c>
      <c r="E4673" s="22" t="s">
        <v>10</v>
      </c>
      <c r="F4673" s="22" t="s">
        <v>18</v>
      </c>
      <c r="G4673" s="22" t="s">
        <v>17</v>
      </c>
    </row>
    <row r="4674" ht="15.15" spans="1:7">
      <c r="A4674" s="20">
        <v>4672</v>
      </c>
      <c r="B4674" s="20">
        <v>628</v>
      </c>
      <c r="C4674" s="21">
        <v>44967</v>
      </c>
      <c r="D4674" s="20">
        <v>3291.84</v>
      </c>
      <c r="E4674" s="22" t="s">
        <v>10</v>
      </c>
      <c r="F4674" s="22" t="s">
        <v>16</v>
      </c>
      <c r="G4674" s="22" t="s">
        <v>15</v>
      </c>
    </row>
    <row r="4675" ht="15.15" spans="1:7">
      <c r="A4675" s="20">
        <v>4673</v>
      </c>
      <c r="B4675" s="20">
        <v>426</v>
      </c>
      <c r="C4675" s="21">
        <v>45186</v>
      </c>
      <c r="D4675" s="20">
        <v>3291.84</v>
      </c>
      <c r="E4675" s="22" t="s">
        <v>10</v>
      </c>
      <c r="F4675" s="22" t="s">
        <v>16</v>
      </c>
      <c r="G4675" s="22" t="s">
        <v>17</v>
      </c>
    </row>
    <row r="4676" ht="15.15" spans="1:7">
      <c r="A4676" s="20">
        <v>4674</v>
      </c>
      <c r="B4676" s="20">
        <v>8017</v>
      </c>
      <c r="C4676" s="21">
        <v>45226</v>
      </c>
      <c r="D4676" s="20">
        <v>3291.84</v>
      </c>
      <c r="E4676" s="22" t="s">
        <v>10</v>
      </c>
      <c r="F4676" s="22" t="s">
        <v>14</v>
      </c>
      <c r="G4676" s="22" t="s">
        <v>12</v>
      </c>
    </row>
    <row r="4677" ht="15.15" spans="1:7">
      <c r="A4677" s="20">
        <v>4675</v>
      </c>
      <c r="B4677" s="20">
        <v>2437</v>
      </c>
      <c r="C4677" s="21">
        <v>45115</v>
      </c>
      <c r="D4677" s="20">
        <v>3291.84</v>
      </c>
      <c r="E4677" s="22" t="s">
        <v>10</v>
      </c>
      <c r="F4677" s="22" t="s">
        <v>14</v>
      </c>
      <c r="G4677" s="22" t="s">
        <v>20</v>
      </c>
    </row>
    <row r="4678" ht="15.15" spans="1:7">
      <c r="A4678" s="20">
        <v>4676</v>
      </c>
      <c r="B4678" s="20">
        <v>1136</v>
      </c>
      <c r="C4678" s="21">
        <v>45010</v>
      </c>
      <c r="D4678" s="20">
        <v>3291.84</v>
      </c>
      <c r="E4678" s="22" t="s">
        <v>10</v>
      </c>
      <c r="F4678" s="22" t="s">
        <v>14</v>
      </c>
      <c r="G4678" s="22" t="s">
        <v>15</v>
      </c>
    </row>
    <row r="4679" ht="15.15" spans="1:7">
      <c r="A4679" s="20">
        <v>4677</v>
      </c>
      <c r="B4679" s="20">
        <v>1083</v>
      </c>
      <c r="C4679" s="21">
        <v>44980</v>
      </c>
      <c r="D4679" s="20">
        <v>3291.84</v>
      </c>
      <c r="E4679" s="22" t="s">
        <v>10</v>
      </c>
      <c r="F4679" s="22" t="s">
        <v>14</v>
      </c>
      <c r="G4679" s="22" t="s">
        <v>15</v>
      </c>
    </row>
    <row r="4680" ht="15.15" spans="1:7">
      <c r="A4680" s="20">
        <v>4678</v>
      </c>
      <c r="B4680" s="20">
        <v>1685</v>
      </c>
      <c r="C4680" s="21">
        <v>45036</v>
      </c>
      <c r="D4680" s="20">
        <v>3291.84</v>
      </c>
      <c r="E4680" s="22" t="s">
        <v>10</v>
      </c>
      <c r="F4680" s="22" t="s">
        <v>11</v>
      </c>
      <c r="G4680" s="22" t="s">
        <v>20</v>
      </c>
    </row>
    <row r="4681" ht="15.15" spans="1:7">
      <c r="A4681" s="20">
        <v>4679</v>
      </c>
      <c r="B4681" s="20">
        <v>1662</v>
      </c>
      <c r="C4681" s="21">
        <v>45262</v>
      </c>
      <c r="D4681" s="20">
        <v>3291.84</v>
      </c>
      <c r="E4681" s="22" t="s">
        <v>10</v>
      </c>
      <c r="F4681" s="22" t="s">
        <v>13</v>
      </c>
      <c r="G4681" s="22" t="s">
        <v>12</v>
      </c>
    </row>
    <row r="4682" ht="15.15" spans="1:7">
      <c r="A4682" s="20">
        <v>4680</v>
      </c>
      <c r="B4682" s="20">
        <v>778</v>
      </c>
      <c r="C4682" s="21">
        <v>45041</v>
      </c>
      <c r="D4682" s="20">
        <v>3291.84</v>
      </c>
      <c r="E4682" s="22" t="s">
        <v>10</v>
      </c>
      <c r="F4682" s="22" t="s">
        <v>13</v>
      </c>
      <c r="G4682" s="22" t="s">
        <v>20</v>
      </c>
    </row>
    <row r="4683" ht="15.15" spans="1:7">
      <c r="A4683" s="20">
        <v>4681</v>
      </c>
      <c r="B4683" s="20">
        <v>1196</v>
      </c>
      <c r="C4683" s="21">
        <v>45141</v>
      </c>
      <c r="D4683" s="20">
        <v>3291.84</v>
      </c>
      <c r="E4683" s="22" t="s">
        <v>10</v>
      </c>
      <c r="F4683" s="22" t="s">
        <v>14</v>
      </c>
      <c r="G4683" s="22" t="s">
        <v>20</v>
      </c>
    </row>
    <row r="4684" ht="15.15" spans="1:7">
      <c r="A4684" s="20">
        <v>4682</v>
      </c>
      <c r="B4684" s="20">
        <v>157</v>
      </c>
      <c r="C4684" s="21">
        <v>45212</v>
      </c>
      <c r="D4684" s="20">
        <v>3291.84</v>
      </c>
      <c r="E4684" s="22" t="s">
        <v>10</v>
      </c>
      <c r="F4684" s="22" t="s">
        <v>18</v>
      </c>
      <c r="G4684" s="22" t="s">
        <v>15</v>
      </c>
    </row>
    <row r="4685" ht="15.15" spans="1:7">
      <c r="A4685" s="20">
        <v>4683</v>
      </c>
      <c r="B4685" s="20">
        <v>9477</v>
      </c>
      <c r="C4685" s="21">
        <v>45022</v>
      </c>
      <c r="D4685" s="20">
        <v>3291.84</v>
      </c>
      <c r="E4685" s="22" t="s">
        <v>10</v>
      </c>
      <c r="F4685" s="22" t="s">
        <v>11</v>
      </c>
      <c r="G4685" s="22" t="s">
        <v>15</v>
      </c>
    </row>
    <row r="4686" ht="15.15" spans="1:7">
      <c r="A4686" s="20">
        <v>4684</v>
      </c>
      <c r="B4686" s="20">
        <v>3134</v>
      </c>
      <c r="C4686" s="21">
        <v>45032</v>
      </c>
      <c r="D4686" s="20">
        <v>3291.84</v>
      </c>
      <c r="E4686" s="22" t="s">
        <v>10</v>
      </c>
      <c r="F4686" s="22" t="s">
        <v>18</v>
      </c>
      <c r="G4686" s="22" t="s">
        <v>17</v>
      </c>
    </row>
    <row r="4687" ht="15.15" spans="1:7">
      <c r="A4687" s="20">
        <v>4685</v>
      </c>
      <c r="B4687" s="20">
        <v>6515</v>
      </c>
      <c r="C4687" s="21">
        <v>45290</v>
      </c>
      <c r="D4687" s="20">
        <v>3291.84</v>
      </c>
      <c r="E4687" s="22" t="s">
        <v>10</v>
      </c>
      <c r="F4687" s="22" t="s">
        <v>19</v>
      </c>
      <c r="G4687" s="22" t="s">
        <v>15</v>
      </c>
    </row>
    <row r="4688" ht="15.15" spans="1:7">
      <c r="A4688" s="20">
        <v>4686</v>
      </c>
      <c r="B4688" s="20">
        <v>5946</v>
      </c>
      <c r="C4688" s="21">
        <v>45258</v>
      </c>
      <c r="D4688" s="20">
        <v>3291.84</v>
      </c>
      <c r="E4688" s="22" t="s">
        <v>10</v>
      </c>
      <c r="F4688" s="22" t="s">
        <v>16</v>
      </c>
      <c r="G4688" s="22" t="s">
        <v>17</v>
      </c>
    </row>
    <row r="4689" ht="15.15" spans="1:7">
      <c r="A4689" s="20">
        <v>4687</v>
      </c>
      <c r="B4689" s="20">
        <v>7310</v>
      </c>
      <c r="C4689" s="21">
        <v>45273</v>
      </c>
      <c r="D4689" s="20">
        <v>3291.84</v>
      </c>
      <c r="E4689" s="22" t="s">
        <v>22</v>
      </c>
      <c r="F4689" s="22" t="s">
        <v>14</v>
      </c>
      <c r="G4689" s="22" t="s">
        <v>17</v>
      </c>
    </row>
    <row r="4690" ht="15.15" spans="1:7">
      <c r="A4690" s="20">
        <v>4688</v>
      </c>
      <c r="B4690" s="20">
        <v>3775</v>
      </c>
      <c r="C4690" s="21">
        <v>45237</v>
      </c>
      <c r="D4690" s="20">
        <v>3291.84</v>
      </c>
      <c r="E4690" s="22" t="s">
        <v>10</v>
      </c>
      <c r="F4690" s="22" t="s">
        <v>11</v>
      </c>
      <c r="G4690" s="22" t="s">
        <v>20</v>
      </c>
    </row>
    <row r="4691" ht="15.15" spans="1:7">
      <c r="A4691" s="20">
        <v>4689</v>
      </c>
      <c r="B4691" s="20">
        <v>2285</v>
      </c>
      <c r="C4691" s="21">
        <v>45154</v>
      </c>
      <c r="D4691" s="20">
        <v>3291.84</v>
      </c>
      <c r="E4691" s="22" t="s">
        <v>10</v>
      </c>
      <c r="F4691" s="22" t="s">
        <v>11</v>
      </c>
      <c r="G4691" s="22" t="s">
        <v>20</v>
      </c>
    </row>
    <row r="4692" ht="15.15" spans="1:7">
      <c r="A4692" s="20">
        <v>4690</v>
      </c>
      <c r="B4692" s="20">
        <v>4676</v>
      </c>
      <c r="C4692" s="21">
        <v>45272</v>
      </c>
      <c r="D4692" s="20">
        <v>3291.84</v>
      </c>
      <c r="E4692" s="22" t="s">
        <v>10</v>
      </c>
      <c r="F4692" s="22" t="s">
        <v>18</v>
      </c>
      <c r="G4692" s="22" t="s">
        <v>15</v>
      </c>
    </row>
    <row r="4693" ht="15.15" spans="1:7">
      <c r="A4693" s="20">
        <v>4691</v>
      </c>
      <c r="B4693" s="20">
        <v>6078</v>
      </c>
      <c r="C4693" s="21">
        <v>45242</v>
      </c>
      <c r="D4693" s="20">
        <v>3291.84</v>
      </c>
      <c r="E4693" s="22" t="s">
        <v>10</v>
      </c>
      <c r="F4693" s="22" t="s">
        <v>13</v>
      </c>
      <c r="G4693" s="22" t="s">
        <v>20</v>
      </c>
    </row>
    <row r="4694" ht="15.15" spans="1:7">
      <c r="A4694" s="20">
        <v>4692</v>
      </c>
      <c r="B4694" s="20">
        <v>7457</v>
      </c>
      <c r="C4694" s="21">
        <v>45270</v>
      </c>
      <c r="D4694" s="20">
        <v>3291.84</v>
      </c>
      <c r="E4694" s="22" t="s">
        <v>10</v>
      </c>
      <c r="F4694" s="22" t="s">
        <v>13</v>
      </c>
      <c r="G4694" s="22" t="s">
        <v>17</v>
      </c>
    </row>
    <row r="4695" ht="15.15" spans="1:7">
      <c r="A4695" s="20">
        <v>4693</v>
      </c>
      <c r="B4695" s="20">
        <v>4340</v>
      </c>
      <c r="C4695" s="21">
        <v>45255</v>
      </c>
      <c r="D4695" s="20">
        <v>3291.84</v>
      </c>
      <c r="E4695" s="22" t="s">
        <v>10</v>
      </c>
      <c r="F4695" s="22" t="s">
        <v>11</v>
      </c>
      <c r="G4695" s="22" t="s">
        <v>20</v>
      </c>
    </row>
    <row r="4696" ht="15.15" spans="1:7">
      <c r="A4696" s="20">
        <v>4694</v>
      </c>
      <c r="B4696" s="20">
        <v>7943</v>
      </c>
      <c r="C4696" s="21">
        <v>45119</v>
      </c>
      <c r="D4696" s="20">
        <v>3291.84</v>
      </c>
      <c r="E4696" s="22" t="s">
        <v>10</v>
      </c>
      <c r="F4696" s="22" t="s">
        <v>14</v>
      </c>
      <c r="G4696" s="22" t="s">
        <v>12</v>
      </c>
    </row>
    <row r="4697" ht="15.15" spans="1:7">
      <c r="A4697" s="20">
        <v>4695</v>
      </c>
      <c r="B4697" s="20">
        <v>3868</v>
      </c>
      <c r="C4697" s="21">
        <v>45141</v>
      </c>
      <c r="D4697" s="20">
        <v>3291.84</v>
      </c>
      <c r="E4697" s="22" t="s">
        <v>10</v>
      </c>
      <c r="F4697" s="22" t="s">
        <v>13</v>
      </c>
      <c r="G4697" s="22" t="s">
        <v>20</v>
      </c>
    </row>
    <row r="4698" ht="15.15" spans="1:7">
      <c r="A4698" s="20">
        <v>4696</v>
      </c>
      <c r="B4698" s="20">
        <v>5533</v>
      </c>
      <c r="C4698" s="21">
        <v>45174</v>
      </c>
      <c r="D4698" s="20">
        <v>3291.84</v>
      </c>
      <c r="E4698" s="22" t="s">
        <v>10</v>
      </c>
      <c r="F4698" s="22" t="s">
        <v>13</v>
      </c>
      <c r="G4698" s="22" t="s">
        <v>15</v>
      </c>
    </row>
    <row r="4699" ht="15.15" spans="1:7">
      <c r="A4699" s="20">
        <v>4697</v>
      </c>
      <c r="B4699" s="20">
        <v>3078</v>
      </c>
      <c r="C4699" s="21">
        <v>45260</v>
      </c>
      <c r="D4699" s="20">
        <v>3291.84</v>
      </c>
      <c r="E4699" s="22" t="s">
        <v>10</v>
      </c>
      <c r="F4699" s="22" t="s">
        <v>18</v>
      </c>
      <c r="G4699" s="22" t="s">
        <v>17</v>
      </c>
    </row>
    <row r="4700" ht="15.15" spans="1:7">
      <c r="A4700" s="20">
        <v>4698</v>
      </c>
      <c r="B4700" s="20">
        <v>5120</v>
      </c>
      <c r="C4700" s="21">
        <v>45074</v>
      </c>
      <c r="D4700" s="20">
        <v>3291.84</v>
      </c>
      <c r="E4700" s="22" t="s">
        <v>10</v>
      </c>
      <c r="F4700" s="22" t="s">
        <v>11</v>
      </c>
      <c r="G4700" s="22" t="s">
        <v>15</v>
      </c>
    </row>
    <row r="4701" ht="15.15" spans="1:7">
      <c r="A4701" s="20">
        <v>4699</v>
      </c>
      <c r="B4701" s="20">
        <v>6460</v>
      </c>
      <c r="C4701" s="21">
        <v>45116</v>
      </c>
      <c r="D4701" s="20">
        <v>3291.84</v>
      </c>
      <c r="E4701" s="22" t="s">
        <v>10</v>
      </c>
      <c r="F4701" s="22" t="s">
        <v>13</v>
      </c>
      <c r="G4701" s="22" t="s">
        <v>15</v>
      </c>
    </row>
    <row r="4702" ht="15.15" spans="1:7">
      <c r="A4702" s="20">
        <v>4700</v>
      </c>
      <c r="B4702" s="20">
        <v>4580</v>
      </c>
      <c r="C4702" s="21">
        <v>45265</v>
      </c>
      <c r="D4702" s="20">
        <v>3291.84</v>
      </c>
      <c r="E4702" s="22" t="s">
        <v>10</v>
      </c>
      <c r="F4702" s="22" t="s">
        <v>18</v>
      </c>
      <c r="G4702" s="22" t="s">
        <v>15</v>
      </c>
    </row>
    <row r="4703" ht="15.15" spans="1:7">
      <c r="A4703" s="20">
        <v>4701</v>
      </c>
      <c r="B4703" s="20">
        <v>1258</v>
      </c>
      <c r="C4703" s="21">
        <v>45266</v>
      </c>
      <c r="D4703" s="20">
        <v>3291.84</v>
      </c>
      <c r="E4703" s="22" t="s">
        <v>10</v>
      </c>
      <c r="F4703" s="22" t="s">
        <v>18</v>
      </c>
      <c r="G4703" s="22" t="s">
        <v>15</v>
      </c>
    </row>
    <row r="4704" ht="15.15" spans="1:7">
      <c r="A4704" s="20">
        <v>4702</v>
      </c>
      <c r="B4704" s="20">
        <v>1784</v>
      </c>
      <c r="C4704" s="21">
        <v>45054</v>
      </c>
      <c r="D4704" s="20">
        <v>3291.84</v>
      </c>
      <c r="E4704" s="22" t="s">
        <v>10</v>
      </c>
      <c r="F4704" s="22" t="s">
        <v>16</v>
      </c>
      <c r="G4704" s="22" t="s">
        <v>20</v>
      </c>
    </row>
    <row r="4705" ht="15.15" spans="1:7">
      <c r="A4705" s="20">
        <v>4703</v>
      </c>
      <c r="B4705" s="20">
        <v>2876</v>
      </c>
      <c r="C4705" s="21">
        <v>45014</v>
      </c>
      <c r="D4705" s="20">
        <v>3291.84</v>
      </c>
      <c r="E4705" s="22" t="s">
        <v>10</v>
      </c>
      <c r="F4705" s="22" t="s">
        <v>11</v>
      </c>
      <c r="G4705" s="22" t="s">
        <v>12</v>
      </c>
    </row>
    <row r="4706" ht="15.15" spans="1:7">
      <c r="A4706" s="20">
        <v>4704</v>
      </c>
      <c r="B4706" s="20">
        <v>6588</v>
      </c>
      <c r="C4706" s="21">
        <v>45151</v>
      </c>
      <c r="D4706" s="20">
        <v>3291.84</v>
      </c>
      <c r="E4706" s="22" t="s">
        <v>10</v>
      </c>
      <c r="F4706" s="22" t="s">
        <v>18</v>
      </c>
      <c r="G4706" s="22" t="s">
        <v>20</v>
      </c>
    </row>
    <row r="4707" ht="15.15" spans="1:7">
      <c r="A4707" s="20">
        <v>4705</v>
      </c>
      <c r="B4707" s="20">
        <v>9833</v>
      </c>
      <c r="C4707" s="21">
        <v>45263</v>
      </c>
      <c r="D4707" s="20">
        <v>3291.84</v>
      </c>
      <c r="E4707" s="22" t="s">
        <v>10</v>
      </c>
      <c r="F4707" s="22" t="s">
        <v>13</v>
      </c>
      <c r="G4707" s="22" t="s">
        <v>15</v>
      </c>
    </row>
    <row r="4708" ht="15.15" spans="1:7">
      <c r="A4708" s="20">
        <v>4706</v>
      </c>
      <c r="B4708" s="20">
        <v>7502</v>
      </c>
      <c r="C4708" s="21">
        <v>45083</v>
      </c>
      <c r="D4708" s="20">
        <v>3291.84</v>
      </c>
      <c r="E4708" s="22" t="s">
        <v>10</v>
      </c>
      <c r="F4708" s="22" t="s">
        <v>13</v>
      </c>
      <c r="G4708" s="22" t="s">
        <v>20</v>
      </c>
    </row>
    <row r="4709" ht="15.15" spans="1:7">
      <c r="A4709" s="20">
        <v>4707</v>
      </c>
      <c r="B4709" s="20">
        <v>6812</v>
      </c>
      <c r="C4709" s="21">
        <v>45127</v>
      </c>
      <c r="D4709" s="20">
        <v>3291.84</v>
      </c>
      <c r="E4709" s="22" t="s">
        <v>10</v>
      </c>
      <c r="F4709" s="22" t="s">
        <v>14</v>
      </c>
      <c r="G4709" s="22" t="s">
        <v>17</v>
      </c>
    </row>
    <row r="4710" ht="15.15" spans="1:7">
      <c r="A4710" s="20">
        <v>4708</v>
      </c>
      <c r="B4710" s="20">
        <v>2245</v>
      </c>
      <c r="C4710" s="21">
        <v>45068</v>
      </c>
      <c r="D4710" s="20">
        <v>3291.84</v>
      </c>
      <c r="E4710" s="22" t="s">
        <v>10</v>
      </c>
      <c r="F4710" s="22" t="s">
        <v>11</v>
      </c>
      <c r="G4710" s="22" t="s">
        <v>12</v>
      </c>
    </row>
    <row r="4711" ht="15.15" spans="1:7">
      <c r="A4711" s="20">
        <v>4709</v>
      </c>
      <c r="B4711" s="20">
        <v>8890</v>
      </c>
      <c r="C4711" s="21">
        <v>45149</v>
      </c>
      <c r="D4711" s="20">
        <v>3291.84</v>
      </c>
      <c r="E4711" s="22" t="s">
        <v>21</v>
      </c>
      <c r="F4711" s="22" t="s">
        <v>19</v>
      </c>
      <c r="G4711" s="22" t="s">
        <v>12</v>
      </c>
    </row>
    <row r="4712" ht="15.15" spans="1:7">
      <c r="A4712" s="20">
        <v>4710</v>
      </c>
      <c r="B4712" s="20">
        <v>4682</v>
      </c>
      <c r="C4712" s="21">
        <v>45265</v>
      </c>
      <c r="D4712" s="20">
        <v>3291.84</v>
      </c>
      <c r="E4712" s="22" t="s">
        <v>10</v>
      </c>
      <c r="F4712" s="22" t="s">
        <v>18</v>
      </c>
      <c r="G4712" s="22" t="s">
        <v>12</v>
      </c>
    </row>
    <row r="4713" ht="15.15" spans="1:7">
      <c r="A4713" s="20">
        <v>4711</v>
      </c>
      <c r="B4713" s="20">
        <v>8630</v>
      </c>
      <c r="C4713" s="21">
        <v>44942</v>
      </c>
      <c r="D4713" s="20">
        <v>3291.84</v>
      </c>
      <c r="E4713" s="22" t="s">
        <v>10</v>
      </c>
      <c r="F4713" s="22" t="s">
        <v>18</v>
      </c>
      <c r="G4713" s="22" t="s">
        <v>20</v>
      </c>
    </row>
    <row r="4714" ht="15.15" spans="1:7">
      <c r="A4714" s="20">
        <v>4712</v>
      </c>
      <c r="B4714" s="20">
        <v>3078</v>
      </c>
      <c r="C4714" s="21">
        <v>45212</v>
      </c>
      <c r="D4714" s="20">
        <v>3291.84</v>
      </c>
      <c r="E4714" s="22" t="s">
        <v>21</v>
      </c>
      <c r="F4714" s="22" t="s">
        <v>18</v>
      </c>
      <c r="G4714" s="22" t="s">
        <v>17</v>
      </c>
    </row>
    <row r="4715" ht="15.15" spans="1:7">
      <c r="A4715" s="20">
        <v>4713</v>
      </c>
      <c r="B4715" s="20">
        <v>6418</v>
      </c>
      <c r="C4715" s="21">
        <v>45130</v>
      </c>
      <c r="D4715" s="20">
        <v>3291.84</v>
      </c>
      <c r="E4715" s="22" t="s">
        <v>22</v>
      </c>
      <c r="F4715" s="22" t="s">
        <v>11</v>
      </c>
      <c r="G4715" s="22" t="s">
        <v>12</v>
      </c>
    </row>
    <row r="4716" ht="15.15" spans="1:7">
      <c r="A4716" s="20">
        <v>4714</v>
      </c>
      <c r="B4716" s="20">
        <v>7681</v>
      </c>
      <c r="C4716" s="21">
        <v>45269</v>
      </c>
      <c r="D4716" s="20">
        <v>3291.84</v>
      </c>
      <c r="E4716" s="22" t="s">
        <v>10</v>
      </c>
      <c r="F4716" s="22" t="s">
        <v>16</v>
      </c>
      <c r="G4716" s="22" t="s">
        <v>17</v>
      </c>
    </row>
    <row r="4717" ht="15.15" spans="1:7">
      <c r="A4717" s="20">
        <v>4715</v>
      </c>
      <c r="B4717" s="20">
        <v>47</v>
      </c>
      <c r="C4717" s="21">
        <v>44930</v>
      </c>
      <c r="D4717" s="20">
        <v>3291.84</v>
      </c>
      <c r="E4717" s="22" t="s">
        <v>10</v>
      </c>
      <c r="F4717" s="22" t="s">
        <v>16</v>
      </c>
      <c r="G4717" s="22" t="s">
        <v>20</v>
      </c>
    </row>
    <row r="4718" ht="15.15" spans="1:7">
      <c r="A4718" s="20">
        <v>4716</v>
      </c>
      <c r="B4718" s="20">
        <v>5956</v>
      </c>
      <c r="C4718" s="21">
        <v>45280</v>
      </c>
      <c r="D4718" s="20">
        <v>3291.84</v>
      </c>
      <c r="E4718" s="22" t="s">
        <v>10</v>
      </c>
      <c r="F4718" s="22" t="s">
        <v>18</v>
      </c>
      <c r="G4718" s="22" t="s">
        <v>15</v>
      </c>
    </row>
    <row r="4719" ht="15.15" spans="1:7">
      <c r="A4719" s="20">
        <v>4717</v>
      </c>
      <c r="B4719" s="20">
        <v>8560</v>
      </c>
      <c r="C4719" s="21">
        <v>45143</v>
      </c>
      <c r="D4719" s="20">
        <v>3291.84</v>
      </c>
      <c r="E4719" s="22" t="s">
        <v>10</v>
      </c>
      <c r="F4719" s="22" t="s">
        <v>18</v>
      </c>
      <c r="G4719" s="22" t="s">
        <v>20</v>
      </c>
    </row>
    <row r="4720" ht="15.15" spans="1:7">
      <c r="A4720" s="20">
        <v>4718</v>
      </c>
      <c r="B4720" s="20">
        <v>8683</v>
      </c>
      <c r="C4720" s="21">
        <v>45202</v>
      </c>
      <c r="D4720" s="20">
        <v>3291.84</v>
      </c>
      <c r="E4720" s="22" t="s">
        <v>10</v>
      </c>
      <c r="F4720" s="22" t="s">
        <v>14</v>
      </c>
      <c r="G4720" s="22" t="s">
        <v>15</v>
      </c>
    </row>
    <row r="4721" ht="15.15" spans="1:7">
      <c r="A4721" s="20">
        <v>4719</v>
      </c>
      <c r="B4721" s="20">
        <v>1201</v>
      </c>
      <c r="C4721" s="21">
        <v>45188</v>
      </c>
      <c r="D4721" s="20">
        <v>3291.84</v>
      </c>
      <c r="E4721" s="22" t="s">
        <v>10</v>
      </c>
      <c r="F4721" s="22" t="s">
        <v>11</v>
      </c>
      <c r="G4721" s="22" t="s">
        <v>17</v>
      </c>
    </row>
    <row r="4722" ht="15.15" spans="1:7">
      <c r="A4722" s="20">
        <v>4720</v>
      </c>
      <c r="B4722" s="20">
        <v>1257</v>
      </c>
      <c r="C4722" s="21">
        <v>45114</v>
      </c>
      <c r="D4722" s="20">
        <v>3291.84</v>
      </c>
      <c r="E4722" s="22" t="s">
        <v>10</v>
      </c>
      <c r="F4722" s="22" t="s">
        <v>13</v>
      </c>
      <c r="G4722" s="22" t="s">
        <v>12</v>
      </c>
    </row>
    <row r="4723" ht="15.15" spans="1:7">
      <c r="A4723" s="20">
        <v>4721</v>
      </c>
      <c r="B4723" s="20">
        <v>5027</v>
      </c>
      <c r="C4723" s="21">
        <v>45070</v>
      </c>
      <c r="D4723" s="20">
        <v>3291.84</v>
      </c>
      <c r="E4723" s="22" t="s">
        <v>10</v>
      </c>
      <c r="F4723" s="22" t="s">
        <v>18</v>
      </c>
      <c r="G4723" s="22" t="s">
        <v>12</v>
      </c>
    </row>
    <row r="4724" ht="15.15" spans="1:7">
      <c r="A4724" s="20">
        <v>4722</v>
      </c>
      <c r="B4724" s="20">
        <v>6379</v>
      </c>
      <c r="C4724" s="21">
        <v>45018</v>
      </c>
      <c r="D4724" s="20">
        <v>3291.84</v>
      </c>
      <c r="E4724" s="22" t="s">
        <v>10</v>
      </c>
      <c r="F4724" s="22" t="s">
        <v>13</v>
      </c>
      <c r="G4724" s="22" t="s">
        <v>15</v>
      </c>
    </row>
    <row r="4725" ht="15.15" spans="1:7">
      <c r="A4725" s="20">
        <v>4723</v>
      </c>
      <c r="B4725" s="20">
        <v>1759</v>
      </c>
      <c r="C4725" s="21">
        <v>45272</v>
      </c>
      <c r="D4725" s="20">
        <v>3291.84</v>
      </c>
      <c r="E4725" s="22" t="s">
        <v>10</v>
      </c>
      <c r="F4725" s="22" t="s">
        <v>16</v>
      </c>
      <c r="G4725" s="22" t="s">
        <v>12</v>
      </c>
    </row>
    <row r="4726" ht="15.15" spans="1:7">
      <c r="A4726" s="20">
        <v>4724</v>
      </c>
      <c r="B4726" s="20">
        <v>4602</v>
      </c>
      <c r="C4726" s="21">
        <v>45212</v>
      </c>
      <c r="D4726" s="20">
        <v>3291.84</v>
      </c>
      <c r="E4726" s="22" t="s">
        <v>10</v>
      </c>
      <c r="F4726" s="22" t="s">
        <v>14</v>
      </c>
      <c r="G4726" s="22" t="s">
        <v>12</v>
      </c>
    </row>
    <row r="4727" ht="15.15" spans="1:7">
      <c r="A4727" s="20">
        <v>4725</v>
      </c>
      <c r="B4727" s="20">
        <v>2240</v>
      </c>
      <c r="C4727" s="21">
        <v>44937</v>
      </c>
      <c r="D4727" s="20">
        <v>3291.84</v>
      </c>
      <c r="E4727" s="22" t="s">
        <v>10</v>
      </c>
      <c r="F4727" s="22" t="s">
        <v>18</v>
      </c>
      <c r="G4727" s="22" t="s">
        <v>15</v>
      </c>
    </row>
    <row r="4728" ht="15.15" spans="1:7">
      <c r="A4728" s="20">
        <v>4726</v>
      </c>
      <c r="B4728" s="20">
        <v>6325</v>
      </c>
      <c r="C4728" s="21">
        <v>45021</v>
      </c>
      <c r="D4728" s="20">
        <v>3291.84</v>
      </c>
      <c r="E4728" s="22" t="s">
        <v>10</v>
      </c>
      <c r="F4728" s="22" t="s">
        <v>14</v>
      </c>
      <c r="G4728" s="22" t="s">
        <v>15</v>
      </c>
    </row>
    <row r="4729" ht="15.15" spans="1:7">
      <c r="A4729" s="20">
        <v>4727</v>
      </c>
      <c r="B4729" s="20">
        <v>775</v>
      </c>
      <c r="C4729" s="21">
        <v>45290</v>
      </c>
      <c r="D4729" s="20">
        <v>3291.84</v>
      </c>
      <c r="E4729" s="22" t="s">
        <v>10</v>
      </c>
      <c r="F4729" s="22" t="s">
        <v>16</v>
      </c>
      <c r="G4729" s="22" t="s">
        <v>17</v>
      </c>
    </row>
    <row r="4730" ht="15.15" spans="1:7">
      <c r="A4730" s="20">
        <v>4728</v>
      </c>
      <c r="B4730" s="20">
        <v>5841</v>
      </c>
      <c r="C4730" s="21">
        <v>45112</v>
      </c>
      <c r="D4730" s="20">
        <v>3291.84</v>
      </c>
      <c r="E4730" s="22" t="s">
        <v>10</v>
      </c>
      <c r="F4730" s="22" t="s">
        <v>16</v>
      </c>
      <c r="G4730" s="22" t="s">
        <v>20</v>
      </c>
    </row>
    <row r="4731" ht="15.15" spans="1:7">
      <c r="A4731" s="20">
        <v>4729</v>
      </c>
      <c r="B4731" s="20">
        <v>2955</v>
      </c>
      <c r="C4731" s="21">
        <v>44939</v>
      </c>
      <c r="D4731" s="20">
        <v>3291.84</v>
      </c>
      <c r="E4731" s="22" t="s">
        <v>10</v>
      </c>
      <c r="F4731" s="22" t="s">
        <v>14</v>
      </c>
      <c r="G4731" s="22" t="s">
        <v>15</v>
      </c>
    </row>
    <row r="4732" ht="15.15" spans="1:7">
      <c r="A4732" s="20">
        <v>4730</v>
      </c>
      <c r="B4732" s="20">
        <v>1119</v>
      </c>
      <c r="C4732" s="21">
        <v>45067</v>
      </c>
      <c r="D4732" s="20">
        <v>3291.84</v>
      </c>
      <c r="E4732" s="22" t="s">
        <v>10</v>
      </c>
      <c r="F4732" s="22" t="s">
        <v>13</v>
      </c>
      <c r="G4732" s="22" t="s">
        <v>20</v>
      </c>
    </row>
    <row r="4733" ht="15.15" spans="1:7">
      <c r="A4733" s="20">
        <v>4731</v>
      </c>
      <c r="B4733" s="20">
        <v>2782</v>
      </c>
      <c r="C4733" s="21">
        <v>45207</v>
      </c>
      <c r="D4733" s="20">
        <v>3291.84</v>
      </c>
      <c r="E4733" s="22" t="s">
        <v>10</v>
      </c>
      <c r="F4733" s="22" t="s">
        <v>16</v>
      </c>
      <c r="G4733" s="22" t="s">
        <v>15</v>
      </c>
    </row>
    <row r="4734" ht="15.15" spans="1:7">
      <c r="A4734" s="20">
        <v>4732</v>
      </c>
      <c r="B4734" s="20">
        <v>2132</v>
      </c>
      <c r="C4734" s="21">
        <v>45268</v>
      </c>
      <c r="D4734" s="20">
        <v>3291.84</v>
      </c>
      <c r="E4734" s="22" t="s">
        <v>10</v>
      </c>
      <c r="F4734" s="22" t="s">
        <v>16</v>
      </c>
      <c r="G4734" s="22" t="s">
        <v>15</v>
      </c>
    </row>
    <row r="4735" ht="15.15" spans="1:7">
      <c r="A4735" s="20">
        <v>4733</v>
      </c>
      <c r="B4735" s="20">
        <v>5091</v>
      </c>
      <c r="C4735" s="21">
        <v>45205</v>
      </c>
      <c r="D4735" s="20">
        <v>3291.84</v>
      </c>
      <c r="E4735" s="22" t="s">
        <v>10</v>
      </c>
      <c r="F4735" s="22" t="s">
        <v>16</v>
      </c>
      <c r="G4735" s="22" t="s">
        <v>12</v>
      </c>
    </row>
    <row r="4736" ht="15.15" spans="1:7">
      <c r="A4736" s="20">
        <v>4734</v>
      </c>
      <c r="B4736" s="20">
        <v>2342</v>
      </c>
      <c r="C4736" s="21">
        <v>45252</v>
      </c>
      <c r="D4736" s="20">
        <v>3291.84</v>
      </c>
      <c r="E4736" s="22" t="s">
        <v>10</v>
      </c>
      <c r="F4736" s="22" t="s">
        <v>16</v>
      </c>
      <c r="G4736" s="22" t="s">
        <v>20</v>
      </c>
    </row>
    <row r="4737" ht="15.15" spans="1:7">
      <c r="A4737" s="20">
        <v>4735</v>
      </c>
      <c r="B4737" s="20">
        <v>9467</v>
      </c>
      <c r="C4737" s="21">
        <v>45146</v>
      </c>
      <c r="D4737" s="20">
        <v>3291.84</v>
      </c>
      <c r="E4737" s="22" t="s">
        <v>10</v>
      </c>
      <c r="F4737" s="22" t="s">
        <v>18</v>
      </c>
      <c r="G4737" s="22" t="s">
        <v>17</v>
      </c>
    </row>
    <row r="4738" ht="15.15" spans="1:7">
      <c r="A4738" s="20">
        <v>4736</v>
      </c>
      <c r="B4738" s="20">
        <v>6170</v>
      </c>
      <c r="C4738" s="21">
        <v>44934</v>
      </c>
      <c r="D4738" s="20">
        <v>3291.84</v>
      </c>
      <c r="E4738" s="22" t="s">
        <v>10</v>
      </c>
      <c r="F4738" s="22" t="s">
        <v>16</v>
      </c>
      <c r="G4738" s="22" t="s">
        <v>15</v>
      </c>
    </row>
    <row r="4739" ht="15.15" spans="1:7">
      <c r="A4739" s="20">
        <v>4737</v>
      </c>
      <c r="B4739" s="20">
        <v>8053</v>
      </c>
      <c r="C4739" s="21">
        <v>45137</v>
      </c>
      <c r="D4739" s="20">
        <v>3291.84</v>
      </c>
      <c r="E4739" s="22" t="s">
        <v>10</v>
      </c>
      <c r="F4739" s="22" t="s">
        <v>14</v>
      </c>
      <c r="G4739" s="22" t="s">
        <v>20</v>
      </c>
    </row>
    <row r="4740" ht="15.15" spans="1:7">
      <c r="A4740" s="20">
        <v>4738</v>
      </c>
      <c r="B4740" s="20">
        <v>4055</v>
      </c>
      <c r="C4740" s="21">
        <v>45139</v>
      </c>
      <c r="D4740" s="20">
        <v>3291.84</v>
      </c>
      <c r="E4740" s="22" t="s">
        <v>10</v>
      </c>
      <c r="F4740" s="22" t="s">
        <v>11</v>
      </c>
      <c r="G4740" s="22" t="s">
        <v>20</v>
      </c>
    </row>
    <row r="4741" ht="15.15" spans="1:7">
      <c r="A4741" s="20">
        <v>4739</v>
      </c>
      <c r="B4741" s="20">
        <v>220</v>
      </c>
      <c r="C4741" s="21">
        <v>45269</v>
      </c>
      <c r="D4741" s="20">
        <v>3291.84</v>
      </c>
      <c r="E4741" s="22" t="s">
        <v>10</v>
      </c>
      <c r="F4741" s="22" t="s">
        <v>13</v>
      </c>
      <c r="G4741" s="22" t="s">
        <v>17</v>
      </c>
    </row>
    <row r="4742" ht="15.15" spans="1:7">
      <c r="A4742" s="20">
        <v>4740</v>
      </c>
      <c r="B4742" s="20">
        <v>4197</v>
      </c>
      <c r="C4742" s="21">
        <v>45046</v>
      </c>
      <c r="D4742" s="20">
        <v>3291.84</v>
      </c>
      <c r="E4742" s="22" t="s">
        <v>10</v>
      </c>
      <c r="F4742" s="22" t="s">
        <v>11</v>
      </c>
      <c r="G4742" s="22" t="s">
        <v>20</v>
      </c>
    </row>
    <row r="4743" ht="15.15" spans="1:7">
      <c r="A4743" s="20">
        <v>4741</v>
      </c>
      <c r="B4743" s="20">
        <v>9688</v>
      </c>
      <c r="C4743" s="21">
        <v>45185</v>
      </c>
      <c r="D4743" s="20">
        <v>3291.84</v>
      </c>
      <c r="E4743" s="22" t="s">
        <v>10</v>
      </c>
      <c r="F4743" s="22" t="s">
        <v>13</v>
      </c>
      <c r="G4743" s="22" t="s">
        <v>17</v>
      </c>
    </row>
    <row r="4744" ht="15.15" spans="1:7">
      <c r="A4744" s="20">
        <v>4742</v>
      </c>
      <c r="B4744" s="20">
        <v>5596</v>
      </c>
      <c r="C4744" s="21">
        <v>45279</v>
      </c>
      <c r="D4744" s="20">
        <v>3291.84</v>
      </c>
      <c r="E4744" s="22" t="s">
        <v>10</v>
      </c>
      <c r="F4744" s="22" t="s">
        <v>14</v>
      </c>
      <c r="G4744" s="22" t="s">
        <v>15</v>
      </c>
    </row>
    <row r="4745" ht="15.15" spans="1:7">
      <c r="A4745" s="20">
        <v>4743</v>
      </c>
      <c r="B4745" s="20">
        <v>6219</v>
      </c>
      <c r="C4745" s="21">
        <v>45096</v>
      </c>
      <c r="D4745" s="20">
        <v>3291.84</v>
      </c>
      <c r="E4745" s="22" t="s">
        <v>10</v>
      </c>
      <c r="F4745" s="22" t="s">
        <v>18</v>
      </c>
      <c r="G4745" s="22" t="s">
        <v>12</v>
      </c>
    </row>
    <row r="4746" ht="15.15" spans="1:7">
      <c r="A4746" s="20">
        <v>4744</v>
      </c>
      <c r="B4746" s="20">
        <v>9029</v>
      </c>
      <c r="C4746" s="21">
        <v>45174</v>
      </c>
      <c r="D4746" s="20">
        <v>3291.84</v>
      </c>
      <c r="E4746" s="22" t="s">
        <v>10</v>
      </c>
      <c r="F4746" s="22" t="s">
        <v>11</v>
      </c>
      <c r="G4746" s="22" t="s">
        <v>20</v>
      </c>
    </row>
    <row r="4747" ht="15.15" spans="1:7">
      <c r="A4747" s="20">
        <v>4745</v>
      </c>
      <c r="B4747" s="20">
        <v>1504</v>
      </c>
      <c r="C4747" s="21">
        <v>45254</v>
      </c>
      <c r="D4747" s="20">
        <v>3291.84</v>
      </c>
      <c r="E4747" s="22" t="s">
        <v>10</v>
      </c>
      <c r="F4747" s="22" t="s">
        <v>14</v>
      </c>
      <c r="G4747" s="22" t="s">
        <v>17</v>
      </c>
    </row>
    <row r="4748" ht="15.15" spans="1:7">
      <c r="A4748" s="20">
        <v>4746</v>
      </c>
      <c r="B4748" s="20">
        <v>1413</v>
      </c>
      <c r="C4748" s="21">
        <v>45272</v>
      </c>
      <c r="D4748" s="20">
        <v>3291.84</v>
      </c>
      <c r="E4748" s="22" t="s">
        <v>10</v>
      </c>
      <c r="F4748" s="22" t="s">
        <v>11</v>
      </c>
      <c r="G4748" s="22" t="s">
        <v>20</v>
      </c>
    </row>
    <row r="4749" ht="15.15" spans="1:7">
      <c r="A4749" s="20">
        <v>4747</v>
      </c>
      <c r="B4749" s="20">
        <v>6400</v>
      </c>
      <c r="C4749" s="21">
        <v>45235</v>
      </c>
      <c r="D4749" s="20">
        <v>3291.84</v>
      </c>
      <c r="E4749" s="22" t="s">
        <v>10</v>
      </c>
      <c r="F4749" s="22" t="s">
        <v>18</v>
      </c>
      <c r="G4749" s="22" t="s">
        <v>20</v>
      </c>
    </row>
    <row r="4750" ht="15.15" spans="1:7">
      <c r="A4750" s="20">
        <v>4748</v>
      </c>
      <c r="B4750" s="20">
        <v>4392</v>
      </c>
      <c r="C4750" s="21">
        <v>45237</v>
      </c>
      <c r="D4750" s="20">
        <v>3291.84</v>
      </c>
      <c r="E4750" s="22" t="s">
        <v>10</v>
      </c>
      <c r="F4750" s="22" t="s">
        <v>13</v>
      </c>
      <c r="G4750" s="22" t="s">
        <v>20</v>
      </c>
    </row>
    <row r="4751" ht="15.15" spans="1:7">
      <c r="A4751" s="20">
        <v>4749</v>
      </c>
      <c r="B4751" s="20">
        <v>8737</v>
      </c>
      <c r="C4751" s="21">
        <v>44953</v>
      </c>
      <c r="D4751" s="20">
        <v>3291.84</v>
      </c>
      <c r="E4751" s="22" t="s">
        <v>10</v>
      </c>
      <c r="F4751" s="22" t="s">
        <v>16</v>
      </c>
      <c r="G4751" s="22" t="s">
        <v>20</v>
      </c>
    </row>
    <row r="4752" ht="15.15" spans="1:7">
      <c r="A4752" s="20">
        <v>4750</v>
      </c>
      <c r="B4752" s="20">
        <v>5450</v>
      </c>
      <c r="C4752" s="21">
        <v>45215</v>
      </c>
      <c r="D4752" s="20">
        <v>3291.84</v>
      </c>
      <c r="E4752" s="22" t="s">
        <v>10</v>
      </c>
      <c r="F4752" s="22" t="s">
        <v>18</v>
      </c>
      <c r="G4752" s="22" t="s">
        <v>20</v>
      </c>
    </row>
    <row r="4753" ht="15.15" spans="1:7">
      <c r="A4753" s="20">
        <v>4751</v>
      </c>
      <c r="B4753" s="20">
        <v>3650</v>
      </c>
      <c r="C4753" s="21">
        <v>45198</v>
      </c>
      <c r="D4753" s="20">
        <v>3291.84</v>
      </c>
      <c r="E4753" s="22" t="s">
        <v>22</v>
      </c>
      <c r="F4753" s="22" t="s">
        <v>13</v>
      </c>
      <c r="G4753" s="22" t="s">
        <v>20</v>
      </c>
    </row>
    <row r="4754" ht="15.15" spans="1:7">
      <c r="A4754" s="20">
        <v>4752</v>
      </c>
      <c r="B4754" s="20">
        <v>339</v>
      </c>
      <c r="C4754" s="21">
        <v>44933</v>
      </c>
      <c r="D4754" s="20">
        <v>3291.84</v>
      </c>
      <c r="E4754" s="22" t="s">
        <v>10</v>
      </c>
      <c r="F4754" s="22" t="s">
        <v>14</v>
      </c>
      <c r="G4754" s="22" t="s">
        <v>12</v>
      </c>
    </row>
    <row r="4755" ht="15.15" spans="1:7">
      <c r="A4755" s="20">
        <v>4753</v>
      </c>
      <c r="B4755" s="20">
        <v>1349</v>
      </c>
      <c r="C4755" s="21">
        <v>45222</v>
      </c>
      <c r="D4755" s="20">
        <v>3291.84</v>
      </c>
      <c r="E4755" s="22" t="s">
        <v>10</v>
      </c>
      <c r="F4755" s="22" t="s">
        <v>14</v>
      </c>
      <c r="G4755" s="22" t="s">
        <v>15</v>
      </c>
    </row>
    <row r="4756" ht="15.15" spans="1:7">
      <c r="A4756" s="20">
        <v>4754</v>
      </c>
      <c r="B4756" s="20">
        <v>4138</v>
      </c>
      <c r="C4756" s="21">
        <v>45073</v>
      </c>
      <c r="D4756" s="20">
        <v>3291.84</v>
      </c>
      <c r="E4756" s="22" t="s">
        <v>10</v>
      </c>
      <c r="F4756" s="22" t="s">
        <v>18</v>
      </c>
      <c r="G4756" s="22" t="s">
        <v>15</v>
      </c>
    </row>
    <row r="4757" ht="15.15" spans="1:7">
      <c r="A4757" s="20">
        <v>4755</v>
      </c>
      <c r="B4757" s="20">
        <v>2495</v>
      </c>
      <c r="C4757" s="21">
        <v>45051</v>
      </c>
      <c r="D4757" s="20">
        <v>3291.84</v>
      </c>
      <c r="E4757" s="22" t="s">
        <v>10</v>
      </c>
      <c r="F4757" s="22" t="s">
        <v>13</v>
      </c>
      <c r="G4757" s="22" t="s">
        <v>20</v>
      </c>
    </row>
    <row r="4758" ht="15.15" spans="1:7">
      <c r="A4758" s="20">
        <v>4756</v>
      </c>
      <c r="B4758" s="20">
        <v>6263</v>
      </c>
      <c r="C4758" s="21">
        <v>45023</v>
      </c>
      <c r="D4758" s="20">
        <v>3291.84</v>
      </c>
      <c r="E4758" s="22" t="s">
        <v>10</v>
      </c>
      <c r="F4758" s="22" t="s">
        <v>14</v>
      </c>
      <c r="G4758" s="22" t="s">
        <v>12</v>
      </c>
    </row>
    <row r="4759" ht="15.15" spans="1:7">
      <c r="A4759" s="20">
        <v>4757</v>
      </c>
      <c r="B4759" s="20">
        <v>994</v>
      </c>
      <c r="C4759" s="21">
        <v>45162</v>
      </c>
      <c r="D4759" s="20">
        <v>3291.84</v>
      </c>
      <c r="E4759" s="22" t="s">
        <v>10</v>
      </c>
      <c r="F4759" s="22" t="s">
        <v>19</v>
      </c>
      <c r="G4759" s="22" t="s">
        <v>12</v>
      </c>
    </row>
    <row r="4760" ht="15.15" spans="1:7">
      <c r="A4760" s="20">
        <v>4758</v>
      </c>
      <c r="B4760" s="20">
        <v>9603</v>
      </c>
      <c r="C4760" s="21">
        <v>44976</v>
      </c>
      <c r="D4760" s="20">
        <v>3291.84</v>
      </c>
      <c r="E4760" s="22" t="s">
        <v>22</v>
      </c>
      <c r="F4760" s="22" t="s">
        <v>14</v>
      </c>
      <c r="G4760" s="22" t="s">
        <v>15</v>
      </c>
    </row>
    <row r="4761" ht="15.15" spans="1:7">
      <c r="A4761" s="20">
        <v>4759</v>
      </c>
      <c r="B4761" s="20">
        <v>7589</v>
      </c>
      <c r="C4761" s="21">
        <v>45104</v>
      </c>
      <c r="D4761" s="20">
        <v>3291.84</v>
      </c>
      <c r="E4761" s="22" t="s">
        <v>10</v>
      </c>
      <c r="F4761" s="22" t="s">
        <v>11</v>
      </c>
      <c r="G4761" s="22" t="s">
        <v>15</v>
      </c>
    </row>
    <row r="4762" ht="15.15" spans="1:7">
      <c r="A4762" s="20">
        <v>4760</v>
      </c>
      <c r="B4762" s="20">
        <v>7748</v>
      </c>
      <c r="C4762" s="21">
        <v>45110</v>
      </c>
      <c r="D4762" s="20">
        <v>3291.84</v>
      </c>
      <c r="E4762" s="22" t="s">
        <v>10</v>
      </c>
      <c r="F4762" s="22" t="s">
        <v>16</v>
      </c>
      <c r="G4762" s="22" t="s">
        <v>20</v>
      </c>
    </row>
    <row r="4763" ht="15.15" spans="1:7">
      <c r="A4763" s="20">
        <v>4761</v>
      </c>
      <c r="B4763" s="20">
        <v>7504</v>
      </c>
      <c r="C4763" s="21">
        <v>45245</v>
      </c>
      <c r="D4763" s="20">
        <v>3291.84</v>
      </c>
      <c r="E4763" s="22" t="s">
        <v>10</v>
      </c>
      <c r="F4763" s="22" t="s">
        <v>16</v>
      </c>
      <c r="G4763" s="22" t="s">
        <v>15</v>
      </c>
    </row>
    <row r="4764" ht="15.15" spans="1:7">
      <c r="A4764" s="20">
        <v>4762</v>
      </c>
      <c r="B4764" s="20">
        <v>6916</v>
      </c>
      <c r="C4764" s="21">
        <v>44967</v>
      </c>
      <c r="D4764" s="20">
        <v>3291.84</v>
      </c>
      <c r="E4764" s="22" t="s">
        <v>10</v>
      </c>
      <c r="F4764" s="22" t="s">
        <v>16</v>
      </c>
      <c r="G4764" s="22" t="s">
        <v>20</v>
      </c>
    </row>
    <row r="4765" ht="15.15" spans="1:7">
      <c r="A4765" s="20">
        <v>4763</v>
      </c>
      <c r="B4765" s="20">
        <v>4106</v>
      </c>
      <c r="C4765" s="21">
        <v>45035</v>
      </c>
      <c r="D4765" s="20">
        <v>3291.84</v>
      </c>
      <c r="E4765" s="22" t="s">
        <v>10</v>
      </c>
      <c r="F4765" s="22" t="s">
        <v>13</v>
      </c>
      <c r="G4765" s="22" t="s">
        <v>20</v>
      </c>
    </row>
    <row r="4766" ht="15.15" spans="1:7">
      <c r="A4766" s="20">
        <v>4764</v>
      </c>
      <c r="B4766" s="20">
        <v>1814</v>
      </c>
      <c r="C4766" s="21">
        <v>45152</v>
      </c>
      <c r="D4766" s="20">
        <v>3291.84</v>
      </c>
      <c r="E4766" s="22" t="s">
        <v>10</v>
      </c>
      <c r="F4766" s="22" t="s">
        <v>11</v>
      </c>
      <c r="G4766" s="22" t="s">
        <v>17</v>
      </c>
    </row>
    <row r="4767" ht="15.15" spans="1:7">
      <c r="A4767" s="20">
        <v>4765</v>
      </c>
      <c r="B4767" s="20">
        <v>9124</v>
      </c>
      <c r="C4767" s="21">
        <v>45038</v>
      </c>
      <c r="D4767" s="20">
        <v>3291.84</v>
      </c>
      <c r="E4767" s="22" t="s">
        <v>10</v>
      </c>
      <c r="F4767" s="22" t="s">
        <v>18</v>
      </c>
      <c r="G4767" s="22" t="s">
        <v>15</v>
      </c>
    </row>
    <row r="4768" ht="15.15" spans="1:7">
      <c r="A4768" s="20">
        <v>4766</v>
      </c>
      <c r="B4768" s="20">
        <v>7286</v>
      </c>
      <c r="C4768" s="21">
        <v>45124</v>
      </c>
      <c r="D4768" s="20">
        <v>3291.84</v>
      </c>
      <c r="E4768" s="22" t="s">
        <v>10</v>
      </c>
      <c r="F4768" s="22" t="s">
        <v>18</v>
      </c>
      <c r="G4768" s="22" t="s">
        <v>15</v>
      </c>
    </row>
    <row r="4769" ht="15.15" spans="1:7">
      <c r="A4769" s="20">
        <v>4767</v>
      </c>
      <c r="B4769" s="20">
        <v>6553</v>
      </c>
      <c r="C4769" s="21">
        <v>45266</v>
      </c>
      <c r="D4769" s="20">
        <v>3291.84</v>
      </c>
      <c r="E4769" s="22" t="s">
        <v>10</v>
      </c>
      <c r="F4769" s="22" t="s">
        <v>11</v>
      </c>
      <c r="G4769" s="22" t="s">
        <v>20</v>
      </c>
    </row>
    <row r="4770" ht="15.15" spans="1:7">
      <c r="A4770" s="20">
        <v>4768</v>
      </c>
      <c r="B4770" s="20">
        <v>8701</v>
      </c>
      <c r="C4770" s="21">
        <v>44934</v>
      </c>
      <c r="D4770" s="20">
        <v>3291.84</v>
      </c>
      <c r="E4770" s="22" t="s">
        <v>10</v>
      </c>
      <c r="F4770" s="22" t="s">
        <v>18</v>
      </c>
      <c r="G4770" s="22" t="s">
        <v>12</v>
      </c>
    </row>
    <row r="4771" ht="15.15" spans="1:7">
      <c r="A4771" s="20">
        <v>4769</v>
      </c>
      <c r="B4771" s="20">
        <v>4669</v>
      </c>
      <c r="C4771" s="21">
        <v>45041</v>
      </c>
      <c r="D4771" s="20">
        <v>3291.84</v>
      </c>
      <c r="E4771" s="22" t="s">
        <v>10</v>
      </c>
      <c r="F4771" s="22" t="s">
        <v>18</v>
      </c>
      <c r="G4771" s="22" t="s">
        <v>12</v>
      </c>
    </row>
    <row r="4772" ht="15.15" spans="1:7">
      <c r="A4772" s="20">
        <v>4770</v>
      </c>
      <c r="B4772" s="20">
        <v>752</v>
      </c>
      <c r="C4772" s="21">
        <v>45173</v>
      </c>
      <c r="D4772" s="20">
        <v>3291.84</v>
      </c>
      <c r="E4772" s="22" t="s">
        <v>10</v>
      </c>
      <c r="F4772" s="22" t="s">
        <v>11</v>
      </c>
      <c r="G4772" s="22" t="s">
        <v>12</v>
      </c>
    </row>
    <row r="4773" ht="15.15" spans="1:7">
      <c r="A4773" s="20">
        <v>4771</v>
      </c>
      <c r="B4773" s="20">
        <v>2871</v>
      </c>
      <c r="C4773" s="21">
        <v>45231</v>
      </c>
      <c r="D4773" s="20">
        <v>3291.84</v>
      </c>
      <c r="E4773" s="22" t="s">
        <v>10</v>
      </c>
      <c r="F4773" s="22" t="s">
        <v>14</v>
      </c>
      <c r="G4773" s="22" t="s">
        <v>12</v>
      </c>
    </row>
    <row r="4774" ht="15.15" spans="1:7">
      <c r="A4774" s="20">
        <v>4772</v>
      </c>
      <c r="B4774" s="20">
        <v>6434</v>
      </c>
      <c r="C4774" s="21">
        <v>45258</v>
      </c>
      <c r="D4774" s="20">
        <v>3291.84</v>
      </c>
      <c r="E4774" s="22" t="s">
        <v>10</v>
      </c>
      <c r="F4774" s="22" t="s">
        <v>14</v>
      </c>
      <c r="G4774" s="22" t="s">
        <v>12</v>
      </c>
    </row>
    <row r="4775" ht="15.15" spans="1:7">
      <c r="A4775" s="20">
        <v>4773</v>
      </c>
      <c r="B4775" s="20">
        <v>436</v>
      </c>
      <c r="C4775" s="21">
        <v>45133</v>
      </c>
      <c r="D4775" s="20">
        <v>3291.84</v>
      </c>
      <c r="E4775" s="22" t="s">
        <v>10</v>
      </c>
      <c r="F4775" s="22" t="s">
        <v>18</v>
      </c>
      <c r="G4775" s="22" t="s">
        <v>17</v>
      </c>
    </row>
    <row r="4776" ht="15.15" spans="1:7">
      <c r="A4776" s="20">
        <v>4774</v>
      </c>
      <c r="B4776" s="20">
        <v>3372</v>
      </c>
      <c r="C4776" s="21">
        <v>45092</v>
      </c>
      <c r="D4776" s="20">
        <v>3291.84</v>
      </c>
      <c r="E4776" s="22" t="s">
        <v>10</v>
      </c>
      <c r="F4776" s="22" t="s">
        <v>14</v>
      </c>
      <c r="G4776" s="22" t="s">
        <v>17</v>
      </c>
    </row>
    <row r="4777" ht="15.15" spans="1:7">
      <c r="A4777" s="20">
        <v>4775</v>
      </c>
      <c r="B4777" s="20">
        <v>9200</v>
      </c>
      <c r="C4777" s="21">
        <v>45267</v>
      </c>
      <c r="D4777" s="20">
        <v>3291.84</v>
      </c>
      <c r="E4777" s="22" t="s">
        <v>10</v>
      </c>
      <c r="F4777" s="22" t="s">
        <v>13</v>
      </c>
      <c r="G4777" s="22" t="s">
        <v>12</v>
      </c>
    </row>
    <row r="4778" ht="15.15" spans="1:7">
      <c r="A4778" s="20">
        <v>4776</v>
      </c>
      <c r="B4778" s="20">
        <v>1242</v>
      </c>
      <c r="C4778" s="21">
        <v>45133</v>
      </c>
      <c r="D4778" s="20">
        <v>3291.84</v>
      </c>
      <c r="E4778" s="22" t="s">
        <v>10</v>
      </c>
      <c r="F4778" s="22" t="s">
        <v>16</v>
      </c>
      <c r="G4778" s="22" t="s">
        <v>12</v>
      </c>
    </row>
    <row r="4779" ht="15.15" spans="1:7">
      <c r="A4779" s="20">
        <v>4777</v>
      </c>
      <c r="B4779" s="20">
        <v>8223</v>
      </c>
      <c r="C4779" s="21">
        <v>45237</v>
      </c>
      <c r="D4779" s="20">
        <v>3291.84</v>
      </c>
      <c r="E4779" s="22" t="s">
        <v>10</v>
      </c>
      <c r="F4779" s="22" t="s">
        <v>11</v>
      </c>
      <c r="G4779" s="22" t="s">
        <v>15</v>
      </c>
    </row>
    <row r="4780" ht="15.15" spans="1:7">
      <c r="A4780" s="20">
        <v>4778</v>
      </c>
      <c r="B4780" s="20">
        <v>3500</v>
      </c>
      <c r="C4780" s="21">
        <v>45035</v>
      </c>
      <c r="D4780" s="20">
        <v>3291.84</v>
      </c>
      <c r="E4780" s="22" t="s">
        <v>10</v>
      </c>
      <c r="F4780" s="22" t="s">
        <v>16</v>
      </c>
      <c r="G4780" s="22" t="s">
        <v>12</v>
      </c>
    </row>
    <row r="4781" ht="15.15" spans="1:7">
      <c r="A4781" s="20">
        <v>4779</v>
      </c>
      <c r="B4781" s="20">
        <v>8616</v>
      </c>
      <c r="C4781" s="21">
        <v>45212</v>
      </c>
      <c r="D4781" s="20">
        <v>3291.84</v>
      </c>
      <c r="E4781" s="22" t="s">
        <v>10</v>
      </c>
      <c r="F4781" s="22" t="s">
        <v>11</v>
      </c>
      <c r="G4781" s="22" t="s">
        <v>12</v>
      </c>
    </row>
    <row r="4782" ht="15.15" spans="1:7">
      <c r="A4782" s="20">
        <v>4780</v>
      </c>
      <c r="B4782" s="20">
        <v>5621</v>
      </c>
      <c r="C4782" s="21">
        <v>45245</v>
      </c>
      <c r="D4782" s="20">
        <v>3291.84</v>
      </c>
      <c r="E4782" s="22" t="s">
        <v>10</v>
      </c>
      <c r="F4782" s="22" t="s">
        <v>13</v>
      </c>
      <c r="G4782" s="22" t="s">
        <v>12</v>
      </c>
    </row>
    <row r="4783" ht="15.15" spans="1:7">
      <c r="A4783" s="20">
        <v>4781</v>
      </c>
      <c r="B4783" s="20">
        <v>800</v>
      </c>
      <c r="C4783" s="21">
        <v>45204</v>
      </c>
      <c r="D4783" s="20">
        <v>3291.84</v>
      </c>
      <c r="E4783" s="22" t="s">
        <v>10</v>
      </c>
      <c r="F4783" s="22" t="s">
        <v>13</v>
      </c>
      <c r="G4783" s="22" t="s">
        <v>12</v>
      </c>
    </row>
    <row r="4784" ht="15.15" spans="1:7">
      <c r="A4784" s="20">
        <v>4782</v>
      </c>
      <c r="B4784" s="20">
        <v>3460</v>
      </c>
      <c r="C4784" s="21">
        <v>45278</v>
      </c>
      <c r="D4784" s="20">
        <v>3291.84</v>
      </c>
      <c r="E4784" s="22" t="s">
        <v>10</v>
      </c>
      <c r="F4784" s="22" t="s">
        <v>13</v>
      </c>
      <c r="G4784" s="22" t="s">
        <v>15</v>
      </c>
    </row>
    <row r="4785" ht="15.15" spans="1:7">
      <c r="A4785" s="20">
        <v>4783</v>
      </c>
      <c r="B4785" s="20">
        <v>5283</v>
      </c>
      <c r="C4785" s="21">
        <v>45288</v>
      </c>
      <c r="D4785" s="20">
        <v>3291.84</v>
      </c>
      <c r="E4785" s="22" t="s">
        <v>10</v>
      </c>
      <c r="F4785" s="22" t="s">
        <v>18</v>
      </c>
      <c r="G4785" s="22" t="s">
        <v>12</v>
      </c>
    </row>
    <row r="4786" ht="15.15" spans="1:7">
      <c r="A4786" s="20">
        <v>4784</v>
      </c>
      <c r="B4786" s="20">
        <v>6520</v>
      </c>
      <c r="C4786" s="21">
        <v>45093</v>
      </c>
      <c r="D4786" s="20">
        <v>3291.84</v>
      </c>
      <c r="E4786" s="22" t="s">
        <v>10</v>
      </c>
      <c r="F4786" s="22" t="s">
        <v>11</v>
      </c>
      <c r="G4786" s="22" t="s">
        <v>15</v>
      </c>
    </row>
    <row r="4787" ht="15.15" spans="1:7">
      <c r="A4787" s="20">
        <v>4785</v>
      </c>
      <c r="B4787" s="20">
        <v>7540</v>
      </c>
      <c r="C4787" s="21">
        <v>45036</v>
      </c>
      <c r="D4787" s="20">
        <v>3291.84</v>
      </c>
      <c r="E4787" s="22" t="s">
        <v>10</v>
      </c>
      <c r="F4787" s="22" t="s">
        <v>16</v>
      </c>
      <c r="G4787" s="22" t="s">
        <v>17</v>
      </c>
    </row>
    <row r="4788" ht="15.15" spans="1:7">
      <c r="A4788" s="20">
        <v>4786</v>
      </c>
      <c r="B4788" s="20">
        <v>157</v>
      </c>
      <c r="C4788" s="21">
        <v>45257</v>
      </c>
      <c r="D4788" s="20">
        <v>3291.84</v>
      </c>
      <c r="E4788" s="22" t="s">
        <v>10</v>
      </c>
      <c r="F4788" s="22" t="s">
        <v>18</v>
      </c>
      <c r="G4788" s="22" t="s">
        <v>15</v>
      </c>
    </row>
    <row r="4789" ht="15.15" spans="1:7">
      <c r="A4789" s="20">
        <v>4787</v>
      </c>
      <c r="B4789" s="20">
        <v>9833</v>
      </c>
      <c r="C4789" s="21">
        <v>45042</v>
      </c>
      <c r="D4789" s="20">
        <v>3291.84</v>
      </c>
      <c r="E4789" s="22" t="s">
        <v>10</v>
      </c>
      <c r="F4789" s="22" t="s">
        <v>13</v>
      </c>
      <c r="G4789" s="22" t="s">
        <v>17</v>
      </c>
    </row>
    <row r="4790" ht="15.15" spans="1:7">
      <c r="A4790" s="20">
        <v>4788</v>
      </c>
      <c r="B4790" s="20">
        <v>7701</v>
      </c>
      <c r="C4790" s="21">
        <v>45242</v>
      </c>
      <c r="D4790" s="20">
        <v>3291.84</v>
      </c>
      <c r="E4790" s="22" t="s">
        <v>22</v>
      </c>
      <c r="F4790" s="22" t="s">
        <v>18</v>
      </c>
      <c r="G4790" s="22" t="s">
        <v>15</v>
      </c>
    </row>
    <row r="4791" ht="15.15" spans="1:7">
      <c r="A4791" s="20">
        <v>4789</v>
      </c>
      <c r="B4791" s="20">
        <v>4026</v>
      </c>
      <c r="C4791" s="21">
        <v>45287</v>
      </c>
      <c r="D4791" s="20">
        <v>3291.84</v>
      </c>
      <c r="E4791" s="22" t="s">
        <v>10</v>
      </c>
      <c r="F4791" s="22" t="s">
        <v>16</v>
      </c>
      <c r="G4791" s="22" t="s">
        <v>17</v>
      </c>
    </row>
    <row r="4792" ht="15.15" spans="1:7">
      <c r="A4792" s="20">
        <v>4790</v>
      </c>
      <c r="B4792" s="20">
        <v>984</v>
      </c>
      <c r="C4792" s="21">
        <v>45242</v>
      </c>
      <c r="D4792" s="20">
        <v>3291.84</v>
      </c>
      <c r="E4792" s="22" t="s">
        <v>10</v>
      </c>
      <c r="F4792" s="22" t="s">
        <v>14</v>
      </c>
      <c r="G4792" s="22" t="s">
        <v>20</v>
      </c>
    </row>
    <row r="4793" ht="15.15" spans="1:7">
      <c r="A4793" s="20">
        <v>4791</v>
      </c>
      <c r="B4793" s="20">
        <v>8166</v>
      </c>
      <c r="C4793" s="21">
        <v>45095</v>
      </c>
      <c r="D4793" s="20">
        <v>3291.84</v>
      </c>
      <c r="E4793" s="22" t="s">
        <v>10</v>
      </c>
      <c r="F4793" s="22" t="s">
        <v>16</v>
      </c>
      <c r="G4793" s="22" t="s">
        <v>15</v>
      </c>
    </row>
    <row r="4794" ht="15.15" spans="1:7">
      <c r="A4794" s="20">
        <v>4792</v>
      </c>
      <c r="B4794" s="20">
        <v>1654</v>
      </c>
      <c r="C4794" s="21">
        <v>45177</v>
      </c>
      <c r="D4794" s="20">
        <v>3291.84</v>
      </c>
      <c r="E4794" s="22" t="s">
        <v>10</v>
      </c>
      <c r="F4794" s="22" t="s">
        <v>19</v>
      </c>
      <c r="G4794" s="22" t="s">
        <v>20</v>
      </c>
    </row>
    <row r="4795" ht="15.15" spans="1:7">
      <c r="A4795" s="20">
        <v>4793</v>
      </c>
      <c r="B4795" s="20">
        <v>394</v>
      </c>
      <c r="C4795" s="21">
        <v>45010</v>
      </c>
      <c r="D4795" s="20">
        <v>3291.84</v>
      </c>
      <c r="E4795" s="22" t="s">
        <v>10</v>
      </c>
      <c r="F4795" s="22" t="s">
        <v>16</v>
      </c>
      <c r="G4795" s="22" t="s">
        <v>15</v>
      </c>
    </row>
    <row r="4796" ht="15.15" spans="1:7">
      <c r="A4796" s="20">
        <v>4794</v>
      </c>
      <c r="B4796" s="20">
        <v>6134</v>
      </c>
      <c r="C4796" s="21">
        <v>45008</v>
      </c>
      <c r="D4796" s="20">
        <v>3291.84</v>
      </c>
      <c r="E4796" s="22" t="s">
        <v>10</v>
      </c>
      <c r="F4796" s="22" t="s">
        <v>11</v>
      </c>
      <c r="G4796" s="22" t="s">
        <v>17</v>
      </c>
    </row>
    <row r="4797" ht="15.15" spans="1:7">
      <c r="A4797" s="20">
        <v>4795</v>
      </c>
      <c r="B4797" s="20">
        <v>849</v>
      </c>
      <c r="C4797" s="21">
        <v>45134</v>
      </c>
      <c r="D4797" s="20">
        <v>3291.84</v>
      </c>
      <c r="E4797" s="22" t="s">
        <v>10</v>
      </c>
      <c r="F4797" s="22" t="s">
        <v>13</v>
      </c>
      <c r="G4797" s="22" t="s">
        <v>12</v>
      </c>
    </row>
    <row r="4798" ht="15.15" spans="1:7">
      <c r="A4798" s="20">
        <v>4796</v>
      </c>
      <c r="B4798" s="20">
        <v>4349</v>
      </c>
      <c r="C4798" s="21">
        <v>45231</v>
      </c>
      <c r="D4798" s="20">
        <v>3291.84</v>
      </c>
      <c r="E4798" s="22" t="s">
        <v>10</v>
      </c>
      <c r="F4798" s="22" t="s">
        <v>16</v>
      </c>
      <c r="G4798" s="22" t="s">
        <v>12</v>
      </c>
    </row>
    <row r="4799" ht="15.15" spans="1:7">
      <c r="A4799" s="20">
        <v>4797</v>
      </c>
      <c r="B4799" s="20">
        <v>9796</v>
      </c>
      <c r="C4799" s="21">
        <v>45145</v>
      </c>
      <c r="D4799" s="20">
        <v>3291.84</v>
      </c>
      <c r="E4799" s="22" t="s">
        <v>10</v>
      </c>
      <c r="F4799" s="22" t="s">
        <v>18</v>
      </c>
      <c r="G4799" s="22" t="s">
        <v>20</v>
      </c>
    </row>
    <row r="4800" ht="15.15" spans="1:7">
      <c r="A4800" s="20">
        <v>4798</v>
      </c>
      <c r="B4800" s="20">
        <v>1221</v>
      </c>
      <c r="C4800" s="21">
        <v>45033</v>
      </c>
      <c r="D4800" s="20">
        <v>3291.84</v>
      </c>
      <c r="E4800" s="22" t="s">
        <v>10</v>
      </c>
      <c r="F4800" s="22" t="s">
        <v>13</v>
      </c>
      <c r="G4800" s="22" t="s">
        <v>20</v>
      </c>
    </row>
    <row r="4801" ht="15.15" spans="1:7">
      <c r="A4801" s="20">
        <v>4799</v>
      </c>
      <c r="B4801" s="20">
        <v>2456</v>
      </c>
      <c r="C4801" s="21">
        <v>45023</v>
      </c>
      <c r="D4801" s="20">
        <v>3291.84</v>
      </c>
      <c r="E4801" s="22" t="s">
        <v>10</v>
      </c>
      <c r="F4801" s="22" t="s">
        <v>16</v>
      </c>
      <c r="G4801" s="22" t="s">
        <v>12</v>
      </c>
    </row>
    <row r="4802" ht="15.15" spans="1:7">
      <c r="A4802" s="20">
        <v>4800</v>
      </c>
      <c r="B4802" s="20">
        <v>9237</v>
      </c>
      <c r="C4802" s="21">
        <v>45111</v>
      </c>
      <c r="D4802" s="20">
        <v>3291.84</v>
      </c>
      <c r="E4802" s="22" t="s">
        <v>10</v>
      </c>
      <c r="F4802" s="22" t="s">
        <v>11</v>
      </c>
      <c r="G4802" s="22" t="s">
        <v>20</v>
      </c>
    </row>
    <row r="4803" ht="15.15" spans="1:7">
      <c r="A4803" s="20">
        <v>4801</v>
      </c>
      <c r="B4803" s="20">
        <v>7789</v>
      </c>
      <c r="C4803" s="21">
        <v>45038</v>
      </c>
      <c r="D4803" s="20">
        <v>3291.84</v>
      </c>
      <c r="E4803" s="22" t="s">
        <v>10</v>
      </c>
      <c r="F4803" s="22" t="s">
        <v>18</v>
      </c>
      <c r="G4803" s="22" t="s">
        <v>20</v>
      </c>
    </row>
    <row r="4804" ht="15.15" spans="1:7">
      <c r="A4804" s="20">
        <v>4802</v>
      </c>
      <c r="B4804" s="20">
        <v>3101</v>
      </c>
      <c r="C4804" s="21">
        <v>45063</v>
      </c>
      <c r="D4804" s="20">
        <v>3291.84</v>
      </c>
      <c r="E4804" s="22" t="s">
        <v>10</v>
      </c>
      <c r="F4804" s="22" t="s">
        <v>13</v>
      </c>
      <c r="G4804" s="22" t="s">
        <v>12</v>
      </c>
    </row>
    <row r="4805" ht="15.15" spans="1:7">
      <c r="A4805" s="20">
        <v>4803</v>
      </c>
      <c r="B4805" s="20">
        <v>6895</v>
      </c>
      <c r="C4805" s="21">
        <v>45020</v>
      </c>
      <c r="D4805" s="20">
        <v>3291.84</v>
      </c>
      <c r="E4805" s="22" t="s">
        <v>10</v>
      </c>
      <c r="F4805" s="22" t="s">
        <v>14</v>
      </c>
      <c r="G4805" s="22" t="s">
        <v>17</v>
      </c>
    </row>
    <row r="4806" ht="15.15" spans="1:7">
      <c r="A4806" s="20">
        <v>4804</v>
      </c>
      <c r="B4806" s="20">
        <v>1365</v>
      </c>
      <c r="C4806" s="21">
        <v>45168</v>
      </c>
      <c r="D4806" s="20">
        <v>3291.84</v>
      </c>
      <c r="E4806" s="22" t="s">
        <v>10</v>
      </c>
      <c r="F4806" s="22" t="s">
        <v>11</v>
      </c>
      <c r="G4806" s="22" t="s">
        <v>15</v>
      </c>
    </row>
    <row r="4807" ht="15.15" spans="1:7">
      <c r="A4807" s="20">
        <v>4805</v>
      </c>
      <c r="B4807" s="20">
        <v>4534</v>
      </c>
      <c r="C4807" s="21">
        <v>45192</v>
      </c>
      <c r="D4807" s="20">
        <v>3291.84</v>
      </c>
      <c r="E4807" s="22" t="s">
        <v>10</v>
      </c>
      <c r="F4807" s="22" t="s">
        <v>14</v>
      </c>
      <c r="G4807" s="22" t="s">
        <v>15</v>
      </c>
    </row>
    <row r="4808" ht="15.15" spans="1:7">
      <c r="A4808" s="20">
        <v>4806</v>
      </c>
      <c r="B4808" s="20">
        <v>6462</v>
      </c>
      <c r="C4808" s="21">
        <v>45039</v>
      </c>
      <c r="D4808" s="20">
        <v>3291.84</v>
      </c>
      <c r="E4808" s="22" t="s">
        <v>10</v>
      </c>
      <c r="F4808" s="22" t="s">
        <v>13</v>
      </c>
      <c r="G4808" s="22" t="s">
        <v>15</v>
      </c>
    </row>
    <row r="4809" ht="15.15" spans="1:7">
      <c r="A4809" s="20">
        <v>4807</v>
      </c>
      <c r="B4809" s="20">
        <v>9482</v>
      </c>
      <c r="C4809" s="21">
        <v>45238</v>
      </c>
      <c r="D4809" s="20">
        <v>3291.84</v>
      </c>
      <c r="E4809" s="22" t="s">
        <v>10</v>
      </c>
      <c r="F4809" s="22" t="s">
        <v>11</v>
      </c>
      <c r="G4809" s="22" t="s">
        <v>17</v>
      </c>
    </row>
    <row r="4810" ht="15.15" spans="1:7">
      <c r="A4810" s="20">
        <v>4808</v>
      </c>
      <c r="B4810" s="20">
        <v>7148</v>
      </c>
      <c r="C4810" s="21">
        <v>45064</v>
      </c>
      <c r="D4810" s="20">
        <v>3291.84</v>
      </c>
      <c r="E4810" s="22" t="s">
        <v>10</v>
      </c>
      <c r="F4810" s="22" t="s">
        <v>18</v>
      </c>
      <c r="G4810" s="22" t="s">
        <v>15</v>
      </c>
    </row>
    <row r="4811" ht="15.15" spans="1:7">
      <c r="A4811" s="20">
        <v>4809</v>
      </c>
      <c r="B4811" s="20">
        <v>9379</v>
      </c>
      <c r="C4811" s="21">
        <v>44965</v>
      </c>
      <c r="D4811" s="20">
        <v>3291.84</v>
      </c>
      <c r="E4811" s="22" t="s">
        <v>10</v>
      </c>
      <c r="F4811" s="22" t="s">
        <v>14</v>
      </c>
      <c r="G4811" s="22" t="s">
        <v>20</v>
      </c>
    </row>
    <row r="4812" ht="15.15" spans="1:7">
      <c r="A4812" s="20">
        <v>4810</v>
      </c>
      <c r="B4812" s="20">
        <v>1222</v>
      </c>
      <c r="C4812" s="21">
        <v>45088</v>
      </c>
      <c r="D4812" s="20">
        <v>3291.84</v>
      </c>
      <c r="E4812" s="22" t="s">
        <v>10</v>
      </c>
      <c r="F4812" s="22" t="s">
        <v>18</v>
      </c>
      <c r="G4812" s="22" t="s">
        <v>20</v>
      </c>
    </row>
    <row r="4813" ht="15.15" spans="1:7">
      <c r="A4813" s="20">
        <v>4811</v>
      </c>
      <c r="B4813" s="20">
        <v>5307</v>
      </c>
      <c r="C4813" s="21">
        <v>45112</v>
      </c>
      <c r="D4813" s="20">
        <v>3291.84</v>
      </c>
      <c r="E4813" s="22" t="s">
        <v>10</v>
      </c>
      <c r="F4813" s="22" t="s">
        <v>14</v>
      </c>
      <c r="G4813" s="22" t="s">
        <v>20</v>
      </c>
    </row>
    <row r="4814" ht="15.15" spans="1:7">
      <c r="A4814" s="20">
        <v>4812</v>
      </c>
      <c r="B4814" s="20">
        <v>3997</v>
      </c>
      <c r="C4814" s="21">
        <v>45253</v>
      </c>
      <c r="D4814" s="20">
        <v>3291.84</v>
      </c>
      <c r="E4814" s="22" t="s">
        <v>10</v>
      </c>
      <c r="F4814" s="22" t="s">
        <v>11</v>
      </c>
      <c r="G4814" s="22" t="s">
        <v>12</v>
      </c>
    </row>
    <row r="4815" ht="15.15" spans="1:7">
      <c r="A4815" s="20">
        <v>4813</v>
      </c>
      <c r="B4815" s="20">
        <v>4499</v>
      </c>
      <c r="C4815" s="21">
        <v>45146</v>
      </c>
      <c r="D4815" s="20">
        <v>3291.84</v>
      </c>
      <c r="E4815" s="22" t="s">
        <v>10</v>
      </c>
      <c r="F4815" s="22" t="s">
        <v>18</v>
      </c>
      <c r="G4815" s="22" t="s">
        <v>15</v>
      </c>
    </row>
    <row r="4816" ht="15.15" spans="1:7">
      <c r="A4816" s="20">
        <v>4814</v>
      </c>
      <c r="B4816" s="20">
        <v>8260</v>
      </c>
      <c r="C4816" s="21">
        <v>45068</v>
      </c>
      <c r="D4816" s="20">
        <v>3291.84</v>
      </c>
      <c r="E4816" s="22" t="s">
        <v>10</v>
      </c>
      <c r="F4816" s="22" t="s">
        <v>18</v>
      </c>
      <c r="G4816" s="22" t="s">
        <v>12</v>
      </c>
    </row>
    <row r="4817" ht="15.15" spans="1:7">
      <c r="A4817" s="20">
        <v>4815</v>
      </c>
      <c r="B4817" s="20">
        <v>3540</v>
      </c>
      <c r="C4817" s="21">
        <v>45135</v>
      </c>
      <c r="D4817" s="20">
        <v>3291.84</v>
      </c>
      <c r="E4817" s="22" t="s">
        <v>10</v>
      </c>
      <c r="F4817" s="22" t="s">
        <v>13</v>
      </c>
      <c r="G4817" s="22" t="s">
        <v>15</v>
      </c>
    </row>
    <row r="4818" ht="15.15" spans="1:7">
      <c r="A4818" s="20">
        <v>4816</v>
      </c>
      <c r="B4818" s="20">
        <v>5358</v>
      </c>
      <c r="C4818" s="21">
        <v>45252</v>
      </c>
      <c r="D4818" s="20">
        <v>3291.84</v>
      </c>
      <c r="E4818" s="22" t="s">
        <v>10</v>
      </c>
      <c r="F4818" s="22" t="s">
        <v>11</v>
      </c>
      <c r="G4818" s="22" t="s">
        <v>15</v>
      </c>
    </row>
    <row r="4819" ht="15.15" spans="1:7">
      <c r="A4819" s="20">
        <v>4817</v>
      </c>
      <c r="B4819" s="20">
        <v>1617</v>
      </c>
      <c r="C4819" s="21">
        <v>45016</v>
      </c>
      <c r="D4819" s="20">
        <v>3291.84</v>
      </c>
      <c r="E4819" s="22" t="s">
        <v>10</v>
      </c>
      <c r="F4819" s="22" t="s">
        <v>16</v>
      </c>
      <c r="G4819" s="22" t="s">
        <v>12</v>
      </c>
    </row>
    <row r="4820" ht="15.15" spans="1:7">
      <c r="A4820" s="20">
        <v>4818</v>
      </c>
      <c r="B4820" s="20">
        <v>3547</v>
      </c>
      <c r="C4820" s="21">
        <v>44982</v>
      </c>
      <c r="D4820" s="20">
        <v>3291.84</v>
      </c>
      <c r="E4820" s="22" t="s">
        <v>10</v>
      </c>
      <c r="F4820" s="22" t="s">
        <v>16</v>
      </c>
      <c r="G4820" s="22" t="s">
        <v>12</v>
      </c>
    </row>
    <row r="4821" ht="15.15" spans="1:7">
      <c r="A4821" s="20">
        <v>4819</v>
      </c>
      <c r="B4821" s="20">
        <v>9603</v>
      </c>
      <c r="C4821" s="21">
        <v>45239</v>
      </c>
      <c r="D4821" s="20">
        <v>3291.84</v>
      </c>
      <c r="E4821" s="22" t="s">
        <v>10</v>
      </c>
      <c r="F4821" s="22" t="s">
        <v>14</v>
      </c>
      <c r="G4821" s="22" t="s">
        <v>17</v>
      </c>
    </row>
    <row r="4822" ht="15.15" spans="1:7">
      <c r="A4822" s="20">
        <v>4820</v>
      </c>
      <c r="B4822" s="20">
        <v>8551</v>
      </c>
      <c r="C4822" s="21">
        <v>45239</v>
      </c>
      <c r="D4822" s="20">
        <v>3291.84</v>
      </c>
      <c r="E4822" s="22" t="s">
        <v>10</v>
      </c>
      <c r="F4822" s="22" t="s">
        <v>18</v>
      </c>
      <c r="G4822" s="22" t="s">
        <v>17</v>
      </c>
    </row>
    <row r="4823" ht="15.15" spans="1:7">
      <c r="A4823" s="20">
        <v>4821</v>
      </c>
      <c r="B4823" s="20">
        <v>8114</v>
      </c>
      <c r="C4823" s="21">
        <v>44974</v>
      </c>
      <c r="D4823" s="20">
        <v>3291.84</v>
      </c>
      <c r="E4823" s="22" t="s">
        <v>10</v>
      </c>
      <c r="F4823" s="22" t="s">
        <v>16</v>
      </c>
      <c r="G4823" s="22" t="s">
        <v>20</v>
      </c>
    </row>
    <row r="4824" ht="15.15" spans="1:7">
      <c r="A4824" s="20">
        <v>4822</v>
      </c>
      <c r="B4824" s="20">
        <v>430</v>
      </c>
      <c r="C4824" s="21">
        <v>44941</v>
      </c>
      <c r="D4824" s="20">
        <v>3291.84</v>
      </c>
      <c r="E4824" s="22" t="s">
        <v>10</v>
      </c>
      <c r="F4824" s="22" t="s">
        <v>16</v>
      </c>
      <c r="G4824" s="22" t="s">
        <v>12</v>
      </c>
    </row>
    <row r="4825" ht="15.15" spans="1:7">
      <c r="A4825" s="20">
        <v>4823</v>
      </c>
      <c r="B4825" s="20">
        <v>356</v>
      </c>
      <c r="C4825" s="21">
        <v>45055</v>
      </c>
      <c r="D4825" s="20">
        <v>3291.84</v>
      </c>
      <c r="E4825" s="22" t="s">
        <v>22</v>
      </c>
      <c r="F4825" s="22" t="s">
        <v>18</v>
      </c>
      <c r="G4825" s="22" t="s">
        <v>20</v>
      </c>
    </row>
    <row r="4826" ht="15.15" spans="1:7">
      <c r="A4826" s="20">
        <v>4824</v>
      </c>
      <c r="B4826" s="20">
        <v>752</v>
      </c>
      <c r="C4826" s="21">
        <v>45244</v>
      </c>
      <c r="D4826" s="20">
        <v>3291.84</v>
      </c>
      <c r="E4826" s="22" t="s">
        <v>10</v>
      </c>
      <c r="F4826" s="22" t="s">
        <v>11</v>
      </c>
      <c r="G4826" s="22" t="s">
        <v>20</v>
      </c>
    </row>
    <row r="4827" ht="15.15" spans="1:7">
      <c r="A4827" s="20">
        <v>4825</v>
      </c>
      <c r="B4827" s="20">
        <v>7820</v>
      </c>
      <c r="C4827" s="21">
        <v>45049</v>
      </c>
      <c r="D4827" s="20">
        <v>3291.84</v>
      </c>
      <c r="E4827" s="22" t="s">
        <v>10</v>
      </c>
      <c r="F4827" s="22" t="s">
        <v>13</v>
      </c>
      <c r="G4827" s="22" t="s">
        <v>20</v>
      </c>
    </row>
    <row r="4828" ht="15.15" spans="1:7">
      <c r="A4828" s="20">
        <v>4826</v>
      </c>
      <c r="B4828" s="20">
        <v>3405</v>
      </c>
      <c r="C4828" s="21">
        <v>45246</v>
      </c>
      <c r="D4828" s="20">
        <v>3291.84</v>
      </c>
      <c r="E4828" s="22" t="s">
        <v>10</v>
      </c>
      <c r="F4828" s="22" t="s">
        <v>14</v>
      </c>
      <c r="G4828" s="22" t="s">
        <v>15</v>
      </c>
    </row>
    <row r="4829" ht="15.15" spans="1:7">
      <c r="A4829" s="20">
        <v>4827</v>
      </c>
      <c r="B4829" s="20">
        <v>1485</v>
      </c>
      <c r="C4829" s="21">
        <v>44995</v>
      </c>
      <c r="D4829" s="20">
        <v>3291.84</v>
      </c>
      <c r="E4829" s="22" t="s">
        <v>10</v>
      </c>
      <c r="F4829" s="22" t="s">
        <v>11</v>
      </c>
      <c r="G4829" s="22" t="s">
        <v>20</v>
      </c>
    </row>
    <row r="4830" ht="15.15" spans="1:7">
      <c r="A4830" s="20">
        <v>4828</v>
      </c>
      <c r="B4830" s="20">
        <v>445</v>
      </c>
      <c r="C4830" s="21">
        <v>45261</v>
      </c>
      <c r="D4830" s="20">
        <v>3291.84</v>
      </c>
      <c r="E4830" s="22" t="s">
        <v>10</v>
      </c>
      <c r="F4830" s="22" t="s">
        <v>16</v>
      </c>
      <c r="G4830" s="22" t="s">
        <v>17</v>
      </c>
    </row>
    <row r="4831" ht="15.15" spans="1:7">
      <c r="A4831" s="20">
        <v>4829</v>
      </c>
      <c r="B4831" s="20">
        <v>1334</v>
      </c>
      <c r="C4831" s="21">
        <v>45285</v>
      </c>
      <c r="D4831" s="20">
        <v>3291.84</v>
      </c>
      <c r="E4831" s="22" t="s">
        <v>10</v>
      </c>
      <c r="F4831" s="22" t="s">
        <v>14</v>
      </c>
      <c r="G4831" s="22" t="s">
        <v>12</v>
      </c>
    </row>
    <row r="4832" ht="15.15" spans="1:7">
      <c r="A4832" s="20">
        <v>4830</v>
      </c>
      <c r="B4832" s="20">
        <v>7652</v>
      </c>
      <c r="C4832" s="21">
        <v>45287</v>
      </c>
      <c r="D4832" s="20">
        <v>3291.84</v>
      </c>
      <c r="E4832" s="22" t="s">
        <v>10</v>
      </c>
      <c r="F4832" s="22" t="s">
        <v>11</v>
      </c>
      <c r="G4832" s="22" t="s">
        <v>12</v>
      </c>
    </row>
    <row r="4833" ht="15.15" spans="1:7">
      <c r="A4833" s="20">
        <v>4831</v>
      </c>
      <c r="B4833" s="20">
        <v>3173</v>
      </c>
      <c r="C4833" s="21">
        <v>45227</v>
      </c>
      <c r="D4833" s="20">
        <v>3291.84</v>
      </c>
      <c r="E4833" s="22" t="s">
        <v>10</v>
      </c>
      <c r="F4833" s="22" t="s">
        <v>11</v>
      </c>
      <c r="G4833" s="22" t="s">
        <v>20</v>
      </c>
    </row>
    <row r="4834" ht="15.15" spans="1:7">
      <c r="A4834" s="20">
        <v>4832</v>
      </c>
      <c r="B4834" s="20">
        <v>7206</v>
      </c>
      <c r="C4834" s="21">
        <v>45157</v>
      </c>
      <c r="D4834" s="20">
        <v>3291.84</v>
      </c>
      <c r="E4834" s="22" t="s">
        <v>10</v>
      </c>
      <c r="F4834" s="22" t="s">
        <v>18</v>
      </c>
      <c r="G4834" s="22" t="s">
        <v>12</v>
      </c>
    </row>
    <row r="4835" ht="15.15" spans="1:7">
      <c r="A4835" s="20">
        <v>4833</v>
      </c>
      <c r="B4835" s="20">
        <v>6803</v>
      </c>
      <c r="C4835" s="21">
        <v>45250</v>
      </c>
      <c r="D4835" s="20">
        <v>3291.84</v>
      </c>
      <c r="E4835" s="22" t="s">
        <v>10</v>
      </c>
      <c r="F4835" s="22" t="s">
        <v>13</v>
      </c>
      <c r="G4835" s="22" t="s">
        <v>15</v>
      </c>
    </row>
    <row r="4836" ht="15.15" spans="1:7">
      <c r="A4836" s="20">
        <v>4834</v>
      </c>
      <c r="B4836" s="20">
        <v>9698</v>
      </c>
      <c r="C4836" s="21">
        <v>45212</v>
      </c>
      <c r="D4836" s="20">
        <v>3291.84</v>
      </c>
      <c r="E4836" s="22" t="s">
        <v>10</v>
      </c>
      <c r="F4836" s="22" t="s">
        <v>18</v>
      </c>
      <c r="G4836" s="22" t="s">
        <v>15</v>
      </c>
    </row>
    <row r="4837" ht="15.15" spans="1:7">
      <c r="A4837" s="20">
        <v>4835</v>
      </c>
      <c r="B4837" s="20">
        <v>6765</v>
      </c>
      <c r="C4837" s="21">
        <v>45204</v>
      </c>
      <c r="D4837" s="20">
        <v>3291.84</v>
      </c>
      <c r="E4837" s="22" t="s">
        <v>10</v>
      </c>
      <c r="F4837" s="22" t="s">
        <v>11</v>
      </c>
      <c r="G4837" s="22" t="s">
        <v>17</v>
      </c>
    </row>
    <row r="4838" ht="15.15" spans="1:7">
      <c r="A4838" s="20">
        <v>4836</v>
      </c>
      <c r="B4838" s="20">
        <v>2518</v>
      </c>
      <c r="C4838" s="21">
        <v>45235</v>
      </c>
      <c r="D4838" s="20">
        <v>3291.84</v>
      </c>
      <c r="E4838" s="22" t="s">
        <v>10</v>
      </c>
      <c r="F4838" s="22" t="s">
        <v>18</v>
      </c>
      <c r="G4838" s="22" t="s">
        <v>20</v>
      </c>
    </row>
    <row r="4839" ht="15.15" spans="1:7">
      <c r="A4839" s="20">
        <v>4837</v>
      </c>
      <c r="B4839" s="20">
        <v>47</v>
      </c>
      <c r="C4839" s="21">
        <v>45127</v>
      </c>
      <c r="D4839" s="20">
        <v>3291.84</v>
      </c>
      <c r="E4839" s="22" t="s">
        <v>10</v>
      </c>
      <c r="F4839" s="22" t="s">
        <v>16</v>
      </c>
      <c r="G4839" s="22" t="s">
        <v>17</v>
      </c>
    </row>
    <row r="4840" ht="15.15" spans="1:7">
      <c r="A4840" s="20">
        <v>4838</v>
      </c>
      <c r="B4840" s="20">
        <v>6431</v>
      </c>
      <c r="C4840" s="21">
        <v>45237</v>
      </c>
      <c r="D4840" s="20">
        <v>3291.84</v>
      </c>
      <c r="E4840" s="22" t="s">
        <v>10</v>
      </c>
      <c r="F4840" s="22" t="s">
        <v>11</v>
      </c>
      <c r="G4840" s="22" t="s">
        <v>15</v>
      </c>
    </row>
    <row r="4841" ht="15.15" spans="1:7">
      <c r="A4841" s="20">
        <v>4839</v>
      </c>
      <c r="B4841" s="20">
        <v>7885</v>
      </c>
      <c r="C4841" s="21">
        <v>45126</v>
      </c>
      <c r="D4841" s="20">
        <v>3291.84</v>
      </c>
      <c r="E4841" s="22" t="s">
        <v>10</v>
      </c>
      <c r="F4841" s="22" t="s">
        <v>11</v>
      </c>
      <c r="G4841" s="22" t="s">
        <v>12</v>
      </c>
    </row>
    <row r="4842" ht="15.15" spans="1:7">
      <c r="A4842" s="20">
        <v>4840</v>
      </c>
      <c r="B4842" s="20">
        <v>7049</v>
      </c>
      <c r="C4842" s="21">
        <v>45200</v>
      </c>
      <c r="D4842" s="20">
        <v>3291.84</v>
      </c>
      <c r="E4842" s="22" t="s">
        <v>10</v>
      </c>
      <c r="F4842" s="22" t="s">
        <v>13</v>
      </c>
      <c r="G4842" s="22" t="s">
        <v>20</v>
      </c>
    </row>
    <row r="4843" ht="15.15" spans="1:7">
      <c r="A4843" s="20">
        <v>4841</v>
      </c>
      <c r="B4843" s="20">
        <v>9374</v>
      </c>
      <c r="C4843" s="21">
        <v>45150</v>
      </c>
      <c r="D4843" s="20">
        <v>3291.84</v>
      </c>
      <c r="E4843" s="22" t="s">
        <v>10</v>
      </c>
      <c r="F4843" s="22" t="s">
        <v>14</v>
      </c>
      <c r="G4843" s="22" t="s">
        <v>15</v>
      </c>
    </row>
    <row r="4844" ht="15.15" spans="1:7">
      <c r="A4844" s="20">
        <v>4842</v>
      </c>
      <c r="B4844" s="20">
        <v>9785</v>
      </c>
      <c r="C4844" s="21">
        <v>45057</v>
      </c>
      <c r="D4844" s="20">
        <v>3291.84</v>
      </c>
      <c r="E4844" s="22" t="s">
        <v>10</v>
      </c>
      <c r="F4844" s="22" t="s">
        <v>14</v>
      </c>
      <c r="G4844" s="22" t="s">
        <v>15</v>
      </c>
    </row>
    <row r="4845" ht="15.15" spans="1:7">
      <c r="A4845" s="20">
        <v>4843</v>
      </c>
      <c r="B4845" s="20">
        <v>9534</v>
      </c>
      <c r="C4845" s="21">
        <v>45121</v>
      </c>
      <c r="D4845" s="20">
        <v>3291.84</v>
      </c>
      <c r="E4845" s="22" t="s">
        <v>10</v>
      </c>
      <c r="F4845" s="22" t="s">
        <v>18</v>
      </c>
      <c r="G4845" s="22" t="s">
        <v>12</v>
      </c>
    </row>
    <row r="4846" ht="15.15" spans="1:7">
      <c r="A4846" s="20">
        <v>4844</v>
      </c>
      <c r="B4846" s="20">
        <v>8865</v>
      </c>
      <c r="C4846" s="21">
        <v>45151</v>
      </c>
      <c r="D4846" s="20">
        <v>3291.84</v>
      </c>
      <c r="E4846" s="22" t="s">
        <v>10</v>
      </c>
      <c r="F4846" s="22" t="s">
        <v>11</v>
      </c>
      <c r="G4846" s="22" t="s">
        <v>12</v>
      </c>
    </row>
    <row r="4847" ht="15.15" spans="1:7">
      <c r="A4847" s="20">
        <v>4845</v>
      </c>
      <c r="B4847" s="20">
        <v>4513</v>
      </c>
      <c r="C4847" s="21">
        <v>45117</v>
      </c>
      <c r="D4847" s="20">
        <v>3291.84</v>
      </c>
      <c r="E4847" s="22" t="s">
        <v>10</v>
      </c>
      <c r="F4847" s="22" t="s">
        <v>16</v>
      </c>
      <c r="G4847" s="22" t="s">
        <v>12</v>
      </c>
    </row>
    <row r="4848" ht="15.15" spans="1:7">
      <c r="A4848" s="20">
        <v>4846</v>
      </c>
      <c r="B4848" s="20">
        <v>4940</v>
      </c>
      <c r="C4848" s="21">
        <v>45193</v>
      </c>
      <c r="D4848" s="20">
        <v>3291.84</v>
      </c>
      <c r="E4848" s="22" t="s">
        <v>10</v>
      </c>
      <c r="F4848" s="22" t="s">
        <v>13</v>
      </c>
      <c r="G4848" s="22" t="s">
        <v>17</v>
      </c>
    </row>
    <row r="4849" ht="15.15" spans="1:7">
      <c r="A4849" s="20">
        <v>4847</v>
      </c>
      <c r="B4849" s="20">
        <v>1295</v>
      </c>
      <c r="C4849" s="21">
        <v>45156</v>
      </c>
      <c r="D4849" s="20">
        <v>3291.84</v>
      </c>
      <c r="E4849" s="22" t="s">
        <v>10</v>
      </c>
      <c r="F4849" s="22" t="s">
        <v>16</v>
      </c>
      <c r="G4849" s="22" t="s">
        <v>20</v>
      </c>
    </row>
    <row r="4850" ht="15.15" spans="1:7">
      <c r="A4850" s="20">
        <v>4848</v>
      </c>
      <c r="B4850" s="20">
        <v>9028</v>
      </c>
      <c r="C4850" s="21">
        <v>45191</v>
      </c>
      <c r="D4850" s="20">
        <v>3291.84</v>
      </c>
      <c r="E4850" s="22" t="s">
        <v>21</v>
      </c>
      <c r="F4850" s="22" t="s">
        <v>13</v>
      </c>
      <c r="G4850" s="22" t="s">
        <v>20</v>
      </c>
    </row>
    <row r="4851" ht="15.15" spans="1:7">
      <c r="A4851" s="20">
        <v>4849</v>
      </c>
      <c r="B4851" s="20">
        <v>9586</v>
      </c>
      <c r="C4851" s="21">
        <v>45018</v>
      </c>
      <c r="D4851" s="20">
        <v>3291.84</v>
      </c>
      <c r="E4851" s="22" t="s">
        <v>10</v>
      </c>
      <c r="F4851" s="22" t="s">
        <v>11</v>
      </c>
      <c r="G4851" s="22" t="s">
        <v>15</v>
      </c>
    </row>
    <row r="4852" ht="15.15" spans="1:7">
      <c r="A4852" s="20">
        <v>4850</v>
      </c>
      <c r="B4852" s="20">
        <v>594</v>
      </c>
      <c r="C4852" s="21">
        <v>45096</v>
      </c>
      <c r="D4852" s="20">
        <v>3291.84</v>
      </c>
      <c r="E4852" s="22" t="s">
        <v>10</v>
      </c>
      <c r="F4852" s="22" t="s">
        <v>18</v>
      </c>
      <c r="G4852" s="22" t="s">
        <v>12</v>
      </c>
    </row>
    <row r="4853" ht="15.15" spans="1:7">
      <c r="A4853" s="20">
        <v>4851</v>
      </c>
      <c r="B4853" s="20">
        <v>2314</v>
      </c>
      <c r="C4853" s="21">
        <v>45119</v>
      </c>
      <c r="D4853" s="20">
        <v>3291.84</v>
      </c>
      <c r="E4853" s="22" t="s">
        <v>10</v>
      </c>
      <c r="F4853" s="22" t="s">
        <v>16</v>
      </c>
      <c r="G4853" s="22" t="s">
        <v>17</v>
      </c>
    </row>
    <row r="4854" ht="15.15" spans="1:7">
      <c r="A4854" s="20">
        <v>4852</v>
      </c>
      <c r="B4854" s="20">
        <v>7658</v>
      </c>
      <c r="C4854" s="21">
        <v>45271</v>
      </c>
      <c r="D4854" s="20">
        <v>3291.84</v>
      </c>
      <c r="E4854" s="22" t="s">
        <v>10</v>
      </c>
      <c r="F4854" s="22" t="s">
        <v>16</v>
      </c>
      <c r="G4854" s="22" t="s">
        <v>12</v>
      </c>
    </row>
    <row r="4855" ht="15.15" spans="1:7">
      <c r="A4855" s="20">
        <v>4853</v>
      </c>
      <c r="B4855" s="20">
        <v>2795</v>
      </c>
      <c r="C4855" s="21">
        <v>45232</v>
      </c>
      <c r="D4855" s="20">
        <v>3291.84</v>
      </c>
      <c r="E4855" s="22" t="s">
        <v>10</v>
      </c>
      <c r="F4855" s="22" t="s">
        <v>14</v>
      </c>
      <c r="G4855" s="22" t="s">
        <v>20</v>
      </c>
    </row>
    <row r="4856" ht="15.15" spans="1:7">
      <c r="A4856" s="20">
        <v>4854</v>
      </c>
      <c r="B4856" s="20">
        <v>534</v>
      </c>
      <c r="C4856" s="21">
        <v>45287</v>
      </c>
      <c r="D4856" s="20">
        <v>3291.84</v>
      </c>
      <c r="E4856" s="22" t="s">
        <v>10</v>
      </c>
      <c r="F4856" s="22" t="s">
        <v>11</v>
      </c>
      <c r="G4856" s="22" t="s">
        <v>15</v>
      </c>
    </row>
    <row r="4857" ht="15.15" spans="1:7">
      <c r="A4857" s="20">
        <v>4855</v>
      </c>
      <c r="B4857" s="20">
        <v>8824</v>
      </c>
      <c r="C4857" s="21">
        <v>45225</v>
      </c>
      <c r="D4857" s="20">
        <v>3291.84</v>
      </c>
      <c r="E4857" s="22" t="s">
        <v>10</v>
      </c>
      <c r="F4857" s="22" t="s">
        <v>16</v>
      </c>
      <c r="G4857" s="22" t="s">
        <v>17</v>
      </c>
    </row>
    <row r="4858" ht="15.15" spans="1:7">
      <c r="A4858" s="20">
        <v>4856</v>
      </c>
      <c r="B4858" s="20">
        <v>4869</v>
      </c>
      <c r="C4858" s="21">
        <v>45194</v>
      </c>
      <c r="D4858" s="20">
        <v>3291.84</v>
      </c>
      <c r="E4858" s="22" t="s">
        <v>10</v>
      </c>
      <c r="F4858" s="22" t="s">
        <v>16</v>
      </c>
      <c r="G4858" s="22" t="s">
        <v>15</v>
      </c>
    </row>
    <row r="4859" ht="15.15" spans="1:7">
      <c r="A4859" s="20">
        <v>4857</v>
      </c>
      <c r="B4859" s="20">
        <v>8043</v>
      </c>
      <c r="C4859" s="21">
        <v>45159</v>
      </c>
      <c r="D4859" s="20">
        <v>3291.84</v>
      </c>
      <c r="E4859" s="22" t="s">
        <v>10</v>
      </c>
      <c r="F4859" s="22" t="s">
        <v>14</v>
      </c>
      <c r="G4859" s="22" t="s">
        <v>17</v>
      </c>
    </row>
    <row r="4860" ht="15.15" spans="1:7">
      <c r="A4860" s="20">
        <v>4858</v>
      </c>
      <c r="B4860" s="20">
        <v>8284</v>
      </c>
      <c r="C4860" s="21">
        <v>45196</v>
      </c>
      <c r="D4860" s="20">
        <v>3291.84</v>
      </c>
      <c r="E4860" s="22" t="s">
        <v>10</v>
      </c>
      <c r="F4860" s="22" t="s">
        <v>11</v>
      </c>
      <c r="G4860" s="22" t="s">
        <v>17</v>
      </c>
    </row>
    <row r="4861" ht="15.15" spans="1:7">
      <c r="A4861" s="20">
        <v>4859</v>
      </c>
      <c r="B4861" s="20">
        <v>115</v>
      </c>
      <c r="C4861" s="21">
        <v>45221</v>
      </c>
      <c r="D4861" s="20">
        <v>3291.84</v>
      </c>
      <c r="E4861" s="22" t="s">
        <v>22</v>
      </c>
      <c r="F4861" s="22" t="s">
        <v>11</v>
      </c>
      <c r="G4861" s="22" t="s">
        <v>15</v>
      </c>
    </row>
    <row r="4862" ht="15.15" spans="1:7">
      <c r="A4862" s="20">
        <v>4860</v>
      </c>
      <c r="B4862" s="20">
        <v>3891</v>
      </c>
      <c r="C4862" s="21">
        <v>44953</v>
      </c>
      <c r="D4862" s="20">
        <v>3291.84</v>
      </c>
      <c r="E4862" s="22" t="s">
        <v>10</v>
      </c>
      <c r="F4862" s="22" t="s">
        <v>14</v>
      </c>
      <c r="G4862" s="22" t="s">
        <v>12</v>
      </c>
    </row>
    <row r="4863" ht="15.15" spans="1:7">
      <c r="A4863" s="20">
        <v>4861</v>
      </c>
      <c r="B4863" s="20">
        <v>3943</v>
      </c>
      <c r="C4863" s="21">
        <v>45280</v>
      </c>
      <c r="D4863" s="20">
        <v>3291.84</v>
      </c>
      <c r="E4863" s="22" t="s">
        <v>10</v>
      </c>
      <c r="F4863" s="22" t="s">
        <v>14</v>
      </c>
      <c r="G4863" s="22" t="s">
        <v>12</v>
      </c>
    </row>
    <row r="4864" ht="15.15" spans="1:7">
      <c r="A4864" s="20">
        <v>4862</v>
      </c>
      <c r="B4864" s="20">
        <v>1192</v>
      </c>
      <c r="C4864" s="21">
        <v>45237</v>
      </c>
      <c r="D4864" s="20">
        <v>3291.84</v>
      </c>
      <c r="E4864" s="22" t="s">
        <v>10</v>
      </c>
      <c r="F4864" s="22" t="s">
        <v>13</v>
      </c>
      <c r="G4864" s="22" t="s">
        <v>17</v>
      </c>
    </row>
    <row r="4865" ht="15.15" spans="1:7">
      <c r="A4865" s="20">
        <v>4863</v>
      </c>
      <c r="B4865" s="20">
        <v>1107</v>
      </c>
      <c r="C4865" s="21">
        <v>45083</v>
      </c>
      <c r="D4865" s="20">
        <v>3291.84</v>
      </c>
      <c r="E4865" s="22" t="s">
        <v>10</v>
      </c>
      <c r="F4865" s="22" t="s">
        <v>11</v>
      </c>
      <c r="G4865" s="22" t="s">
        <v>15</v>
      </c>
    </row>
    <row r="4866" ht="15.15" spans="1:7">
      <c r="A4866" s="20">
        <v>4864</v>
      </c>
      <c r="B4866" s="20">
        <v>7352</v>
      </c>
      <c r="C4866" s="21">
        <v>45231</v>
      </c>
      <c r="D4866" s="20">
        <v>3291.84</v>
      </c>
      <c r="E4866" s="22" t="s">
        <v>10</v>
      </c>
      <c r="F4866" s="22" t="s">
        <v>18</v>
      </c>
      <c r="G4866" s="22" t="s">
        <v>17</v>
      </c>
    </row>
    <row r="4867" ht="15.15" spans="1:7">
      <c r="A4867" s="20">
        <v>4865</v>
      </c>
      <c r="B4867" s="20">
        <v>2604</v>
      </c>
      <c r="C4867" s="21">
        <v>44948</v>
      </c>
      <c r="D4867" s="20">
        <v>3291.84</v>
      </c>
      <c r="E4867" s="22" t="s">
        <v>10</v>
      </c>
      <c r="F4867" s="22" t="s">
        <v>14</v>
      </c>
      <c r="G4867" s="22" t="s">
        <v>12</v>
      </c>
    </row>
    <row r="4868" ht="15.15" spans="1:7">
      <c r="A4868" s="20">
        <v>4866</v>
      </c>
      <c r="B4868" s="20">
        <v>7882</v>
      </c>
      <c r="C4868" s="21">
        <v>45153</v>
      </c>
      <c r="D4868" s="20">
        <v>3291.84</v>
      </c>
      <c r="E4868" s="22" t="s">
        <v>10</v>
      </c>
      <c r="F4868" s="22" t="s">
        <v>14</v>
      </c>
      <c r="G4868" s="22" t="s">
        <v>20</v>
      </c>
    </row>
    <row r="4869" ht="15.15" spans="1:7">
      <c r="A4869" s="20">
        <v>4867</v>
      </c>
      <c r="B4869" s="20">
        <v>1686</v>
      </c>
      <c r="C4869" s="21">
        <v>45246</v>
      </c>
      <c r="D4869" s="20">
        <v>3291.84</v>
      </c>
      <c r="E4869" s="22" t="s">
        <v>10</v>
      </c>
      <c r="F4869" s="22" t="s">
        <v>14</v>
      </c>
      <c r="G4869" s="22" t="s">
        <v>17</v>
      </c>
    </row>
    <row r="4870" ht="15.15" spans="1:7">
      <c r="A4870" s="20">
        <v>4868</v>
      </c>
      <c r="B4870" s="20">
        <v>2929</v>
      </c>
      <c r="C4870" s="21">
        <v>45207</v>
      </c>
      <c r="D4870" s="20">
        <v>3291.84</v>
      </c>
      <c r="E4870" s="22" t="s">
        <v>10</v>
      </c>
      <c r="F4870" s="22" t="s">
        <v>18</v>
      </c>
      <c r="G4870" s="22" t="s">
        <v>12</v>
      </c>
    </row>
    <row r="4871" ht="15.15" spans="1:7">
      <c r="A4871" s="20">
        <v>4869</v>
      </c>
      <c r="B4871" s="20">
        <v>4985</v>
      </c>
      <c r="C4871" s="21">
        <v>45061</v>
      </c>
      <c r="D4871" s="20">
        <v>3291.84</v>
      </c>
      <c r="E4871" s="22" t="s">
        <v>10</v>
      </c>
      <c r="F4871" s="22" t="s">
        <v>16</v>
      </c>
      <c r="G4871" s="22" t="s">
        <v>20</v>
      </c>
    </row>
    <row r="4872" ht="15.15" spans="1:7">
      <c r="A4872" s="20">
        <v>4870</v>
      </c>
      <c r="B4872" s="20">
        <v>4050</v>
      </c>
      <c r="C4872" s="21">
        <v>44969</v>
      </c>
      <c r="D4872" s="20">
        <v>3291.84</v>
      </c>
      <c r="E4872" s="22" t="s">
        <v>10</v>
      </c>
      <c r="F4872" s="22" t="s">
        <v>11</v>
      </c>
      <c r="G4872" s="22" t="s">
        <v>17</v>
      </c>
    </row>
    <row r="4873" ht="15.15" spans="1:7">
      <c r="A4873" s="20">
        <v>4871</v>
      </c>
      <c r="B4873" s="20">
        <v>5449</v>
      </c>
      <c r="C4873" s="21">
        <v>45106</v>
      </c>
      <c r="D4873" s="20">
        <v>3291.84</v>
      </c>
      <c r="E4873" s="22" t="s">
        <v>10</v>
      </c>
      <c r="F4873" s="22" t="s">
        <v>13</v>
      </c>
      <c r="G4873" s="22" t="s">
        <v>20</v>
      </c>
    </row>
    <row r="4874" ht="15.15" spans="1:7">
      <c r="A4874" s="20">
        <v>4872</v>
      </c>
      <c r="B4874" s="20">
        <v>890</v>
      </c>
      <c r="C4874" s="21">
        <v>44941</v>
      </c>
      <c r="D4874" s="20">
        <v>3291.84</v>
      </c>
      <c r="E4874" s="22" t="s">
        <v>10</v>
      </c>
      <c r="F4874" s="22" t="s">
        <v>14</v>
      </c>
      <c r="G4874" s="22" t="s">
        <v>20</v>
      </c>
    </row>
    <row r="4875" ht="15.15" spans="1:7">
      <c r="A4875" s="20">
        <v>4873</v>
      </c>
      <c r="B4875" s="20">
        <v>2431</v>
      </c>
      <c r="C4875" s="21">
        <v>45090</v>
      </c>
      <c r="D4875" s="20">
        <v>3291.84</v>
      </c>
      <c r="E4875" s="22" t="s">
        <v>10</v>
      </c>
      <c r="F4875" s="22" t="s">
        <v>14</v>
      </c>
      <c r="G4875" s="22" t="s">
        <v>20</v>
      </c>
    </row>
    <row r="4876" ht="15.15" spans="1:7">
      <c r="A4876" s="20">
        <v>4874</v>
      </c>
      <c r="B4876" s="20">
        <v>703</v>
      </c>
      <c r="C4876" s="21">
        <v>45165</v>
      </c>
      <c r="D4876" s="20">
        <v>3291.84</v>
      </c>
      <c r="E4876" s="22" t="s">
        <v>10</v>
      </c>
      <c r="F4876" s="22" t="s">
        <v>11</v>
      </c>
      <c r="G4876" s="22" t="s">
        <v>15</v>
      </c>
    </row>
    <row r="4877" ht="15.15" spans="1:7">
      <c r="A4877" s="20">
        <v>4875</v>
      </c>
      <c r="B4877" s="20">
        <v>4953</v>
      </c>
      <c r="C4877" s="21">
        <v>45062</v>
      </c>
      <c r="D4877" s="20">
        <v>3291.84</v>
      </c>
      <c r="E4877" s="22" t="s">
        <v>10</v>
      </c>
      <c r="F4877" s="22" t="s">
        <v>11</v>
      </c>
      <c r="G4877" s="22" t="s">
        <v>15</v>
      </c>
    </row>
    <row r="4878" ht="15.15" spans="1:7">
      <c r="A4878" s="20">
        <v>4876</v>
      </c>
      <c r="B4878" s="20">
        <v>1331</v>
      </c>
      <c r="C4878" s="21">
        <v>45231</v>
      </c>
      <c r="D4878" s="20">
        <v>3291.84</v>
      </c>
      <c r="E4878" s="22" t="s">
        <v>10</v>
      </c>
      <c r="F4878" s="22" t="s">
        <v>16</v>
      </c>
      <c r="G4878" s="22" t="s">
        <v>20</v>
      </c>
    </row>
    <row r="4879" ht="15.15" spans="1:7">
      <c r="A4879" s="20">
        <v>4877</v>
      </c>
      <c r="B4879" s="20">
        <v>4639</v>
      </c>
      <c r="C4879" s="21">
        <v>45238</v>
      </c>
      <c r="D4879" s="20">
        <v>3291.84</v>
      </c>
      <c r="E4879" s="22" t="s">
        <v>10</v>
      </c>
      <c r="F4879" s="22" t="s">
        <v>14</v>
      </c>
      <c r="G4879" s="22" t="s">
        <v>12</v>
      </c>
    </row>
    <row r="4880" ht="15.15" spans="1:7">
      <c r="A4880" s="20">
        <v>4878</v>
      </c>
      <c r="B4880" s="20">
        <v>8980</v>
      </c>
      <c r="C4880" s="21">
        <v>45261</v>
      </c>
      <c r="D4880" s="20">
        <v>3291.84</v>
      </c>
      <c r="E4880" s="22" t="s">
        <v>10</v>
      </c>
      <c r="F4880" s="22" t="s">
        <v>11</v>
      </c>
      <c r="G4880" s="22" t="s">
        <v>17</v>
      </c>
    </row>
    <row r="4881" ht="15.15" spans="1:7">
      <c r="A4881" s="20">
        <v>4879</v>
      </c>
      <c r="B4881" s="20">
        <v>2189</v>
      </c>
      <c r="C4881" s="21">
        <v>45217</v>
      </c>
      <c r="D4881" s="20">
        <v>3291.84</v>
      </c>
      <c r="E4881" s="22" t="s">
        <v>10</v>
      </c>
      <c r="F4881" s="22" t="s">
        <v>14</v>
      </c>
      <c r="G4881" s="22" t="s">
        <v>15</v>
      </c>
    </row>
    <row r="4882" ht="15.15" spans="1:7">
      <c r="A4882" s="20">
        <v>4880</v>
      </c>
      <c r="B4882" s="20">
        <v>2368</v>
      </c>
      <c r="C4882" s="21">
        <v>45275</v>
      </c>
      <c r="D4882" s="20">
        <v>3291.84</v>
      </c>
      <c r="E4882" s="22" t="s">
        <v>10</v>
      </c>
      <c r="F4882" s="22" t="s">
        <v>14</v>
      </c>
      <c r="G4882" s="22" t="s">
        <v>17</v>
      </c>
    </row>
    <row r="4883" ht="15.15" spans="1:7">
      <c r="A4883" s="20">
        <v>4881</v>
      </c>
      <c r="B4883" s="20">
        <v>7562</v>
      </c>
      <c r="C4883" s="21">
        <v>45283</v>
      </c>
      <c r="D4883" s="20">
        <v>3291.84</v>
      </c>
      <c r="E4883" s="22" t="s">
        <v>10</v>
      </c>
      <c r="F4883" s="22" t="s">
        <v>14</v>
      </c>
      <c r="G4883" s="22" t="s">
        <v>15</v>
      </c>
    </row>
    <row r="4884" ht="15.15" spans="1:7">
      <c r="A4884" s="20">
        <v>4882</v>
      </c>
      <c r="B4884" s="20">
        <v>2575</v>
      </c>
      <c r="C4884" s="21">
        <v>45201</v>
      </c>
      <c r="D4884" s="20">
        <v>3291.84</v>
      </c>
      <c r="E4884" s="22" t="s">
        <v>10</v>
      </c>
      <c r="F4884" s="22" t="s">
        <v>18</v>
      </c>
      <c r="G4884" s="22" t="s">
        <v>12</v>
      </c>
    </row>
    <row r="4885" ht="15.15" spans="1:7">
      <c r="A4885" s="20">
        <v>4883</v>
      </c>
      <c r="B4885" s="20">
        <v>3379</v>
      </c>
      <c r="C4885" s="21">
        <v>45108</v>
      </c>
      <c r="D4885" s="20">
        <v>3291.84</v>
      </c>
      <c r="E4885" s="22" t="s">
        <v>10</v>
      </c>
      <c r="F4885" s="22" t="s">
        <v>13</v>
      </c>
      <c r="G4885" s="22" t="s">
        <v>15</v>
      </c>
    </row>
    <row r="4886" ht="15.15" spans="1:7">
      <c r="A4886" s="20">
        <v>4884</v>
      </c>
      <c r="B4886" s="20">
        <v>8801</v>
      </c>
      <c r="C4886" s="21">
        <v>45131</v>
      </c>
      <c r="D4886" s="20">
        <v>3291.84</v>
      </c>
      <c r="E4886" s="22" t="s">
        <v>10</v>
      </c>
      <c r="F4886" s="22" t="s">
        <v>16</v>
      </c>
      <c r="G4886" s="22" t="s">
        <v>17</v>
      </c>
    </row>
    <row r="4887" ht="15.15" spans="1:7">
      <c r="A4887" s="20">
        <v>4885</v>
      </c>
      <c r="B4887" s="20">
        <v>2955</v>
      </c>
      <c r="C4887" s="21">
        <v>45240</v>
      </c>
      <c r="D4887" s="20">
        <v>3291.84</v>
      </c>
      <c r="E4887" s="22" t="s">
        <v>10</v>
      </c>
      <c r="F4887" s="22" t="s">
        <v>14</v>
      </c>
      <c r="G4887" s="22" t="s">
        <v>15</v>
      </c>
    </row>
    <row r="4888" ht="15.15" spans="1:7">
      <c r="A4888" s="20">
        <v>4886</v>
      </c>
      <c r="B4888" s="20">
        <v>1686</v>
      </c>
      <c r="C4888" s="21">
        <v>45195</v>
      </c>
      <c r="D4888" s="20">
        <v>3291.84</v>
      </c>
      <c r="E4888" s="22" t="s">
        <v>10</v>
      </c>
      <c r="F4888" s="22" t="s">
        <v>14</v>
      </c>
      <c r="G4888" s="22" t="s">
        <v>15</v>
      </c>
    </row>
    <row r="4889" ht="15.15" spans="1:7">
      <c r="A4889" s="20">
        <v>4887</v>
      </c>
      <c r="B4889" s="20">
        <v>6199</v>
      </c>
      <c r="C4889" s="21">
        <v>45226</v>
      </c>
      <c r="D4889" s="20">
        <v>3291.84</v>
      </c>
      <c r="E4889" s="22" t="s">
        <v>10</v>
      </c>
      <c r="F4889" s="22" t="s">
        <v>11</v>
      </c>
      <c r="G4889" s="22" t="s">
        <v>15</v>
      </c>
    </row>
    <row r="4890" ht="15.15" spans="1:7">
      <c r="A4890" s="20">
        <v>4888</v>
      </c>
      <c r="B4890" s="20">
        <v>5793</v>
      </c>
      <c r="C4890" s="21">
        <v>45217</v>
      </c>
      <c r="D4890" s="20">
        <v>3291.84</v>
      </c>
      <c r="E4890" s="22" t="s">
        <v>10</v>
      </c>
      <c r="F4890" s="22" t="s">
        <v>18</v>
      </c>
      <c r="G4890" s="22" t="s">
        <v>20</v>
      </c>
    </row>
    <row r="4891" ht="15.15" spans="1:7">
      <c r="A4891" s="20">
        <v>4889</v>
      </c>
      <c r="B4891" s="20">
        <v>983</v>
      </c>
      <c r="C4891" s="21">
        <v>44934</v>
      </c>
      <c r="D4891" s="20">
        <v>3291.84</v>
      </c>
      <c r="E4891" s="22" t="s">
        <v>10</v>
      </c>
      <c r="F4891" s="22" t="s">
        <v>16</v>
      </c>
      <c r="G4891" s="22" t="s">
        <v>20</v>
      </c>
    </row>
    <row r="4892" ht="15.15" spans="1:7">
      <c r="A4892" s="20">
        <v>4890</v>
      </c>
      <c r="B4892" s="20">
        <v>1016</v>
      </c>
      <c r="C4892" s="21">
        <v>45163</v>
      </c>
      <c r="D4892" s="20">
        <v>3291.84</v>
      </c>
      <c r="E4892" s="22" t="s">
        <v>10</v>
      </c>
      <c r="F4892" s="22" t="s">
        <v>11</v>
      </c>
      <c r="G4892" s="22" t="s">
        <v>17</v>
      </c>
    </row>
    <row r="4893" ht="15.15" spans="1:7">
      <c r="A4893" s="20">
        <v>4891</v>
      </c>
      <c r="B4893" s="20">
        <v>1983</v>
      </c>
      <c r="C4893" s="21">
        <v>45192</v>
      </c>
      <c r="D4893" s="20">
        <v>3291.84</v>
      </c>
      <c r="E4893" s="22" t="s">
        <v>10</v>
      </c>
      <c r="F4893" s="22" t="s">
        <v>18</v>
      </c>
      <c r="G4893" s="22" t="s">
        <v>17</v>
      </c>
    </row>
    <row r="4894" ht="15.15" spans="1:7">
      <c r="A4894" s="20">
        <v>4892</v>
      </c>
      <c r="B4894" s="20">
        <v>3764</v>
      </c>
      <c r="C4894" s="21">
        <v>45238</v>
      </c>
      <c r="D4894" s="20">
        <v>3291.84</v>
      </c>
      <c r="E4894" s="22" t="s">
        <v>10</v>
      </c>
      <c r="F4894" s="22" t="s">
        <v>14</v>
      </c>
      <c r="G4894" s="22" t="s">
        <v>20</v>
      </c>
    </row>
    <row r="4895" ht="15.15" spans="1:7">
      <c r="A4895" s="20">
        <v>4893</v>
      </c>
      <c r="B4895" s="20">
        <v>3741</v>
      </c>
      <c r="C4895" s="21">
        <v>45055</v>
      </c>
      <c r="D4895" s="20">
        <v>3291.84</v>
      </c>
      <c r="E4895" s="22" t="s">
        <v>10</v>
      </c>
      <c r="F4895" s="22" t="s">
        <v>16</v>
      </c>
      <c r="G4895" s="22" t="s">
        <v>12</v>
      </c>
    </row>
    <row r="4896" ht="15.15" spans="1:7">
      <c r="A4896" s="20">
        <v>4894</v>
      </c>
      <c r="B4896" s="20">
        <v>9537</v>
      </c>
      <c r="C4896" s="21">
        <v>45039</v>
      </c>
      <c r="D4896" s="20">
        <v>3291.84</v>
      </c>
      <c r="E4896" s="22" t="s">
        <v>10</v>
      </c>
      <c r="F4896" s="22" t="s">
        <v>16</v>
      </c>
      <c r="G4896" s="22" t="s">
        <v>15</v>
      </c>
    </row>
    <row r="4897" ht="15.15" spans="1:7">
      <c r="A4897" s="20">
        <v>4895</v>
      </c>
      <c r="B4897" s="20">
        <v>4019</v>
      </c>
      <c r="C4897" s="21">
        <v>45051</v>
      </c>
      <c r="D4897" s="20">
        <v>3291.84</v>
      </c>
      <c r="E4897" s="22" t="s">
        <v>10</v>
      </c>
      <c r="F4897" s="22" t="s">
        <v>18</v>
      </c>
      <c r="G4897" s="22" t="s">
        <v>20</v>
      </c>
    </row>
    <row r="4898" ht="15.15" spans="1:7">
      <c r="A4898" s="20">
        <v>4896</v>
      </c>
      <c r="B4898" s="20">
        <v>2940</v>
      </c>
      <c r="C4898" s="21">
        <v>45261</v>
      </c>
      <c r="D4898" s="20">
        <v>3291.84</v>
      </c>
      <c r="E4898" s="22" t="s">
        <v>10</v>
      </c>
      <c r="F4898" s="22" t="s">
        <v>11</v>
      </c>
      <c r="G4898" s="22" t="s">
        <v>17</v>
      </c>
    </row>
    <row r="4899" ht="15.15" spans="1:7">
      <c r="A4899" s="20">
        <v>4897</v>
      </c>
      <c r="B4899" s="20">
        <v>6508</v>
      </c>
      <c r="C4899" s="21">
        <v>45172</v>
      </c>
      <c r="D4899" s="20">
        <v>3291.84</v>
      </c>
      <c r="E4899" s="22" t="s">
        <v>10</v>
      </c>
      <c r="F4899" s="22" t="s">
        <v>16</v>
      </c>
      <c r="G4899" s="22" t="s">
        <v>17</v>
      </c>
    </row>
    <row r="4900" ht="15.15" spans="1:7">
      <c r="A4900" s="20">
        <v>4898</v>
      </c>
      <c r="B4900" s="20">
        <v>7885</v>
      </c>
      <c r="C4900" s="21">
        <v>45288</v>
      </c>
      <c r="D4900" s="20">
        <v>3291.84</v>
      </c>
      <c r="E4900" s="22" t="s">
        <v>10</v>
      </c>
      <c r="F4900" s="22" t="s">
        <v>11</v>
      </c>
      <c r="G4900" s="22" t="s">
        <v>12</v>
      </c>
    </row>
    <row r="4901" ht="15.15" spans="1:7">
      <c r="A4901" s="20">
        <v>4899</v>
      </c>
      <c r="B4901" s="20">
        <v>7005</v>
      </c>
      <c r="C4901" s="21">
        <v>45040</v>
      </c>
      <c r="D4901" s="20">
        <v>3291.84</v>
      </c>
      <c r="E4901" s="22" t="s">
        <v>10</v>
      </c>
      <c r="F4901" s="22" t="s">
        <v>14</v>
      </c>
      <c r="G4901" s="22" t="s">
        <v>17</v>
      </c>
    </row>
    <row r="4902" ht="15.15" spans="1:7">
      <c r="A4902" s="20">
        <v>4900</v>
      </c>
      <c r="B4902" s="20">
        <v>4788</v>
      </c>
      <c r="C4902" s="21">
        <v>45063</v>
      </c>
      <c r="D4902" s="20">
        <v>3291.84</v>
      </c>
      <c r="E4902" s="22" t="s">
        <v>10</v>
      </c>
      <c r="F4902" s="22" t="s">
        <v>18</v>
      </c>
      <c r="G4902" s="22" t="s">
        <v>15</v>
      </c>
    </row>
    <row r="4903" ht="15.15" spans="1:7">
      <c r="A4903" s="20">
        <v>4901</v>
      </c>
      <c r="B4903" s="20">
        <v>23</v>
      </c>
      <c r="C4903" s="21">
        <v>45183</v>
      </c>
      <c r="D4903" s="20">
        <v>3291.84</v>
      </c>
      <c r="E4903" s="22" t="s">
        <v>21</v>
      </c>
      <c r="F4903" s="22" t="s">
        <v>13</v>
      </c>
      <c r="G4903" s="22" t="s">
        <v>20</v>
      </c>
    </row>
    <row r="4904" ht="15.15" spans="1:7">
      <c r="A4904" s="20">
        <v>4902</v>
      </c>
      <c r="B4904" s="20">
        <v>7187</v>
      </c>
      <c r="C4904" s="21">
        <v>45060</v>
      </c>
      <c r="D4904" s="20">
        <v>3291.84</v>
      </c>
      <c r="E4904" s="22" t="s">
        <v>10</v>
      </c>
      <c r="F4904" s="22" t="s">
        <v>11</v>
      </c>
      <c r="G4904" s="22" t="s">
        <v>15</v>
      </c>
    </row>
    <row r="4905" ht="15.15" spans="1:7">
      <c r="A4905" s="20">
        <v>4903</v>
      </c>
      <c r="B4905" s="20">
        <v>5512</v>
      </c>
      <c r="C4905" s="21">
        <v>45007</v>
      </c>
      <c r="D4905" s="20">
        <v>3291.84</v>
      </c>
      <c r="E4905" s="22" t="s">
        <v>10</v>
      </c>
      <c r="F4905" s="22" t="s">
        <v>16</v>
      </c>
      <c r="G4905" s="22" t="s">
        <v>20</v>
      </c>
    </row>
    <row r="4906" ht="15.15" spans="1:7">
      <c r="A4906" s="20">
        <v>4904</v>
      </c>
      <c r="B4906" s="20">
        <v>3281</v>
      </c>
      <c r="C4906" s="21">
        <v>45203</v>
      </c>
      <c r="D4906" s="20">
        <v>3291.84</v>
      </c>
      <c r="E4906" s="22" t="s">
        <v>10</v>
      </c>
      <c r="F4906" s="22" t="s">
        <v>14</v>
      </c>
      <c r="G4906" s="22" t="s">
        <v>15</v>
      </c>
    </row>
    <row r="4907" ht="15.15" spans="1:7">
      <c r="A4907" s="20">
        <v>4905</v>
      </c>
      <c r="B4907" s="20">
        <v>2671</v>
      </c>
      <c r="C4907" s="21">
        <v>44934</v>
      </c>
      <c r="D4907" s="20">
        <v>3291.84</v>
      </c>
      <c r="E4907" s="22" t="s">
        <v>10</v>
      </c>
      <c r="F4907" s="22" t="s">
        <v>11</v>
      </c>
      <c r="G4907" s="22" t="s">
        <v>20</v>
      </c>
    </row>
    <row r="4908" ht="15.15" spans="1:7">
      <c r="A4908" s="20">
        <v>4906</v>
      </c>
      <c r="B4908" s="20">
        <v>2073</v>
      </c>
      <c r="C4908" s="21">
        <v>45111</v>
      </c>
      <c r="D4908" s="20">
        <v>3291.84</v>
      </c>
      <c r="E4908" s="22" t="s">
        <v>10</v>
      </c>
      <c r="F4908" s="22" t="s">
        <v>16</v>
      </c>
      <c r="G4908" s="22" t="s">
        <v>12</v>
      </c>
    </row>
    <row r="4909" ht="15.15" spans="1:7">
      <c r="A4909" s="20">
        <v>4907</v>
      </c>
      <c r="B4909" s="20">
        <v>764</v>
      </c>
      <c r="C4909" s="21">
        <v>45207</v>
      </c>
      <c r="D4909" s="20">
        <v>3291.84</v>
      </c>
      <c r="E4909" s="22" t="s">
        <v>22</v>
      </c>
      <c r="F4909" s="22" t="s">
        <v>11</v>
      </c>
      <c r="G4909" s="22" t="s">
        <v>17</v>
      </c>
    </row>
    <row r="4910" ht="15.15" spans="1:7">
      <c r="A4910" s="20">
        <v>4908</v>
      </c>
      <c r="B4910" s="20">
        <v>6372</v>
      </c>
      <c r="C4910" s="21">
        <v>45268</v>
      </c>
      <c r="D4910" s="20">
        <v>3291.84</v>
      </c>
      <c r="E4910" s="22" t="s">
        <v>10</v>
      </c>
      <c r="F4910" s="22" t="s">
        <v>16</v>
      </c>
      <c r="G4910" s="22" t="s">
        <v>20</v>
      </c>
    </row>
    <row r="4911" ht="15.15" spans="1:7">
      <c r="A4911" s="20">
        <v>4909</v>
      </c>
      <c r="B4911" s="20">
        <v>7531</v>
      </c>
      <c r="C4911" s="21">
        <v>44955</v>
      </c>
      <c r="D4911" s="20">
        <v>3291.84</v>
      </c>
      <c r="E4911" s="22" t="s">
        <v>10</v>
      </c>
      <c r="F4911" s="22" t="s">
        <v>13</v>
      </c>
      <c r="G4911" s="22" t="s">
        <v>12</v>
      </c>
    </row>
    <row r="4912" ht="15.15" spans="1:7">
      <c r="A4912" s="20">
        <v>4910</v>
      </c>
      <c r="B4912" s="20">
        <v>3292</v>
      </c>
      <c r="C4912" s="21">
        <v>45011</v>
      </c>
      <c r="D4912" s="20">
        <v>3291.84</v>
      </c>
      <c r="E4912" s="22" t="s">
        <v>10</v>
      </c>
      <c r="F4912" s="22" t="s">
        <v>16</v>
      </c>
      <c r="G4912" s="22" t="s">
        <v>20</v>
      </c>
    </row>
    <row r="4913" ht="15.15" spans="1:7">
      <c r="A4913" s="20">
        <v>4911</v>
      </c>
      <c r="B4913" s="20">
        <v>4672</v>
      </c>
      <c r="C4913" s="21">
        <v>45208</v>
      </c>
      <c r="D4913" s="20">
        <v>3291.84</v>
      </c>
      <c r="E4913" s="22" t="s">
        <v>10</v>
      </c>
      <c r="F4913" s="22" t="s">
        <v>18</v>
      </c>
      <c r="G4913" s="22" t="s">
        <v>15</v>
      </c>
    </row>
    <row r="4914" ht="15.15" spans="1:7">
      <c r="A4914" s="20">
        <v>4912</v>
      </c>
      <c r="B4914" s="20">
        <v>9201</v>
      </c>
      <c r="C4914" s="21">
        <v>45130</v>
      </c>
      <c r="D4914" s="20">
        <v>3291.84</v>
      </c>
      <c r="E4914" s="22" t="s">
        <v>10</v>
      </c>
      <c r="F4914" s="22" t="s">
        <v>16</v>
      </c>
      <c r="G4914" s="22" t="s">
        <v>15</v>
      </c>
    </row>
    <row r="4915" ht="15.15" spans="1:7">
      <c r="A4915" s="20">
        <v>4913</v>
      </c>
      <c r="B4915" s="20">
        <v>217</v>
      </c>
      <c r="C4915" s="21">
        <v>44950</v>
      </c>
      <c r="D4915" s="20">
        <v>3291.84</v>
      </c>
      <c r="E4915" s="22" t="s">
        <v>10</v>
      </c>
      <c r="F4915" s="22" t="s">
        <v>13</v>
      </c>
      <c r="G4915" s="22" t="s">
        <v>15</v>
      </c>
    </row>
    <row r="4916" ht="15.15" spans="1:7">
      <c r="A4916" s="20">
        <v>4914</v>
      </c>
      <c r="B4916" s="20">
        <v>3510</v>
      </c>
      <c r="C4916" s="21">
        <v>45248</v>
      </c>
      <c r="D4916" s="20">
        <v>3291.84</v>
      </c>
      <c r="E4916" s="22" t="s">
        <v>10</v>
      </c>
      <c r="F4916" s="22" t="s">
        <v>16</v>
      </c>
      <c r="G4916" s="22" t="s">
        <v>15</v>
      </c>
    </row>
    <row r="4917" ht="15.15" spans="1:7">
      <c r="A4917" s="20">
        <v>4915</v>
      </c>
      <c r="B4917" s="20">
        <v>8270</v>
      </c>
      <c r="C4917" s="21">
        <v>45276</v>
      </c>
      <c r="D4917" s="20">
        <v>3291.84</v>
      </c>
      <c r="E4917" s="22" t="s">
        <v>10</v>
      </c>
      <c r="F4917" s="22" t="s">
        <v>14</v>
      </c>
      <c r="G4917" s="22" t="s">
        <v>15</v>
      </c>
    </row>
    <row r="4918" ht="15.15" spans="1:7">
      <c r="A4918" s="20">
        <v>4916</v>
      </c>
      <c r="B4918" s="20">
        <v>3156</v>
      </c>
      <c r="C4918" s="21">
        <v>44957</v>
      </c>
      <c r="D4918" s="20">
        <v>3291.84</v>
      </c>
      <c r="E4918" s="22" t="s">
        <v>10</v>
      </c>
      <c r="F4918" s="22" t="s">
        <v>13</v>
      </c>
      <c r="G4918" s="22" t="s">
        <v>15</v>
      </c>
    </row>
    <row r="4919" ht="15.15" spans="1:7">
      <c r="A4919" s="20">
        <v>4917</v>
      </c>
      <c r="B4919" s="20">
        <v>1392</v>
      </c>
      <c r="C4919" s="21">
        <v>45142</v>
      </c>
      <c r="D4919" s="20">
        <v>3291.84</v>
      </c>
      <c r="E4919" s="22" t="s">
        <v>22</v>
      </c>
      <c r="F4919" s="22" t="s">
        <v>14</v>
      </c>
      <c r="G4919" s="22" t="s">
        <v>15</v>
      </c>
    </row>
    <row r="4920" ht="15.15" spans="1:7">
      <c r="A4920" s="20">
        <v>4918</v>
      </c>
      <c r="B4920" s="20">
        <v>5608</v>
      </c>
      <c r="C4920" s="21">
        <v>44965</v>
      </c>
      <c r="D4920" s="20">
        <v>3291.84</v>
      </c>
      <c r="E4920" s="22" t="s">
        <v>10</v>
      </c>
      <c r="F4920" s="22" t="s">
        <v>11</v>
      </c>
      <c r="G4920" s="22" t="s">
        <v>17</v>
      </c>
    </row>
    <row r="4921" ht="15.15" spans="1:7">
      <c r="A4921" s="20">
        <v>4919</v>
      </c>
      <c r="B4921" s="20">
        <v>5836</v>
      </c>
      <c r="C4921" s="21">
        <v>45226</v>
      </c>
      <c r="D4921" s="20">
        <v>3291.84</v>
      </c>
      <c r="E4921" s="22" t="s">
        <v>10</v>
      </c>
      <c r="F4921" s="22" t="s">
        <v>13</v>
      </c>
      <c r="G4921" s="22" t="s">
        <v>20</v>
      </c>
    </row>
    <row r="4922" ht="15.15" spans="1:7">
      <c r="A4922" s="20">
        <v>4920</v>
      </c>
      <c r="B4922" s="20">
        <v>995</v>
      </c>
      <c r="C4922" s="21">
        <v>45125</v>
      </c>
      <c r="D4922" s="20">
        <v>3291.84</v>
      </c>
      <c r="E4922" s="22" t="s">
        <v>10</v>
      </c>
      <c r="F4922" s="22" t="s">
        <v>16</v>
      </c>
      <c r="G4922" s="22" t="s">
        <v>20</v>
      </c>
    </row>
    <row r="4923" ht="15.15" spans="1:7">
      <c r="A4923" s="20">
        <v>4921</v>
      </c>
      <c r="B4923" s="20">
        <v>6219</v>
      </c>
      <c r="C4923" s="21">
        <v>45243</v>
      </c>
      <c r="D4923" s="20">
        <v>3291.84</v>
      </c>
      <c r="E4923" s="22" t="s">
        <v>10</v>
      </c>
      <c r="F4923" s="22" t="s">
        <v>18</v>
      </c>
      <c r="G4923" s="22" t="s">
        <v>20</v>
      </c>
    </row>
    <row r="4924" ht="15.15" spans="1:7">
      <c r="A4924" s="20">
        <v>4922</v>
      </c>
      <c r="B4924" s="20">
        <v>5635</v>
      </c>
      <c r="C4924" s="21">
        <v>45145</v>
      </c>
      <c r="D4924" s="20">
        <v>3291.84</v>
      </c>
      <c r="E4924" s="22" t="s">
        <v>10</v>
      </c>
      <c r="F4924" s="22" t="s">
        <v>16</v>
      </c>
      <c r="G4924" s="22" t="s">
        <v>17</v>
      </c>
    </row>
    <row r="4925" ht="15.15" spans="1:7">
      <c r="A4925" s="20">
        <v>4923</v>
      </c>
      <c r="B4925" s="20">
        <v>9271</v>
      </c>
      <c r="C4925" s="21">
        <v>45179</v>
      </c>
      <c r="D4925" s="20">
        <v>3291.84</v>
      </c>
      <c r="E4925" s="22" t="s">
        <v>10</v>
      </c>
      <c r="F4925" s="22" t="s">
        <v>13</v>
      </c>
      <c r="G4925" s="22" t="s">
        <v>15</v>
      </c>
    </row>
    <row r="4926" ht="15.15" spans="1:7">
      <c r="A4926" s="20">
        <v>4924</v>
      </c>
      <c r="B4926" s="20">
        <v>328</v>
      </c>
      <c r="C4926" s="21">
        <v>44957</v>
      </c>
      <c r="D4926" s="20">
        <v>3291.84</v>
      </c>
      <c r="E4926" s="22" t="s">
        <v>10</v>
      </c>
      <c r="F4926" s="22" t="s">
        <v>14</v>
      </c>
      <c r="G4926" s="22" t="s">
        <v>20</v>
      </c>
    </row>
    <row r="4927" ht="15.15" spans="1:7">
      <c r="A4927" s="20">
        <v>4925</v>
      </c>
      <c r="B4927" s="20">
        <v>1473</v>
      </c>
      <c r="C4927" s="21">
        <v>45014</v>
      </c>
      <c r="D4927" s="20">
        <v>3291.84</v>
      </c>
      <c r="E4927" s="22" t="s">
        <v>10</v>
      </c>
      <c r="F4927" s="22" t="s">
        <v>14</v>
      </c>
      <c r="G4927" s="22" t="s">
        <v>17</v>
      </c>
    </row>
    <row r="4928" ht="15.15" spans="1:7">
      <c r="A4928" s="20">
        <v>4926</v>
      </c>
      <c r="B4928" s="20">
        <v>619</v>
      </c>
      <c r="C4928" s="21">
        <v>44930</v>
      </c>
      <c r="D4928" s="20">
        <v>3291.84</v>
      </c>
      <c r="E4928" s="22" t="s">
        <v>21</v>
      </c>
      <c r="F4928" s="22" t="s">
        <v>16</v>
      </c>
      <c r="G4928" s="22" t="s">
        <v>12</v>
      </c>
    </row>
    <row r="4929" ht="15.15" spans="1:7">
      <c r="A4929" s="20">
        <v>4927</v>
      </c>
      <c r="B4929" s="20">
        <v>1031</v>
      </c>
      <c r="C4929" s="21">
        <v>45209</v>
      </c>
      <c r="D4929" s="20">
        <v>3291.84</v>
      </c>
      <c r="E4929" s="22" t="s">
        <v>10</v>
      </c>
      <c r="F4929" s="22" t="s">
        <v>18</v>
      </c>
      <c r="G4929" s="22" t="s">
        <v>15</v>
      </c>
    </row>
    <row r="4930" ht="15.15" spans="1:7">
      <c r="A4930" s="20">
        <v>4928</v>
      </c>
      <c r="B4930" s="20">
        <v>8137</v>
      </c>
      <c r="C4930" s="21">
        <v>45050</v>
      </c>
      <c r="D4930" s="20">
        <v>3291.84</v>
      </c>
      <c r="E4930" s="22" t="s">
        <v>10</v>
      </c>
      <c r="F4930" s="22" t="s">
        <v>13</v>
      </c>
      <c r="G4930" s="22" t="s">
        <v>20</v>
      </c>
    </row>
    <row r="4931" ht="15.15" spans="1:7">
      <c r="A4931" s="20">
        <v>4929</v>
      </c>
      <c r="B4931" s="20">
        <v>2140</v>
      </c>
      <c r="C4931" s="21">
        <v>45066</v>
      </c>
      <c r="D4931" s="20">
        <v>3291.84</v>
      </c>
      <c r="E4931" s="22" t="s">
        <v>10</v>
      </c>
      <c r="F4931" s="22" t="s">
        <v>11</v>
      </c>
      <c r="G4931" s="22" t="s">
        <v>20</v>
      </c>
    </row>
    <row r="4932" ht="15.15" spans="1:7">
      <c r="A4932" s="20">
        <v>4930</v>
      </c>
      <c r="B4932" s="20">
        <v>3793</v>
      </c>
      <c r="C4932" s="21">
        <v>45189</v>
      </c>
      <c r="D4932" s="20">
        <v>3291.84</v>
      </c>
      <c r="E4932" s="22" t="s">
        <v>10</v>
      </c>
      <c r="F4932" s="22" t="s">
        <v>16</v>
      </c>
      <c r="G4932" s="22" t="s">
        <v>20</v>
      </c>
    </row>
    <row r="4933" ht="15.15" spans="1:7">
      <c r="A4933" s="20">
        <v>4931</v>
      </c>
      <c r="B4933" s="20">
        <v>8026</v>
      </c>
      <c r="C4933" s="21">
        <v>45212</v>
      </c>
      <c r="D4933" s="20">
        <v>3291.84</v>
      </c>
      <c r="E4933" s="22" t="s">
        <v>10</v>
      </c>
      <c r="F4933" s="22" t="s">
        <v>11</v>
      </c>
      <c r="G4933" s="22" t="s">
        <v>20</v>
      </c>
    </row>
    <row r="4934" ht="15.15" spans="1:7">
      <c r="A4934" s="20">
        <v>4932</v>
      </c>
      <c r="B4934" s="20">
        <v>8036</v>
      </c>
      <c r="C4934" s="21">
        <v>45291</v>
      </c>
      <c r="D4934" s="20">
        <v>3291.84</v>
      </c>
      <c r="E4934" s="22" t="s">
        <v>10</v>
      </c>
      <c r="F4934" s="22" t="s">
        <v>18</v>
      </c>
      <c r="G4934" s="22" t="s">
        <v>15</v>
      </c>
    </row>
    <row r="4935" ht="15.15" spans="1:7">
      <c r="A4935" s="20">
        <v>4933</v>
      </c>
      <c r="B4935" s="20">
        <v>6047</v>
      </c>
      <c r="C4935" s="21">
        <v>44993</v>
      </c>
      <c r="D4935" s="20">
        <v>3291.84</v>
      </c>
      <c r="E4935" s="22" t="s">
        <v>10</v>
      </c>
      <c r="F4935" s="22" t="s">
        <v>11</v>
      </c>
      <c r="G4935" s="22" t="s">
        <v>15</v>
      </c>
    </row>
    <row r="4936" ht="15.15" spans="1:7">
      <c r="A4936" s="20">
        <v>4934</v>
      </c>
      <c r="B4936" s="20">
        <v>6783</v>
      </c>
      <c r="C4936" s="21">
        <v>45248</v>
      </c>
      <c r="D4936" s="20">
        <v>3291.84</v>
      </c>
      <c r="E4936" s="22" t="s">
        <v>10</v>
      </c>
      <c r="F4936" s="22" t="s">
        <v>13</v>
      </c>
      <c r="G4936" s="22" t="s">
        <v>12</v>
      </c>
    </row>
    <row r="4937" ht="15.15" spans="1:7">
      <c r="A4937" s="20">
        <v>4935</v>
      </c>
      <c r="B4937" s="20">
        <v>2612</v>
      </c>
      <c r="C4937" s="21">
        <v>45186</v>
      </c>
      <c r="D4937" s="20">
        <v>3291.84</v>
      </c>
      <c r="E4937" s="22" t="s">
        <v>10</v>
      </c>
      <c r="F4937" s="22" t="s">
        <v>16</v>
      </c>
      <c r="G4937" s="22" t="s">
        <v>17</v>
      </c>
    </row>
    <row r="4938" ht="15.15" spans="1:7">
      <c r="A4938" s="20">
        <v>4936</v>
      </c>
      <c r="B4938" s="20">
        <v>6420</v>
      </c>
      <c r="C4938" s="21">
        <v>45175</v>
      </c>
      <c r="D4938" s="20">
        <v>3291.84</v>
      </c>
      <c r="E4938" s="22" t="s">
        <v>10</v>
      </c>
      <c r="F4938" s="22" t="s">
        <v>11</v>
      </c>
      <c r="G4938" s="22" t="s">
        <v>17</v>
      </c>
    </row>
    <row r="4939" ht="15.15" spans="1:7">
      <c r="A4939" s="20">
        <v>4937</v>
      </c>
      <c r="B4939" s="20">
        <v>8476</v>
      </c>
      <c r="C4939" s="21">
        <v>45096</v>
      </c>
      <c r="D4939" s="20">
        <v>3291.84</v>
      </c>
      <c r="E4939" s="22" t="s">
        <v>10</v>
      </c>
      <c r="F4939" s="22" t="s">
        <v>18</v>
      </c>
      <c r="G4939" s="22" t="s">
        <v>12</v>
      </c>
    </row>
    <row r="4940" ht="15.15" spans="1:7">
      <c r="A4940" s="20">
        <v>4938</v>
      </c>
      <c r="B4940" s="20">
        <v>4676</v>
      </c>
      <c r="C4940" s="21">
        <v>45123</v>
      </c>
      <c r="D4940" s="20">
        <v>3291.84</v>
      </c>
      <c r="E4940" s="22" t="s">
        <v>10</v>
      </c>
      <c r="F4940" s="22" t="s">
        <v>18</v>
      </c>
      <c r="G4940" s="22" t="s">
        <v>20</v>
      </c>
    </row>
    <row r="4941" ht="15.15" spans="1:7">
      <c r="A4941" s="20">
        <v>4939</v>
      </c>
      <c r="B4941" s="20">
        <v>3921</v>
      </c>
      <c r="C4941" s="21">
        <v>45284</v>
      </c>
      <c r="D4941" s="20">
        <v>3291.84</v>
      </c>
      <c r="E4941" s="22" t="s">
        <v>10</v>
      </c>
      <c r="F4941" s="22" t="s">
        <v>16</v>
      </c>
      <c r="G4941" s="22" t="s">
        <v>12</v>
      </c>
    </row>
    <row r="4942" ht="15.15" spans="1:7">
      <c r="A4942" s="20">
        <v>4940</v>
      </c>
      <c r="B4942" s="20">
        <v>4437</v>
      </c>
      <c r="C4942" s="21">
        <v>45182</v>
      </c>
      <c r="D4942" s="20">
        <v>3291.84</v>
      </c>
      <c r="E4942" s="22" t="s">
        <v>22</v>
      </c>
      <c r="F4942" s="22" t="s">
        <v>13</v>
      </c>
      <c r="G4942" s="22" t="s">
        <v>15</v>
      </c>
    </row>
    <row r="4943" ht="15.15" spans="1:7">
      <c r="A4943" s="20">
        <v>4941</v>
      </c>
      <c r="B4943" s="20">
        <v>9147</v>
      </c>
      <c r="C4943" s="21">
        <v>45182</v>
      </c>
      <c r="D4943" s="20">
        <v>3291.84</v>
      </c>
      <c r="E4943" s="22" t="s">
        <v>10</v>
      </c>
      <c r="F4943" s="22" t="s">
        <v>14</v>
      </c>
      <c r="G4943" s="22" t="s">
        <v>15</v>
      </c>
    </row>
    <row r="4944" ht="15.15" spans="1:7">
      <c r="A4944" s="20">
        <v>4942</v>
      </c>
      <c r="B4944" s="20">
        <v>2591</v>
      </c>
      <c r="C4944" s="21">
        <v>45184</v>
      </c>
      <c r="D4944" s="20">
        <v>3291.84</v>
      </c>
      <c r="E4944" s="22" t="s">
        <v>10</v>
      </c>
      <c r="F4944" s="22" t="s">
        <v>11</v>
      </c>
      <c r="G4944" s="22" t="s">
        <v>20</v>
      </c>
    </row>
    <row r="4945" ht="15.15" spans="1:7">
      <c r="A4945" s="20">
        <v>4943</v>
      </c>
      <c r="B4945" s="20">
        <v>1735</v>
      </c>
      <c r="C4945" s="21">
        <v>45171</v>
      </c>
      <c r="D4945" s="20">
        <v>3291.84</v>
      </c>
      <c r="E4945" s="22" t="s">
        <v>10</v>
      </c>
      <c r="F4945" s="22" t="s">
        <v>13</v>
      </c>
      <c r="G4945" s="22" t="s">
        <v>12</v>
      </c>
    </row>
    <row r="4946" ht="15.15" spans="1:7">
      <c r="A4946" s="20">
        <v>4944</v>
      </c>
      <c r="B4946" s="20">
        <v>4998</v>
      </c>
      <c r="C4946" s="21">
        <v>45139</v>
      </c>
      <c r="D4946" s="20">
        <v>3291.84</v>
      </c>
      <c r="E4946" s="22" t="s">
        <v>10</v>
      </c>
      <c r="F4946" s="22" t="s">
        <v>16</v>
      </c>
      <c r="G4946" s="22" t="s">
        <v>12</v>
      </c>
    </row>
    <row r="4947" ht="15.15" spans="1:7">
      <c r="A4947" s="20">
        <v>4945</v>
      </c>
      <c r="B4947" s="20">
        <v>2296</v>
      </c>
      <c r="C4947" s="21">
        <v>45281</v>
      </c>
      <c r="D4947" s="20">
        <v>3291.84</v>
      </c>
      <c r="E4947" s="22" t="s">
        <v>10</v>
      </c>
      <c r="F4947" s="22" t="s">
        <v>13</v>
      </c>
      <c r="G4947" s="22" t="s">
        <v>17</v>
      </c>
    </row>
    <row r="4948" ht="15.15" spans="1:7">
      <c r="A4948" s="20">
        <v>4946</v>
      </c>
      <c r="B4948" s="20">
        <v>5804</v>
      </c>
      <c r="C4948" s="21">
        <v>45255</v>
      </c>
      <c r="D4948" s="20">
        <v>3291.84</v>
      </c>
      <c r="E4948" s="22" t="s">
        <v>10</v>
      </c>
      <c r="F4948" s="22" t="s">
        <v>11</v>
      </c>
      <c r="G4948" s="22" t="s">
        <v>20</v>
      </c>
    </row>
    <row r="4949" ht="15.15" spans="1:7">
      <c r="A4949" s="20">
        <v>4947</v>
      </c>
      <c r="B4949" s="20">
        <v>7028</v>
      </c>
      <c r="C4949" s="21">
        <v>45056</v>
      </c>
      <c r="D4949" s="20">
        <v>3291.84</v>
      </c>
      <c r="E4949" s="22" t="s">
        <v>10</v>
      </c>
      <c r="F4949" s="22" t="s">
        <v>13</v>
      </c>
      <c r="G4949" s="22" t="s">
        <v>20</v>
      </c>
    </row>
    <row r="4950" ht="15.15" spans="1:7">
      <c r="A4950" s="20">
        <v>4948</v>
      </c>
      <c r="B4950" s="20">
        <v>9669</v>
      </c>
      <c r="C4950" s="21">
        <v>44956</v>
      </c>
      <c r="D4950" s="20">
        <v>3291.84</v>
      </c>
      <c r="E4950" s="22" t="s">
        <v>10</v>
      </c>
      <c r="F4950" s="22" t="s">
        <v>16</v>
      </c>
      <c r="G4950" s="22" t="s">
        <v>15</v>
      </c>
    </row>
    <row r="4951" ht="15.15" spans="1:7">
      <c r="A4951" s="20">
        <v>4949</v>
      </c>
      <c r="B4951" s="20">
        <v>8347</v>
      </c>
      <c r="C4951" s="21">
        <v>44935</v>
      </c>
      <c r="D4951" s="20">
        <v>3291.84</v>
      </c>
      <c r="E4951" s="22" t="s">
        <v>10</v>
      </c>
      <c r="F4951" s="22" t="s">
        <v>14</v>
      </c>
      <c r="G4951" s="22" t="s">
        <v>20</v>
      </c>
    </row>
    <row r="4952" ht="15.15" spans="1:7">
      <c r="A4952" s="20">
        <v>4950</v>
      </c>
      <c r="B4952" s="20">
        <v>6242</v>
      </c>
      <c r="C4952" s="21">
        <v>45192</v>
      </c>
      <c r="D4952" s="20">
        <v>3291.84</v>
      </c>
      <c r="E4952" s="22" t="s">
        <v>10</v>
      </c>
      <c r="F4952" s="22" t="s">
        <v>16</v>
      </c>
      <c r="G4952" s="22" t="s">
        <v>12</v>
      </c>
    </row>
    <row r="4953" ht="15.15" spans="1:7">
      <c r="A4953" s="20">
        <v>4951</v>
      </c>
      <c r="B4953" s="20">
        <v>1242</v>
      </c>
      <c r="C4953" s="21">
        <v>45270</v>
      </c>
      <c r="D4953" s="20">
        <v>3291.84</v>
      </c>
      <c r="E4953" s="22" t="s">
        <v>10</v>
      </c>
      <c r="F4953" s="22" t="s">
        <v>16</v>
      </c>
      <c r="G4953" s="22" t="s">
        <v>17</v>
      </c>
    </row>
    <row r="4954" ht="15.15" spans="1:7">
      <c r="A4954" s="20">
        <v>4952</v>
      </c>
      <c r="B4954" s="20">
        <v>5017</v>
      </c>
      <c r="C4954" s="21">
        <v>45073</v>
      </c>
      <c r="D4954" s="20">
        <v>3291.84</v>
      </c>
      <c r="E4954" s="22" t="s">
        <v>10</v>
      </c>
      <c r="F4954" s="22" t="s">
        <v>16</v>
      </c>
      <c r="G4954" s="22" t="s">
        <v>17</v>
      </c>
    </row>
    <row r="4955" ht="15.15" spans="1:7">
      <c r="A4955" s="20">
        <v>4953</v>
      </c>
      <c r="B4955" s="20">
        <v>720</v>
      </c>
      <c r="C4955" s="21">
        <v>45096</v>
      </c>
      <c r="D4955" s="20">
        <v>3291.84</v>
      </c>
      <c r="E4955" s="22" t="s">
        <v>10</v>
      </c>
      <c r="F4955" s="22" t="s">
        <v>18</v>
      </c>
      <c r="G4955" s="22" t="s">
        <v>20</v>
      </c>
    </row>
    <row r="4956" ht="15.15" spans="1:7">
      <c r="A4956" s="20">
        <v>4954</v>
      </c>
      <c r="B4956" s="20">
        <v>8570</v>
      </c>
      <c r="C4956" s="21">
        <v>44935</v>
      </c>
      <c r="D4956" s="20">
        <v>3291.84</v>
      </c>
      <c r="E4956" s="22" t="s">
        <v>10</v>
      </c>
      <c r="F4956" s="22" t="s">
        <v>16</v>
      </c>
      <c r="G4956" s="22" t="s">
        <v>17</v>
      </c>
    </row>
    <row r="4957" ht="15.15" spans="1:7">
      <c r="A4957" s="20">
        <v>4955</v>
      </c>
      <c r="B4957" s="20">
        <v>4712</v>
      </c>
      <c r="C4957" s="21">
        <v>45244</v>
      </c>
      <c r="D4957" s="20">
        <v>3291.84</v>
      </c>
      <c r="E4957" s="22" t="s">
        <v>10</v>
      </c>
      <c r="F4957" s="22" t="s">
        <v>18</v>
      </c>
      <c r="G4957" s="22" t="s">
        <v>20</v>
      </c>
    </row>
    <row r="4958" ht="15.15" spans="1:7">
      <c r="A4958" s="20">
        <v>4956</v>
      </c>
      <c r="B4958" s="20">
        <v>2163</v>
      </c>
      <c r="C4958" s="21">
        <v>45084</v>
      </c>
      <c r="D4958" s="20">
        <v>3291.84</v>
      </c>
      <c r="E4958" s="22" t="s">
        <v>10</v>
      </c>
      <c r="F4958" s="22" t="s">
        <v>11</v>
      </c>
      <c r="G4958" s="22" t="s">
        <v>15</v>
      </c>
    </row>
    <row r="4959" ht="15.15" spans="1:7">
      <c r="A4959" s="20">
        <v>4957</v>
      </c>
      <c r="B4959" s="20">
        <v>2057</v>
      </c>
      <c r="C4959" s="21">
        <v>45163</v>
      </c>
      <c r="D4959" s="20">
        <v>3291.84</v>
      </c>
      <c r="E4959" s="22" t="s">
        <v>10</v>
      </c>
      <c r="F4959" s="22" t="s">
        <v>11</v>
      </c>
      <c r="G4959" s="22" t="s">
        <v>12</v>
      </c>
    </row>
    <row r="4960" ht="15.15" spans="1:7">
      <c r="A4960" s="20">
        <v>4958</v>
      </c>
      <c r="B4960" s="20">
        <v>3748</v>
      </c>
      <c r="C4960" s="21">
        <v>45173</v>
      </c>
      <c r="D4960" s="20">
        <v>3291.84</v>
      </c>
      <c r="E4960" s="22" t="s">
        <v>10</v>
      </c>
      <c r="F4960" s="22" t="s">
        <v>16</v>
      </c>
      <c r="G4960" s="22" t="s">
        <v>17</v>
      </c>
    </row>
    <row r="4961" ht="15.15" spans="1:7">
      <c r="A4961" s="20">
        <v>4959</v>
      </c>
      <c r="B4961" s="20">
        <v>328</v>
      </c>
      <c r="C4961" s="21">
        <v>45118</v>
      </c>
      <c r="D4961" s="20">
        <v>3291.84</v>
      </c>
      <c r="E4961" s="22" t="s">
        <v>10</v>
      </c>
      <c r="F4961" s="22" t="s">
        <v>14</v>
      </c>
      <c r="G4961" s="22" t="s">
        <v>17</v>
      </c>
    </row>
    <row r="4962" ht="15.15" spans="1:7">
      <c r="A4962" s="20">
        <v>4960</v>
      </c>
      <c r="B4962" s="20">
        <v>2292</v>
      </c>
      <c r="C4962" s="21">
        <v>45160</v>
      </c>
      <c r="D4962" s="20">
        <v>3291.84</v>
      </c>
      <c r="E4962" s="22" t="s">
        <v>10</v>
      </c>
      <c r="F4962" s="22" t="s">
        <v>16</v>
      </c>
      <c r="G4962" s="22" t="s">
        <v>12</v>
      </c>
    </row>
    <row r="4963" ht="15.15" spans="1:7">
      <c r="A4963" s="20">
        <v>4961</v>
      </c>
      <c r="B4963" s="20">
        <v>1413</v>
      </c>
      <c r="C4963" s="21">
        <v>45021</v>
      </c>
      <c r="D4963" s="20">
        <v>3291.84</v>
      </c>
      <c r="E4963" s="22" t="s">
        <v>21</v>
      </c>
      <c r="F4963" s="22" t="s">
        <v>11</v>
      </c>
      <c r="G4963" s="22" t="s">
        <v>20</v>
      </c>
    </row>
    <row r="4964" ht="15.15" spans="1:7">
      <c r="A4964" s="20">
        <v>4962</v>
      </c>
      <c r="B4964" s="20">
        <v>4712</v>
      </c>
      <c r="C4964" s="21">
        <v>45061</v>
      </c>
      <c r="D4964" s="20">
        <v>3291.84</v>
      </c>
      <c r="E4964" s="22" t="s">
        <v>10</v>
      </c>
      <c r="F4964" s="22" t="s">
        <v>18</v>
      </c>
      <c r="G4964" s="22" t="s">
        <v>15</v>
      </c>
    </row>
    <row r="4965" ht="15.15" spans="1:7">
      <c r="A4965" s="20">
        <v>4963</v>
      </c>
      <c r="B4965" s="20">
        <v>9090</v>
      </c>
      <c r="C4965" s="21">
        <v>45204</v>
      </c>
      <c r="D4965" s="20">
        <v>3291.84</v>
      </c>
      <c r="E4965" s="22" t="s">
        <v>10</v>
      </c>
      <c r="F4965" s="22" t="s">
        <v>11</v>
      </c>
      <c r="G4965" s="22" t="s">
        <v>20</v>
      </c>
    </row>
    <row r="4966" ht="15.15" spans="1:7">
      <c r="A4966" s="20">
        <v>4964</v>
      </c>
      <c r="B4966" s="20">
        <v>1127</v>
      </c>
      <c r="C4966" s="21">
        <v>45264</v>
      </c>
      <c r="D4966" s="20">
        <v>3291.84</v>
      </c>
      <c r="E4966" s="22" t="s">
        <v>10</v>
      </c>
      <c r="F4966" s="22" t="s">
        <v>18</v>
      </c>
      <c r="G4966" s="22" t="s">
        <v>20</v>
      </c>
    </row>
    <row r="4967" ht="15.15" spans="1:7">
      <c r="A4967" s="20">
        <v>4965</v>
      </c>
      <c r="B4967" s="20">
        <v>6754</v>
      </c>
      <c r="C4967" s="21">
        <v>45272</v>
      </c>
      <c r="D4967" s="20">
        <v>3291.84</v>
      </c>
      <c r="E4967" s="22" t="s">
        <v>10</v>
      </c>
      <c r="F4967" s="22" t="s">
        <v>18</v>
      </c>
      <c r="G4967" s="22" t="s">
        <v>17</v>
      </c>
    </row>
    <row r="4968" ht="15.15" spans="1:7">
      <c r="A4968" s="20">
        <v>4966</v>
      </c>
      <c r="B4968" s="20">
        <v>1646</v>
      </c>
      <c r="C4968" s="21">
        <v>44932</v>
      </c>
      <c r="D4968" s="20">
        <v>3291.84</v>
      </c>
      <c r="E4968" s="22" t="s">
        <v>10</v>
      </c>
      <c r="F4968" s="22" t="s">
        <v>14</v>
      </c>
      <c r="G4968" s="22" t="s">
        <v>15</v>
      </c>
    </row>
    <row r="4969" ht="15.15" spans="1:7">
      <c r="A4969" s="20">
        <v>4967</v>
      </c>
      <c r="B4969" s="20">
        <v>3714</v>
      </c>
      <c r="C4969" s="21">
        <v>45032</v>
      </c>
      <c r="D4969" s="20">
        <v>3291.84</v>
      </c>
      <c r="E4969" s="22" t="s">
        <v>10</v>
      </c>
      <c r="F4969" s="22" t="s">
        <v>18</v>
      </c>
      <c r="G4969" s="22" t="s">
        <v>15</v>
      </c>
    </row>
    <row r="4970" ht="15.15" spans="1:7">
      <c r="A4970" s="20">
        <v>4968</v>
      </c>
      <c r="B4970" s="20">
        <v>4759</v>
      </c>
      <c r="C4970" s="21">
        <v>45254</v>
      </c>
      <c r="D4970" s="20">
        <v>3291.84</v>
      </c>
      <c r="E4970" s="22" t="s">
        <v>10</v>
      </c>
      <c r="F4970" s="22" t="s">
        <v>18</v>
      </c>
      <c r="G4970" s="22" t="s">
        <v>15</v>
      </c>
    </row>
    <row r="4971" ht="15.15" spans="1:7">
      <c r="A4971" s="20">
        <v>4969</v>
      </c>
      <c r="B4971" s="20">
        <v>5093</v>
      </c>
      <c r="C4971" s="21">
        <v>44988</v>
      </c>
      <c r="D4971" s="20">
        <v>3291.84</v>
      </c>
      <c r="E4971" s="22" t="s">
        <v>10</v>
      </c>
      <c r="F4971" s="22" t="s">
        <v>18</v>
      </c>
      <c r="G4971" s="22" t="s">
        <v>12</v>
      </c>
    </row>
    <row r="4972" ht="15.15" spans="1:7">
      <c r="A4972" s="20">
        <v>4970</v>
      </c>
      <c r="B4972" s="20">
        <v>3770</v>
      </c>
      <c r="C4972" s="21">
        <v>45077</v>
      </c>
      <c r="D4972" s="20">
        <v>3291.84</v>
      </c>
      <c r="E4972" s="22" t="s">
        <v>10</v>
      </c>
      <c r="F4972" s="22" t="s">
        <v>13</v>
      </c>
      <c r="G4972" s="22" t="s">
        <v>15</v>
      </c>
    </row>
    <row r="4973" ht="15.15" spans="1:7">
      <c r="A4973" s="20">
        <v>4971</v>
      </c>
      <c r="B4973" s="20">
        <v>4214</v>
      </c>
      <c r="C4973" s="21">
        <v>45097</v>
      </c>
      <c r="D4973" s="20">
        <v>3291.84</v>
      </c>
      <c r="E4973" s="22" t="s">
        <v>10</v>
      </c>
      <c r="F4973" s="22" t="s">
        <v>19</v>
      </c>
      <c r="G4973" s="22" t="s">
        <v>20</v>
      </c>
    </row>
    <row r="4974" ht="15.15" spans="1:7">
      <c r="A4974" s="20">
        <v>4972</v>
      </c>
      <c r="B4974" s="20">
        <v>7457</v>
      </c>
      <c r="C4974" s="21">
        <v>45101</v>
      </c>
      <c r="D4974" s="20">
        <v>3291.84</v>
      </c>
      <c r="E4974" s="22" t="s">
        <v>10</v>
      </c>
      <c r="F4974" s="22" t="s">
        <v>13</v>
      </c>
      <c r="G4974" s="22" t="s">
        <v>20</v>
      </c>
    </row>
    <row r="4975" ht="15.15" spans="1:7">
      <c r="A4975" s="20">
        <v>4973</v>
      </c>
      <c r="B4975" s="20">
        <v>646</v>
      </c>
      <c r="C4975" s="21">
        <v>45007</v>
      </c>
      <c r="D4975" s="20">
        <v>3291.84</v>
      </c>
      <c r="E4975" s="22" t="s">
        <v>10</v>
      </c>
      <c r="F4975" s="22" t="s">
        <v>11</v>
      </c>
      <c r="G4975" s="22" t="s">
        <v>15</v>
      </c>
    </row>
    <row r="4976" ht="15.15" spans="1:7">
      <c r="A4976" s="20">
        <v>4974</v>
      </c>
      <c r="B4976" s="20">
        <v>9546</v>
      </c>
      <c r="C4976" s="21">
        <v>45247</v>
      </c>
      <c r="D4976" s="20">
        <v>3291.84</v>
      </c>
      <c r="E4976" s="22" t="s">
        <v>10</v>
      </c>
      <c r="F4976" s="22" t="s">
        <v>11</v>
      </c>
      <c r="G4976" s="22" t="s">
        <v>20</v>
      </c>
    </row>
    <row r="4977" ht="15.15" spans="1:7">
      <c r="A4977" s="20">
        <v>4975</v>
      </c>
      <c r="B4977" s="20">
        <v>9519</v>
      </c>
      <c r="C4977" s="21">
        <v>45192</v>
      </c>
      <c r="D4977" s="20">
        <v>3291.84</v>
      </c>
      <c r="E4977" s="22" t="s">
        <v>10</v>
      </c>
      <c r="F4977" s="22" t="s">
        <v>14</v>
      </c>
      <c r="G4977" s="22" t="s">
        <v>15</v>
      </c>
    </row>
    <row r="4978" ht="15.15" spans="1:7">
      <c r="A4978" s="20">
        <v>4976</v>
      </c>
      <c r="B4978" s="20">
        <v>7388</v>
      </c>
      <c r="C4978" s="21">
        <v>45266</v>
      </c>
      <c r="D4978" s="20">
        <v>3291.84</v>
      </c>
      <c r="E4978" s="22" t="s">
        <v>10</v>
      </c>
      <c r="F4978" s="22" t="s">
        <v>11</v>
      </c>
      <c r="G4978" s="22" t="s">
        <v>20</v>
      </c>
    </row>
    <row r="4979" ht="15.15" spans="1:7">
      <c r="A4979" s="20">
        <v>4977</v>
      </c>
      <c r="B4979" s="20">
        <v>6287</v>
      </c>
      <c r="C4979" s="21">
        <v>45177</v>
      </c>
      <c r="D4979" s="20">
        <v>3291.84</v>
      </c>
      <c r="E4979" s="22" t="s">
        <v>10</v>
      </c>
      <c r="F4979" s="22" t="s">
        <v>18</v>
      </c>
      <c r="G4979" s="22" t="s">
        <v>20</v>
      </c>
    </row>
    <row r="4980" ht="15.15" spans="1:7">
      <c r="A4980" s="20">
        <v>4978</v>
      </c>
      <c r="B4980" s="20">
        <v>1140</v>
      </c>
      <c r="C4980" s="21">
        <v>44933</v>
      </c>
      <c r="D4980" s="20">
        <v>3291.84</v>
      </c>
      <c r="E4980" s="22" t="s">
        <v>10</v>
      </c>
      <c r="F4980" s="22" t="s">
        <v>11</v>
      </c>
      <c r="G4980" s="22" t="s">
        <v>15</v>
      </c>
    </row>
    <row r="4981" ht="15.15" spans="1:7">
      <c r="A4981" s="20">
        <v>4979</v>
      </c>
      <c r="B4981" s="20">
        <v>1888</v>
      </c>
      <c r="C4981" s="21">
        <v>45051</v>
      </c>
      <c r="D4981" s="20">
        <v>3291.84</v>
      </c>
      <c r="E4981" s="22" t="s">
        <v>10</v>
      </c>
      <c r="F4981" s="22" t="s">
        <v>11</v>
      </c>
      <c r="G4981" s="22" t="s">
        <v>12</v>
      </c>
    </row>
    <row r="4982" ht="15.15" spans="1:7">
      <c r="A4982" s="20">
        <v>4980</v>
      </c>
      <c r="B4982" s="20">
        <v>4672</v>
      </c>
      <c r="C4982" s="21">
        <v>45115</v>
      </c>
      <c r="D4982" s="20">
        <v>3291.84</v>
      </c>
      <c r="E4982" s="22" t="s">
        <v>10</v>
      </c>
      <c r="F4982" s="22" t="s">
        <v>19</v>
      </c>
      <c r="G4982" s="22" t="s">
        <v>12</v>
      </c>
    </row>
    <row r="4983" ht="15.15" spans="1:7">
      <c r="A4983" s="20">
        <v>4981</v>
      </c>
      <c r="B4983" s="20">
        <v>1934</v>
      </c>
      <c r="C4983" s="21">
        <v>45101</v>
      </c>
      <c r="D4983" s="20">
        <v>3291.84</v>
      </c>
      <c r="E4983" s="22" t="s">
        <v>10</v>
      </c>
      <c r="F4983" s="22" t="s">
        <v>11</v>
      </c>
      <c r="G4983" s="22" t="s">
        <v>20</v>
      </c>
    </row>
    <row r="4984" ht="15.15" spans="1:7">
      <c r="A4984" s="20">
        <v>4982</v>
      </c>
      <c r="B4984" s="20">
        <v>8476</v>
      </c>
      <c r="C4984" s="21">
        <v>45239</v>
      </c>
      <c r="D4984" s="20">
        <v>3291.84</v>
      </c>
      <c r="E4984" s="22" t="s">
        <v>10</v>
      </c>
      <c r="F4984" s="22" t="s">
        <v>18</v>
      </c>
      <c r="G4984" s="22" t="s">
        <v>15</v>
      </c>
    </row>
    <row r="4985" ht="15.15" spans="1:7">
      <c r="A4985" s="20">
        <v>4983</v>
      </c>
      <c r="B4985" s="20">
        <v>4612</v>
      </c>
      <c r="C4985" s="21">
        <v>45246</v>
      </c>
      <c r="D4985" s="20">
        <v>3291.84</v>
      </c>
      <c r="E4985" s="22" t="s">
        <v>10</v>
      </c>
      <c r="F4985" s="22" t="s">
        <v>18</v>
      </c>
      <c r="G4985" s="22" t="s">
        <v>20</v>
      </c>
    </row>
    <row r="4986" ht="15.15" spans="1:7">
      <c r="A4986" s="20">
        <v>4984</v>
      </c>
      <c r="B4986" s="20">
        <v>5817</v>
      </c>
      <c r="C4986" s="21">
        <v>45236</v>
      </c>
      <c r="D4986" s="20">
        <v>3291.84</v>
      </c>
      <c r="E4986" s="22" t="s">
        <v>10</v>
      </c>
      <c r="F4986" s="22" t="s">
        <v>11</v>
      </c>
      <c r="G4986" s="22" t="s">
        <v>12</v>
      </c>
    </row>
    <row r="4987" ht="15.15" spans="1:7">
      <c r="A4987" s="20">
        <v>4985</v>
      </c>
      <c r="B4987" s="20">
        <v>1060</v>
      </c>
      <c r="C4987" s="21">
        <v>45139</v>
      </c>
      <c r="D4987" s="20">
        <v>3291.84</v>
      </c>
      <c r="E4987" s="22" t="s">
        <v>10</v>
      </c>
      <c r="F4987" s="22" t="s">
        <v>18</v>
      </c>
      <c r="G4987" s="22" t="s">
        <v>12</v>
      </c>
    </row>
    <row r="4988" ht="15.15" spans="1:7">
      <c r="A4988" s="20">
        <v>4986</v>
      </c>
      <c r="B4988" s="20">
        <v>7036</v>
      </c>
      <c r="C4988" s="21">
        <v>45278</v>
      </c>
      <c r="D4988" s="20">
        <v>3291.84</v>
      </c>
      <c r="E4988" s="22" t="s">
        <v>10</v>
      </c>
      <c r="F4988" s="22" t="s">
        <v>14</v>
      </c>
      <c r="G4988" s="22" t="s">
        <v>17</v>
      </c>
    </row>
    <row r="4989" ht="15.15" spans="1:7">
      <c r="A4989" s="20">
        <v>4987</v>
      </c>
      <c r="B4989" s="20">
        <v>2377</v>
      </c>
      <c r="C4989" s="21">
        <v>45024</v>
      </c>
      <c r="D4989" s="20">
        <v>3291.84</v>
      </c>
      <c r="E4989" s="22" t="s">
        <v>10</v>
      </c>
      <c r="F4989" s="22" t="s">
        <v>13</v>
      </c>
      <c r="G4989" s="22" t="s">
        <v>20</v>
      </c>
    </row>
    <row r="4990" ht="15.15" spans="1:7">
      <c r="A4990" s="20">
        <v>4988</v>
      </c>
      <c r="B4990" s="20">
        <v>6828</v>
      </c>
      <c r="C4990" s="21">
        <v>44927</v>
      </c>
      <c r="D4990" s="20">
        <v>3291.84</v>
      </c>
      <c r="E4990" s="22" t="s">
        <v>10</v>
      </c>
      <c r="F4990" s="22" t="s">
        <v>14</v>
      </c>
      <c r="G4990" s="22" t="s">
        <v>20</v>
      </c>
    </row>
    <row r="4991" ht="15.15" spans="1:7">
      <c r="A4991" s="20">
        <v>4989</v>
      </c>
      <c r="B4991" s="20">
        <v>223</v>
      </c>
      <c r="C4991" s="21">
        <v>45149</v>
      </c>
      <c r="D4991" s="20">
        <v>3291.84</v>
      </c>
      <c r="E4991" s="22" t="s">
        <v>22</v>
      </c>
      <c r="F4991" s="22" t="s">
        <v>11</v>
      </c>
      <c r="G4991" s="22" t="s">
        <v>15</v>
      </c>
    </row>
    <row r="4992" ht="15.15" spans="1:7">
      <c r="A4992" s="20">
        <v>4990</v>
      </c>
      <c r="B4992" s="20">
        <v>6607</v>
      </c>
      <c r="C4992" s="21">
        <v>44947</v>
      </c>
      <c r="D4992" s="20">
        <v>3291.84</v>
      </c>
      <c r="E4992" s="22" t="s">
        <v>10</v>
      </c>
      <c r="F4992" s="22" t="s">
        <v>16</v>
      </c>
      <c r="G4992" s="22" t="s">
        <v>20</v>
      </c>
    </row>
    <row r="4993" ht="15.15" spans="1:7">
      <c r="A4993" s="20">
        <v>4991</v>
      </c>
      <c r="B4993" s="20">
        <v>2861</v>
      </c>
      <c r="C4993" s="21">
        <v>45166</v>
      </c>
      <c r="D4993" s="20">
        <v>3291.84</v>
      </c>
      <c r="E4993" s="22" t="s">
        <v>10</v>
      </c>
      <c r="F4993" s="22" t="s">
        <v>14</v>
      </c>
      <c r="G4993" s="22" t="s">
        <v>17</v>
      </c>
    </row>
    <row r="4994" ht="15.15" spans="1:7">
      <c r="A4994" s="20">
        <v>4992</v>
      </c>
      <c r="B4994" s="20">
        <v>5840</v>
      </c>
      <c r="C4994" s="21">
        <v>44985</v>
      </c>
      <c r="D4994" s="20">
        <v>3291.84</v>
      </c>
      <c r="E4994" s="22" t="s">
        <v>10</v>
      </c>
      <c r="F4994" s="22" t="s">
        <v>16</v>
      </c>
      <c r="G4994" s="22" t="s">
        <v>17</v>
      </c>
    </row>
    <row r="4995" ht="15.15" spans="1:7">
      <c r="A4995" s="20">
        <v>4993</v>
      </c>
      <c r="B4995" s="20">
        <v>3110</v>
      </c>
      <c r="C4995" s="21">
        <v>45252</v>
      </c>
      <c r="D4995" s="20">
        <v>3291.84</v>
      </c>
      <c r="E4995" s="22" t="s">
        <v>10</v>
      </c>
      <c r="F4995" s="22" t="s">
        <v>13</v>
      </c>
      <c r="G4995" s="22" t="s">
        <v>15</v>
      </c>
    </row>
    <row r="4996" ht="15.15" spans="1:7">
      <c r="A4996" s="20">
        <v>4994</v>
      </c>
      <c r="B4996" s="20">
        <v>7197</v>
      </c>
      <c r="C4996" s="21">
        <v>45237</v>
      </c>
      <c r="D4996" s="20">
        <v>3291.84</v>
      </c>
      <c r="E4996" s="22" t="s">
        <v>10</v>
      </c>
      <c r="F4996" s="22" t="s">
        <v>16</v>
      </c>
      <c r="G4996" s="22" t="s">
        <v>17</v>
      </c>
    </row>
    <row r="4997" ht="15.15" spans="1:7">
      <c r="A4997" s="20">
        <v>4995</v>
      </c>
      <c r="B4997" s="20">
        <v>8556</v>
      </c>
      <c r="C4997" s="21">
        <v>45148</v>
      </c>
      <c r="D4997" s="20">
        <v>3291.84</v>
      </c>
      <c r="E4997" s="22" t="s">
        <v>10</v>
      </c>
      <c r="F4997" s="22" t="s">
        <v>14</v>
      </c>
      <c r="G4997" s="22" t="s">
        <v>17</v>
      </c>
    </row>
    <row r="4998" ht="15.15" spans="1:7">
      <c r="A4998" s="20">
        <v>4996</v>
      </c>
      <c r="B4998" s="20">
        <v>4480</v>
      </c>
      <c r="C4998" s="21">
        <v>45162</v>
      </c>
      <c r="D4998" s="20">
        <v>3291.84</v>
      </c>
      <c r="E4998" s="22" t="s">
        <v>22</v>
      </c>
      <c r="F4998" s="22" t="s">
        <v>13</v>
      </c>
      <c r="G4998" s="22" t="s">
        <v>17</v>
      </c>
    </row>
    <row r="4999" ht="15.15" spans="1:7">
      <c r="A4999" s="20">
        <v>4997</v>
      </c>
      <c r="B4999" s="20">
        <v>5918</v>
      </c>
      <c r="C4999" s="21">
        <v>44950</v>
      </c>
      <c r="D4999" s="20">
        <v>3291.84</v>
      </c>
      <c r="E4999" s="22" t="s">
        <v>10</v>
      </c>
      <c r="F4999" s="22" t="s">
        <v>13</v>
      </c>
      <c r="G4999" s="22" t="s">
        <v>17</v>
      </c>
    </row>
    <row r="5000" ht="15.15" spans="1:7">
      <c r="A5000" s="20">
        <v>4998</v>
      </c>
      <c r="B5000" s="20">
        <v>6046</v>
      </c>
      <c r="C5000" s="21">
        <v>44950</v>
      </c>
      <c r="D5000" s="20">
        <v>3291.84</v>
      </c>
      <c r="E5000" s="22" t="s">
        <v>10</v>
      </c>
      <c r="F5000" s="22" t="s">
        <v>13</v>
      </c>
      <c r="G5000" s="22" t="s">
        <v>20</v>
      </c>
    </row>
    <row r="5001" ht="15.15" spans="1:7">
      <c r="A5001" s="20">
        <v>4999</v>
      </c>
      <c r="B5001" s="20">
        <v>2716</v>
      </c>
      <c r="C5001" s="21">
        <v>45009</v>
      </c>
      <c r="D5001" s="20">
        <v>3291.84</v>
      </c>
      <c r="E5001" s="22" t="s">
        <v>10</v>
      </c>
      <c r="F5001" s="22" t="s">
        <v>13</v>
      </c>
      <c r="G5001" s="22" t="s">
        <v>17</v>
      </c>
    </row>
    <row r="5002" ht="15.15" spans="1:7">
      <c r="A5002" s="20">
        <v>5000</v>
      </c>
      <c r="B5002" s="20">
        <v>863</v>
      </c>
      <c r="C5002" s="21">
        <v>45197</v>
      </c>
      <c r="D5002" s="20">
        <v>3291.84</v>
      </c>
      <c r="E5002" s="22" t="s">
        <v>10</v>
      </c>
      <c r="F5002" s="22" t="s">
        <v>14</v>
      </c>
      <c r="G5002" s="22" t="s">
        <v>12</v>
      </c>
    </row>
  </sheetData>
  <mergeCells count="1">
    <mergeCell ref="B1:F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01"/>
  <sheetViews>
    <sheetView tabSelected="1" topLeftCell="A10" workbookViewId="0">
      <selection activeCell="E1" sqref="E1"/>
    </sheetView>
  </sheetViews>
  <sheetFormatPr defaultColWidth="9" defaultRowHeight="14.4"/>
  <cols>
    <col min="1" max="1" width="15.4444444444444" customWidth="1"/>
    <col min="2" max="2" width="16.6666666666667" customWidth="1"/>
    <col min="3" max="3" width="15.5555555555556" customWidth="1"/>
    <col min="4" max="4" width="15.3333333333333" customWidth="1"/>
    <col min="5" max="5" width="14.6666666666667" customWidth="1"/>
    <col min="6" max="6" width="12.3333333333333" customWidth="1"/>
    <col min="7" max="7" width="18.6666666666667" customWidth="1"/>
    <col min="8" max="8" width="13.4444444444444" customWidth="1"/>
    <col min="9" max="9" width="8.22222222222222" customWidth="1"/>
    <col min="12" max="12" width="13.3333333333333" customWidth="1"/>
  </cols>
  <sheetData>
    <row r="1" ht="55.8" customHeight="1" spans="1:13">
      <c r="A1" s="18" t="s">
        <v>1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I1" s="19" t="s">
        <v>23</v>
      </c>
      <c r="J1" s="19"/>
      <c r="K1" s="19"/>
      <c r="L1" s="19"/>
      <c r="M1" s="19"/>
    </row>
    <row r="2" ht="22.2" customHeight="1" spans="1:13">
      <c r="A2" s="20">
        <v>1</v>
      </c>
      <c r="B2" s="20">
        <v>799</v>
      </c>
      <c r="C2" s="21">
        <v>45110</v>
      </c>
      <c r="D2" s="20">
        <v>3291.84</v>
      </c>
      <c r="E2" s="22" t="s">
        <v>10</v>
      </c>
      <c r="F2" s="22" t="s">
        <v>11</v>
      </c>
      <c r="G2" s="22" t="s">
        <v>12</v>
      </c>
      <c r="I2" s="23">
        <v>1</v>
      </c>
      <c r="J2" s="24" t="s">
        <v>24</v>
      </c>
      <c r="K2" s="24"/>
      <c r="L2" s="24"/>
      <c r="M2" s="24"/>
    </row>
    <row r="3" ht="22.8" customHeight="1" spans="1:13">
      <c r="A3" s="20">
        <v>2</v>
      </c>
      <c r="B3" s="20">
        <v>5547</v>
      </c>
      <c r="C3" s="21">
        <v>45261</v>
      </c>
      <c r="D3" s="20">
        <v>758</v>
      </c>
      <c r="E3" s="22" t="s">
        <v>10</v>
      </c>
      <c r="F3" s="22" t="s">
        <v>13</v>
      </c>
      <c r="G3" s="22" t="s">
        <v>12</v>
      </c>
      <c r="I3" s="25" t="s">
        <v>25</v>
      </c>
      <c r="J3" s="26">
        <f>SUM(D:D)</f>
        <v>7064864.86999999</v>
      </c>
      <c r="K3" s="26"/>
      <c r="L3" s="26"/>
      <c r="M3" s="26"/>
    </row>
    <row r="4" ht="31.8" customHeight="1" spans="1:13">
      <c r="A4" s="20">
        <v>3</v>
      </c>
      <c r="B4" s="20">
        <v>9198</v>
      </c>
      <c r="C4" s="21">
        <v>44991</v>
      </c>
      <c r="D4" s="20">
        <v>1053.57</v>
      </c>
      <c r="E4" s="22" t="s">
        <v>10</v>
      </c>
      <c r="F4" s="22" t="s">
        <v>11</v>
      </c>
      <c r="G4" s="22" t="s">
        <v>12</v>
      </c>
      <c r="I4" s="23">
        <v>2</v>
      </c>
      <c r="J4" s="24" t="s">
        <v>26</v>
      </c>
      <c r="K4" s="24"/>
      <c r="L4" s="24"/>
      <c r="M4" s="24"/>
    </row>
    <row r="5" ht="28.8" customHeight="1" spans="1:13">
      <c r="A5" s="20">
        <v>4</v>
      </c>
      <c r="B5" s="20">
        <v>4722</v>
      </c>
      <c r="C5" s="21">
        <v>45146</v>
      </c>
      <c r="D5" s="20">
        <v>1936.86</v>
      </c>
      <c r="E5" s="22" t="s">
        <v>10</v>
      </c>
      <c r="F5" s="22" t="s">
        <v>14</v>
      </c>
      <c r="G5" s="22" t="s">
        <v>15</v>
      </c>
      <c r="I5" s="25" t="s">
        <v>25</v>
      </c>
      <c r="J5" s="26">
        <f>AVERAGE(D:D)</f>
        <v>1412.972974</v>
      </c>
      <c r="K5" s="26"/>
      <c r="L5" s="26"/>
      <c r="M5" s="26"/>
    </row>
    <row r="6" ht="30.6" customHeight="1" spans="1:13">
      <c r="A6" s="20">
        <v>5</v>
      </c>
      <c r="B6" s="20">
        <v>1154</v>
      </c>
      <c r="C6" s="21">
        <v>45249</v>
      </c>
      <c r="D6" s="20">
        <v>315.29</v>
      </c>
      <c r="E6" s="22" t="s">
        <v>10</v>
      </c>
      <c r="F6" s="22" t="s">
        <v>14</v>
      </c>
      <c r="G6" s="22" t="s">
        <v>12</v>
      </c>
      <c r="I6" s="23">
        <v>3</v>
      </c>
      <c r="J6" s="27" t="s">
        <v>27</v>
      </c>
      <c r="K6" s="27"/>
      <c r="L6" s="27"/>
      <c r="M6" s="27"/>
    </row>
    <row r="7" ht="23.4" customHeight="1" spans="1:13">
      <c r="A7" s="20">
        <v>6</v>
      </c>
      <c r="B7" s="20">
        <v>1460</v>
      </c>
      <c r="C7" s="21">
        <v>45162</v>
      </c>
      <c r="D7" s="20">
        <v>1125.06</v>
      </c>
      <c r="E7" s="22" t="s">
        <v>10</v>
      </c>
      <c r="F7" s="22" t="s">
        <v>16</v>
      </c>
      <c r="G7" s="22" t="s">
        <v>12</v>
      </c>
      <c r="I7" s="25" t="s">
        <v>25</v>
      </c>
      <c r="J7" s="26" t="str">
        <f>IF(D2&gt;2000,"High","Low")</f>
        <v>High</v>
      </c>
      <c r="K7" s="26"/>
      <c r="L7" s="26"/>
      <c r="M7" s="26"/>
    </row>
    <row r="8" ht="28.2" customHeight="1" spans="1:13">
      <c r="A8" s="20">
        <v>7</v>
      </c>
      <c r="B8" s="20">
        <v>1308</v>
      </c>
      <c r="C8" s="21">
        <v>45290</v>
      </c>
      <c r="D8" s="20">
        <v>2036.83</v>
      </c>
      <c r="E8" s="22" t="s">
        <v>10</v>
      </c>
      <c r="F8" s="22" t="s">
        <v>16</v>
      </c>
      <c r="G8" s="22" t="s">
        <v>17</v>
      </c>
      <c r="I8" s="23">
        <v>4</v>
      </c>
      <c r="J8" s="28" t="s">
        <v>28</v>
      </c>
      <c r="K8" s="28"/>
      <c r="L8" s="28"/>
      <c r="M8" s="28"/>
    </row>
    <row r="9" ht="24" customHeight="1" spans="1:13">
      <c r="A9" s="20">
        <v>8</v>
      </c>
      <c r="B9" s="20">
        <v>3308</v>
      </c>
      <c r="C9" s="21">
        <v>45227</v>
      </c>
      <c r="D9" s="20">
        <v>888.69</v>
      </c>
      <c r="E9" s="22" t="s">
        <v>10</v>
      </c>
      <c r="F9" s="22" t="s">
        <v>14</v>
      </c>
      <c r="G9" s="22" t="s">
        <v>12</v>
      </c>
      <c r="I9" s="25" t="s">
        <v>25</v>
      </c>
      <c r="J9" s="26">
        <f>COUNT(A:A)</f>
        <v>5000</v>
      </c>
      <c r="K9" s="26"/>
      <c r="L9" s="26"/>
      <c r="M9" s="26"/>
    </row>
    <row r="10" ht="27.6" customHeight="1" spans="1:13">
      <c r="A10" s="20">
        <v>9</v>
      </c>
      <c r="B10" s="20">
        <v>2724</v>
      </c>
      <c r="C10" s="21">
        <v>45025</v>
      </c>
      <c r="D10" s="20">
        <v>14069.29</v>
      </c>
      <c r="E10" s="22" t="s">
        <v>10</v>
      </c>
      <c r="F10" s="22" t="s">
        <v>11</v>
      </c>
      <c r="G10" s="22" t="s">
        <v>12</v>
      </c>
      <c r="I10" s="23">
        <v>5</v>
      </c>
      <c r="J10" s="24" t="s">
        <v>29</v>
      </c>
      <c r="K10" s="24"/>
      <c r="L10" s="24"/>
      <c r="M10" s="24"/>
    </row>
    <row r="11" ht="27.6" customHeight="1" spans="1:13">
      <c r="A11" s="20">
        <v>10</v>
      </c>
      <c r="B11" s="20">
        <v>3884</v>
      </c>
      <c r="C11" s="21">
        <v>45214</v>
      </c>
      <c r="D11" s="20">
        <v>2931.18</v>
      </c>
      <c r="E11" s="22" t="s">
        <v>10</v>
      </c>
      <c r="F11" s="22" t="s">
        <v>14</v>
      </c>
      <c r="G11" s="22" t="s">
        <v>12</v>
      </c>
      <c r="I11" s="25" t="s">
        <v>25</v>
      </c>
      <c r="J11" s="26">
        <f>COUNTIF(F:F,"West")</f>
        <v>1099</v>
      </c>
      <c r="K11" s="26"/>
      <c r="L11" s="26"/>
      <c r="M11" s="26"/>
    </row>
    <row r="12" ht="27.6" customHeight="1" spans="1:13">
      <c r="A12" s="20">
        <v>11</v>
      </c>
      <c r="B12" s="20">
        <v>1180</v>
      </c>
      <c r="C12" s="21">
        <v>45054</v>
      </c>
      <c r="D12" s="20">
        <v>1217.05</v>
      </c>
      <c r="E12" s="22" t="s">
        <v>10</v>
      </c>
      <c r="F12" s="22" t="s">
        <v>13</v>
      </c>
      <c r="G12" s="22" t="s">
        <v>15</v>
      </c>
      <c r="I12" s="23">
        <v>6</v>
      </c>
      <c r="J12" s="24" t="s">
        <v>30</v>
      </c>
      <c r="K12" s="24"/>
      <c r="L12" s="24"/>
      <c r="M12" s="24"/>
    </row>
    <row r="13" ht="24.6" customHeight="1" spans="1:13">
      <c r="A13" s="20">
        <v>12</v>
      </c>
      <c r="B13" s="20">
        <v>9183</v>
      </c>
      <c r="C13" s="21">
        <v>45131</v>
      </c>
      <c r="D13" s="20">
        <v>1082.75</v>
      </c>
      <c r="E13" s="22" t="s">
        <v>10</v>
      </c>
      <c r="F13" s="22" t="s">
        <v>16</v>
      </c>
      <c r="G13" s="22" t="s">
        <v>15</v>
      </c>
      <c r="I13" s="25" t="s">
        <v>25</v>
      </c>
      <c r="J13" s="26">
        <f>MAX(D:D)</f>
        <v>29817.33</v>
      </c>
      <c r="K13" s="26"/>
      <c r="L13" s="26"/>
      <c r="M13" s="26"/>
    </row>
    <row r="14" ht="24.6" customHeight="1" spans="1:13">
      <c r="A14" s="20">
        <v>13</v>
      </c>
      <c r="B14" s="20">
        <v>7875</v>
      </c>
      <c r="C14" s="21">
        <v>45182</v>
      </c>
      <c r="D14" s="20">
        <v>256.17</v>
      </c>
      <c r="E14" s="22" t="s">
        <v>10</v>
      </c>
      <c r="F14" s="22" t="s">
        <v>14</v>
      </c>
      <c r="G14" s="22" t="s">
        <v>17</v>
      </c>
      <c r="I14" s="29">
        <v>7</v>
      </c>
      <c r="J14" s="24" t="s">
        <v>31</v>
      </c>
      <c r="K14" s="24"/>
      <c r="L14" s="24"/>
      <c r="M14" s="24"/>
    </row>
    <row r="15" ht="15.15" spans="1:13">
      <c r="A15" s="20">
        <v>14</v>
      </c>
      <c r="B15" s="20">
        <v>7610</v>
      </c>
      <c r="C15" s="21">
        <v>45135</v>
      </c>
      <c r="D15" s="20">
        <v>827.49</v>
      </c>
      <c r="E15" s="22" t="s">
        <v>10</v>
      </c>
      <c r="F15" s="22" t="s">
        <v>13</v>
      </c>
      <c r="G15" s="22" t="s">
        <v>15</v>
      </c>
      <c r="I15" s="25" t="s">
        <v>25</v>
      </c>
      <c r="J15" s="26">
        <f>MIN(D:D)</f>
        <v>28.09</v>
      </c>
      <c r="K15" s="26"/>
      <c r="L15" s="26"/>
      <c r="M15" s="26"/>
    </row>
    <row r="16" ht="21" customHeight="1" spans="1:13">
      <c r="A16" s="20">
        <v>15</v>
      </c>
      <c r="B16" s="20">
        <v>4366</v>
      </c>
      <c r="C16" s="21">
        <v>45128</v>
      </c>
      <c r="D16" s="20">
        <v>1814.82</v>
      </c>
      <c r="E16" s="22" t="s">
        <v>10</v>
      </c>
      <c r="F16" s="22" t="s">
        <v>18</v>
      </c>
      <c r="G16" s="22" t="s">
        <v>15</v>
      </c>
      <c r="I16" s="29">
        <v>8</v>
      </c>
      <c r="J16" s="24" t="s">
        <v>32</v>
      </c>
      <c r="K16" s="24"/>
      <c r="L16" s="24"/>
      <c r="M16" s="24"/>
    </row>
    <row r="17" ht="26.4" customHeight="1" spans="1:13">
      <c r="A17" s="20">
        <v>16</v>
      </c>
      <c r="B17" s="20">
        <v>9556</v>
      </c>
      <c r="C17" s="21">
        <v>45283</v>
      </c>
      <c r="D17" s="20">
        <v>329.52</v>
      </c>
      <c r="E17" s="22" t="s">
        <v>10</v>
      </c>
      <c r="F17" s="22" t="s">
        <v>13</v>
      </c>
      <c r="G17" s="22" t="s">
        <v>12</v>
      </c>
      <c r="I17" s="25" t="s">
        <v>25</v>
      </c>
      <c r="J17" s="30" t="str">
        <f>UPPER(F2)</f>
        <v>EAST</v>
      </c>
      <c r="K17" s="30"/>
      <c r="L17" s="30"/>
      <c r="M17" s="30"/>
    </row>
    <row r="18" ht="30.6" customHeight="1" spans="1:13">
      <c r="A18" s="20">
        <v>17</v>
      </c>
      <c r="B18" s="20">
        <v>799</v>
      </c>
      <c r="C18" s="21">
        <v>45279</v>
      </c>
      <c r="D18" s="20">
        <v>274.33</v>
      </c>
      <c r="E18" s="22" t="s">
        <v>10</v>
      </c>
      <c r="F18" s="22" t="s">
        <v>19</v>
      </c>
      <c r="G18" s="22" t="s">
        <v>20</v>
      </c>
      <c r="I18" s="29">
        <v>9</v>
      </c>
      <c r="J18" s="31" t="s">
        <v>33</v>
      </c>
      <c r="K18" s="31"/>
      <c r="L18" s="31"/>
      <c r="M18" s="31"/>
    </row>
    <row r="19" ht="28.8" customHeight="1" spans="1:13">
      <c r="A19" s="20">
        <v>18</v>
      </c>
      <c r="B19" s="20">
        <v>5978</v>
      </c>
      <c r="C19" s="21">
        <v>45276</v>
      </c>
      <c r="D19" s="20">
        <v>966.66</v>
      </c>
      <c r="E19" s="22" t="s">
        <v>10</v>
      </c>
      <c r="F19" s="22" t="s">
        <v>19</v>
      </c>
      <c r="G19" s="22" t="s">
        <v>12</v>
      </c>
      <c r="I19" s="25" t="s">
        <v>25</v>
      </c>
      <c r="J19" s="26" t="str">
        <f>VLOOKUP(A6,A:G,6,FALSE)</f>
        <v>North</v>
      </c>
      <c r="K19" s="26"/>
      <c r="L19" s="26"/>
      <c r="M19" s="26"/>
    </row>
    <row r="20" ht="25.8" customHeight="1" spans="1:13">
      <c r="A20" s="20">
        <v>19</v>
      </c>
      <c r="B20" s="20">
        <v>4676</v>
      </c>
      <c r="C20" s="21">
        <v>45238</v>
      </c>
      <c r="D20" s="20">
        <v>2337.54</v>
      </c>
      <c r="E20" s="22" t="s">
        <v>10</v>
      </c>
      <c r="F20" s="22" t="s">
        <v>18</v>
      </c>
      <c r="G20" s="22" t="s">
        <v>15</v>
      </c>
      <c r="I20" s="29">
        <v>10</v>
      </c>
      <c r="J20" s="24" t="s">
        <v>34</v>
      </c>
      <c r="K20" s="24"/>
      <c r="L20" s="24"/>
      <c r="M20" s="24"/>
    </row>
    <row r="21" ht="22.2" customHeight="1" spans="1:13">
      <c r="A21" s="20">
        <v>20</v>
      </c>
      <c r="B21" s="20">
        <v>4057</v>
      </c>
      <c r="C21" s="21">
        <v>45150</v>
      </c>
      <c r="D21" s="20">
        <v>973.32</v>
      </c>
      <c r="E21" s="22" t="s">
        <v>10</v>
      </c>
      <c r="F21" s="22" t="s">
        <v>11</v>
      </c>
      <c r="G21" s="22" t="s">
        <v>12</v>
      </c>
      <c r="I21" s="25" t="s">
        <v>25</v>
      </c>
      <c r="J21" s="26">
        <f>SUMIF(E:E,"Completed",D:D)</f>
        <v>6741715.87999999</v>
      </c>
      <c r="K21" s="26"/>
      <c r="L21" s="26"/>
      <c r="M21" s="26"/>
    </row>
    <row r="22" ht="19.2" customHeight="1" spans="1:13">
      <c r="A22" s="20">
        <v>21</v>
      </c>
      <c r="B22" s="20">
        <v>2428</v>
      </c>
      <c r="C22" s="21">
        <v>45105</v>
      </c>
      <c r="D22" s="20">
        <v>613.75</v>
      </c>
      <c r="E22" s="22" t="s">
        <v>10</v>
      </c>
      <c r="F22" s="22" t="s">
        <v>11</v>
      </c>
      <c r="G22" s="22" t="s">
        <v>17</v>
      </c>
    </row>
    <row r="23" ht="18" customHeight="1" spans="1:13">
      <c r="A23" s="20">
        <v>22</v>
      </c>
      <c r="B23" s="20">
        <v>3514</v>
      </c>
      <c r="C23" s="21">
        <v>45285</v>
      </c>
      <c r="D23" s="20">
        <v>282.13</v>
      </c>
      <c r="E23" s="22" t="s">
        <v>10</v>
      </c>
      <c r="F23" s="22" t="s">
        <v>18</v>
      </c>
      <c r="G23" s="22" t="s">
        <v>17</v>
      </c>
    </row>
    <row r="24" ht="15.15" spans="1:13">
      <c r="A24" s="20">
        <v>23</v>
      </c>
      <c r="B24" s="20">
        <v>9743</v>
      </c>
      <c r="C24" s="21">
        <v>45120</v>
      </c>
      <c r="D24" s="20">
        <v>2362.58</v>
      </c>
      <c r="E24" s="22" t="s">
        <v>10</v>
      </c>
      <c r="F24" s="22" t="s">
        <v>11</v>
      </c>
      <c r="G24" s="22" t="s">
        <v>17</v>
      </c>
    </row>
    <row r="25" ht="15.15" spans="1:13">
      <c r="A25" s="20">
        <v>24</v>
      </c>
      <c r="B25" s="20">
        <v>4501</v>
      </c>
      <c r="C25" s="21">
        <v>44930</v>
      </c>
      <c r="D25" s="20">
        <v>340.47</v>
      </c>
      <c r="E25" s="22" t="s">
        <v>21</v>
      </c>
      <c r="F25" s="22" t="s">
        <v>18</v>
      </c>
      <c r="G25" s="22" t="s">
        <v>17</v>
      </c>
    </row>
    <row r="26" ht="15.15" spans="1:13">
      <c r="A26" s="20">
        <v>25</v>
      </c>
      <c r="B26" s="20">
        <v>9749</v>
      </c>
      <c r="C26" s="21">
        <v>45168</v>
      </c>
      <c r="D26" s="20">
        <v>436.2</v>
      </c>
      <c r="E26" s="22" t="s">
        <v>10</v>
      </c>
      <c r="F26" s="22" t="s">
        <v>16</v>
      </c>
      <c r="G26" s="22" t="s">
        <v>12</v>
      </c>
    </row>
    <row r="27" ht="15.15" spans="1:13">
      <c r="A27" s="20">
        <v>26</v>
      </c>
      <c r="B27" s="20">
        <v>9799</v>
      </c>
      <c r="C27" s="21">
        <v>44961</v>
      </c>
      <c r="D27" s="20">
        <v>1417.1</v>
      </c>
      <c r="E27" s="22" t="s">
        <v>10</v>
      </c>
      <c r="F27" s="22" t="s">
        <v>13</v>
      </c>
      <c r="G27" s="22" t="s">
        <v>17</v>
      </c>
    </row>
    <row r="28" ht="15.15" spans="1:13">
      <c r="A28" s="20">
        <v>27</v>
      </c>
      <c r="B28" s="20">
        <v>4031</v>
      </c>
      <c r="C28" s="21">
        <v>45119</v>
      </c>
      <c r="D28" s="20">
        <v>307.6</v>
      </c>
      <c r="E28" s="22" t="s">
        <v>10</v>
      </c>
      <c r="F28" s="22" t="s">
        <v>18</v>
      </c>
      <c r="G28" s="22" t="s">
        <v>20</v>
      </c>
    </row>
    <row r="29" ht="15.15" spans="1:13">
      <c r="A29" s="20">
        <v>28</v>
      </c>
      <c r="B29" s="20">
        <v>6404</v>
      </c>
      <c r="C29" s="21">
        <v>45209</v>
      </c>
      <c r="D29" s="20">
        <v>1393.02</v>
      </c>
      <c r="E29" s="22" t="s">
        <v>22</v>
      </c>
      <c r="F29" s="22" t="s">
        <v>11</v>
      </c>
      <c r="G29" s="22" t="s">
        <v>17</v>
      </c>
    </row>
    <row r="30" ht="15.15" spans="1:13">
      <c r="A30" s="20">
        <v>29</v>
      </c>
      <c r="B30" s="20">
        <v>6151</v>
      </c>
      <c r="C30" s="21">
        <v>45117</v>
      </c>
      <c r="D30" s="20">
        <v>1125.13</v>
      </c>
      <c r="E30" s="22" t="s">
        <v>10</v>
      </c>
      <c r="F30" s="22" t="s">
        <v>19</v>
      </c>
      <c r="G30" s="22" t="s">
        <v>15</v>
      </c>
    </row>
    <row r="31" ht="15.15" spans="1:13">
      <c r="A31" s="20">
        <v>30</v>
      </c>
      <c r="B31" s="20">
        <v>3505</v>
      </c>
      <c r="C31" s="21">
        <v>45263</v>
      </c>
      <c r="D31" s="20">
        <v>319.84</v>
      </c>
      <c r="E31" s="22" t="s">
        <v>10</v>
      </c>
      <c r="F31" s="22" t="s">
        <v>16</v>
      </c>
      <c r="G31" s="22" t="s">
        <v>12</v>
      </c>
    </row>
    <row r="32" ht="15.15" spans="1:13">
      <c r="A32" s="20">
        <v>31</v>
      </c>
      <c r="B32" s="20">
        <v>2726</v>
      </c>
      <c r="C32" s="21">
        <v>45037</v>
      </c>
      <c r="D32" s="20">
        <v>143.55</v>
      </c>
      <c r="E32" s="22" t="s">
        <v>10</v>
      </c>
      <c r="F32" s="22" t="s">
        <v>18</v>
      </c>
      <c r="G32" s="22" t="s">
        <v>15</v>
      </c>
    </row>
    <row r="33" ht="15.15" spans="1:7">
      <c r="A33" s="20">
        <v>32</v>
      </c>
      <c r="B33" s="20">
        <v>4985</v>
      </c>
      <c r="C33" s="21">
        <v>45038</v>
      </c>
      <c r="D33" s="20">
        <v>606.49</v>
      </c>
      <c r="E33" s="22" t="s">
        <v>10</v>
      </c>
      <c r="F33" s="22" t="s">
        <v>16</v>
      </c>
      <c r="G33" s="22" t="s">
        <v>17</v>
      </c>
    </row>
    <row r="34" ht="15.15" spans="1:7">
      <c r="A34" s="20">
        <v>33</v>
      </c>
      <c r="B34" s="20">
        <v>537</v>
      </c>
      <c r="C34" s="21">
        <v>45137</v>
      </c>
      <c r="D34" s="20">
        <v>4384.92</v>
      </c>
      <c r="E34" s="22" t="s">
        <v>10</v>
      </c>
      <c r="F34" s="22" t="s">
        <v>16</v>
      </c>
      <c r="G34" s="22" t="s">
        <v>17</v>
      </c>
    </row>
    <row r="35" ht="15.15" spans="1:7">
      <c r="A35" s="20">
        <v>34</v>
      </c>
      <c r="B35" s="20">
        <v>2445</v>
      </c>
      <c r="C35" s="21">
        <v>45188</v>
      </c>
      <c r="D35" s="20">
        <v>623.26</v>
      </c>
      <c r="E35" s="22" t="s">
        <v>10</v>
      </c>
      <c r="F35" s="22" t="s">
        <v>16</v>
      </c>
      <c r="G35" s="22" t="s">
        <v>12</v>
      </c>
    </row>
    <row r="36" ht="15.15" spans="1:7">
      <c r="A36" s="20">
        <v>35</v>
      </c>
      <c r="B36" s="20">
        <v>9082</v>
      </c>
      <c r="C36" s="21">
        <v>45110</v>
      </c>
      <c r="D36" s="20">
        <v>189.69</v>
      </c>
      <c r="E36" s="22" t="s">
        <v>10</v>
      </c>
      <c r="F36" s="22" t="s">
        <v>16</v>
      </c>
      <c r="G36" s="22" t="s">
        <v>17</v>
      </c>
    </row>
    <row r="37" ht="15.15" spans="1:7">
      <c r="A37" s="20">
        <v>36</v>
      </c>
      <c r="B37" s="20">
        <v>5591</v>
      </c>
      <c r="C37" s="21">
        <v>45246</v>
      </c>
      <c r="D37" s="20">
        <v>415.12</v>
      </c>
      <c r="E37" s="22" t="s">
        <v>10</v>
      </c>
      <c r="F37" s="22" t="s">
        <v>16</v>
      </c>
      <c r="G37" s="22" t="s">
        <v>12</v>
      </c>
    </row>
    <row r="38" ht="15.15" spans="1:7">
      <c r="A38" s="20">
        <v>37</v>
      </c>
      <c r="B38" s="20">
        <v>5023</v>
      </c>
      <c r="C38" s="21">
        <v>45253</v>
      </c>
      <c r="D38" s="20">
        <v>678.18</v>
      </c>
      <c r="E38" s="22" t="s">
        <v>10</v>
      </c>
      <c r="F38" s="22" t="s">
        <v>18</v>
      </c>
      <c r="G38" s="22" t="s">
        <v>20</v>
      </c>
    </row>
    <row r="39" ht="15.15" spans="1:7">
      <c r="A39" s="20">
        <v>38</v>
      </c>
      <c r="B39" s="20">
        <v>8865</v>
      </c>
      <c r="C39" s="21">
        <v>45176</v>
      </c>
      <c r="D39" s="20">
        <v>413.05</v>
      </c>
      <c r="E39" s="22" t="s">
        <v>10</v>
      </c>
      <c r="F39" s="22" t="s">
        <v>11</v>
      </c>
      <c r="G39" s="22" t="s">
        <v>12</v>
      </c>
    </row>
    <row r="40" ht="15.15" spans="1:7">
      <c r="A40" s="20">
        <v>39</v>
      </c>
      <c r="B40" s="20">
        <v>6670</v>
      </c>
      <c r="C40" s="21">
        <v>45040</v>
      </c>
      <c r="D40" s="20">
        <v>292.39</v>
      </c>
      <c r="E40" s="22" t="s">
        <v>10</v>
      </c>
      <c r="F40" s="22" t="s">
        <v>16</v>
      </c>
      <c r="G40" s="22" t="s">
        <v>15</v>
      </c>
    </row>
    <row r="41" ht="15.15" spans="1:7">
      <c r="A41" s="20">
        <v>40</v>
      </c>
      <c r="B41" s="20">
        <v>5687</v>
      </c>
      <c r="C41" s="21">
        <v>45076</v>
      </c>
      <c r="D41" s="20">
        <v>1495.64</v>
      </c>
      <c r="E41" s="22" t="s">
        <v>10</v>
      </c>
      <c r="F41" s="22" t="s">
        <v>14</v>
      </c>
      <c r="G41" s="22" t="s">
        <v>20</v>
      </c>
    </row>
    <row r="42" ht="15.15" spans="1:7">
      <c r="A42" s="20">
        <v>41</v>
      </c>
      <c r="B42" s="20">
        <v>9437</v>
      </c>
      <c r="C42" s="21">
        <v>45030</v>
      </c>
      <c r="D42" s="20">
        <v>2453.45</v>
      </c>
      <c r="E42" s="22" t="s">
        <v>10</v>
      </c>
      <c r="F42" s="22" t="s">
        <v>18</v>
      </c>
      <c r="G42" s="22" t="s">
        <v>20</v>
      </c>
    </row>
    <row r="43" ht="15.15" spans="1:7">
      <c r="A43" s="20">
        <v>42</v>
      </c>
      <c r="B43" s="20">
        <v>326</v>
      </c>
      <c r="C43" s="21">
        <v>44962</v>
      </c>
      <c r="D43" s="20">
        <v>447.12</v>
      </c>
      <c r="E43" s="22" t="s">
        <v>10</v>
      </c>
      <c r="F43" s="22" t="s">
        <v>11</v>
      </c>
      <c r="G43" s="22" t="s">
        <v>20</v>
      </c>
    </row>
    <row r="44" ht="15.15" spans="1:7">
      <c r="A44" s="20">
        <v>43</v>
      </c>
      <c r="B44" s="20">
        <v>6313</v>
      </c>
      <c r="C44" s="21">
        <v>45163</v>
      </c>
      <c r="D44" s="20">
        <v>366.68</v>
      </c>
      <c r="E44" s="22" t="s">
        <v>10</v>
      </c>
      <c r="F44" s="22" t="s">
        <v>13</v>
      </c>
      <c r="G44" s="22" t="s">
        <v>15</v>
      </c>
    </row>
    <row r="45" ht="15.15" spans="1:7">
      <c r="A45" s="20">
        <v>44</v>
      </c>
      <c r="B45" s="20">
        <v>875</v>
      </c>
      <c r="C45" s="21">
        <v>45083</v>
      </c>
      <c r="D45" s="20">
        <v>736.35</v>
      </c>
      <c r="E45" s="22" t="s">
        <v>10</v>
      </c>
      <c r="F45" s="22" t="s">
        <v>18</v>
      </c>
      <c r="G45" s="22" t="s">
        <v>12</v>
      </c>
    </row>
    <row r="46" ht="15.15" spans="1:7">
      <c r="A46" s="20">
        <v>45</v>
      </c>
      <c r="B46" s="20">
        <v>1745</v>
      </c>
      <c r="C46" s="21">
        <v>45085</v>
      </c>
      <c r="D46" s="20">
        <v>1473.22</v>
      </c>
      <c r="E46" s="22" t="s">
        <v>10</v>
      </c>
      <c r="F46" s="22" t="s">
        <v>14</v>
      </c>
      <c r="G46" s="22" t="s">
        <v>15</v>
      </c>
    </row>
    <row r="47" ht="15.15" spans="1:7">
      <c r="A47" s="20">
        <v>46</v>
      </c>
      <c r="B47" s="20">
        <v>8560</v>
      </c>
      <c r="C47" s="21">
        <v>45214</v>
      </c>
      <c r="D47" s="20">
        <v>619.89</v>
      </c>
      <c r="E47" s="22" t="s">
        <v>10</v>
      </c>
      <c r="F47" s="22" t="s">
        <v>18</v>
      </c>
      <c r="G47" s="22" t="s">
        <v>12</v>
      </c>
    </row>
    <row r="48" ht="15.15" spans="1:7">
      <c r="A48" s="20">
        <v>47</v>
      </c>
      <c r="B48" s="20">
        <v>2518</v>
      </c>
      <c r="C48" s="21">
        <v>45271</v>
      </c>
      <c r="D48" s="20">
        <v>755.08</v>
      </c>
      <c r="E48" s="22" t="s">
        <v>10</v>
      </c>
      <c r="F48" s="22" t="s">
        <v>18</v>
      </c>
      <c r="G48" s="22" t="s">
        <v>15</v>
      </c>
    </row>
    <row r="49" ht="15.15" spans="1:7">
      <c r="A49" s="20">
        <v>48</v>
      </c>
      <c r="B49" s="20">
        <v>2329</v>
      </c>
      <c r="C49" s="21">
        <v>45040</v>
      </c>
      <c r="D49" s="20">
        <v>401.69</v>
      </c>
      <c r="E49" s="22" t="s">
        <v>10</v>
      </c>
      <c r="F49" s="22" t="s">
        <v>13</v>
      </c>
      <c r="G49" s="22" t="s">
        <v>15</v>
      </c>
    </row>
    <row r="50" ht="15.15" spans="1:7">
      <c r="A50" s="20">
        <v>49</v>
      </c>
      <c r="B50" s="20">
        <v>9865</v>
      </c>
      <c r="C50" s="21">
        <v>45224</v>
      </c>
      <c r="D50" s="20">
        <v>274.33</v>
      </c>
      <c r="E50" s="22" t="s">
        <v>10</v>
      </c>
      <c r="F50" s="22" t="s">
        <v>13</v>
      </c>
      <c r="G50" s="22" t="s">
        <v>17</v>
      </c>
    </row>
    <row r="51" ht="15.15" spans="1:7">
      <c r="A51" s="20">
        <v>50</v>
      </c>
      <c r="B51" s="20">
        <v>3015</v>
      </c>
      <c r="C51" s="21">
        <v>44953</v>
      </c>
      <c r="D51" s="20">
        <v>273.77</v>
      </c>
      <c r="E51" s="22" t="s">
        <v>10</v>
      </c>
      <c r="F51" s="22" t="s">
        <v>13</v>
      </c>
      <c r="G51" s="22" t="s">
        <v>12</v>
      </c>
    </row>
    <row r="52" ht="15.15" spans="1:7">
      <c r="A52" s="20">
        <v>51</v>
      </c>
      <c r="B52" s="20">
        <v>7498</v>
      </c>
      <c r="C52" s="21">
        <v>45027</v>
      </c>
      <c r="D52" s="20">
        <v>1777.25</v>
      </c>
      <c r="E52" s="22" t="s">
        <v>10</v>
      </c>
      <c r="F52" s="22" t="s">
        <v>13</v>
      </c>
      <c r="G52" s="22" t="s">
        <v>15</v>
      </c>
    </row>
    <row r="53" ht="15.15" spans="1:7">
      <c r="A53" s="20">
        <v>52</v>
      </c>
      <c r="B53" s="20">
        <v>2655</v>
      </c>
      <c r="C53" s="21">
        <v>45259</v>
      </c>
      <c r="D53" s="20">
        <v>187.47</v>
      </c>
      <c r="E53" s="22" t="s">
        <v>10</v>
      </c>
      <c r="F53" s="22" t="s">
        <v>11</v>
      </c>
      <c r="G53" s="22" t="s">
        <v>20</v>
      </c>
    </row>
    <row r="54" ht="15.15" spans="1:7">
      <c r="A54" s="20">
        <v>53</v>
      </c>
      <c r="B54" s="20">
        <v>5825</v>
      </c>
      <c r="C54" s="21">
        <v>45018</v>
      </c>
      <c r="D54" s="20">
        <v>449.81</v>
      </c>
      <c r="E54" s="22" t="s">
        <v>10</v>
      </c>
      <c r="F54" s="22" t="s">
        <v>14</v>
      </c>
      <c r="G54" s="22" t="s">
        <v>12</v>
      </c>
    </row>
    <row r="55" ht="15.15" spans="1:7">
      <c r="A55" s="20">
        <v>54</v>
      </c>
      <c r="B55" s="20">
        <v>9437</v>
      </c>
      <c r="C55" s="21">
        <v>45121</v>
      </c>
      <c r="D55" s="20">
        <v>744.5</v>
      </c>
      <c r="E55" s="22" t="s">
        <v>10</v>
      </c>
      <c r="F55" s="22" t="s">
        <v>18</v>
      </c>
      <c r="G55" s="22" t="s">
        <v>15</v>
      </c>
    </row>
    <row r="56" ht="15.15" spans="1:7">
      <c r="A56" s="20">
        <v>55</v>
      </c>
      <c r="B56" s="20">
        <v>3897</v>
      </c>
      <c r="C56" s="21">
        <v>45126</v>
      </c>
      <c r="D56" s="20">
        <v>397.06</v>
      </c>
      <c r="E56" s="22" t="s">
        <v>22</v>
      </c>
      <c r="F56" s="22" t="s">
        <v>13</v>
      </c>
      <c r="G56" s="22" t="s">
        <v>20</v>
      </c>
    </row>
    <row r="57" ht="15.15" spans="1:7">
      <c r="A57" s="20">
        <v>56</v>
      </c>
      <c r="B57" s="20">
        <v>2795</v>
      </c>
      <c r="C57" s="21">
        <v>45237</v>
      </c>
      <c r="D57" s="20">
        <v>401.39</v>
      </c>
      <c r="E57" s="22" t="s">
        <v>10</v>
      </c>
      <c r="F57" s="22" t="s">
        <v>14</v>
      </c>
      <c r="G57" s="22" t="s">
        <v>17</v>
      </c>
    </row>
    <row r="58" ht="15.15" spans="1:7">
      <c r="A58" s="20">
        <v>57</v>
      </c>
      <c r="B58" s="20">
        <v>3995</v>
      </c>
      <c r="C58" s="21">
        <v>45219</v>
      </c>
      <c r="D58" s="20">
        <v>256.17</v>
      </c>
      <c r="E58" s="22" t="s">
        <v>10</v>
      </c>
      <c r="F58" s="22" t="s">
        <v>18</v>
      </c>
      <c r="G58" s="22" t="s">
        <v>20</v>
      </c>
    </row>
    <row r="59" ht="15.15" spans="1:7">
      <c r="A59" s="20">
        <v>58</v>
      </c>
      <c r="B59" s="20">
        <v>431</v>
      </c>
      <c r="C59" s="21">
        <v>44991</v>
      </c>
      <c r="D59" s="20">
        <v>30.63</v>
      </c>
      <c r="E59" s="22" t="s">
        <v>10</v>
      </c>
      <c r="F59" s="22" t="s">
        <v>16</v>
      </c>
      <c r="G59" s="22" t="s">
        <v>17</v>
      </c>
    </row>
    <row r="60" ht="15.15" spans="1:7">
      <c r="A60" s="20">
        <v>59</v>
      </c>
      <c r="B60" s="20">
        <v>3211</v>
      </c>
      <c r="C60" s="21">
        <v>45094</v>
      </c>
      <c r="D60" s="20">
        <v>1460.67</v>
      </c>
      <c r="E60" s="22" t="s">
        <v>10</v>
      </c>
      <c r="F60" s="22" t="s">
        <v>16</v>
      </c>
      <c r="G60" s="22" t="s">
        <v>12</v>
      </c>
    </row>
    <row r="61" ht="15.15" spans="1:7">
      <c r="A61" s="20">
        <v>60</v>
      </c>
      <c r="B61" s="20">
        <v>3960</v>
      </c>
      <c r="C61" s="21">
        <v>45209</v>
      </c>
      <c r="D61" s="20">
        <v>776.15</v>
      </c>
      <c r="E61" s="22" t="s">
        <v>10</v>
      </c>
      <c r="F61" s="22" t="s">
        <v>11</v>
      </c>
      <c r="G61" s="22" t="s">
        <v>17</v>
      </c>
    </row>
    <row r="62" ht="15.15" spans="1:7">
      <c r="A62" s="20">
        <v>61</v>
      </c>
      <c r="B62" s="20">
        <v>1881</v>
      </c>
      <c r="C62" s="21">
        <v>45106</v>
      </c>
      <c r="D62" s="20">
        <v>3000.24</v>
      </c>
      <c r="E62" s="22" t="s">
        <v>10</v>
      </c>
      <c r="F62" s="22" t="s">
        <v>13</v>
      </c>
      <c r="G62" s="22" t="s">
        <v>20</v>
      </c>
    </row>
    <row r="63" ht="15.15" spans="1:7">
      <c r="A63" s="20">
        <v>62</v>
      </c>
      <c r="B63" s="20">
        <v>5022</v>
      </c>
      <c r="C63" s="21">
        <v>44948</v>
      </c>
      <c r="D63" s="20">
        <v>94.39</v>
      </c>
      <c r="E63" s="22" t="s">
        <v>10</v>
      </c>
      <c r="F63" s="22" t="s">
        <v>11</v>
      </c>
      <c r="G63" s="22" t="s">
        <v>12</v>
      </c>
    </row>
    <row r="64" ht="15.15" spans="1:7">
      <c r="A64" s="20">
        <v>63</v>
      </c>
      <c r="B64" s="20">
        <v>2661</v>
      </c>
      <c r="C64" s="21">
        <v>45162</v>
      </c>
      <c r="D64" s="20">
        <v>766.48</v>
      </c>
      <c r="E64" s="22" t="s">
        <v>10</v>
      </c>
      <c r="F64" s="22" t="s">
        <v>16</v>
      </c>
      <c r="G64" s="22" t="s">
        <v>20</v>
      </c>
    </row>
    <row r="65" ht="15.15" spans="1:7">
      <c r="A65" s="20">
        <v>64</v>
      </c>
      <c r="B65" s="20">
        <v>2219</v>
      </c>
      <c r="C65" s="21">
        <v>45168</v>
      </c>
      <c r="D65" s="20">
        <v>1078.2</v>
      </c>
      <c r="E65" s="22" t="s">
        <v>22</v>
      </c>
      <c r="F65" s="22" t="s">
        <v>18</v>
      </c>
      <c r="G65" s="22" t="s">
        <v>20</v>
      </c>
    </row>
    <row r="66" ht="15.15" spans="1:7">
      <c r="A66" s="20">
        <v>65</v>
      </c>
      <c r="B66" s="20">
        <v>5094</v>
      </c>
      <c r="C66" s="21">
        <v>45199</v>
      </c>
      <c r="D66" s="20">
        <v>252.07</v>
      </c>
      <c r="E66" s="22" t="s">
        <v>10</v>
      </c>
      <c r="F66" s="22" t="s">
        <v>11</v>
      </c>
      <c r="G66" s="22" t="s">
        <v>12</v>
      </c>
    </row>
    <row r="67" ht="15.15" spans="1:7">
      <c r="A67" s="20">
        <v>66</v>
      </c>
      <c r="B67" s="20">
        <v>2821</v>
      </c>
      <c r="C67" s="21">
        <v>45243</v>
      </c>
      <c r="D67" s="20">
        <v>273.77</v>
      </c>
      <c r="E67" s="22" t="s">
        <v>10</v>
      </c>
      <c r="F67" s="22" t="s">
        <v>13</v>
      </c>
      <c r="G67" s="22" t="s">
        <v>20</v>
      </c>
    </row>
    <row r="68" ht="15.15" spans="1:7">
      <c r="A68" s="20">
        <v>67</v>
      </c>
      <c r="B68" s="20">
        <v>2144</v>
      </c>
      <c r="C68" s="21">
        <v>45082</v>
      </c>
      <c r="D68" s="20">
        <v>1210.41</v>
      </c>
      <c r="E68" s="22" t="s">
        <v>22</v>
      </c>
      <c r="F68" s="22" t="s">
        <v>16</v>
      </c>
      <c r="G68" s="22" t="s">
        <v>15</v>
      </c>
    </row>
    <row r="69" ht="15.15" spans="1:7">
      <c r="A69" s="20">
        <v>68</v>
      </c>
      <c r="B69" s="20">
        <v>6529</v>
      </c>
      <c r="C69" s="21">
        <v>45272</v>
      </c>
      <c r="D69" s="20">
        <v>796.95</v>
      </c>
      <c r="E69" s="22" t="s">
        <v>10</v>
      </c>
      <c r="F69" s="22" t="s">
        <v>13</v>
      </c>
      <c r="G69" s="22" t="s">
        <v>17</v>
      </c>
    </row>
    <row r="70" ht="15.15" spans="1:7">
      <c r="A70" s="20">
        <v>69</v>
      </c>
      <c r="B70" s="20">
        <v>9673</v>
      </c>
      <c r="C70" s="21">
        <v>45273</v>
      </c>
      <c r="D70" s="20">
        <v>471.55</v>
      </c>
      <c r="E70" s="22" t="s">
        <v>10</v>
      </c>
      <c r="F70" s="22" t="s">
        <v>14</v>
      </c>
      <c r="G70" s="22" t="s">
        <v>15</v>
      </c>
    </row>
    <row r="71" ht="15.15" spans="1:7">
      <c r="A71" s="20">
        <v>70</v>
      </c>
      <c r="B71" s="20">
        <v>835</v>
      </c>
      <c r="C71" s="21">
        <v>45262</v>
      </c>
      <c r="D71" s="20">
        <v>543.33</v>
      </c>
      <c r="E71" s="22" t="s">
        <v>10</v>
      </c>
      <c r="F71" s="22" t="s">
        <v>13</v>
      </c>
      <c r="G71" s="22" t="s">
        <v>20</v>
      </c>
    </row>
    <row r="72" ht="15.15" spans="1:7">
      <c r="A72" s="20">
        <v>71</v>
      </c>
      <c r="B72" s="20">
        <v>7710</v>
      </c>
      <c r="C72" s="21">
        <v>45149</v>
      </c>
      <c r="D72" s="20">
        <v>8984.9</v>
      </c>
      <c r="E72" s="22" t="s">
        <v>10</v>
      </c>
      <c r="F72" s="22" t="s">
        <v>16</v>
      </c>
      <c r="G72" s="22" t="s">
        <v>17</v>
      </c>
    </row>
    <row r="73" ht="15.15" spans="1:7">
      <c r="A73" s="20">
        <v>72</v>
      </c>
      <c r="B73" s="20">
        <v>6920</v>
      </c>
      <c r="C73" s="21">
        <v>44958</v>
      </c>
      <c r="D73" s="20">
        <v>1619.76</v>
      </c>
      <c r="E73" s="22" t="s">
        <v>10</v>
      </c>
      <c r="F73" s="22" t="s">
        <v>13</v>
      </c>
      <c r="G73" s="22" t="s">
        <v>12</v>
      </c>
    </row>
    <row r="74" ht="15.15" spans="1:7">
      <c r="A74" s="20">
        <v>73</v>
      </c>
      <c r="B74" s="20">
        <v>5920</v>
      </c>
      <c r="C74" s="21">
        <v>45228</v>
      </c>
      <c r="D74" s="20">
        <v>732.93</v>
      </c>
      <c r="E74" s="22" t="s">
        <v>10</v>
      </c>
      <c r="F74" s="22" t="s">
        <v>14</v>
      </c>
      <c r="G74" s="22" t="s">
        <v>17</v>
      </c>
    </row>
    <row r="75" ht="15.15" spans="1:7">
      <c r="A75" s="20">
        <v>74</v>
      </c>
      <c r="B75" s="20">
        <v>5998</v>
      </c>
      <c r="C75" s="21">
        <v>45272</v>
      </c>
      <c r="D75" s="20">
        <v>1859.56</v>
      </c>
      <c r="E75" s="22" t="s">
        <v>10</v>
      </c>
      <c r="F75" s="22" t="s">
        <v>13</v>
      </c>
      <c r="G75" s="22" t="s">
        <v>20</v>
      </c>
    </row>
    <row r="76" ht="15.15" spans="1:7">
      <c r="A76" s="20">
        <v>75</v>
      </c>
      <c r="B76" s="20">
        <v>574</v>
      </c>
      <c r="C76" s="21">
        <v>45075</v>
      </c>
      <c r="D76" s="20">
        <v>2150.85</v>
      </c>
      <c r="E76" s="22" t="s">
        <v>10</v>
      </c>
      <c r="F76" s="22" t="s">
        <v>16</v>
      </c>
      <c r="G76" s="22" t="s">
        <v>20</v>
      </c>
    </row>
    <row r="77" ht="15.15" spans="1:7">
      <c r="A77" s="20">
        <v>76</v>
      </c>
      <c r="B77" s="20">
        <v>7701</v>
      </c>
      <c r="C77" s="21">
        <v>45218</v>
      </c>
      <c r="D77" s="20">
        <v>946.27</v>
      </c>
      <c r="E77" s="22" t="s">
        <v>10</v>
      </c>
      <c r="F77" s="22" t="s">
        <v>18</v>
      </c>
      <c r="G77" s="22" t="s">
        <v>17</v>
      </c>
    </row>
    <row r="78" ht="15.15" spans="1:7">
      <c r="A78" s="20">
        <v>77</v>
      </c>
      <c r="B78" s="20">
        <v>13</v>
      </c>
      <c r="C78" s="21">
        <v>45202</v>
      </c>
      <c r="D78" s="20">
        <v>2429.42</v>
      </c>
      <c r="E78" s="22" t="s">
        <v>10</v>
      </c>
      <c r="F78" s="22" t="s">
        <v>11</v>
      </c>
      <c r="G78" s="22" t="s">
        <v>12</v>
      </c>
    </row>
    <row r="79" ht="15.15" spans="1:7">
      <c r="A79" s="20">
        <v>78</v>
      </c>
      <c r="B79" s="20">
        <v>9973</v>
      </c>
      <c r="C79" s="21">
        <v>44928</v>
      </c>
      <c r="D79" s="20">
        <v>2922.45</v>
      </c>
      <c r="E79" s="22" t="s">
        <v>10</v>
      </c>
      <c r="F79" s="22" t="s">
        <v>11</v>
      </c>
      <c r="G79" s="22" t="s">
        <v>20</v>
      </c>
    </row>
    <row r="80" ht="15.15" spans="1:7">
      <c r="A80" s="20">
        <v>79</v>
      </c>
      <c r="B80" s="20">
        <v>6297</v>
      </c>
      <c r="C80" s="21">
        <v>45050</v>
      </c>
      <c r="D80" s="20">
        <v>941.99</v>
      </c>
      <c r="E80" s="22" t="s">
        <v>10</v>
      </c>
      <c r="F80" s="22" t="s">
        <v>11</v>
      </c>
      <c r="G80" s="22" t="s">
        <v>17</v>
      </c>
    </row>
    <row r="81" ht="15.15" spans="1:7">
      <c r="A81" s="20">
        <v>80</v>
      </c>
      <c r="B81" s="20">
        <v>7652</v>
      </c>
      <c r="C81" s="21">
        <v>45108</v>
      </c>
      <c r="D81" s="20">
        <v>430.71</v>
      </c>
      <c r="E81" s="22" t="s">
        <v>10</v>
      </c>
      <c r="F81" s="22" t="s">
        <v>11</v>
      </c>
      <c r="G81" s="22" t="s">
        <v>12</v>
      </c>
    </row>
    <row r="82" ht="15.15" spans="1:7">
      <c r="A82" s="20">
        <v>81</v>
      </c>
      <c r="B82" s="20">
        <v>2163</v>
      </c>
      <c r="C82" s="21">
        <v>44969</v>
      </c>
      <c r="D82" s="20">
        <v>428.64</v>
      </c>
      <c r="E82" s="22" t="s">
        <v>10</v>
      </c>
      <c r="F82" s="22" t="s">
        <v>11</v>
      </c>
      <c r="G82" s="22" t="s">
        <v>17</v>
      </c>
    </row>
    <row r="83" ht="15.15" spans="1:7">
      <c r="A83" s="20">
        <v>82</v>
      </c>
      <c r="B83" s="20">
        <v>2269</v>
      </c>
      <c r="C83" s="21">
        <v>44965</v>
      </c>
      <c r="D83" s="20">
        <v>447.91</v>
      </c>
      <c r="E83" s="22" t="s">
        <v>10</v>
      </c>
      <c r="F83" s="22" t="s">
        <v>16</v>
      </c>
      <c r="G83" s="22" t="s">
        <v>12</v>
      </c>
    </row>
    <row r="84" ht="15.15" spans="1:7">
      <c r="A84" s="20">
        <v>83</v>
      </c>
      <c r="B84" s="20">
        <v>17</v>
      </c>
      <c r="C84" s="21">
        <v>45212</v>
      </c>
      <c r="D84" s="20">
        <v>1354.25</v>
      </c>
      <c r="E84" s="22" t="s">
        <v>10</v>
      </c>
      <c r="F84" s="22" t="s">
        <v>16</v>
      </c>
      <c r="G84" s="22" t="s">
        <v>12</v>
      </c>
    </row>
    <row r="85" ht="15.15" spans="1:7">
      <c r="A85" s="20">
        <v>84</v>
      </c>
      <c r="B85" s="20">
        <v>4775</v>
      </c>
      <c r="C85" s="21">
        <v>45040</v>
      </c>
      <c r="D85" s="20">
        <v>778.42</v>
      </c>
      <c r="E85" s="22" t="s">
        <v>10</v>
      </c>
      <c r="F85" s="22" t="s">
        <v>18</v>
      </c>
      <c r="G85" s="22" t="s">
        <v>20</v>
      </c>
    </row>
    <row r="86" ht="15.15" spans="1:7">
      <c r="A86" s="20">
        <v>85</v>
      </c>
      <c r="B86" s="20">
        <v>3868</v>
      </c>
      <c r="C86" s="21">
        <v>45018</v>
      </c>
      <c r="D86" s="20">
        <v>2635.23</v>
      </c>
      <c r="E86" s="22" t="s">
        <v>10</v>
      </c>
      <c r="F86" s="22" t="s">
        <v>13</v>
      </c>
      <c r="G86" s="22" t="s">
        <v>15</v>
      </c>
    </row>
    <row r="87" ht="15.15" spans="1:7">
      <c r="A87" s="20">
        <v>86</v>
      </c>
      <c r="B87" s="20">
        <v>3415</v>
      </c>
      <c r="C87" s="21">
        <v>44945</v>
      </c>
      <c r="D87" s="20">
        <v>1681.99</v>
      </c>
      <c r="E87" s="22" t="s">
        <v>10</v>
      </c>
      <c r="F87" s="22" t="s">
        <v>13</v>
      </c>
      <c r="G87" s="22" t="s">
        <v>20</v>
      </c>
    </row>
    <row r="88" ht="15.15" spans="1:7">
      <c r="A88" s="20">
        <v>87</v>
      </c>
      <c r="B88" s="20">
        <v>9028</v>
      </c>
      <c r="C88" s="21">
        <v>45088</v>
      </c>
      <c r="D88" s="20">
        <v>352.84</v>
      </c>
      <c r="E88" s="22" t="s">
        <v>10</v>
      </c>
      <c r="F88" s="22" t="s">
        <v>13</v>
      </c>
      <c r="G88" s="22" t="s">
        <v>17</v>
      </c>
    </row>
    <row r="89" ht="15.15" spans="1:7">
      <c r="A89" s="20">
        <v>88</v>
      </c>
      <c r="B89" s="20">
        <v>7200</v>
      </c>
      <c r="C89" s="21">
        <v>45091</v>
      </c>
      <c r="D89" s="20">
        <v>1676.72</v>
      </c>
      <c r="E89" s="22" t="s">
        <v>10</v>
      </c>
      <c r="F89" s="22" t="s">
        <v>18</v>
      </c>
      <c r="G89" s="22" t="s">
        <v>17</v>
      </c>
    </row>
    <row r="90" ht="15.15" spans="1:7">
      <c r="A90" s="20">
        <v>89</v>
      </c>
      <c r="B90" s="20">
        <v>9679</v>
      </c>
      <c r="C90" s="21">
        <v>45055</v>
      </c>
      <c r="D90" s="20">
        <v>1129.1</v>
      </c>
      <c r="E90" s="22" t="s">
        <v>10</v>
      </c>
      <c r="F90" s="22" t="s">
        <v>16</v>
      </c>
      <c r="G90" s="22" t="s">
        <v>12</v>
      </c>
    </row>
    <row r="91" ht="15.15" spans="1:7">
      <c r="A91" s="20">
        <v>90</v>
      </c>
      <c r="B91" s="20">
        <v>9529</v>
      </c>
      <c r="C91" s="21">
        <v>45142</v>
      </c>
      <c r="D91" s="20">
        <v>3515.5</v>
      </c>
      <c r="E91" s="22" t="s">
        <v>22</v>
      </c>
      <c r="F91" s="22" t="s">
        <v>18</v>
      </c>
      <c r="G91" s="22" t="s">
        <v>17</v>
      </c>
    </row>
    <row r="92" ht="15.15" spans="1:7">
      <c r="A92" s="20">
        <v>91</v>
      </c>
      <c r="B92" s="20">
        <v>5292</v>
      </c>
      <c r="C92" s="21">
        <v>44966</v>
      </c>
      <c r="D92" s="20">
        <v>539.56</v>
      </c>
      <c r="E92" s="22" t="s">
        <v>10</v>
      </c>
      <c r="F92" s="22" t="s">
        <v>14</v>
      </c>
      <c r="G92" s="22" t="s">
        <v>20</v>
      </c>
    </row>
    <row r="93" ht="15.15" spans="1:7">
      <c r="A93" s="20">
        <v>92</v>
      </c>
      <c r="B93" s="20">
        <v>1929</v>
      </c>
      <c r="C93" s="21">
        <v>45031</v>
      </c>
      <c r="D93" s="20">
        <v>479.76</v>
      </c>
      <c r="E93" s="22" t="s">
        <v>10</v>
      </c>
      <c r="F93" s="22" t="s">
        <v>14</v>
      </c>
      <c r="G93" s="22" t="s">
        <v>17</v>
      </c>
    </row>
    <row r="94" ht="15.15" spans="1:7">
      <c r="A94" s="20">
        <v>93</v>
      </c>
      <c r="B94" s="20">
        <v>4392</v>
      </c>
      <c r="C94" s="21">
        <v>45272</v>
      </c>
      <c r="D94" s="20">
        <v>2742.27</v>
      </c>
      <c r="E94" s="22" t="s">
        <v>10</v>
      </c>
      <c r="F94" s="22" t="s">
        <v>13</v>
      </c>
      <c r="G94" s="22" t="s">
        <v>15</v>
      </c>
    </row>
    <row r="95" ht="15.15" spans="1:7">
      <c r="A95" s="20">
        <v>94</v>
      </c>
      <c r="B95" s="20">
        <v>5447</v>
      </c>
      <c r="C95" s="21">
        <v>45228</v>
      </c>
      <c r="D95" s="20">
        <v>193.8</v>
      </c>
      <c r="E95" s="22" t="s">
        <v>10</v>
      </c>
      <c r="F95" s="22" t="s">
        <v>13</v>
      </c>
      <c r="G95" s="22" t="s">
        <v>20</v>
      </c>
    </row>
    <row r="96" ht="15.15" spans="1:7">
      <c r="A96" s="20">
        <v>95</v>
      </c>
      <c r="B96" s="20">
        <v>5612</v>
      </c>
      <c r="C96" s="21">
        <v>45290</v>
      </c>
      <c r="D96" s="20">
        <v>1080.92</v>
      </c>
      <c r="E96" s="22" t="s">
        <v>10</v>
      </c>
      <c r="F96" s="22" t="s">
        <v>14</v>
      </c>
      <c r="G96" s="22" t="s">
        <v>17</v>
      </c>
    </row>
    <row r="97" ht="15.15" spans="1:7">
      <c r="A97" s="20">
        <v>96</v>
      </c>
      <c r="B97" s="20">
        <v>3661</v>
      </c>
      <c r="C97" s="21">
        <v>44958</v>
      </c>
      <c r="D97" s="20">
        <v>579.6</v>
      </c>
      <c r="E97" s="22" t="s">
        <v>10</v>
      </c>
      <c r="F97" s="22" t="s">
        <v>18</v>
      </c>
      <c r="G97" s="22" t="s">
        <v>20</v>
      </c>
    </row>
    <row r="98" ht="15.15" spans="1:7">
      <c r="A98" s="20">
        <v>97</v>
      </c>
      <c r="B98" s="20">
        <v>252</v>
      </c>
      <c r="C98" s="21">
        <v>44956</v>
      </c>
      <c r="D98" s="20">
        <v>1060.75</v>
      </c>
      <c r="E98" s="22" t="s">
        <v>10</v>
      </c>
      <c r="F98" s="22" t="s">
        <v>11</v>
      </c>
      <c r="G98" s="22" t="s">
        <v>17</v>
      </c>
    </row>
    <row r="99" ht="15.15" spans="1:7">
      <c r="A99" s="20">
        <v>98</v>
      </c>
      <c r="B99" s="20">
        <v>7714</v>
      </c>
      <c r="C99" s="21">
        <v>45245</v>
      </c>
      <c r="D99" s="20">
        <v>1587.17</v>
      </c>
      <c r="E99" s="22" t="s">
        <v>10</v>
      </c>
      <c r="F99" s="22" t="s">
        <v>18</v>
      </c>
      <c r="G99" s="22" t="s">
        <v>20</v>
      </c>
    </row>
    <row r="100" ht="15.15" spans="1:7">
      <c r="A100" s="20">
        <v>99</v>
      </c>
      <c r="B100" s="20">
        <v>6060</v>
      </c>
      <c r="C100" s="21">
        <v>45243</v>
      </c>
      <c r="D100" s="20">
        <v>1729.86</v>
      </c>
      <c r="E100" s="22" t="s">
        <v>10</v>
      </c>
      <c r="F100" s="22" t="s">
        <v>14</v>
      </c>
      <c r="G100" s="22" t="s">
        <v>15</v>
      </c>
    </row>
    <row r="101" ht="15.15" spans="1:7">
      <c r="A101" s="20">
        <v>100</v>
      </c>
      <c r="B101" s="20">
        <v>1637</v>
      </c>
      <c r="C101" s="21">
        <v>45205</v>
      </c>
      <c r="D101" s="20">
        <v>154.28</v>
      </c>
      <c r="E101" s="22" t="s">
        <v>10</v>
      </c>
      <c r="F101" s="22" t="s">
        <v>16</v>
      </c>
      <c r="G101" s="22" t="s">
        <v>12</v>
      </c>
    </row>
    <row r="102" ht="15.15" spans="1:7">
      <c r="A102" s="20">
        <v>101</v>
      </c>
      <c r="B102" s="20">
        <v>3128</v>
      </c>
      <c r="C102" s="21">
        <v>45268</v>
      </c>
      <c r="D102" s="20">
        <v>2791.45</v>
      </c>
      <c r="E102" s="22" t="s">
        <v>10</v>
      </c>
      <c r="F102" s="22" t="s">
        <v>14</v>
      </c>
      <c r="G102" s="22" t="s">
        <v>15</v>
      </c>
    </row>
    <row r="103" ht="15.15" spans="1:7">
      <c r="A103" s="20">
        <v>102</v>
      </c>
      <c r="B103" s="20">
        <v>3899</v>
      </c>
      <c r="C103" s="21">
        <v>45208</v>
      </c>
      <c r="D103" s="20">
        <v>1830.15</v>
      </c>
      <c r="E103" s="22" t="s">
        <v>10</v>
      </c>
      <c r="F103" s="22" t="s">
        <v>16</v>
      </c>
      <c r="G103" s="22" t="s">
        <v>15</v>
      </c>
    </row>
    <row r="104" ht="15.15" spans="1:7">
      <c r="A104" s="20">
        <v>103</v>
      </c>
      <c r="B104" s="20">
        <v>9817</v>
      </c>
      <c r="C104" s="21">
        <v>45169</v>
      </c>
      <c r="D104" s="20">
        <v>367.55</v>
      </c>
      <c r="E104" s="22" t="s">
        <v>10</v>
      </c>
      <c r="F104" s="22" t="s">
        <v>11</v>
      </c>
      <c r="G104" s="22" t="s">
        <v>15</v>
      </c>
    </row>
    <row r="105" ht="15.15" spans="1:7">
      <c r="A105" s="20">
        <v>104</v>
      </c>
      <c r="B105" s="20">
        <v>2478</v>
      </c>
      <c r="C105" s="21">
        <v>45265</v>
      </c>
      <c r="D105" s="20">
        <v>1020.41</v>
      </c>
      <c r="E105" s="22" t="s">
        <v>10</v>
      </c>
      <c r="F105" s="22" t="s">
        <v>13</v>
      </c>
      <c r="G105" s="22" t="s">
        <v>17</v>
      </c>
    </row>
    <row r="106" ht="15.15" spans="1:7">
      <c r="A106" s="20">
        <v>105</v>
      </c>
      <c r="B106" s="20">
        <v>8493</v>
      </c>
      <c r="C106" s="21">
        <v>45246</v>
      </c>
      <c r="D106" s="20">
        <v>742.35</v>
      </c>
      <c r="E106" s="22" t="s">
        <v>10</v>
      </c>
      <c r="F106" s="22" t="s">
        <v>13</v>
      </c>
      <c r="G106" s="22" t="s">
        <v>20</v>
      </c>
    </row>
    <row r="107" ht="15.15" spans="1:7">
      <c r="A107" s="20">
        <v>106</v>
      </c>
      <c r="B107" s="20">
        <v>6690</v>
      </c>
      <c r="C107" s="21">
        <v>45291</v>
      </c>
      <c r="D107" s="20">
        <v>193.6</v>
      </c>
      <c r="E107" s="22" t="s">
        <v>10</v>
      </c>
      <c r="F107" s="22" t="s">
        <v>18</v>
      </c>
      <c r="G107" s="22" t="s">
        <v>17</v>
      </c>
    </row>
    <row r="108" ht="15.15" spans="1:7">
      <c r="A108" s="20">
        <v>107</v>
      </c>
      <c r="B108" s="20">
        <v>8857</v>
      </c>
      <c r="C108" s="21">
        <v>45254</v>
      </c>
      <c r="D108" s="20">
        <v>164.76</v>
      </c>
      <c r="E108" s="22" t="s">
        <v>10</v>
      </c>
      <c r="F108" s="22" t="s">
        <v>11</v>
      </c>
      <c r="G108" s="22" t="s">
        <v>17</v>
      </c>
    </row>
    <row r="109" ht="15.15" spans="1:7">
      <c r="A109" s="20">
        <v>108</v>
      </c>
      <c r="B109" s="20">
        <v>9904</v>
      </c>
      <c r="C109" s="21">
        <v>45282</v>
      </c>
      <c r="D109" s="20">
        <v>1816.72</v>
      </c>
      <c r="E109" s="22" t="s">
        <v>10</v>
      </c>
      <c r="F109" s="22" t="s">
        <v>18</v>
      </c>
      <c r="G109" s="22" t="s">
        <v>17</v>
      </c>
    </row>
    <row r="110" ht="15.15" spans="1:7">
      <c r="A110" s="20">
        <v>109</v>
      </c>
      <c r="B110" s="20">
        <v>7569</v>
      </c>
      <c r="C110" s="21">
        <v>45254</v>
      </c>
      <c r="D110" s="20">
        <v>250.59</v>
      </c>
      <c r="E110" s="22" t="s">
        <v>10</v>
      </c>
      <c r="F110" s="22" t="s">
        <v>11</v>
      </c>
      <c r="G110" s="22" t="s">
        <v>17</v>
      </c>
    </row>
    <row r="111" ht="15.15" spans="1:7">
      <c r="A111" s="20">
        <v>110</v>
      </c>
      <c r="B111" s="20">
        <v>4358</v>
      </c>
      <c r="C111" s="21">
        <v>45159</v>
      </c>
      <c r="D111" s="20">
        <v>2003.91</v>
      </c>
      <c r="E111" s="22" t="s">
        <v>10</v>
      </c>
      <c r="F111" s="22" t="s">
        <v>16</v>
      </c>
      <c r="G111" s="22" t="s">
        <v>15</v>
      </c>
    </row>
    <row r="112" ht="15.15" spans="1:7">
      <c r="A112" s="20">
        <v>111</v>
      </c>
      <c r="B112" s="20">
        <v>3325</v>
      </c>
      <c r="C112" s="21">
        <v>45027</v>
      </c>
      <c r="D112" s="20">
        <v>1238.19</v>
      </c>
      <c r="E112" s="22" t="s">
        <v>10</v>
      </c>
      <c r="F112" s="22" t="s">
        <v>13</v>
      </c>
      <c r="G112" s="22" t="s">
        <v>17</v>
      </c>
    </row>
    <row r="113" ht="15.15" spans="1:7">
      <c r="A113" s="20">
        <v>112</v>
      </c>
      <c r="B113" s="20">
        <v>3648</v>
      </c>
      <c r="C113" s="21">
        <v>45277</v>
      </c>
      <c r="D113" s="20">
        <v>805.26</v>
      </c>
      <c r="E113" s="22" t="s">
        <v>10</v>
      </c>
      <c r="F113" s="22" t="s">
        <v>14</v>
      </c>
      <c r="G113" s="22" t="s">
        <v>17</v>
      </c>
    </row>
    <row r="114" ht="15.15" spans="1:7">
      <c r="A114" s="20">
        <v>113</v>
      </c>
      <c r="B114" s="20">
        <v>5220</v>
      </c>
      <c r="C114" s="21">
        <v>45029</v>
      </c>
      <c r="D114" s="20">
        <v>270.86</v>
      </c>
      <c r="E114" s="22" t="s">
        <v>10</v>
      </c>
      <c r="F114" s="22" t="s">
        <v>16</v>
      </c>
      <c r="G114" s="22" t="s">
        <v>15</v>
      </c>
    </row>
    <row r="115" ht="15.15" spans="1:7">
      <c r="A115" s="20">
        <v>114</v>
      </c>
      <c r="B115" s="20">
        <v>1765</v>
      </c>
      <c r="C115" s="21">
        <v>45154</v>
      </c>
      <c r="D115" s="20">
        <v>593.62</v>
      </c>
      <c r="E115" s="22" t="s">
        <v>10</v>
      </c>
      <c r="F115" s="22" t="s">
        <v>18</v>
      </c>
      <c r="G115" s="22" t="s">
        <v>15</v>
      </c>
    </row>
    <row r="116" ht="15.15" spans="1:7">
      <c r="A116" s="20">
        <v>115</v>
      </c>
      <c r="B116" s="20">
        <v>6907</v>
      </c>
      <c r="C116" s="21">
        <v>45231</v>
      </c>
      <c r="D116" s="20">
        <v>2876.18</v>
      </c>
      <c r="E116" s="22" t="s">
        <v>10</v>
      </c>
      <c r="F116" s="22" t="s">
        <v>14</v>
      </c>
      <c r="G116" s="22" t="s">
        <v>20</v>
      </c>
    </row>
    <row r="117" ht="15.15" spans="1:7">
      <c r="A117" s="20">
        <v>116</v>
      </c>
      <c r="B117" s="20">
        <v>2252</v>
      </c>
      <c r="C117" s="21">
        <v>45287</v>
      </c>
      <c r="D117" s="20">
        <v>3170.97</v>
      </c>
      <c r="E117" s="22" t="s">
        <v>10</v>
      </c>
      <c r="F117" s="22" t="s">
        <v>11</v>
      </c>
      <c r="G117" s="22" t="s">
        <v>20</v>
      </c>
    </row>
    <row r="118" ht="15.15" spans="1:7">
      <c r="A118" s="20">
        <v>117</v>
      </c>
      <c r="B118" s="20">
        <v>4293</v>
      </c>
      <c r="C118" s="21">
        <v>45118</v>
      </c>
      <c r="D118" s="20">
        <v>684.6</v>
      </c>
      <c r="E118" s="22" t="s">
        <v>10</v>
      </c>
      <c r="F118" s="22" t="s">
        <v>18</v>
      </c>
      <c r="G118" s="22" t="s">
        <v>12</v>
      </c>
    </row>
    <row r="119" ht="15.15" spans="1:7">
      <c r="A119" s="20">
        <v>118</v>
      </c>
      <c r="B119" s="20">
        <v>4625</v>
      </c>
      <c r="C119" s="21">
        <v>45057</v>
      </c>
      <c r="D119" s="20">
        <v>352.84</v>
      </c>
      <c r="E119" s="22" t="s">
        <v>10</v>
      </c>
      <c r="F119" s="22" t="s">
        <v>14</v>
      </c>
      <c r="G119" s="22" t="s">
        <v>20</v>
      </c>
    </row>
    <row r="120" ht="15.15" spans="1:7">
      <c r="A120" s="20">
        <v>119</v>
      </c>
      <c r="B120" s="20">
        <v>6665</v>
      </c>
      <c r="C120" s="21">
        <v>45141</v>
      </c>
      <c r="D120" s="20">
        <v>2465.02</v>
      </c>
      <c r="E120" s="22" t="s">
        <v>10</v>
      </c>
      <c r="F120" s="22" t="s">
        <v>16</v>
      </c>
      <c r="G120" s="22" t="s">
        <v>20</v>
      </c>
    </row>
    <row r="121" ht="15.15" spans="1:7">
      <c r="A121" s="20">
        <v>120</v>
      </c>
      <c r="B121" s="20">
        <v>9753</v>
      </c>
      <c r="C121" s="21">
        <v>45243</v>
      </c>
      <c r="D121" s="20">
        <v>475.16</v>
      </c>
      <c r="E121" s="22" t="s">
        <v>10</v>
      </c>
      <c r="F121" s="22" t="s">
        <v>13</v>
      </c>
      <c r="G121" s="22" t="s">
        <v>15</v>
      </c>
    </row>
    <row r="122" ht="15.15" spans="1:7">
      <c r="A122" s="20">
        <v>121</v>
      </c>
      <c r="B122" s="20">
        <v>1158</v>
      </c>
      <c r="C122" s="21">
        <v>45290</v>
      </c>
      <c r="D122" s="20">
        <v>2574.63</v>
      </c>
      <c r="E122" s="22" t="s">
        <v>10</v>
      </c>
      <c r="F122" s="22" t="s">
        <v>14</v>
      </c>
      <c r="G122" s="22" t="s">
        <v>20</v>
      </c>
    </row>
    <row r="123" ht="15.15" spans="1:7">
      <c r="A123" s="20">
        <v>122</v>
      </c>
      <c r="B123" s="20">
        <v>3040</v>
      </c>
      <c r="C123" s="21">
        <v>45084</v>
      </c>
      <c r="D123" s="20">
        <v>898.73</v>
      </c>
      <c r="E123" s="22" t="s">
        <v>10</v>
      </c>
      <c r="F123" s="22" t="s">
        <v>13</v>
      </c>
      <c r="G123" s="22" t="s">
        <v>20</v>
      </c>
    </row>
    <row r="124" ht="15.15" spans="1:7">
      <c r="A124" s="20">
        <v>123</v>
      </c>
      <c r="B124" s="20">
        <v>6832</v>
      </c>
      <c r="C124" s="21">
        <v>45234</v>
      </c>
      <c r="D124" s="20">
        <v>1860.2</v>
      </c>
      <c r="E124" s="22" t="s">
        <v>10</v>
      </c>
      <c r="F124" s="22" t="s">
        <v>18</v>
      </c>
      <c r="G124" s="22" t="s">
        <v>20</v>
      </c>
    </row>
    <row r="125" ht="15.15" spans="1:7">
      <c r="A125" s="20">
        <v>124</v>
      </c>
      <c r="B125" s="20">
        <v>7927</v>
      </c>
      <c r="C125" s="21">
        <v>45088</v>
      </c>
      <c r="D125" s="20">
        <v>813.52</v>
      </c>
      <c r="E125" s="22" t="s">
        <v>10</v>
      </c>
      <c r="F125" s="22" t="s">
        <v>11</v>
      </c>
      <c r="G125" s="22" t="s">
        <v>12</v>
      </c>
    </row>
    <row r="126" ht="15.15" spans="1:7">
      <c r="A126" s="20">
        <v>125</v>
      </c>
      <c r="B126" s="20">
        <v>1940</v>
      </c>
      <c r="C126" s="21">
        <v>45240</v>
      </c>
      <c r="D126" s="20">
        <v>152.53</v>
      </c>
      <c r="E126" s="22" t="s">
        <v>10</v>
      </c>
      <c r="F126" s="22" t="s">
        <v>18</v>
      </c>
      <c r="G126" s="22" t="s">
        <v>12</v>
      </c>
    </row>
    <row r="127" ht="15.15" spans="1:7">
      <c r="A127" s="20">
        <v>126</v>
      </c>
      <c r="B127" s="20">
        <v>5013</v>
      </c>
      <c r="C127" s="21">
        <v>45181</v>
      </c>
      <c r="D127" s="20">
        <v>1611.98</v>
      </c>
      <c r="E127" s="22" t="s">
        <v>10</v>
      </c>
      <c r="F127" s="22" t="s">
        <v>16</v>
      </c>
      <c r="G127" s="22" t="s">
        <v>12</v>
      </c>
    </row>
    <row r="128" ht="15.15" spans="1:7">
      <c r="A128" s="20">
        <v>127</v>
      </c>
      <c r="B128" s="20">
        <v>1300</v>
      </c>
      <c r="C128" s="21">
        <v>45146</v>
      </c>
      <c r="D128" s="20">
        <v>1277.68</v>
      </c>
      <c r="E128" s="22" t="s">
        <v>10</v>
      </c>
      <c r="F128" s="22" t="s">
        <v>13</v>
      </c>
      <c r="G128" s="22" t="s">
        <v>17</v>
      </c>
    </row>
    <row r="129" ht="15.15" spans="1:7">
      <c r="A129" s="20">
        <v>128</v>
      </c>
      <c r="B129" s="20">
        <v>394</v>
      </c>
      <c r="C129" s="21">
        <v>44972</v>
      </c>
      <c r="D129" s="20">
        <v>1802.19</v>
      </c>
      <c r="E129" s="22" t="s">
        <v>10</v>
      </c>
      <c r="F129" s="22" t="s">
        <v>16</v>
      </c>
      <c r="G129" s="22" t="s">
        <v>12</v>
      </c>
    </row>
    <row r="130" ht="15.15" spans="1:7">
      <c r="A130" s="20">
        <v>129</v>
      </c>
      <c r="B130" s="20">
        <v>9908</v>
      </c>
      <c r="C130" s="21">
        <v>45246</v>
      </c>
      <c r="D130" s="20">
        <v>100.33</v>
      </c>
      <c r="E130" s="22" t="s">
        <v>10</v>
      </c>
      <c r="F130" s="22" t="s">
        <v>11</v>
      </c>
      <c r="G130" s="22" t="s">
        <v>12</v>
      </c>
    </row>
    <row r="131" ht="15.15" spans="1:7">
      <c r="A131" s="20">
        <v>130</v>
      </c>
      <c r="B131" s="20">
        <v>9139</v>
      </c>
      <c r="C131" s="21">
        <v>45043</v>
      </c>
      <c r="D131" s="20">
        <v>1630.78</v>
      </c>
      <c r="E131" s="22" t="s">
        <v>10</v>
      </c>
      <c r="F131" s="22" t="s">
        <v>16</v>
      </c>
      <c r="G131" s="22" t="s">
        <v>20</v>
      </c>
    </row>
    <row r="132" ht="15.15" spans="1:7">
      <c r="A132" s="20">
        <v>131</v>
      </c>
      <c r="B132" s="20">
        <v>5281</v>
      </c>
      <c r="C132" s="21">
        <v>45260</v>
      </c>
      <c r="D132" s="20">
        <v>591.58</v>
      </c>
      <c r="E132" s="22" t="s">
        <v>10</v>
      </c>
      <c r="F132" s="22" t="s">
        <v>11</v>
      </c>
      <c r="G132" s="22" t="s">
        <v>12</v>
      </c>
    </row>
    <row r="133" ht="15.15" spans="1:7">
      <c r="A133" s="20">
        <v>132</v>
      </c>
      <c r="B133" s="20">
        <v>4722</v>
      </c>
      <c r="C133" s="21">
        <v>45149</v>
      </c>
      <c r="D133" s="20">
        <v>925.77</v>
      </c>
      <c r="E133" s="22" t="s">
        <v>10</v>
      </c>
      <c r="F133" s="22" t="s">
        <v>14</v>
      </c>
      <c r="G133" s="22" t="s">
        <v>15</v>
      </c>
    </row>
    <row r="134" ht="15.15" spans="1:7">
      <c r="A134" s="20">
        <v>133</v>
      </c>
      <c r="B134" s="20">
        <v>4458</v>
      </c>
      <c r="C134" s="21">
        <v>44936</v>
      </c>
      <c r="D134" s="20">
        <v>1565.22</v>
      </c>
      <c r="E134" s="22" t="s">
        <v>10</v>
      </c>
      <c r="F134" s="22" t="s">
        <v>16</v>
      </c>
      <c r="G134" s="22" t="s">
        <v>17</v>
      </c>
    </row>
    <row r="135" ht="15.15" spans="1:7">
      <c r="A135" s="20">
        <v>134</v>
      </c>
      <c r="B135" s="20">
        <v>2839</v>
      </c>
      <c r="C135" s="21">
        <v>45105</v>
      </c>
      <c r="D135" s="20">
        <v>2100.86</v>
      </c>
      <c r="E135" s="22" t="s">
        <v>10</v>
      </c>
      <c r="F135" s="22" t="s">
        <v>11</v>
      </c>
      <c r="G135" s="22" t="s">
        <v>12</v>
      </c>
    </row>
    <row r="136" ht="15.15" spans="1:7">
      <c r="A136" s="20">
        <v>135</v>
      </c>
      <c r="B136" s="20">
        <v>7</v>
      </c>
      <c r="C136" s="21">
        <v>45245</v>
      </c>
      <c r="D136" s="20">
        <v>543.53</v>
      </c>
      <c r="E136" s="22" t="s">
        <v>10</v>
      </c>
      <c r="F136" s="22" t="s">
        <v>14</v>
      </c>
      <c r="G136" s="22" t="s">
        <v>20</v>
      </c>
    </row>
    <row r="137" ht="15.15" spans="1:7">
      <c r="A137" s="20">
        <v>136</v>
      </c>
      <c r="B137" s="20">
        <v>1566</v>
      </c>
      <c r="C137" s="21">
        <v>45154</v>
      </c>
      <c r="D137" s="20">
        <v>661.44</v>
      </c>
      <c r="E137" s="22" t="s">
        <v>10</v>
      </c>
      <c r="F137" s="22" t="s">
        <v>11</v>
      </c>
      <c r="G137" s="22" t="s">
        <v>20</v>
      </c>
    </row>
    <row r="138" ht="15.15" spans="1:7">
      <c r="A138" s="20">
        <v>137</v>
      </c>
      <c r="B138" s="20">
        <v>1604</v>
      </c>
      <c r="C138" s="21">
        <v>45263</v>
      </c>
      <c r="D138" s="20">
        <v>1686.49</v>
      </c>
      <c r="E138" s="22" t="s">
        <v>10</v>
      </c>
      <c r="F138" s="22" t="s">
        <v>16</v>
      </c>
      <c r="G138" s="22" t="s">
        <v>12</v>
      </c>
    </row>
    <row r="139" ht="15.15" spans="1:7">
      <c r="A139" s="20">
        <v>138</v>
      </c>
      <c r="B139" s="20">
        <v>3846</v>
      </c>
      <c r="C139" s="21">
        <v>45059</v>
      </c>
      <c r="D139" s="20">
        <v>4140.13</v>
      </c>
      <c r="E139" s="22" t="s">
        <v>10</v>
      </c>
      <c r="F139" s="22" t="s">
        <v>11</v>
      </c>
      <c r="G139" s="22" t="s">
        <v>12</v>
      </c>
    </row>
    <row r="140" ht="15.15" spans="1:7">
      <c r="A140" s="20">
        <v>139</v>
      </c>
      <c r="B140" s="20">
        <v>8004</v>
      </c>
      <c r="C140" s="21">
        <v>45070</v>
      </c>
      <c r="D140" s="20">
        <v>132.48</v>
      </c>
      <c r="E140" s="22" t="s">
        <v>10</v>
      </c>
      <c r="F140" s="22" t="s">
        <v>16</v>
      </c>
      <c r="G140" s="22" t="s">
        <v>17</v>
      </c>
    </row>
    <row r="141" ht="15.15" spans="1:7">
      <c r="A141" s="20">
        <v>140</v>
      </c>
      <c r="B141" s="20">
        <v>7343</v>
      </c>
      <c r="C141" s="21">
        <v>45035</v>
      </c>
      <c r="D141" s="20">
        <v>779.55</v>
      </c>
      <c r="E141" s="22" t="s">
        <v>10</v>
      </c>
      <c r="F141" s="22" t="s">
        <v>14</v>
      </c>
      <c r="G141" s="22" t="s">
        <v>20</v>
      </c>
    </row>
    <row r="142" ht="15.15" spans="1:7">
      <c r="A142" s="20">
        <v>141</v>
      </c>
      <c r="B142" s="20">
        <v>9531</v>
      </c>
      <c r="C142" s="21">
        <v>45240</v>
      </c>
      <c r="D142" s="20">
        <v>1022.19</v>
      </c>
      <c r="E142" s="22" t="s">
        <v>10</v>
      </c>
      <c r="F142" s="22" t="s">
        <v>18</v>
      </c>
      <c r="G142" s="22" t="s">
        <v>15</v>
      </c>
    </row>
    <row r="143" ht="15.15" spans="1:7">
      <c r="A143" s="20">
        <v>142</v>
      </c>
      <c r="B143" s="20">
        <v>2426</v>
      </c>
      <c r="C143" s="21">
        <v>45260</v>
      </c>
      <c r="D143" s="20">
        <v>2046.36</v>
      </c>
      <c r="E143" s="22" t="s">
        <v>10</v>
      </c>
      <c r="F143" s="22" t="s">
        <v>14</v>
      </c>
      <c r="G143" s="22" t="s">
        <v>12</v>
      </c>
    </row>
    <row r="144" ht="15.15" spans="1:7">
      <c r="A144" s="20">
        <v>143</v>
      </c>
      <c r="B144" s="20">
        <v>8362</v>
      </c>
      <c r="C144" s="21">
        <v>45153</v>
      </c>
      <c r="D144" s="20">
        <v>788.31</v>
      </c>
      <c r="E144" s="22" t="s">
        <v>10</v>
      </c>
      <c r="F144" s="22" t="s">
        <v>16</v>
      </c>
      <c r="G144" s="22" t="s">
        <v>15</v>
      </c>
    </row>
    <row r="145" ht="15.15" spans="1:7">
      <c r="A145" s="20">
        <v>144</v>
      </c>
      <c r="B145" s="20">
        <v>5701</v>
      </c>
      <c r="C145" s="21">
        <v>45059</v>
      </c>
      <c r="D145" s="20">
        <v>1365.96</v>
      </c>
      <c r="E145" s="22" t="s">
        <v>10</v>
      </c>
      <c r="F145" s="22" t="s">
        <v>14</v>
      </c>
      <c r="G145" s="22" t="s">
        <v>17</v>
      </c>
    </row>
    <row r="146" ht="15.15" spans="1:7">
      <c r="A146" s="20">
        <v>145</v>
      </c>
      <c r="B146" s="20">
        <v>2798</v>
      </c>
      <c r="C146" s="21">
        <v>45029</v>
      </c>
      <c r="D146" s="20">
        <v>3440.55</v>
      </c>
      <c r="E146" s="22" t="s">
        <v>10</v>
      </c>
      <c r="F146" s="22" t="s">
        <v>13</v>
      </c>
      <c r="G146" s="22" t="s">
        <v>12</v>
      </c>
    </row>
    <row r="147" ht="15.15" spans="1:7">
      <c r="A147" s="20">
        <v>146</v>
      </c>
      <c r="B147" s="20">
        <v>6045</v>
      </c>
      <c r="C147" s="21">
        <v>45267</v>
      </c>
      <c r="D147" s="20">
        <v>8831.2</v>
      </c>
      <c r="E147" s="22" t="s">
        <v>10</v>
      </c>
      <c r="F147" s="22" t="s">
        <v>11</v>
      </c>
      <c r="G147" s="22" t="s">
        <v>12</v>
      </c>
    </row>
    <row r="148" ht="15.15" spans="1:7">
      <c r="A148" s="20">
        <v>147</v>
      </c>
      <c r="B148" s="20">
        <v>1956</v>
      </c>
      <c r="C148" s="21">
        <v>45229</v>
      </c>
      <c r="D148" s="20">
        <v>1128.91</v>
      </c>
      <c r="E148" s="22" t="s">
        <v>10</v>
      </c>
      <c r="F148" s="22" t="s">
        <v>16</v>
      </c>
      <c r="G148" s="22" t="s">
        <v>12</v>
      </c>
    </row>
    <row r="149" ht="15.15" spans="1:7">
      <c r="A149" s="20">
        <v>148</v>
      </c>
      <c r="B149" s="20">
        <v>2684</v>
      </c>
      <c r="C149" s="21">
        <v>45192</v>
      </c>
      <c r="D149" s="20">
        <v>617.32</v>
      </c>
      <c r="E149" s="22" t="s">
        <v>10</v>
      </c>
      <c r="F149" s="22" t="s">
        <v>13</v>
      </c>
      <c r="G149" s="22" t="s">
        <v>15</v>
      </c>
    </row>
    <row r="150" ht="15.15" spans="1:7">
      <c r="A150" s="20">
        <v>149</v>
      </c>
      <c r="B150" s="20">
        <v>3573</v>
      </c>
      <c r="C150" s="21">
        <v>45031</v>
      </c>
      <c r="D150" s="20">
        <v>1972.1</v>
      </c>
      <c r="E150" s="22" t="s">
        <v>10</v>
      </c>
      <c r="F150" s="22" t="s">
        <v>13</v>
      </c>
      <c r="G150" s="22" t="s">
        <v>15</v>
      </c>
    </row>
    <row r="151" ht="15.15" spans="1:7">
      <c r="A151" s="20">
        <v>150</v>
      </c>
      <c r="B151" s="20">
        <v>9973</v>
      </c>
      <c r="C151" s="21">
        <v>45280</v>
      </c>
      <c r="D151" s="20">
        <v>618.93</v>
      </c>
      <c r="E151" s="22" t="s">
        <v>10</v>
      </c>
      <c r="F151" s="22" t="s">
        <v>11</v>
      </c>
      <c r="G151" s="22" t="s">
        <v>12</v>
      </c>
    </row>
    <row r="152" ht="15.15" spans="1:7">
      <c r="A152" s="20">
        <v>151</v>
      </c>
      <c r="B152" s="20">
        <v>6147</v>
      </c>
      <c r="C152" s="21">
        <v>45141</v>
      </c>
      <c r="D152" s="20">
        <v>442.46</v>
      </c>
      <c r="E152" s="22" t="s">
        <v>10</v>
      </c>
      <c r="F152" s="22" t="s">
        <v>16</v>
      </c>
      <c r="G152" s="22" t="s">
        <v>12</v>
      </c>
    </row>
    <row r="153" ht="15.15" spans="1:7">
      <c r="A153" s="20">
        <v>152</v>
      </c>
      <c r="B153" s="20">
        <v>3032</v>
      </c>
      <c r="C153" s="21">
        <v>45254</v>
      </c>
      <c r="D153" s="20">
        <v>391.53</v>
      </c>
      <c r="E153" s="22" t="s">
        <v>10</v>
      </c>
      <c r="F153" s="22" t="s">
        <v>16</v>
      </c>
      <c r="G153" s="22" t="s">
        <v>20</v>
      </c>
    </row>
    <row r="154" ht="15.15" spans="1:7">
      <c r="A154" s="20">
        <v>153</v>
      </c>
      <c r="B154" s="20">
        <v>7882</v>
      </c>
      <c r="C154" s="21">
        <v>44979</v>
      </c>
      <c r="D154" s="20">
        <v>89.27</v>
      </c>
      <c r="E154" s="22" t="s">
        <v>10</v>
      </c>
      <c r="F154" s="22" t="s">
        <v>14</v>
      </c>
      <c r="G154" s="22" t="s">
        <v>12</v>
      </c>
    </row>
    <row r="155" ht="15.15" spans="1:7">
      <c r="A155" s="20">
        <v>154</v>
      </c>
      <c r="B155" s="20">
        <v>9739</v>
      </c>
      <c r="C155" s="21">
        <v>44993</v>
      </c>
      <c r="D155" s="20">
        <v>585.82</v>
      </c>
      <c r="E155" s="22" t="s">
        <v>10</v>
      </c>
      <c r="F155" s="22" t="s">
        <v>16</v>
      </c>
      <c r="G155" s="22" t="s">
        <v>12</v>
      </c>
    </row>
    <row r="156" ht="15.15" spans="1:7">
      <c r="A156" s="20">
        <v>155</v>
      </c>
      <c r="B156" s="20">
        <v>9862</v>
      </c>
      <c r="C156" s="21">
        <v>44952</v>
      </c>
      <c r="D156" s="20">
        <v>653.2</v>
      </c>
      <c r="E156" s="22" t="s">
        <v>10</v>
      </c>
      <c r="F156" s="22" t="s">
        <v>16</v>
      </c>
      <c r="G156" s="22" t="s">
        <v>20</v>
      </c>
    </row>
    <row r="157" ht="15.15" spans="1:7">
      <c r="A157" s="20">
        <v>156</v>
      </c>
      <c r="B157" s="20">
        <v>2199</v>
      </c>
      <c r="C157" s="21">
        <v>45164</v>
      </c>
      <c r="D157" s="20">
        <v>303.46</v>
      </c>
      <c r="E157" s="22" t="s">
        <v>10</v>
      </c>
      <c r="F157" s="22" t="s">
        <v>14</v>
      </c>
      <c r="G157" s="22" t="s">
        <v>20</v>
      </c>
    </row>
    <row r="158" ht="15.15" spans="1:7">
      <c r="A158" s="20">
        <v>157</v>
      </c>
      <c r="B158" s="20">
        <v>3962</v>
      </c>
      <c r="C158" s="21">
        <v>44993</v>
      </c>
      <c r="D158" s="20">
        <v>181.61</v>
      </c>
      <c r="E158" s="22" t="s">
        <v>10</v>
      </c>
      <c r="F158" s="22" t="s">
        <v>14</v>
      </c>
      <c r="G158" s="22" t="s">
        <v>17</v>
      </c>
    </row>
    <row r="159" ht="15.15" spans="1:7">
      <c r="A159" s="20">
        <v>158</v>
      </c>
      <c r="B159" s="20">
        <v>2040</v>
      </c>
      <c r="C159" s="21">
        <v>45004</v>
      </c>
      <c r="D159" s="20">
        <v>3816.02</v>
      </c>
      <c r="E159" s="22" t="s">
        <v>10</v>
      </c>
      <c r="F159" s="22" t="s">
        <v>18</v>
      </c>
      <c r="G159" s="22" t="s">
        <v>12</v>
      </c>
    </row>
    <row r="160" ht="15.15" spans="1:7">
      <c r="A160" s="20">
        <v>159</v>
      </c>
      <c r="B160" s="20">
        <v>8737</v>
      </c>
      <c r="C160" s="21">
        <v>45289</v>
      </c>
      <c r="D160" s="20">
        <v>2161.82</v>
      </c>
      <c r="E160" s="22" t="s">
        <v>10</v>
      </c>
      <c r="F160" s="22" t="s">
        <v>16</v>
      </c>
      <c r="G160" s="22" t="s">
        <v>20</v>
      </c>
    </row>
    <row r="161" ht="15.15" spans="1:7">
      <c r="A161" s="20">
        <v>160</v>
      </c>
      <c r="B161" s="20">
        <v>6122</v>
      </c>
      <c r="C161" s="21">
        <v>45291</v>
      </c>
      <c r="D161" s="20">
        <v>2051.35</v>
      </c>
      <c r="E161" s="22" t="s">
        <v>10</v>
      </c>
      <c r="F161" s="22" t="s">
        <v>11</v>
      </c>
      <c r="G161" s="22" t="s">
        <v>17</v>
      </c>
    </row>
    <row r="162" ht="15.15" spans="1:7">
      <c r="A162" s="20">
        <v>161</v>
      </c>
      <c r="B162" s="20">
        <v>1112</v>
      </c>
      <c r="C162" s="21">
        <v>45200</v>
      </c>
      <c r="D162" s="20">
        <v>1151.76</v>
      </c>
      <c r="E162" s="22" t="s">
        <v>10</v>
      </c>
      <c r="F162" s="22" t="s">
        <v>16</v>
      </c>
      <c r="G162" s="22" t="s">
        <v>20</v>
      </c>
    </row>
    <row r="163" ht="15.15" spans="1:7">
      <c r="A163" s="20">
        <v>162</v>
      </c>
      <c r="B163" s="20">
        <v>9761</v>
      </c>
      <c r="C163" s="21">
        <v>45029</v>
      </c>
      <c r="D163" s="20">
        <v>618.93</v>
      </c>
      <c r="E163" s="22" t="s">
        <v>10</v>
      </c>
      <c r="F163" s="22" t="s">
        <v>13</v>
      </c>
      <c r="G163" s="22" t="s">
        <v>12</v>
      </c>
    </row>
    <row r="164" ht="15.15" spans="1:7">
      <c r="A164" s="20">
        <v>163</v>
      </c>
      <c r="B164" s="20">
        <v>5463</v>
      </c>
      <c r="C164" s="21">
        <v>45140</v>
      </c>
      <c r="D164" s="20">
        <v>2486.02</v>
      </c>
      <c r="E164" s="22" t="s">
        <v>10</v>
      </c>
      <c r="F164" s="22" t="s">
        <v>18</v>
      </c>
      <c r="G164" s="22" t="s">
        <v>15</v>
      </c>
    </row>
    <row r="165" ht="15.15" spans="1:7">
      <c r="A165" s="20">
        <v>164</v>
      </c>
      <c r="B165" s="20">
        <v>9953</v>
      </c>
      <c r="C165" s="21">
        <v>45231</v>
      </c>
      <c r="D165" s="20">
        <v>526.08</v>
      </c>
      <c r="E165" s="22" t="s">
        <v>10</v>
      </c>
      <c r="F165" s="22" t="s">
        <v>16</v>
      </c>
      <c r="G165" s="22" t="s">
        <v>17</v>
      </c>
    </row>
    <row r="166" ht="15.15" spans="1:7">
      <c r="A166" s="20">
        <v>165</v>
      </c>
      <c r="B166" s="20">
        <v>8680</v>
      </c>
      <c r="C166" s="21">
        <v>45241</v>
      </c>
      <c r="D166" s="20">
        <v>352.84</v>
      </c>
      <c r="E166" s="22" t="s">
        <v>10</v>
      </c>
      <c r="F166" s="22" t="s">
        <v>13</v>
      </c>
      <c r="G166" s="22" t="s">
        <v>12</v>
      </c>
    </row>
    <row r="167" ht="15.15" spans="1:7">
      <c r="A167" s="20">
        <v>166</v>
      </c>
      <c r="B167" s="20">
        <v>9531</v>
      </c>
      <c r="C167" s="21">
        <v>45210</v>
      </c>
      <c r="D167" s="20">
        <v>984.1</v>
      </c>
      <c r="E167" s="22" t="s">
        <v>10</v>
      </c>
      <c r="F167" s="22" t="s">
        <v>18</v>
      </c>
      <c r="G167" s="22" t="s">
        <v>12</v>
      </c>
    </row>
    <row r="168" ht="15.15" spans="1:7">
      <c r="A168" s="20">
        <v>167</v>
      </c>
      <c r="B168" s="20">
        <v>6540</v>
      </c>
      <c r="C168" s="21">
        <v>45241</v>
      </c>
      <c r="D168" s="20">
        <v>1695.09</v>
      </c>
      <c r="E168" s="22" t="s">
        <v>10</v>
      </c>
      <c r="F168" s="22" t="s">
        <v>18</v>
      </c>
      <c r="G168" s="22" t="s">
        <v>20</v>
      </c>
    </row>
    <row r="169" ht="15.15" spans="1:7">
      <c r="A169" s="20">
        <v>168</v>
      </c>
      <c r="B169" s="20">
        <v>923</v>
      </c>
      <c r="C169" s="21">
        <v>45289</v>
      </c>
      <c r="D169" s="20">
        <v>2534.57</v>
      </c>
      <c r="E169" s="22" t="s">
        <v>10</v>
      </c>
      <c r="F169" s="22" t="s">
        <v>13</v>
      </c>
      <c r="G169" s="22" t="s">
        <v>20</v>
      </c>
    </row>
    <row r="170" ht="15.15" spans="1:7">
      <c r="A170" s="20">
        <v>169</v>
      </c>
      <c r="B170" s="20">
        <v>5751</v>
      </c>
      <c r="C170" s="21">
        <v>45039</v>
      </c>
      <c r="D170" s="20">
        <v>1608.66</v>
      </c>
      <c r="E170" s="22" t="s">
        <v>10</v>
      </c>
      <c r="F170" s="22" t="s">
        <v>13</v>
      </c>
      <c r="G170" s="22" t="s">
        <v>20</v>
      </c>
    </row>
    <row r="171" ht="15.15" spans="1:7">
      <c r="A171" s="20">
        <v>170</v>
      </c>
      <c r="B171" s="20">
        <v>1180</v>
      </c>
      <c r="C171" s="21">
        <v>44993</v>
      </c>
      <c r="D171" s="20">
        <v>2447.66</v>
      </c>
      <c r="E171" s="22" t="s">
        <v>10</v>
      </c>
      <c r="F171" s="22" t="s">
        <v>13</v>
      </c>
      <c r="G171" s="22" t="s">
        <v>20</v>
      </c>
    </row>
    <row r="172" ht="15.15" spans="1:7">
      <c r="A172" s="20">
        <v>171</v>
      </c>
      <c r="B172" s="20">
        <v>4321</v>
      </c>
      <c r="C172" s="21">
        <v>45244</v>
      </c>
      <c r="D172" s="20">
        <v>280.61</v>
      </c>
      <c r="E172" s="22" t="s">
        <v>10</v>
      </c>
      <c r="F172" s="22" t="s">
        <v>18</v>
      </c>
      <c r="G172" s="22" t="s">
        <v>15</v>
      </c>
    </row>
    <row r="173" ht="15.15" spans="1:7">
      <c r="A173" s="20">
        <v>172</v>
      </c>
      <c r="B173" s="20">
        <v>1885</v>
      </c>
      <c r="C173" s="21">
        <v>45245</v>
      </c>
      <c r="D173" s="20">
        <v>1417.1</v>
      </c>
      <c r="E173" s="22" t="s">
        <v>10</v>
      </c>
      <c r="F173" s="22" t="s">
        <v>11</v>
      </c>
      <c r="G173" s="22" t="s">
        <v>17</v>
      </c>
    </row>
    <row r="174" ht="15.15" spans="1:7">
      <c r="A174" s="20">
        <v>173</v>
      </c>
      <c r="B174" s="20">
        <v>9172</v>
      </c>
      <c r="C174" s="21">
        <v>45102</v>
      </c>
      <c r="D174" s="20">
        <v>3998.39</v>
      </c>
      <c r="E174" s="22" t="s">
        <v>10</v>
      </c>
      <c r="F174" s="22" t="s">
        <v>16</v>
      </c>
      <c r="G174" s="22" t="s">
        <v>12</v>
      </c>
    </row>
    <row r="175" ht="15.15" spans="1:7">
      <c r="A175" s="20">
        <v>174</v>
      </c>
      <c r="B175" s="20">
        <v>597</v>
      </c>
      <c r="C175" s="21">
        <v>45172</v>
      </c>
      <c r="D175" s="20">
        <v>105.06</v>
      </c>
      <c r="E175" s="22" t="s">
        <v>10</v>
      </c>
      <c r="F175" s="22" t="s">
        <v>18</v>
      </c>
      <c r="G175" s="22" t="s">
        <v>20</v>
      </c>
    </row>
    <row r="176" ht="15.15" spans="1:7">
      <c r="A176" s="20">
        <v>175</v>
      </c>
      <c r="B176" s="20">
        <v>8691</v>
      </c>
      <c r="C176" s="21">
        <v>45020</v>
      </c>
      <c r="D176" s="20">
        <v>435.69</v>
      </c>
      <c r="E176" s="22" t="s">
        <v>10</v>
      </c>
      <c r="F176" s="22" t="s">
        <v>13</v>
      </c>
      <c r="G176" s="22" t="s">
        <v>12</v>
      </c>
    </row>
    <row r="177" ht="15.15" spans="1:7">
      <c r="A177" s="20">
        <v>176</v>
      </c>
      <c r="B177" s="20">
        <v>8684</v>
      </c>
      <c r="C177" s="21">
        <v>44941</v>
      </c>
      <c r="D177" s="20">
        <v>1252.19</v>
      </c>
      <c r="E177" s="22" t="s">
        <v>10</v>
      </c>
      <c r="F177" s="22" t="s">
        <v>16</v>
      </c>
      <c r="G177" s="22" t="s">
        <v>17</v>
      </c>
    </row>
    <row r="178" ht="15.15" spans="1:7">
      <c r="A178" s="20">
        <v>177</v>
      </c>
      <c r="B178" s="20">
        <v>3553</v>
      </c>
      <c r="C178" s="21">
        <v>44997</v>
      </c>
      <c r="D178" s="20">
        <v>1185.66</v>
      </c>
      <c r="E178" s="22" t="s">
        <v>10</v>
      </c>
      <c r="F178" s="22" t="s">
        <v>11</v>
      </c>
      <c r="G178" s="22" t="s">
        <v>17</v>
      </c>
    </row>
    <row r="179" ht="15.15" spans="1:7">
      <c r="A179" s="20">
        <v>178</v>
      </c>
      <c r="B179" s="20">
        <v>4796</v>
      </c>
      <c r="C179" s="21">
        <v>45260</v>
      </c>
      <c r="D179" s="20">
        <v>1321.63</v>
      </c>
      <c r="E179" s="22" t="s">
        <v>10</v>
      </c>
      <c r="F179" s="22" t="s">
        <v>18</v>
      </c>
      <c r="G179" s="22" t="s">
        <v>12</v>
      </c>
    </row>
    <row r="180" ht="15.15" spans="1:7">
      <c r="A180" s="20">
        <v>179</v>
      </c>
      <c r="B180" s="20">
        <v>4891</v>
      </c>
      <c r="C180" s="21">
        <v>44928</v>
      </c>
      <c r="D180" s="20">
        <v>485.89</v>
      </c>
      <c r="E180" s="22" t="s">
        <v>10</v>
      </c>
      <c r="F180" s="22" t="s">
        <v>13</v>
      </c>
      <c r="G180" s="22" t="s">
        <v>17</v>
      </c>
    </row>
    <row r="181" ht="15.15" spans="1:7">
      <c r="A181" s="20">
        <v>180</v>
      </c>
      <c r="B181" s="20">
        <v>1791</v>
      </c>
      <c r="C181" s="21">
        <v>45227</v>
      </c>
      <c r="D181" s="20">
        <v>661.44</v>
      </c>
      <c r="E181" s="22" t="s">
        <v>10</v>
      </c>
      <c r="F181" s="22" t="s">
        <v>18</v>
      </c>
      <c r="G181" s="22" t="s">
        <v>17</v>
      </c>
    </row>
    <row r="182" ht="15.15" spans="1:7">
      <c r="A182" s="20">
        <v>181</v>
      </c>
      <c r="B182" s="20">
        <v>943</v>
      </c>
      <c r="C182" s="21">
        <v>45006</v>
      </c>
      <c r="D182" s="20">
        <v>235.13</v>
      </c>
      <c r="E182" s="22" t="s">
        <v>10</v>
      </c>
      <c r="F182" s="22" t="s">
        <v>11</v>
      </c>
      <c r="G182" s="22" t="s">
        <v>20</v>
      </c>
    </row>
    <row r="183" ht="15.15" spans="1:7">
      <c r="A183" s="20">
        <v>182</v>
      </c>
      <c r="B183" s="20">
        <v>1682</v>
      </c>
      <c r="C183" s="21">
        <v>45159</v>
      </c>
      <c r="D183" s="20">
        <v>377.58</v>
      </c>
      <c r="E183" s="22" t="s">
        <v>10</v>
      </c>
      <c r="F183" s="22" t="s">
        <v>16</v>
      </c>
      <c r="G183" s="22" t="s">
        <v>12</v>
      </c>
    </row>
    <row r="184" ht="15.15" spans="1:7">
      <c r="A184" s="20">
        <v>183</v>
      </c>
      <c r="B184" s="20">
        <v>5689</v>
      </c>
      <c r="C184" s="21">
        <v>44938</v>
      </c>
      <c r="D184" s="20">
        <v>1910.87</v>
      </c>
      <c r="E184" s="22" t="s">
        <v>10</v>
      </c>
      <c r="F184" s="22" t="s">
        <v>18</v>
      </c>
      <c r="G184" s="22" t="s">
        <v>12</v>
      </c>
    </row>
    <row r="185" ht="15.15" spans="1:7">
      <c r="A185" s="20">
        <v>184</v>
      </c>
      <c r="B185" s="20">
        <v>9292</v>
      </c>
      <c r="C185" s="21">
        <v>45148</v>
      </c>
      <c r="D185" s="20">
        <v>88.32</v>
      </c>
      <c r="E185" s="22" t="s">
        <v>10</v>
      </c>
      <c r="F185" s="22" t="s">
        <v>13</v>
      </c>
      <c r="G185" s="22" t="s">
        <v>15</v>
      </c>
    </row>
    <row r="186" ht="15.15" spans="1:7">
      <c r="A186" s="20">
        <v>185</v>
      </c>
      <c r="B186" s="20">
        <v>4122</v>
      </c>
      <c r="C186" s="21">
        <v>45177</v>
      </c>
      <c r="D186" s="20">
        <v>1262.36</v>
      </c>
      <c r="E186" s="22" t="s">
        <v>21</v>
      </c>
      <c r="F186" s="22" t="s">
        <v>13</v>
      </c>
      <c r="G186" s="22" t="s">
        <v>15</v>
      </c>
    </row>
    <row r="187" ht="15.15" spans="1:7">
      <c r="A187" s="20">
        <v>186</v>
      </c>
      <c r="B187" s="20">
        <v>3974</v>
      </c>
      <c r="C187" s="21">
        <v>44938</v>
      </c>
      <c r="D187" s="20">
        <v>1714.39</v>
      </c>
      <c r="E187" s="22" t="s">
        <v>10</v>
      </c>
      <c r="F187" s="22" t="s">
        <v>16</v>
      </c>
      <c r="G187" s="22" t="s">
        <v>20</v>
      </c>
    </row>
    <row r="188" ht="15.15" spans="1:7">
      <c r="A188" s="20">
        <v>187</v>
      </c>
      <c r="B188" s="20">
        <v>6762</v>
      </c>
      <c r="C188" s="21">
        <v>45271</v>
      </c>
      <c r="D188" s="20">
        <v>1911.37</v>
      </c>
      <c r="E188" s="22" t="s">
        <v>10</v>
      </c>
      <c r="F188" s="22" t="s">
        <v>14</v>
      </c>
      <c r="G188" s="22" t="s">
        <v>15</v>
      </c>
    </row>
    <row r="189" ht="15.15" spans="1:7">
      <c r="A189" s="20">
        <v>188</v>
      </c>
      <c r="B189" s="20">
        <v>3876</v>
      </c>
      <c r="C189" s="21">
        <v>44972</v>
      </c>
      <c r="D189" s="20">
        <v>493.21</v>
      </c>
      <c r="E189" s="22" t="s">
        <v>10</v>
      </c>
      <c r="F189" s="22" t="s">
        <v>18</v>
      </c>
      <c r="G189" s="22" t="s">
        <v>12</v>
      </c>
    </row>
    <row r="190" ht="15.15" spans="1:7">
      <c r="A190" s="20">
        <v>189</v>
      </c>
      <c r="B190" s="20">
        <v>3041</v>
      </c>
      <c r="C190" s="21">
        <v>44970</v>
      </c>
      <c r="D190" s="20">
        <v>1629.76</v>
      </c>
      <c r="E190" s="22" t="s">
        <v>10</v>
      </c>
      <c r="F190" s="22" t="s">
        <v>18</v>
      </c>
      <c r="G190" s="22" t="s">
        <v>17</v>
      </c>
    </row>
    <row r="191" ht="15.15" spans="1:7">
      <c r="A191" s="20">
        <v>190</v>
      </c>
      <c r="B191" s="20">
        <v>3493</v>
      </c>
      <c r="C191" s="21">
        <v>44957</v>
      </c>
      <c r="D191" s="20">
        <v>428.94</v>
      </c>
      <c r="E191" s="22" t="s">
        <v>10</v>
      </c>
      <c r="F191" s="22" t="s">
        <v>11</v>
      </c>
      <c r="G191" s="22" t="s">
        <v>20</v>
      </c>
    </row>
    <row r="192" ht="15.15" spans="1:7">
      <c r="A192" s="20">
        <v>191</v>
      </c>
      <c r="B192" s="20">
        <v>447</v>
      </c>
      <c r="C192" s="21">
        <v>45265</v>
      </c>
      <c r="D192" s="20">
        <v>2440.64</v>
      </c>
      <c r="E192" s="22" t="s">
        <v>10</v>
      </c>
      <c r="F192" s="22" t="s">
        <v>14</v>
      </c>
      <c r="G192" s="22" t="s">
        <v>12</v>
      </c>
    </row>
    <row r="193" ht="15.15" spans="1:7">
      <c r="A193" s="20">
        <v>192</v>
      </c>
      <c r="B193" s="20">
        <v>5978</v>
      </c>
      <c r="C193" s="21">
        <v>44930</v>
      </c>
      <c r="D193" s="20">
        <v>870.51</v>
      </c>
      <c r="E193" s="22" t="s">
        <v>10</v>
      </c>
      <c r="F193" s="22" t="s">
        <v>14</v>
      </c>
      <c r="G193" s="22" t="s">
        <v>20</v>
      </c>
    </row>
    <row r="194" ht="15.15" spans="1:7">
      <c r="A194" s="20">
        <v>193</v>
      </c>
      <c r="B194" s="20">
        <v>3713</v>
      </c>
      <c r="C194" s="21">
        <v>45178</v>
      </c>
      <c r="D194" s="20">
        <v>2318.85</v>
      </c>
      <c r="E194" s="22" t="s">
        <v>10</v>
      </c>
      <c r="F194" s="22" t="s">
        <v>14</v>
      </c>
      <c r="G194" s="22" t="s">
        <v>12</v>
      </c>
    </row>
    <row r="195" ht="15.15" spans="1:7">
      <c r="A195" s="20">
        <v>194</v>
      </c>
      <c r="B195" s="20">
        <v>2255</v>
      </c>
      <c r="C195" s="21">
        <v>45244</v>
      </c>
      <c r="D195" s="20">
        <v>2784.03</v>
      </c>
      <c r="E195" s="22" t="s">
        <v>10</v>
      </c>
      <c r="F195" s="22" t="s">
        <v>18</v>
      </c>
      <c r="G195" s="22" t="s">
        <v>12</v>
      </c>
    </row>
    <row r="196" ht="15.15" spans="1:7">
      <c r="A196" s="20">
        <v>195</v>
      </c>
      <c r="B196" s="20">
        <v>7183</v>
      </c>
      <c r="C196" s="21">
        <v>44954</v>
      </c>
      <c r="D196" s="20">
        <v>517.32</v>
      </c>
      <c r="E196" s="22" t="s">
        <v>10</v>
      </c>
      <c r="F196" s="22" t="s">
        <v>14</v>
      </c>
      <c r="G196" s="22" t="s">
        <v>15</v>
      </c>
    </row>
    <row r="197" ht="15.15" spans="1:7">
      <c r="A197" s="20">
        <v>196</v>
      </c>
      <c r="B197" s="20">
        <v>4449</v>
      </c>
      <c r="C197" s="21">
        <v>44978</v>
      </c>
      <c r="D197" s="20">
        <v>2424.13</v>
      </c>
      <c r="E197" s="22" t="s">
        <v>10</v>
      </c>
      <c r="F197" s="22" t="s">
        <v>13</v>
      </c>
      <c r="G197" s="22" t="s">
        <v>17</v>
      </c>
    </row>
    <row r="198" ht="15.15" spans="1:7">
      <c r="A198" s="20">
        <v>197</v>
      </c>
      <c r="B198" s="20">
        <v>3272</v>
      </c>
      <c r="C198" s="21">
        <v>45006</v>
      </c>
      <c r="D198" s="20">
        <v>314.92</v>
      </c>
      <c r="E198" s="22" t="s">
        <v>10</v>
      </c>
      <c r="F198" s="22" t="s">
        <v>18</v>
      </c>
      <c r="G198" s="22" t="s">
        <v>17</v>
      </c>
    </row>
    <row r="199" ht="15.15" spans="1:7">
      <c r="A199" s="20">
        <v>198</v>
      </c>
      <c r="B199" s="20">
        <v>5882</v>
      </c>
      <c r="C199" s="21">
        <v>45061</v>
      </c>
      <c r="D199" s="20">
        <v>428.96</v>
      </c>
      <c r="E199" s="22" t="s">
        <v>10</v>
      </c>
      <c r="F199" s="22" t="s">
        <v>16</v>
      </c>
      <c r="G199" s="22" t="s">
        <v>12</v>
      </c>
    </row>
    <row r="200" ht="15.15" spans="1:7">
      <c r="A200" s="20">
        <v>199</v>
      </c>
      <c r="B200" s="20">
        <v>8953</v>
      </c>
      <c r="C200" s="21">
        <v>45071</v>
      </c>
      <c r="D200" s="20">
        <v>409.78</v>
      </c>
      <c r="E200" s="22" t="s">
        <v>10</v>
      </c>
      <c r="F200" s="22" t="s">
        <v>16</v>
      </c>
      <c r="G200" s="22" t="s">
        <v>12</v>
      </c>
    </row>
    <row r="201" ht="15.15" spans="1:7">
      <c r="A201" s="20">
        <v>200</v>
      </c>
      <c r="B201" s="20">
        <v>651</v>
      </c>
      <c r="C201" s="21">
        <v>45041</v>
      </c>
      <c r="D201" s="20">
        <v>3419.98</v>
      </c>
      <c r="E201" s="22" t="s">
        <v>10</v>
      </c>
      <c r="F201" s="22" t="s">
        <v>16</v>
      </c>
      <c r="G201" s="22" t="s">
        <v>17</v>
      </c>
    </row>
    <row r="202" ht="15.15" spans="1:7">
      <c r="A202" s="20">
        <v>201</v>
      </c>
      <c r="B202" s="20">
        <v>731</v>
      </c>
      <c r="C202" s="21">
        <v>45149</v>
      </c>
      <c r="D202" s="20">
        <v>442.46</v>
      </c>
      <c r="E202" s="22" t="s">
        <v>10</v>
      </c>
      <c r="F202" s="22" t="s">
        <v>11</v>
      </c>
      <c r="G202" s="22" t="s">
        <v>17</v>
      </c>
    </row>
    <row r="203" ht="15.15" spans="1:7">
      <c r="A203" s="20">
        <v>202</v>
      </c>
      <c r="B203" s="20">
        <v>2296</v>
      </c>
      <c r="C203" s="21">
        <v>45250</v>
      </c>
      <c r="D203" s="20">
        <v>3425.5</v>
      </c>
      <c r="E203" s="22" t="s">
        <v>10</v>
      </c>
      <c r="F203" s="22" t="s">
        <v>13</v>
      </c>
      <c r="G203" s="22" t="s">
        <v>20</v>
      </c>
    </row>
    <row r="204" ht="15.15" spans="1:7">
      <c r="A204" s="20">
        <v>203</v>
      </c>
      <c r="B204" s="20">
        <v>2754</v>
      </c>
      <c r="C204" s="21">
        <v>44989</v>
      </c>
      <c r="D204" s="20">
        <v>411.34</v>
      </c>
      <c r="E204" s="22" t="s">
        <v>10</v>
      </c>
      <c r="F204" s="22" t="s">
        <v>18</v>
      </c>
      <c r="G204" s="22" t="s">
        <v>12</v>
      </c>
    </row>
    <row r="205" ht="15.15" spans="1:7">
      <c r="A205" s="20">
        <v>204</v>
      </c>
      <c r="B205" s="20">
        <v>2145</v>
      </c>
      <c r="C205" s="21">
        <v>45232</v>
      </c>
      <c r="D205" s="20">
        <v>295.79</v>
      </c>
      <c r="E205" s="22" t="s">
        <v>10</v>
      </c>
      <c r="F205" s="22" t="s">
        <v>16</v>
      </c>
      <c r="G205" s="22" t="s">
        <v>15</v>
      </c>
    </row>
    <row r="206" ht="15.15" spans="1:7">
      <c r="A206" s="20">
        <v>205</v>
      </c>
      <c r="B206" s="20">
        <v>1562</v>
      </c>
      <c r="C206" s="21">
        <v>45229</v>
      </c>
      <c r="D206" s="20">
        <v>2338</v>
      </c>
      <c r="E206" s="22" t="s">
        <v>10</v>
      </c>
      <c r="F206" s="22" t="s">
        <v>13</v>
      </c>
      <c r="G206" s="22" t="s">
        <v>15</v>
      </c>
    </row>
    <row r="207" ht="15.15" spans="1:7">
      <c r="A207" s="20">
        <v>206</v>
      </c>
      <c r="B207" s="20">
        <v>7148</v>
      </c>
      <c r="C207" s="21">
        <v>45106</v>
      </c>
      <c r="D207" s="20">
        <v>544.63</v>
      </c>
      <c r="E207" s="22" t="s">
        <v>10</v>
      </c>
      <c r="F207" s="22" t="s">
        <v>18</v>
      </c>
      <c r="G207" s="22" t="s">
        <v>15</v>
      </c>
    </row>
    <row r="208" ht="15.15" spans="1:7">
      <c r="A208" s="20">
        <v>207</v>
      </c>
      <c r="B208" s="20">
        <v>2966</v>
      </c>
      <c r="C208" s="21">
        <v>45018</v>
      </c>
      <c r="D208" s="20">
        <v>1129.1</v>
      </c>
      <c r="E208" s="22" t="s">
        <v>21</v>
      </c>
      <c r="F208" s="22" t="s">
        <v>13</v>
      </c>
      <c r="G208" s="22" t="s">
        <v>15</v>
      </c>
    </row>
    <row r="209" ht="15.15" spans="1:7">
      <c r="A209" s="20">
        <v>208</v>
      </c>
      <c r="B209" s="20">
        <v>9250</v>
      </c>
      <c r="C209" s="21">
        <v>45163</v>
      </c>
      <c r="D209" s="20">
        <v>528.34</v>
      </c>
      <c r="E209" s="22" t="s">
        <v>10</v>
      </c>
      <c r="F209" s="22" t="s">
        <v>11</v>
      </c>
      <c r="G209" s="22" t="s">
        <v>15</v>
      </c>
    </row>
    <row r="210" ht="15.15" spans="1:7">
      <c r="A210" s="20">
        <v>209</v>
      </c>
      <c r="B210" s="20">
        <v>3412</v>
      </c>
      <c r="C210" s="21">
        <v>45006</v>
      </c>
      <c r="D210" s="20">
        <v>151.46</v>
      </c>
      <c r="E210" s="22" t="s">
        <v>22</v>
      </c>
      <c r="F210" s="22" t="s">
        <v>16</v>
      </c>
      <c r="G210" s="22" t="s">
        <v>20</v>
      </c>
    </row>
    <row r="211" ht="15.15" spans="1:7">
      <c r="A211" s="20">
        <v>210</v>
      </c>
      <c r="B211" s="20">
        <v>7717</v>
      </c>
      <c r="C211" s="21">
        <v>45026</v>
      </c>
      <c r="D211" s="20">
        <v>1311.98</v>
      </c>
      <c r="E211" s="22" t="s">
        <v>10</v>
      </c>
      <c r="F211" s="22" t="s">
        <v>13</v>
      </c>
      <c r="G211" s="22" t="s">
        <v>17</v>
      </c>
    </row>
    <row r="212" ht="15.15" spans="1:7">
      <c r="A212" s="20">
        <v>211</v>
      </c>
      <c r="B212" s="20">
        <v>5927</v>
      </c>
      <c r="C212" s="21">
        <v>45197</v>
      </c>
      <c r="D212" s="20">
        <v>2851</v>
      </c>
      <c r="E212" s="22" t="s">
        <v>10</v>
      </c>
      <c r="F212" s="22" t="s">
        <v>11</v>
      </c>
      <c r="G212" s="22" t="s">
        <v>17</v>
      </c>
    </row>
    <row r="213" ht="15.15" spans="1:7">
      <c r="A213" s="20">
        <v>212</v>
      </c>
      <c r="B213" s="20">
        <v>3663</v>
      </c>
      <c r="C213" s="21">
        <v>45273</v>
      </c>
      <c r="D213" s="20">
        <v>562.51</v>
      </c>
      <c r="E213" s="22" t="s">
        <v>10</v>
      </c>
      <c r="F213" s="22" t="s">
        <v>18</v>
      </c>
      <c r="G213" s="22" t="s">
        <v>12</v>
      </c>
    </row>
    <row r="214" ht="15.15" spans="1:7">
      <c r="A214" s="20">
        <v>213</v>
      </c>
      <c r="B214" s="20">
        <v>5879</v>
      </c>
      <c r="C214" s="21">
        <v>45017</v>
      </c>
      <c r="D214" s="20">
        <v>878.84</v>
      </c>
      <c r="E214" s="22" t="s">
        <v>10</v>
      </c>
      <c r="F214" s="22" t="s">
        <v>13</v>
      </c>
      <c r="G214" s="22" t="s">
        <v>15</v>
      </c>
    </row>
    <row r="215" ht="15.15" spans="1:7">
      <c r="A215" s="20">
        <v>214</v>
      </c>
      <c r="B215" s="20">
        <v>3484</v>
      </c>
      <c r="C215" s="21">
        <v>45137</v>
      </c>
      <c r="D215" s="20">
        <v>3417.97</v>
      </c>
      <c r="E215" s="22" t="s">
        <v>10</v>
      </c>
      <c r="F215" s="22" t="s">
        <v>14</v>
      </c>
      <c r="G215" s="22" t="s">
        <v>12</v>
      </c>
    </row>
    <row r="216" ht="15.15" spans="1:7">
      <c r="A216" s="20">
        <v>215</v>
      </c>
      <c r="B216" s="20">
        <v>8133</v>
      </c>
      <c r="C216" s="21">
        <v>45110</v>
      </c>
      <c r="D216" s="20">
        <v>750.23</v>
      </c>
      <c r="E216" s="22" t="s">
        <v>10</v>
      </c>
      <c r="F216" s="22" t="s">
        <v>14</v>
      </c>
      <c r="G216" s="22" t="s">
        <v>12</v>
      </c>
    </row>
    <row r="217" ht="15.15" spans="1:7">
      <c r="A217" s="20">
        <v>216</v>
      </c>
      <c r="B217" s="20">
        <v>9954</v>
      </c>
      <c r="C217" s="21">
        <v>45059</v>
      </c>
      <c r="D217" s="20">
        <v>4237.72</v>
      </c>
      <c r="E217" s="22" t="s">
        <v>10</v>
      </c>
      <c r="F217" s="22" t="s">
        <v>16</v>
      </c>
      <c r="G217" s="22" t="s">
        <v>15</v>
      </c>
    </row>
    <row r="218" ht="15.15" spans="1:7">
      <c r="A218" s="20">
        <v>217</v>
      </c>
      <c r="B218" s="20">
        <v>3106</v>
      </c>
      <c r="C218" s="21">
        <v>45278</v>
      </c>
      <c r="D218" s="20">
        <v>244.93</v>
      </c>
      <c r="E218" s="22" t="s">
        <v>10</v>
      </c>
      <c r="F218" s="22" t="s">
        <v>13</v>
      </c>
      <c r="G218" s="22" t="s">
        <v>15</v>
      </c>
    </row>
    <row r="219" ht="15.15" spans="1:7">
      <c r="A219" s="20">
        <v>218</v>
      </c>
      <c r="B219" s="20">
        <v>9410</v>
      </c>
      <c r="C219" s="21">
        <v>45259</v>
      </c>
      <c r="D219" s="20">
        <v>870.87</v>
      </c>
      <c r="E219" s="22" t="s">
        <v>10</v>
      </c>
      <c r="F219" s="22" t="s">
        <v>16</v>
      </c>
      <c r="G219" s="22" t="s">
        <v>20</v>
      </c>
    </row>
    <row r="220" ht="15.15" spans="1:7">
      <c r="A220" s="20">
        <v>219</v>
      </c>
      <c r="B220" s="20">
        <v>4493</v>
      </c>
      <c r="C220" s="21">
        <v>45282</v>
      </c>
      <c r="D220" s="20">
        <v>3365.73</v>
      </c>
      <c r="E220" s="22" t="s">
        <v>10</v>
      </c>
      <c r="F220" s="22" t="s">
        <v>18</v>
      </c>
      <c r="G220" s="22" t="s">
        <v>12</v>
      </c>
    </row>
    <row r="221" ht="15.15" spans="1:7">
      <c r="A221" s="20">
        <v>220</v>
      </c>
      <c r="B221" s="20">
        <v>9038</v>
      </c>
      <c r="C221" s="21">
        <v>45127</v>
      </c>
      <c r="D221" s="20">
        <v>2230.69</v>
      </c>
      <c r="E221" s="22" t="s">
        <v>10</v>
      </c>
      <c r="F221" s="22" t="s">
        <v>14</v>
      </c>
      <c r="G221" s="22" t="s">
        <v>15</v>
      </c>
    </row>
    <row r="222" ht="15.15" spans="1:7">
      <c r="A222" s="20">
        <v>221</v>
      </c>
      <c r="B222" s="20">
        <v>8021</v>
      </c>
      <c r="C222" s="21">
        <v>44929</v>
      </c>
      <c r="D222" s="20">
        <v>879.89</v>
      </c>
      <c r="E222" s="22" t="s">
        <v>10</v>
      </c>
      <c r="F222" s="22" t="s">
        <v>18</v>
      </c>
      <c r="G222" s="22" t="s">
        <v>12</v>
      </c>
    </row>
    <row r="223" ht="15.15" spans="1:7">
      <c r="A223" s="20">
        <v>222</v>
      </c>
      <c r="B223" s="20">
        <v>1864</v>
      </c>
      <c r="C223" s="21">
        <v>45027</v>
      </c>
      <c r="D223" s="20">
        <v>257.17</v>
      </c>
      <c r="E223" s="22" t="s">
        <v>10</v>
      </c>
      <c r="F223" s="22" t="s">
        <v>13</v>
      </c>
      <c r="G223" s="22" t="s">
        <v>17</v>
      </c>
    </row>
    <row r="224" ht="15.15" spans="1:7">
      <c r="A224" s="20">
        <v>223</v>
      </c>
      <c r="B224" s="20">
        <v>2241</v>
      </c>
      <c r="C224" s="21">
        <v>45203</v>
      </c>
      <c r="D224" s="20">
        <v>3249.11</v>
      </c>
      <c r="E224" s="22" t="s">
        <v>10</v>
      </c>
      <c r="F224" s="22" t="s">
        <v>11</v>
      </c>
      <c r="G224" s="22" t="s">
        <v>20</v>
      </c>
    </row>
    <row r="225" ht="15.15" spans="1:7">
      <c r="A225" s="20">
        <v>224</v>
      </c>
      <c r="B225" s="20">
        <v>2712</v>
      </c>
      <c r="C225" s="21">
        <v>45008</v>
      </c>
      <c r="D225" s="20">
        <v>282.13</v>
      </c>
      <c r="E225" s="22" t="s">
        <v>10</v>
      </c>
      <c r="F225" s="22" t="s">
        <v>18</v>
      </c>
      <c r="G225" s="22" t="s">
        <v>20</v>
      </c>
    </row>
    <row r="226" ht="15.15" spans="1:7">
      <c r="A226" s="20">
        <v>225</v>
      </c>
      <c r="B226" s="20">
        <v>9242</v>
      </c>
      <c r="C226" s="21">
        <v>45251</v>
      </c>
      <c r="D226" s="20">
        <v>594.96</v>
      </c>
      <c r="E226" s="22" t="s">
        <v>10</v>
      </c>
      <c r="F226" s="22" t="s">
        <v>13</v>
      </c>
      <c r="G226" s="22" t="s">
        <v>15</v>
      </c>
    </row>
    <row r="227" ht="15.15" spans="1:7">
      <c r="A227" s="20">
        <v>226</v>
      </c>
      <c r="B227" s="20">
        <v>2682</v>
      </c>
      <c r="C227" s="21">
        <v>45227</v>
      </c>
      <c r="D227" s="20">
        <v>1552.42</v>
      </c>
      <c r="E227" s="22" t="s">
        <v>10</v>
      </c>
      <c r="F227" s="22" t="s">
        <v>16</v>
      </c>
      <c r="G227" s="22" t="s">
        <v>20</v>
      </c>
    </row>
    <row r="228" ht="15.15" spans="1:7">
      <c r="A228" s="20">
        <v>227</v>
      </c>
      <c r="B228" s="20">
        <v>8433</v>
      </c>
      <c r="C228" s="21">
        <v>44948</v>
      </c>
      <c r="D228" s="20">
        <v>446.97</v>
      </c>
      <c r="E228" s="22" t="s">
        <v>10</v>
      </c>
      <c r="F228" s="22" t="s">
        <v>11</v>
      </c>
      <c r="G228" s="22" t="s">
        <v>15</v>
      </c>
    </row>
    <row r="229" ht="15.15" spans="1:7">
      <c r="A229" s="20">
        <v>228</v>
      </c>
      <c r="B229" s="20">
        <v>4894</v>
      </c>
      <c r="C229" s="21">
        <v>45035</v>
      </c>
      <c r="D229" s="20">
        <v>628.59</v>
      </c>
      <c r="E229" s="22" t="s">
        <v>10</v>
      </c>
      <c r="F229" s="22" t="s">
        <v>16</v>
      </c>
      <c r="G229" s="22" t="s">
        <v>15</v>
      </c>
    </row>
    <row r="230" ht="15.15" spans="1:7">
      <c r="A230" s="20">
        <v>229</v>
      </c>
      <c r="B230" s="20">
        <v>5578</v>
      </c>
      <c r="C230" s="21">
        <v>45228</v>
      </c>
      <c r="D230" s="20">
        <v>482.68</v>
      </c>
      <c r="E230" s="22" t="s">
        <v>10</v>
      </c>
      <c r="F230" s="22" t="s">
        <v>11</v>
      </c>
      <c r="G230" s="22" t="s">
        <v>17</v>
      </c>
    </row>
    <row r="231" ht="15.15" spans="1:7">
      <c r="A231" s="20">
        <v>230</v>
      </c>
      <c r="B231" s="20">
        <v>9282</v>
      </c>
      <c r="C231" s="21">
        <v>45099</v>
      </c>
      <c r="D231" s="20">
        <v>1564.3</v>
      </c>
      <c r="E231" s="22" t="s">
        <v>10</v>
      </c>
      <c r="F231" s="22" t="s">
        <v>13</v>
      </c>
      <c r="G231" s="22" t="s">
        <v>17</v>
      </c>
    </row>
    <row r="232" ht="15.15" spans="1:7">
      <c r="A232" s="20">
        <v>231</v>
      </c>
      <c r="B232" s="20">
        <v>1224</v>
      </c>
      <c r="C232" s="21">
        <v>45040</v>
      </c>
      <c r="D232" s="20">
        <v>3470.61</v>
      </c>
      <c r="E232" s="22" t="s">
        <v>10</v>
      </c>
      <c r="F232" s="22" t="s">
        <v>14</v>
      </c>
      <c r="G232" s="22" t="s">
        <v>20</v>
      </c>
    </row>
    <row r="233" ht="15.15" spans="1:7">
      <c r="A233" s="20">
        <v>232</v>
      </c>
      <c r="B233" s="20">
        <v>9954</v>
      </c>
      <c r="C233" s="21">
        <v>44958</v>
      </c>
      <c r="D233" s="20">
        <v>4988.5</v>
      </c>
      <c r="E233" s="22" t="s">
        <v>10</v>
      </c>
      <c r="F233" s="22" t="s">
        <v>16</v>
      </c>
      <c r="G233" s="22" t="s">
        <v>12</v>
      </c>
    </row>
    <row r="234" ht="15.15" spans="1:7">
      <c r="A234" s="20">
        <v>233</v>
      </c>
      <c r="B234" s="20">
        <v>9461</v>
      </c>
      <c r="C234" s="21">
        <v>45269</v>
      </c>
      <c r="D234" s="20">
        <v>703.18</v>
      </c>
      <c r="E234" s="22" t="s">
        <v>10</v>
      </c>
      <c r="F234" s="22" t="s">
        <v>11</v>
      </c>
      <c r="G234" s="22" t="s">
        <v>17</v>
      </c>
    </row>
    <row r="235" ht="15.15" spans="1:7">
      <c r="A235" s="20">
        <v>234</v>
      </c>
      <c r="B235" s="20">
        <v>5803</v>
      </c>
      <c r="C235" s="21">
        <v>44996</v>
      </c>
      <c r="D235" s="20">
        <v>2764.02</v>
      </c>
      <c r="E235" s="22" t="s">
        <v>10</v>
      </c>
      <c r="F235" s="22" t="s">
        <v>18</v>
      </c>
      <c r="G235" s="22" t="s">
        <v>12</v>
      </c>
    </row>
    <row r="236" ht="15.15" spans="1:7">
      <c r="A236" s="20">
        <v>235</v>
      </c>
      <c r="B236" s="20">
        <v>3072</v>
      </c>
      <c r="C236" s="21">
        <v>45286</v>
      </c>
      <c r="D236" s="20">
        <v>2470.88</v>
      </c>
      <c r="E236" s="22" t="s">
        <v>10</v>
      </c>
      <c r="F236" s="22" t="s">
        <v>13</v>
      </c>
      <c r="G236" s="22" t="s">
        <v>17</v>
      </c>
    </row>
    <row r="237" ht="15.15" spans="1:7">
      <c r="A237" s="20">
        <v>236</v>
      </c>
      <c r="B237" s="20">
        <v>557</v>
      </c>
      <c r="C237" s="21">
        <v>45264</v>
      </c>
      <c r="D237" s="20">
        <v>638.1</v>
      </c>
      <c r="E237" s="22" t="s">
        <v>10</v>
      </c>
      <c r="F237" s="22" t="s">
        <v>18</v>
      </c>
      <c r="G237" s="22" t="s">
        <v>20</v>
      </c>
    </row>
    <row r="238" ht="15.15" spans="1:7">
      <c r="A238" s="20">
        <v>237</v>
      </c>
      <c r="B238" s="20">
        <v>1422</v>
      </c>
      <c r="C238" s="21">
        <v>44982</v>
      </c>
      <c r="D238" s="20">
        <v>211.3</v>
      </c>
      <c r="E238" s="22" t="s">
        <v>10</v>
      </c>
      <c r="F238" s="22" t="s">
        <v>18</v>
      </c>
      <c r="G238" s="22" t="s">
        <v>20</v>
      </c>
    </row>
    <row r="239" ht="15.15" spans="1:7">
      <c r="A239" s="20">
        <v>238</v>
      </c>
      <c r="B239" s="20">
        <v>1177</v>
      </c>
      <c r="C239" s="21">
        <v>45278</v>
      </c>
      <c r="D239" s="20">
        <v>2282.01</v>
      </c>
      <c r="E239" s="22" t="s">
        <v>10</v>
      </c>
      <c r="F239" s="22" t="s">
        <v>13</v>
      </c>
      <c r="G239" s="22" t="s">
        <v>15</v>
      </c>
    </row>
    <row r="240" ht="15.15" spans="1:7">
      <c r="A240" s="20">
        <v>239</v>
      </c>
      <c r="B240" s="20">
        <v>314</v>
      </c>
      <c r="C240" s="21">
        <v>45216</v>
      </c>
      <c r="D240" s="20">
        <v>1027.79</v>
      </c>
      <c r="E240" s="22" t="s">
        <v>10</v>
      </c>
      <c r="F240" s="22" t="s">
        <v>11</v>
      </c>
      <c r="G240" s="22" t="s">
        <v>20</v>
      </c>
    </row>
    <row r="241" ht="15.15" spans="1:7">
      <c r="A241" s="20">
        <v>240</v>
      </c>
      <c r="B241" s="20">
        <v>5049</v>
      </c>
      <c r="C241" s="21">
        <v>44976</v>
      </c>
      <c r="D241" s="20">
        <v>787.06</v>
      </c>
      <c r="E241" s="22" t="s">
        <v>10</v>
      </c>
      <c r="F241" s="22" t="s">
        <v>16</v>
      </c>
      <c r="G241" s="22" t="s">
        <v>17</v>
      </c>
    </row>
    <row r="242" ht="15.15" spans="1:7">
      <c r="A242" s="20">
        <v>241</v>
      </c>
      <c r="B242" s="20">
        <v>6305</v>
      </c>
      <c r="C242" s="21">
        <v>45177</v>
      </c>
      <c r="D242" s="20">
        <v>2997.87</v>
      </c>
      <c r="E242" s="22" t="s">
        <v>10</v>
      </c>
      <c r="F242" s="22" t="s">
        <v>18</v>
      </c>
      <c r="G242" s="22" t="s">
        <v>17</v>
      </c>
    </row>
    <row r="243" ht="15.15" spans="1:7">
      <c r="A243" s="20">
        <v>242</v>
      </c>
      <c r="B243" s="20">
        <v>3008</v>
      </c>
      <c r="C243" s="21">
        <v>45242</v>
      </c>
      <c r="D243" s="20">
        <v>5892.06</v>
      </c>
      <c r="E243" s="22" t="s">
        <v>10</v>
      </c>
      <c r="F243" s="22" t="s">
        <v>16</v>
      </c>
      <c r="G243" s="22" t="s">
        <v>20</v>
      </c>
    </row>
    <row r="244" ht="15.15" spans="1:7">
      <c r="A244" s="20">
        <v>243</v>
      </c>
      <c r="B244" s="20">
        <v>8565</v>
      </c>
      <c r="C244" s="21">
        <v>45264</v>
      </c>
      <c r="D244" s="20">
        <v>1767.82</v>
      </c>
      <c r="E244" s="22" t="s">
        <v>10</v>
      </c>
      <c r="F244" s="22" t="s">
        <v>18</v>
      </c>
      <c r="G244" s="22" t="s">
        <v>12</v>
      </c>
    </row>
    <row r="245" ht="15.15" spans="1:7">
      <c r="A245" s="20">
        <v>244</v>
      </c>
      <c r="B245" s="20">
        <v>1728</v>
      </c>
      <c r="C245" s="21">
        <v>45221</v>
      </c>
      <c r="D245" s="20">
        <v>250.59</v>
      </c>
      <c r="E245" s="22" t="s">
        <v>10</v>
      </c>
      <c r="F245" s="22" t="s">
        <v>14</v>
      </c>
      <c r="G245" s="22" t="s">
        <v>12</v>
      </c>
    </row>
    <row r="246" ht="15.15" spans="1:7">
      <c r="A246" s="20">
        <v>245</v>
      </c>
      <c r="B246" s="20">
        <v>5990</v>
      </c>
      <c r="C246" s="21">
        <v>45120</v>
      </c>
      <c r="D246" s="20">
        <v>3668.92</v>
      </c>
      <c r="E246" s="22" t="s">
        <v>10</v>
      </c>
      <c r="F246" s="22" t="s">
        <v>16</v>
      </c>
      <c r="G246" s="22" t="s">
        <v>15</v>
      </c>
    </row>
    <row r="247" ht="15.15" spans="1:7">
      <c r="A247" s="20">
        <v>246</v>
      </c>
      <c r="B247" s="20">
        <v>4125</v>
      </c>
      <c r="C247" s="21">
        <v>45179</v>
      </c>
      <c r="D247" s="20">
        <v>396.62</v>
      </c>
      <c r="E247" s="22" t="s">
        <v>10</v>
      </c>
      <c r="F247" s="22" t="s">
        <v>18</v>
      </c>
      <c r="G247" s="22" t="s">
        <v>20</v>
      </c>
    </row>
    <row r="248" ht="15.15" spans="1:7">
      <c r="A248" s="20">
        <v>247</v>
      </c>
      <c r="B248" s="20">
        <v>9901</v>
      </c>
      <c r="C248" s="21">
        <v>45243</v>
      </c>
      <c r="D248" s="20">
        <v>1116.94</v>
      </c>
      <c r="E248" s="22" t="s">
        <v>10</v>
      </c>
      <c r="F248" s="22" t="s">
        <v>16</v>
      </c>
      <c r="G248" s="22" t="s">
        <v>15</v>
      </c>
    </row>
    <row r="249" ht="15.15" spans="1:7">
      <c r="A249" s="20">
        <v>248</v>
      </c>
      <c r="B249" s="20">
        <v>690</v>
      </c>
      <c r="C249" s="21">
        <v>45114</v>
      </c>
      <c r="D249" s="20">
        <v>1415.13</v>
      </c>
      <c r="E249" s="22" t="s">
        <v>10</v>
      </c>
      <c r="F249" s="22" t="s">
        <v>16</v>
      </c>
      <c r="G249" s="22" t="s">
        <v>17</v>
      </c>
    </row>
    <row r="250" ht="15.15" spans="1:7">
      <c r="A250" s="20">
        <v>249</v>
      </c>
      <c r="B250" s="20">
        <v>57</v>
      </c>
      <c r="C250" s="21">
        <v>45096</v>
      </c>
      <c r="D250" s="20">
        <v>384.34</v>
      </c>
      <c r="E250" s="22" t="s">
        <v>10</v>
      </c>
      <c r="F250" s="22" t="s">
        <v>18</v>
      </c>
      <c r="G250" s="22" t="s">
        <v>15</v>
      </c>
    </row>
    <row r="251" ht="15.15" spans="1:7">
      <c r="A251" s="20">
        <v>250</v>
      </c>
      <c r="B251" s="20">
        <v>3571</v>
      </c>
      <c r="C251" s="21">
        <v>44993</v>
      </c>
      <c r="D251" s="20">
        <v>996.68</v>
      </c>
      <c r="E251" s="22" t="s">
        <v>10</v>
      </c>
      <c r="F251" s="22" t="s">
        <v>14</v>
      </c>
      <c r="G251" s="22" t="s">
        <v>15</v>
      </c>
    </row>
    <row r="252" ht="15.15" spans="1:7">
      <c r="A252" s="20">
        <v>251</v>
      </c>
      <c r="B252" s="20">
        <v>534</v>
      </c>
      <c r="C252" s="21">
        <v>45244</v>
      </c>
      <c r="D252" s="20">
        <v>1490.74</v>
      </c>
      <c r="E252" s="22" t="s">
        <v>10</v>
      </c>
      <c r="F252" s="22" t="s">
        <v>11</v>
      </c>
      <c r="G252" s="22" t="s">
        <v>20</v>
      </c>
    </row>
    <row r="253" ht="15.15" spans="1:7">
      <c r="A253" s="20">
        <v>252</v>
      </c>
      <c r="B253" s="20">
        <v>6461</v>
      </c>
      <c r="C253" s="21">
        <v>45209</v>
      </c>
      <c r="D253" s="20">
        <v>1043.39</v>
      </c>
      <c r="E253" s="22" t="s">
        <v>10</v>
      </c>
      <c r="F253" s="22" t="s">
        <v>13</v>
      </c>
      <c r="G253" s="22" t="s">
        <v>15</v>
      </c>
    </row>
    <row r="254" ht="15.15" spans="1:7">
      <c r="A254" s="20">
        <v>253</v>
      </c>
      <c r="B254" s="20">
        <v>598</v>
      </c>
      <c r="C254" s="21">
        <v>45146</v>
      </c>
      <c r="D254" s="20">
        <v>652.69</v>
      </c>
      <c r="E254" s="22" t="s">
        <v>10</v>
      </c>
      <c r="F254" s="22" t="s">
        <v>14</v>
      </c>
      <c r="G254" s="22" t="s">
        <v>17</v>
      </c>
    </row>
    <row r="255" ht="15.15" spans="1:7">
      <c r="A255" s="20">
        <v>254</v>
      </c>
      <c r="B255" s="20">
        <v>4048</v>
      </c>
      <c r="C255" s="21">
        <v>45135</v>
      </c>
      <c r="D255" s="20">
        <v>1253.27</v>
      </c>
      <c r="E255" s="22" t="s">
        <v>10</v>
      </c>
      <c r="F255" s="22" t="s">
        <v>16</v>
      </c>
      <c r="G255" s="22" t="s">
        <v>15</v>
      </c>
    </row>
    <row r="256" ht="15.15" spans="1:7">
      <c r="A256" s="20">
        <v>255</v>
      </c>
      <c r="B256" s="20">
        <v>4637</v>
      </c>
      <c r="C256" s="21">
        <v>45000</v>
      </c>
      <c r="D256" s="20">
        <v>1447.75</v>
      </c>
      <c r="E256" s="22" t="s">
        <v>10</v>
      </c>
      <c r="F256" s="22" t="s">
        <v>14</v>
      </c>
      <c r="G256" s="22" t="s">
        <v>17</v>
      </c>
    </row>
    <row r="257" ht="15.15" spans="1:7">
      <c r="A257" s="20">
        <v>256</v>
      </c>
      <c r="B257" s="20">
        <v>7479</v>
      </c>
      <c r="C257" s="21">
        <v>45119</v>
      </c>
      <c r="D257" s="20">
        <v>770.04</v>
      </c>
      <c r="E257" s="22" t="s">
        <v>10</v>
      </c>
      <c r="F257" s="22" t="s">
        <v>16</v>
      </c>
      <c r="G257" s="22" t="s">
        <v>12</v>
      </c>
    </row>
    <row r="258" ht="15.15" spans="1:7">
      <c r="A258" s="20">
        <v>257</v>
      </c>
      <c r="B258" s="20">
        <v>49</v>
      </c>
      <c r="C258" s="21">
        <v>45235</v>
      </c>
      <c r="D258" s="20">
        <v>485.49</v>
      </c>
      <c r="E258" s="22" t="s">
        <v>10</v>
      </c>
      <c r="F258" s="22" t="s">
        <v>14</v>
      </c>
      <c r="G258" s="22" t="s">
        <v>15</v>
      </c>
    </row>
    <row r="259" ht="15.15" spans="1:7">
      <c r="A259" s="20">
        <v>258</v>
      </c>
      <c r="B259" s="20">
        <v>3947</v>
      </c>
      <c r="C259" s="21">
        <v>45134</v>
      </c>
      <c r="D259" s="20">
        <v>7393.54</v>
      </c>
      <c r="E259" s="22" t="s">
        <v>10</v>
      </c>
      <c r="F259" s="22" t="s">
        <v>11</v>
      </c>
      <c r="G259" s="22" t="s">
        <v>12</v>
      </c>
    </row>
    <row r="260" ht="15.15" spans="1:7">
      <c r="A260" s="20">
        <v>259</v>
      </c>
      <c r="B260" s="20">
        <v>982</v>
      </c>
      <c r="C260" s="21">
        <v>45029</v>
      </c>
      <c r="D260" s="20">
        <v>1951.27</v>
      </c>
      <c r="E260" s="22" t="s">
        <v>10</v>
      </c>
      <c r="F260" s="22" t="s">
        <v>14</v>
      </c>
      <c r="G260" s="22" t="s">
        <v>17</v>
      </c>
    </row>
    <row r="261" ht="15.15" spans="1:7">
      <c r="A261" s="20">
        <v>260</v>
      </c>
      <c r="B261" s="20">
        <v>7308</v>
      </c>
      <c r="C261" s="21">
        <v>45254</v>
      </c>
      <c r="D261" s="20">
        <v>2044.15</v>
      </c>
      <c r="E261" s="22" t="s">
        <v>10</v>
      </c>
      <c r="F261" s="22" t="s">
        <v>13</v>
      </c>
      <c r="G261" s="22" t="s">
        <v>12</v>
      </c>
    </row>
    <row r="262" ht="15.15" spans="1:7">
      <c r="A262" s="20">
        <v>261</v>
      </c>
      <c r="B262" s="20">
        <v>1449</v>
      </c>
      <c r="C262" s="21">
        <v>45207</v>
      </c>
      <c r="D262" s="20">
        <v>1109.76</v>
      </c>
      <c r="E262" s="22" t="s">
        <v>10</v>
      </c>
      <c r="F262" s="22" t="s">
        <v>13</v>
      </c>
      <c r="G262" s="22" t="s">
        <v>15</v>
      </c>
    </row>
    <row r="263" ht="15.15" spans="1:7">
      <c r="A263" s="20">
        <v>262</v>
      </c>
      <c r="B263" s="20">
        <v>6828</v>
      </c>
      <c r="C263" s="21">
        <v>45104</v>
      </c>
      <c r="D263" s="20">
        <v>652.85</v>
      </c>
      <c r="E263" s="22" t="s">
        <v>10</v>
      </c>
      <c r="F263" s="22" t="s">
        <v>14</v>
      </c>
      <c r="G263" s="22" t="s">
        <v>15</v>
      </c>
    </row>
    <row r="264" ht="15.15" spans="1:7">
      <c r="A264" s="20">
        <v>263</v>
      </c>
      <c r="B264" s="20">
        <v>4246</v>
      </c>
      <c r="C264" s="21">
        <v>45234</v>
      </c>
      <c r="D264" s="20">
        <v>743.17</v>
      </c>
      <c r="E264" s="22" t="s">
        <v>10</v>
      </c>
      <c r="F264" s="22" t="s">
        <v>14</v>
      </c>
      <c r="G264" s="22" t="s">
        <v>17</v>
      </c>
    </row>
    <row r="265" ht="15.15" spans="1:7">
      <c r="A265" s="20">
        <v>264</v>
      </c>
      <c r="B265" s="20">
        <v>8478</v>
      </c>
      <c r="C265" s="21">
        <v>44972</v>
      </c>
      <c r="D265" s="20">
        <v>1012.36</v>
      </c>
      <c r="E265" s="22" t="s">
        <v>10</v>
      </c>
      <c r="F265" s="22" t="s">
        <v>11</v>
      </c>
      <c r="G265" s="22" t="s">
        <v>17</v>
      </c>
    </row>
    <row r="266" ht="15.15" spans="1:7">
      <c r="A266" s="20">
        <v>265</v>
      </c>
      <c r="B266" s="20">
        <v>1292</v>
      </c>
      <c r="C266" s="21">
        <v>45135</v>
      </c>
      <c r="D266" s="20">
        <v>1528.89</v>
      </c>
      <c r="E266" s="22" t="s">
        <v>10</v>
      </c>
      <c r="F266" s="22" t="s">
        <v>16</v>
      </c>
      <c r="G266" s="22" t="s">
        <v>15</v>
      </c>
    </row>
    <row r="267" ht="15.15" spans="1:7">
      <c r="A267" s="20">
        <v>266</v>
      </c>
      <c r="B267" s="20">
        <v>4055</v>
      </c>
      <c r="C267" s="21">
        <v>45237</v>
      </c>
      <c r="D267" s="20">
        <v>230.74</v>
      </c>
      <c r="E267" s="22" t="s">
        <v>10</v>
      </c>
      <c r="F267" s="22" t="s">
        <v>11</v>
      </c>
      <c r="G267" s="22" t="s">
        <v>17</v>
      </c>
    </row>
    <row r="268" ht="15.15" spans="1:7">
      <c r="A268" s="20">
        <v>267</v>
      </c>
      <c r="B268" s="20">
        <v>3571</v>
      </c>
      <c r="C268" s="21">
        <v>45162</v>
      </c>
      <c r="D268" s="20">
        <v>1787.62</v>
      </c>
      <c r="E268" s="22" t="s">
        <v>10</v>
      </c>
      <c r="F268" s="22" t="s">
        <v>14</v>
      </c>
      <c r="G268" s="22" t="s">
        <v>15</v>
      </c>
    </row>
    <row r="269" ht="15.15" spans="1:7">
      <c r="A269" s="20">
        <v>268</v>
      </c>
      <c r="B269" s="20">
        <v>9009</v>
      </c>
      <c r="C269" s="21">
        <v>45247</v>
      </c>
      <c r="D269" s="20">
        <v>2496.26</v>
      </c>
      <c r="E269" s="22" t="s">
        <v>10</v>
      </c>
      <c r="F269" s="22" t="s">
        <v>11</v>
      </c>
      <c r="G269" s="22" t="s">
        <v>15</v>
      </c>
    </row>
    <row r="270" ht="15.15" spans="1:7">
      <c r="A270" s="20">
        <v>269</v>
      </c>
      <c r="B270" s="20">
        <v>7640</v>
      </c>
      <c r="C270" s="21">
        <v>45203</v>
      </c>
      <c r="D270" s="20">
        <v>685.35</v>
      </c>
      <c r="E270" s="22" t="s">
        <v>10</v>
      </c>
      <c r="F270" s="22" t="s">
        <v>11</v>
      </c>
      <c r="G270" s="22" t="s">
        <v>17</v>
      </c>
    </row>
    <row r="271" ht="15.15" spans="1:7">
      <c r="A271" s="20">
        <v>270</v>
      </c>
      <c r="B271" s="20">
        <v>4469</v>
      </c>
      <c r="C271" s="21">
        <v>45237</v>
      </c>
      <c r="D271" s="20">
        <v>2674.08</v>
      </c>
      <c r="E271" s="22" t="s">
        <v>10</v>
      </c>
      <c r="F271" s="22" t="s">
        <v>13</v>
      </c>
      <c r="G271" s="22" t="s">
        <v>17</v>
      </c>
    </row>
    <row r="272" ht="15.15" spans="1:7">
      <c r="A272" s="20">
        <v>271</v>
      </c>
      <c r="B272" s="20">
        <v>5478</v>
      </c>
      <c r="C272" s="21">
        <v>45280</v>
      </c>
      <c r="D272" s="20">
        <v>402.24</v>
      </c>
      <c r="E272" s="22" t="s">
        <v>10</v>
      </c>
      <c r="F272" s="22" t="s">
        <v>11</v>
      </c>
      <c r="G272" s="22" t="s">
        <v>15</v>
      </c>
    </row>
    <row r="273" ht="15.15" spans="1:7">
      <c r="A273" s="20">
        <v>272</v>
      </c>
      <c r="B273" s="20">
        <v>9904</v>
      </c>
      <c r="C273" s="21">
        <v>45167</v>
      </c>
      <c r="D273" s="20">
        <v>159.92</v>
      </c>
      <c r="E273" s="22" t="s">
        <v>10</v>
      </c>
      <c r="F273" s="22" t="s">
        <v>18</v>
      </c>
      <c r="G273" s="22" t="s">
        <v>15</v>
      </c>
    </row>
    <row r="274" ht="15.15" spans="1:7">
      <c r="A274" s="20">
        <v>273</v>
      </c>
      <c r="B274" s="20">
        <v>4551</v>
      </c>
      <c r="C274" s="21">
        <v>45206</v>
      </c>
      <c r="D274" s="20">
        <v>1745.47</v>
      </c>
      <c r="E274" s="22" t="s">
        <v>10</v>
      </c>
      <c r="F274" s="22" t="s">
        <v>14</v>
      </c>
      <c r="G274" s="22" t="s">
        <v>17</v>
      </c>
    </row>
    <row r="275" ht="15.15" spans="1:7">
      <c r="A275" s="20">
        <v>274</v>
      </c>
      <c r="B275" s="20">
        <v>1735</v>
      </c>
      <c r="C275" s="21">
        <v>45271</v>
      </c>
      <c r="D275" s="20">
        <v>1683.41</v>
      </c>
      <c r="E275" s="22" t="s">
        <v>10</v>
      </c>
      <c r="F275" s="22" t="s">
        <v>13</v>
      </c>
      <c r="G275" s="22" t="s">
        <v>20</v>
      </c>
    </row>
    <row r="276" ht="15.15" spans="1:7">
      <c r="A276" s="20">
        <v>275</v>
      </c>
      <c r="B276" s="20">
        <v>7027</v>
      </c>
      <c r="C276" s="21">
        <v>45012</v>
      </c>
      <c r="D276" s="20">
        <v>1365.96</v>
      </c>
      <c r="E276" s="22" t="s">
        <v>10</v>
      </c>
      <c r="F276" s="22" t="s">
        <v>14</v>
      </c>
      <c r="G276" s="22" t="s">
        <v>15</v>
      </c>
    </row>
    <row r="277" ht="15.15" spans="1:7">
      <c r="A277" s="20">
        <v>276</v>
      </c>
      <c r="B277" s="20">
        <v>8776</v>
      </c>
      <c r="C277" s="21">
        <v>45224</v>
      </c>
      <c r="D277" s="20">
        <v>284.14</v>
      </c>
      <c r="E277" s="22" t="s">
        <v>10</v>
      </c>
      <c r="F277" s="22" t="s">
        <v>18</v>
      </c>
      <c r="G277" s="22" t="s">
        <v>15</v>
      </c>
    </row>
    <row r="278" ht="15.15" spans="1:7">
      <c r="A278" s="20">
        <v>277</v>
      </c>
      <c r="B278" s="20">
        <v>2986</v>
      </c>
      <c r="C278" s="21">
        <v>45281</v>
      </c>
      <c r="D278" s="20">
        <v>1288.18</v>
      </c>
      <c r="E278" s="22" t="s">
        <v>10</v>
      </c>
      <c r="F278" s="22" t="s">
        <v>16</v>
      </c>
      <c r="G278" s="22" t="s">
        <v>17</v>
      </c>
    </row>
    <row r="279" ht="15.15" spans="1:7">
      <c r="A279" s="20">
        <v>278</v>
      </c>
      <c r="B279" s="20">
        <v>2040</v>
      </c>
      <c r="C279" s="21">
        <v>45003</v>
      </c>
      <c r="D279" s="20">
        <v>4720.61</v>
      </c>
      <c r="E279" s="22" t="s">
        <v>10</v>
      </c>
      <c r="F279" s="22" t="s">
        <v>18</v>
      </c>
      <c r="G279" s="22" t="s">
        <v>20</v>
      </c>
    </row>
    <row r="280" ht="15.15" spans="1:7">
      <c r="A280" s="20">
        <v>279</v>
      </c>
      <c r="B280" s="20">
        <v>9077</v>
      </c>
      <c r="C280" s="21">
        <v>45217</v>
      </c>
      <c r="D280" s="20">
        <v>1278.3</v>
      </c>
      <c r="E280" s="22" t="s">
        <v>10</v>
      </c>
      <c r="F280" s="22" t="s">
        <v>16</v>
      </c>
      <c r="G280" s="22" t="s">
        <v>12</v>
      </c>
    </row>
    <row r="281" ht="15.15" spans="1:7">
      <c r="A281" s="20">
        <v>280</v>
      </c>
      <c r="B281" s="20">
        <v>5332</v>
      </c>
      <c r="C281" s="21">
        <v>45117</v>
      </c>
      <c r="D281" s="20">
        <v>377.58</v>
      </c>
      <c r="E281" s="22" t="s">
        <v>10</v>
      </c>
      <c r="F281" s="22" t="s">
        <v>16</v>
      </c>
      <c r="G281" s="22" t="s">
        <v>20</v>
      </c>
    </row>
    <row r="282" ht="15.15" spans="1:7">
      <c r="A282" s="20">
        <v>281</v>
      </c>
      <c r="B282" s="20">
        <v>1320</v>
      </c>
      <c r="C282" s="21">
        <v>45244</v>
      </c>
      <c r="D282" s="20">
        <v>1638.51</v>
      </c>
      <c r="E282" s="22" t="s">
        <v>10</v>
      </c>
      <c r="F282" s="22" t="s">
        <v>19</v>
      </c>
      <c r="G282" s="22" t="s">
        <v>20</v>
      </c>
    </row>
    <row r="283" ht="15.15" spans="1:7">
      <c r="A283" s="20">
        <v>282</v>
      </c>
      <c r="B283" s="20">
        <v>8251</v>
      </c>
      <c r="C283" s="21">
        <v>45094</v>
      </c>
      <c r="D283" s="20">
        <v>1657.78</v>
      </c>
      <c r="E283" s="22" t="s">
        <v>10</v>
      </c>
      <c r="F283" s="22" t="s">
        <v>11</v>
      </c>
      <c r="G283" s="22" t="s">
        <v>15</v>
      </c>
    </row>
    <row r="284" ht="15.15" spans="1:7">
      <c r="A284" s="20">
        <v>283</v>
      </c>
      <c r="B284" s="20">
        <v>9402</v>
      </c>
      <c r="C284" s="21">
        <v>45246</v>
      </c>
      <c r="D284" s="20">
        <v>430.26</v>
      </c>
      <c r="E284" s="22" t="s">
        <v>10</v>
      </c>
      <c r="F284" s="22" t="s">
        <v>13</v>
      </c>
      <c r="G284" s="22" t="s">
        <v>17</v>
      </c>
    </row>
    <row r="285" ht="15.15" spans="1:7">
      <c r="A285" s="20">
        <v>284</v>
      </c>
      <c r="B285" s="20">
        <v>157</v>
      </c>
      <c r="C285" s="21">
        <v>44953</v>
      </c>
      <c r="D285" s="20">
        <v>492.32</v>
      </c>
      <c r="E285" s="22" t="s">
        <v>10</v>
      </c>
      <c r="F285" s="22" t="s">
        <v>18</v>
      </c>
      <c r="G285" s="22" t="s">
        <v>20</v>
      </c>
    </row>
    <row r="286" ht="15.15" spans="1:7">
      <c r="A286" s="20">
        <v>285</v>
      </c>
      <c r="B286" s="20">
        <v>4732</v>
      </c>
      <c r="C286" s="21">
        <v>45065</v>
      </c>
      <c r="D286" s="20">
        <v>1008.02</v>
      </c>
      <c r="E286" s="22" t="s">
        <v>10</v>
      </c>
      <c r="F286" s="22" t="s">
        <v>14</v>
      </c>
      <c r="G286" s="22" t="s">
        <v>12</v>
      </c>
    </row>
    <row r="287" ht="15.15" spans="1:7">
      <c r="A287" s="20">
        <v>286</v>
      </c>
      <c r="B287" s="20">
        <v>9023</v>
      </c>
      <c r="C287" s="21">
        <v>45228</v>
      </c>
      <c r="D287" s="20">
        <v>496.71</v>
      </c>
      <c r="E287" s="22" t="s">
        <v>10</v>
      </c>
      <c r="F287" s="22" t="s">
        <v>11</v>
      </c>
      <c r="G287" s="22" t="s">
        <v>17</v>
      </c>
    </row>
    <row r="288" ht="15.15" spans="1:7">
      <c r="A288" s="20">
        <v>287</v>
      </c>
      <c r="B288" s="20">
        <v>4783</v>
      </c>
      <c r="C288" s="21">
        <v>45141</v>
      </c>
      <c r="D288" s="20">
        <v>2054.57</v>
      </c>
      <c r="E288" s="22" t="s">
        <v>10</v>
      </c>
      <c r="F288" s="22" t="s">
        <v>16</v>
      </c>
      <c r="G288" s="22" t="s">
        <v>12</v>
      </c>
    </row>
    <row r="289" ht="15.15" spans="1:7">
      <c r="A289" s="20">
        <v>288</v>
      </c>
      <c r="B289" s="20">
        <v>5743</v>
      </c>
      <c r="C289" s="21">
        <v>44983</v>
      </c>
      <c r="D289" s="20">
        <v>2249.68</v>
      </c>
      <c r="E289" s="22" t="s">
        <v>10</v>
      </c>
      <c r="F289" s="22" t="s">
        <v>14</v>
      </c>
      <c r="G289" s="22" t="s">
        <v>17</v>
      </c>
    </row>
    <row r="290" ht="15.15" spans="1:7">
      <c r="A290" s="20">
        <v>289</v>
      </c>
      <c r="B290" s="20">
        <v>9541</v>
      </c>
      <c r="C290" s="21">
        <v>45183</v>
      </c>
      <c r="D290" s="20">
        <v>1426.12</v>
      </c>
      <c r="E290" s="22" t="s">
        <v>10</v>
      </c>
      <c r="F290" s="22" t="s">
        <v>11</v>
      </c>
      <c r="G290" s="22" t="s">
        <v>17</v>
      </c>
    </row>
    <row r="291" ht="15.15" spans="1:7">
      <c r="A291" s="20">
        <v>290</v>
      </c>
      <c r="B291" s="20">
        <v>5053</v>
      </c>
      <c r="C291" s="21">
        <v>44983</v>
      </c>
      <c r="D291" s="20">
        <v>1576.62</v>
      </c>
      <c r="E291" s="22" t="s">
        <v>10</v>
      </c>
      <c r="F291" s="22" t="s">
        <v>18</v>
      </c>
      <c r="G291" s="22" t="s">
        <v>12</v>
      </c>
    </row>
    <row r="292" ht="15.15" spans="1:7">
      <c r="A292" s="20">
        <v>291</v>
      </c>
      <c r="B292" s="20">
        <v>7343</v>
      </c>
      <c r="C292" s="21">
        <v>44930</v>
      </c>
      <c r="D292" s="20">
        <v>2494.02</v>
      </c>
      <c r="E292" s="22" t="s">
        <v>10</v>
      </c>
      <c r="F292" s="22" t="s">
        <v>14</v>
      </c>
      <c r="G292" s="22" t="s">
        <v>12</v>
      </c>
    </row>
    <row r="293" ht="15.15" spans="1:7">
      <c r="A293" s="20">
        <v>292</v>
      </c>
      <c r="B293" s="20">
        <v>9000</v>
      </c>
      <c r="C293" s="21">
        <v>45276</v>
      </c>
      <c r="D293" s="20">
        <v>149.63</v>
      </c>
      <c r="E293" s="22" t="s">
        <v>10</v>
      </c>
      <c r="F293" s="22" t="s">
        <v>18</v>
      </c>
      <c r="G293" s="22" t="s">
        <v>15</v>
      </c>
    </row>
    <row r="294" ht="15.15" spans="1:7">
      <c r="A294" s="20">
        <v>293</v>
      </c>
      <c r="B294" s="20">
        <v>4689</v>
      </c>
      <c r="C294" s="21">
        <v>45125</v>
      </c>
      <c r="D294" s="20">
        <v>951.28</v>
      </c>
      <c r="E294" s="22" t="s">
        <v>10</v>
      </c>
      <c r="F294" s="22" t="s">
        <v>14</v>
      </c>
      <c r="G294" s="22" t="s">
        <v>15</v>
      </c>
    </row>
    <row r="295" ht="15.15" spans="1:7">
      <c r="A295" s="20">
        <v>294</v>
      </c>
      <c r="B295" s="20">
        <v>1759</v>
      </c>
      <c r="C295" s="21">
        <v>45012</v>
      </c>
      <c r="D295" s="20">
        <v>881.33</v>
      </c>
      <c r="E295" s="22" t="s">
        <v>10</v>
      </c>
      <c r="F295" s="22" t="s">
        <v>16</v>
      </c>
      <c r="G295" s="22" t="s">
        <v>17</v>
      </c>
    </row>
    <row r="296" ht="15.15" spans="1:7">
      <c r="A296" s="20">
        <v>295</v>
      </c>
      <c r="B296" s="20">
        <v>3291</v>
      </c>
      <c r="C296" s="21">
        <v>45142</v>
      </c>
      <c r="D296" s="20">
        <v>132.23</v>
      </c>
      <c r="E296" s="22" t="s">
        <v>10</v>
      </c>
      <c r="F296" s="22" t="s">
        <v>13</v>
      </c>
      <c r="G296" s="22" t="s">
        <v>12</v>
      </c>
    </row>
    <row r="297" ht="15.15" spans="1:7">
      <c r="A297" s="20">
        <v>296</v>
      </c>
      <c r="B297" s="20">
        <v>5426</v>
      </c>
      <c r="C297" s="21">
        <v>44937</v>
      </c>
      <c r="D297" s="20">
        <v>476.27</v>
      </c>
      <c r="E297" s="22" t="s">
        <v>10</v>
      </c>
      <c r="F297" s="22" t="s">
        <v>11</v>
      </c>
      <c r="G297" s="22" t="s">
        <v>17</v>
      </c>
    </row>
    <row r="298" ht="15.15" spans="1:7">
      <c r="A298" s="20">
        <v>297</v>
      </c>
      <c r="B298" s="20">
        <v>4242</v>
      </c>
      <c r="C298" s="21">
        <v>45050</v>
      </c>
      <c r="D298" s="20">
        <v>1527.31</v>
      </c>
      <c r="E298" s="22" t="s">
        <v>10</v>
      </c>
      <c r="F298" s="22" t="s">
        <v>19</v>
      </c>
      <c r="G298" s="22" t="s">
        <v>12</v>
      </c>
    </row>
    <row r="299" ht="15.15" spans="1:7">
      <c r="A299" s="20">
        <v>298</v>
      </c>
      <c r="B299" s="20">
        <v>9080</v>
      </c>
      <c r="C299" s="21">
        <v>45223</v>
      </c>
      <c r="D299" s="20">
        <v>3525.04</v>
      </c>
      <c r="E299" s="22" t="s">
        <v>10</v>
      </c>
      <c r="F299" s="22" t="s">
        <v>16</v>
      </c>
      <c r="G299" s="22" t="s">
        <v>15</v>
      </c>
    </row>
    <row r="300" ht="15.15" spans="1:7">
      <c r="A300" s="20">
        <v>299</v>
      </c>
      <c r="B300" s="20">
        <v>4612</v>
      </c>
      <c r="C300" s="21">
        <v>45174</v>
      </c>
      <c r="D300" s="20">
        <v>1404.52</v>
      </c>
      <c r="E300" s="22" t="s">
        <v>10</v>
      </c>
      <c r="F300" s="22" t="s">
        <v>18</v>
      </c>
      <c r="G300" s="22" t="s">
        <v>15</v>
      </c>
    </row>
    <row r="301" ht="15.15" spans="1:7">
      <c r="A301" s="20">
        <v>300</v>
      </c>
      <c r="B301" s="20">
        <v>7977</v>
      </c>
      <c r="C301" s="21">
        <v>45121</v>
      </c>
      <c r="D301" s="20">
        <v>3095.87</v>
      </c>
      <c r="E301" s="22" t="s">
        <v>10</v>
      </c>
      <c r="F301" s="22" t="s">
        <v>14</v>
      </c>
      <c r="G301" s="22" t="s">
        <v>20</v>
      </c>
    </row>
    <row r="302" ht="15.15" spans="1:7">
      <c r="A302" s="20">
        <v>301</v>
      </c>
      <c r="B302" s="20">
        <v>8114</v>
      </c>
      <c r="C302" s="21">
        <v>45290</v>
      </c>
      <c r="D302" s="20">
        <v>414.51</v>
      </c>
      <c r="E302" s="22" t="s">
        <v>10</v>
      </c>
      <c r="F302" s="22" t="s">
        <v>16</v>
      </c>
      <c r="G302" s="22" t="s">
        <v>12</v>
      </c>
    </row>
    <row r="303" ht="15.15" spans="1:7">
      <c r="A303" s="20">
        <v>302</v>
      </c>
      <c r="B303" s="20">
        <v>951</v>
      </c>
      <c r="C303" s="21">
        <v>45209</v>
      </c>
      <c r="D303" s="20">
        <v>871.51</v>
      </c>
      <c r="E303" s="22" t="s">
        <v>10</v>
      </c>
      <c r="F303" s="22" t="s">
        <v>16</v>
      </c>
      <c r="G303" s="22" t="s">
        <v>20</v>
      </c>
    </row>
    <row r="304" ht="15.15" spans="1:7">
      <c r="A304" s="20">
        <v>303</v>
      </c>
      <c r="B304" s="20">
        <v>7355</v>
      </c>
      <c r="C304" s="21">
        <v>45120</v>
      </c>
      <c r="D304" s="20">
        <v>1450.88</v>
      </c>
      <c r="E304" s="22" t="s">
        <v>10</v>
      </c>
      <c r="F304" s="22" t="s">
        <v>13</v>
      </c>
      <c r="G304" s="22" t="s">
        <v>17</v>
      </c>
    </row>
    <row r="305" ht="15.15" spans="1:7">
      <c r="A305" s="20">
        <v>304</v>
      </c>
      <c r="B305" s="20">
        <v>7091</v>
      </c>
      <c r="C305" s="21">
        <v>44982</v>
      </c>
      <c r="D305" s="20">
        <v>2114.31</v>
      </c>
      <c r="E305" s="22" t="s">
        <v>10</v>
      </c>
      <c r="F305" s="22" t="s">
        <v>16</v>
      </c>
      <c r="G305" s="22" t="s">
        <v>15</v>
      </c>
    </row>
    <row r="306" ht="15.15" spans="1:7">
      <c r="A306" s="20">
        <v>305</v>
      </c>
      <c r="B306" s="20">
        <v>9308</v>
      </c>
      <c r="C306" s="21">
        <v>45223</v>
      </c>
      <c r="D306" s="20">
        <v>296.31</v>
      </c>
      <c r="E306" s="22" t="s">
        <v>10</v>
      </c>
      <c r="F306" s="22" t="s">
        <v>13</v>
      </c>
      <c r="G306" s="22" t="s">
        <v>20</v>
      </c>
    </row>
    <row r="307" ht="15.15" spans="1:7">
      <c r="A307" s="20">
        <v>306</v>
      </c>
      <c r="B307" s="20">
        <v>171</v>
      </c>
      <c r="C307" s="21">
        <v>44979</v>
      </c>
      <c r="D307" s="20">
        <v>953.26</v>
      </c>
      <c r="E307" s="22" t="s">
        <v>10</v>
      </c>
      <c r="F307" s="22" t="s">
        <v>11</v>
      </c>
      <c r="G307" s="22" t="s">
        <v>20</v>
      </c>
    </row>
    <row r="308" ht="15.15" spans="1:7">
      <c r="A308" s="20">
        <v>307</v>
      </c>
      <c r="B308" s="20">
        <v>4479</v>
      </c>
      <c r="C308" s="21">
        <v>45236</v>
      </c>
      <c r="D308" s="20">
        <v>140.76</v>
      </c>
      <c r="E308" s="22" t="s">
        <v>10</v>
      </c>
      <c r="F308" s="22" t="s">
        <v>14</v>
      </c>
      <c r="G308" s="22" t="s">
        <v>12</v>
      </c>
    </row>
    <row r="309" ht="15.15" spans="1:7">
      <c r="A309" s="20">
        <v>308</v>
      </c>
      <c r="B309" s="20">
        <v>2133</v>
      </c>
      <c r="C309" s="21">
        <v>45052</v>
      </c>
      <c r="D309" s="20">
        <v>2239.79</v>
      </c>
      <c r="E309" s="22" t="s">
        <v>10</v>
      </c>
      <c r="F309" s="22" t="s">
        <v>18</v>
      </c>
      <c r="G309" s="22" t="s">
        <v>12</v>
      </c>
    </row>
    <row r="310" ht="15.15" spans="1:7">
      <c r="A310" s="20">
        <v>309</v>
      </c>
      <c r="B310" s="20">
        <v>3385</v>
      </c>
      <c r="C310" s="21">
        <v>45004</v>
      </c>
      <c r="D310" s="20">
        <v>3161.05</v>
      </c>
      <c r="E310" s="22" t="s">
        <v>10</v>
      </c>
      <c r="F310" s="22" t="s">
        <v>14</v>
      </c>
      <c r="G310" s="22" t="s">
        <v>20</v>
      </c>
    </row>
    <row r="311" ht="15.15" spans="1:7">
      <c r="A311" s="20">
        <v>310</v>
      </c>
      <c r="B311" s="20">
        <v>3943</v>
      </c>
      <c r="C311" s="21">
        <v>45095</v>
      </c>
      <c r="D311" s="20">
        <v>2136.52</v>
      </c>
      <c r="E311" s="22" t="s">
        <v>10</v>
      </c>
      <c r="F311" s="22" t="s">
        <v>14</v>
      </c>
      <c r="G311" s="22" t="s">
        <v>15</v>
      </c>
    </row>
    <row r="312" ht="15.15" spans="1:7">
      <c r="A312" s="20">
        <v>311</v>
      </c>
      <c r="B312" s="20">
        <v>4249</v>
      </c>
      <c r="C312" s="21">
        <v>44997</v>
      </c>
      <c r="D312" s="20">
        <v>439.1</v>
      </c>
      <c r="E312" s="22" t="s">
        <v>10</v>
      </c>
      <c r="F312" s="22" t="s">
        <v>16</v>
      </c>
      <c r="G312" s="22" t="s">
        <v>17</v>
      </c>
    </row>
    <row r="313" ht="15.15" spans="1:7">
      <c r="A313" s="20">
        <v>312</v>
      </c>
      <c r="B313" s="20">
        <v>6644</v>
      </c>
      <c r="C313" s="21">
        <v>44942</v>
      </c>
      <c r="D313" s="20">
        <v>1286.82</v>
      </c>
      <c r="E313" s="22" t="s">
        <v>10</v>
      </c>
      <c r="F313" s="22" t="s">
        <v>11</v>
      </c>
      <c r="G313" s="22" t="s">
        <v>20</v>
      </c>
    </row>
    <row r="314" ht="15.15" spans="1:7">
      <c r="A314" s="20">
        <v>313</v>
      </c>
      <c r="B314" s="20">
        <v>1292</v>
      </c>
      <c r="C314" s="21">
        <v>45289</v>
      </c>
      <c r="D314" s="20">
        <v>11482.2</v>
      </c>
      <c r="E314" s="22" t="s">
        <v>10</v>
      </c>
      <c r="F314" s="22" t="s">
        <v>16</v>
      </c>
      <c r="G314" s="22" t="s">
        <v>17</v>
      </c>
    </row>
    <row r="315" ht="15.15" spans="1:7">
      <c r="A315" s="20">
        <v>314</v>
      </c>
      <c r="B315" s="20">
        <v>6036</v>
      </c>
      <c r="C315" s="21">
        <v>45256</v>
      </c>
      <c r="D315" s="20">
        <v>1852.79</v>
      </c>
      <c r="E315" s="22" t="s">
        <v>10</v>
      </c>
      <c r="F315" s="22" t="s">
        <v>11</v>
      </c>
      <c r="G315" s="22" t="s">
        <v>15</v>
      </c>
    </row>
    <row r="316" ht="15.15" spans="1:7">
      <c r="A316" s="20">
        <v>315</v>
      </c>
      <c r="B316" s="20">
        <v>1875</v>
      </c>
      <c r="C316" s="21">
        <v>45151</v>
      </c>
      <c r="D316" s="20">
        <v>263.39</v>
      </c>
      <c r="E316" s="22" t="s">
        <v>10</v>
      </c>
      <c r="F316" s="22" t="s">
        <v>13</v>
      </c>
      <c r="G316" s="22" t="s">
        <v>12</v>
      </c>
    </row>
    <row r="317" ht="15.15" spans="1:7">
      <c r="A317" s="20">
        <v>316</v>
      </c>
      <c r="B317" s="20">
        <v>2139</v>
      </c>
      <c r="C317" s="21">
        <v>44933</v>
      </c>
      <c r="D317" s="20">
        <v>1458.48</v>
      </c>
      <c r="E317" s="22" t="s">
        <v>10</v>
      </c>
      <c r="F317" s="22" t="s">
        <v>16</v>
      </c>
      <c r="G317" s="22" t="s">
        <v>12</v>
      </c>
    </row>
    <row r="318" ht="15.15" spans="1:7">
      <c r="A318" s="20">
        <v>317</v>
      </c>
      <c r="B318" s="20">
        <v>5999</v>
      </c>
      <c r="C318" s="21">
        <v>45259</v>
      </c>
      <c r="D318" s="20">
        <v>718.56</v>
      </c>
      <c r="E318" s="22" t="s">
        <v>10</v>
      </c>
      <c r="F318" s="22" t="s">
        <v>11</v>
      </c>
      <c r="G318" s="22" t="s">
        <v>12</v>
      </c>
    </row>
    <row r="319" ht="15.15" spans="1:7">
      <c r="A319" s="20">
        <v>318</v>
      </c>
      <c r="B319" s="20">
        <v>2491</v>
      </c>
      <c r="C319" s="21">
        <v>44953</v>
      </c>
      <c r="D319" s="20">
        <v>475.16</v>
      </c>
      <c r="E319" s="22" t="s">
        <v>10</v>
      </c>
      <c r="F319" s="22" t="s">
        <v>11</v>
      </c>
      <c r="G319" s="22" t="s">
        <v>17</v>
      </c>
    </row>
    <row r="320" ht="15.15" spans="1:7">
      <c r="A320" s="20">
        <v>319</v>
      </c>
      <c r="B320" s="20">
        <v>7875</v>
      </c>
      <c r="C320" s="21">
        <v>44981</v>
      </c>
      <c r="D320" s="20">
        <v>414.24</v>
      </c>
      <c r="E320" s="22" t="s">
        <v>10</v>
      </c>
      <c r="F320" s="22" t="s">
        <v>14</v>
      </c>
      <c r="G320" s="22" t="s">
        <v>15</v>
      </c>
    </row>
    <row r="321" ht="15.15" spans="1:7">
      <c r="A321" s="20">
        <v>320</v>
      </c>
      <c r="B321" s="20">
        <v>8250</v>
      </c>
      <c r="C321" s="21">
        <v>45246</v>
      </c>
      <c r="D321" s="20">
        <v>1639.19</v>
      </c>
      <c r="E321" s="22" t="s">
        <v>10</v>
      </c>
      <c r="F321" s="22" t="s">
        <v>13</v>
      </c>
      <c r="G321" s="22" t="s">
        <v>15</v>
      </c>
    </row>
    <row r="322" ht="15.15" spans="1:7">
      <c r="A322" s="20">
        <v>321</v>
      </c>
      <c r="B322" s="20">
        <v>3510</v>
      </c>
      <c r="C322" s="21">
        <v>45271</v>
      </c>
      <c r="D322" s="20">
        <v>1473.1</v>
      </c>
      <c r="E322" s="22" t="s">
        <v>10</v>
      </c>
      <c r="F322" s="22" t="s">
        <v>16</v>
      </c>
      <c r="G322" s="22" t="s">
        <v>20</v>
      </c>
    </row>
    <row r="323" ht="15.15" spans="1:7">
      <c r="A323" s="20">
        <v>322</v>
      </c>
      <c r="B323" s="20">
        <v>1506</v>
      </c>
      <c r="C323" s="21">
        <v>45206</v>
      </c>
      <c r="D323" s="20">
        <v>748.01</v>
      </c>
      <c r="E323" s="22" t="s">
        <v>10</v>
      </c>
      <c r="F323" s="22" t="s">
        <v>18</v>
      </c>
      <c r="G323" s="22" t="s">
        <v>15</v>
      </c>
    </row>
    <row r="324" ht="15.15" spans="1:7">
      <c r="A324" s="20">
        <v>323</v>
      </c>
      <c r="B324" s="20">
        <v>6608</v>
      </c>
      <c r="C324" s="21">
        <v>45158</v>
      </c>
      <c r="D324" s="20">
        <v>3127.97</v>
      </c>
      <c r="E324" s="22" t="s">
        <v>10</v>
      </c>
      <c r="F324" s="22" t="s">
        <v>18</v>
      </c>
      <c r="G324" s="22" t="s">
        <v>15</v>
      </c>
    </row>
    <row r="325" ht="15.15" spans="1:7">
      <c r="A325" s="20">
        <v>324</v>
      </c>
      <c r="B325" s="20">
        <v>3200</v>
      </c>
      <c r="C325" s="21">
        <v>45226</v>
      </c>
      <c r="D325" s="20">
        <v>132.48</v>
      </c>
      <c r="E325" s="22" t="s">
        <v>10</v>
      </c>
      <c r="F325" s="22" t="s">
        <v>13</v>
      </c>
      <c r="G325" s="22" t="s">
        <v>15</v>
      </c>
    </row>
    <row r="326" ht="15.15" spans="1:7">
      <c r="A326" s="20">
        <v>325</v>
      </c>
      <c r="B326" s="20">
        <v>597</v>
      </c>
      <c r="C326" s="21">
        <v>45248</v>
      </c>
      <c r="D326" s="20">
        <v>1092.28</v>
      </c>
      <c r="E326" s="22" t="s">
        <v>10</v>
      </c>
      <c r="F326" s="22" t="s">
        <v>18</v>
      </c>
      <c r="G326" s="22" t="s">
        <v>15</v>
      </c>
    </row>
    <row r="327" ht="15.15" spans="1:7">
      <c r="A327" s="20">
        <v>326</v>
      </c>
      <c r="B327" s="20">
        <v>6841</v>
      </c>
      <c r="C327" s="21">
        <v>45005</v>
      </c>
      <c r="D327" s="20">
        <v>600.12</v>
      </c>
      <c r="E327" s="22" t="s">
        <v>10</v>
      </c>
      <c r="F327" s="22" t="s">
        <v>14</v>
      </c>
      <c r="G327" s="22" t="s">
        <v>15</v>
      </c>
    </row>
    <row r="328" ht="15.15" spans="1:7">
      <c r="A328" s="20">
        <v>327</v>
      </c>
      <c r="B328" s="20">
        <v>53</v>
      </c>
      <c r="C328" s="21">
        <v>45202</v>
      </c>
      <c r="D328" s="20">
        <v>200.91</v>
      </c>
      <c r="E328" s="22" t="s">
        <v>10</v>
      </c>
      <c r="F328" s="22" t="s">
        <v>18</v>
      </c>
      <c r="G328" s="22" t="s">
        <v>20</v>
      </c>
    </row>
    <row r="329" ht="15.15" spans="1:7">
      <c r="A329" s="20">
        <v>328</v>
      </c>
      <c r="B329" s="20">
        <v>9497</v>
      </c>
      <c r="C329" s="21">
        <v>45182</v>
      </c>
      <c r="D329" s="20">
        <v>3026.99</v>
      </c>
      <c r="E329" s="22" t="s">
        <v>10</v>
      </c>
      <c r="F329" s="22" t="s">
        <v>14</v>
      </c>
      <c r="G329" s="22" t="s">
        <v>20</v>
      </c>
    </row>
    <row r="330" ht="15.15" spans="1:7">
      <c r="A330" s="20">
        <v>329</v>
      </c>
      <c r="B330" s="20">
        <v>3869</v>
      </c>
      <c r="C330" s="21">
        <v>45266</v>
      </c>
      <c r="D330" s="20">
        <v>2074.23</v>
      </c>
      <c r="E330" s="22" t="s">
        <v>10</v>
      </c>
      <c r="F330" s="22" t="s">
        <v>14</v>
      </c>
      <c r="G330" s="22" t="s">
        <v>12</v>
      </c>
    </row>
    <row r="331" ht="15.15" spans="1:7">
      <c r="A331" s="20">
        <v>330</v>
      </c>
      <c r="B331" s="20">
        <v>8114</v>
      </c>
      <c r="C331" s="21">
        <v>45246</v>
      </c>
      <c r="D331" s="20">
        <v>378.43</v>
      </c>
      <c r="E331" s="22" t="s">
        <v>10</v>
      </c>
      <c r="F331" s="22" t="s">
        <v>16</v>
      </c>
      <c r="G331" s="22" t="s">
        <v>20</v>
      </c>
    </row>
    <row r="332" ht="15.15" spans="1:7">
      <c r="A332" s="20">
        <v>331</v>
      </c>
      <c r="B332" s="20">
        <v>4252</v>
      </c>
      <c r="C332" s="21">
        <v>45024</v>
      </c>
      <c r="D332" s="20">
        <v>1442.4</v>
      </c>
      <c r="E332" s="22" t="s">
        <v>10</v>
      </c>
      <c r="F332" s="22" t="s">
        <v>11</v>
      </c>
      <c r="G332" s="22" t="s">
        <v>12</v>
      </c>
    </row>
    <row r="333" ht="15.15" spans="1:7">
      <c r="A333" s="20">
        <v>332</v>
      </c>
      <c r="B333" s="20">
        <v>994</v>
      </c>
      <c r="C333" s="21">
        <v>45246</v>
      </c>
      <c r="D333" s="20">
        <v>1816.72</v>
      </c>
      <c r="E333" s="22" t="s">
        <v>10</v>
      </c>
      <c r="F333" s="22" t="s">
        <v>18</v>
      </c>
      <c r="G333" s="22" t="s">
        <v>20</v>
      </c>
    </row>
    <row r="334" ht="15.15" spans="1:7">
      <c r="A334" s="20">
        <v>333</v>
      </c>
      <c r="B334" s="20">
        <v>3252</v>
      </c>
      <c r="C334" s="21">
        <v>45111</v>
      </c>
      <c r="D334" s="20">
        <v>1980.57</v>
      </c>
      <c r="E334" s="22" t="s">
        <v>10</v>
      </c>
      <c r="F334" s="22" t="s">
        <v>14</v>
      </c>
      <c r="G334" s="22" t="s">
        <v>17</v>
      </c>
    </row>
    <row r="335" ht="15.15" spans="1:7">
      <c r="A335" s="20">
        <v>334</v>
      </c>
      <c r="B335" s="20">
        <v>5077</v>
      </c>
      <c r="C335" s="21">
        <v>45273</v>
      </c>
      <c r="D335" s="20">
        <v>2016.04</v>
      </c>
      <c r="E335" s="22" t="s">
        <v>10</v>
      </c>
      <c r="F335" s="22" t="s">
        <v>11</v>
      </c>
      <c r="G335" s="22" t="s">
        <v>20</v>
      </c>
    </row>
    <row r="336" ht="15.15" spans="1:7">
      <c r="A336" s="20">
        <v>335</v>
      </c>
      <c r="B336" s="20">
        <v>1850</v>
      </c>
      <c r="C336" s="21">
        <v>45083</v>
      </c>
      <c r="D336" s="20">
        <v>1399.92</v>
      </c>
      <c r="E336" s="22" t="s">
        <v>10</v>
      </c>
      <c r="F336" s="22" t="s">
        <v>11</v>
      </c>
      <c r="G336" s="22" t="s">
        <v>12</v>
      </c>
    </row>
    <row r="337" ht="15.15" spans="1:7">
      <c r="A337" s="20">
        <v>336</v>
      </c>
      <c r="B337" s="20">
        <v>2627</v>
      </c>
      <c r="C337" s="21">
        <v>45223</v>
      </c>
      <c r="D337" s="20">
        <v>325.76</v>
      </c>
      <c r="E337" s="22" t="s">
        <v>10</v>
      </c>
      <c r="F337" s="22" t="s">
        <v>11</v>
      </c>
      <c r="G337" s="22" t="s">
        <v>17</v>
      </c>
    </row>
    <row r="338" ht="15.15" spans="1:7">
      <c r="A338" s="20">
        <v>337</v>
      </c>
      <c r="B338" s="20">
        <v>883</v>
      </c>
      <c r="C338" s="21">
        <v>45217</v>
      </c>
      <c r="D338" s="20">
        <v>150.49</v>
      </c>
      <c r="E338" s="22" t="s">
        <v>10</v>
      </c>
      <c r="F338" s="22" t="s">
        <v>18</v>
      </c>
      <c r="G338" s="22" t="s">
        <v>12</v>
      </c>
    </row>
    <row r="339" ht="15.15" spans="1:7">
      <c r="A339" s="20">
        <v>338</v>
      </c>
      <c r="B339" s="20">
        <v>3110</v>
      </c>
      <c r="C339" s="21">
        <v>45201</v>
      </c>
      <c r="D339" s="20">
        <v>240.57</v>
      </c>
      <c r="E339" s="22" t="s">
        <v>10</v>
      </c>
      <c r="F339" s="22" t="s">
        <v>13</v>
      </c>
      <c r="G339" s="22" t="s">
        <v>20</v>
      </c>
    </row>
    <row r="340" ht="15.15" spans="1:7">
      <c r="A340" s="20">
        <v>339</v>
      </c>
      <c r="B340" s="20">
        <v>6815</v>
      </c>
      <c r="C340" s="21">
        <v>45062</v>
      </c>
      <c r="D340" s="20">
        <v>1872.99</v>
      </c>
      <c r="E340" s="22" t="s">
        <v>10</v>
      </c>
      <c r="F340" s="22" t="s">
        <v>13</v>
      </c>
      <c r="G340" s="22" t="s">
        <v>12</v>
      </c>
    </row>
    <row r="341" ht="15.15" spans="1:7">
      <c r="A341" s="20">
        <v>340</v>
      </c>
      <c r="B341" s="20">
        <v>292</v>
      </c>
      <c r="C341" s="21">
        <v>45002</v>
      </c>
      <c r="D341" s="20">
        <v>933.46</v>
      </c>
      <c r="E341" s="22" t="s">
        <v>10</v>
      </c>
      <c r="F341" s="22" t="s">
        <v>18</v>
      </c>
      <c r="G341" s="22" t="s">
        <v>15</v>
      </c>
    </row>
    <row r="342" ht="15.15" spans="1:7">
      <c r="A342" s="20">
        <v>341</v>
      </c>
      <c r="B342" s="20">
        <v>6553</v>
      </c>
      <c r="C342" s="21">
        <v>45191</v>
      </c>
      <c r="D342" s="20">
        <v>843.26</v>
      </c>
      <c r="E342" s="22" t="s">
        <v>10</v>
      </c>
      <c r="F342" s="22" t="s">
        <v>11</v>
      </c>
      <c r="G342" s="22" t="s">
        <v>15</v>
      </c>
    </row>
    <row r="343" ht="15.15" spans="1:7">
      <c r="A343" s="20">
        <v>342</v>
      </c>
      <c r="B343" s="20">
        <v>2475</v>
      </c>
      <c r="C343" s="21">
        <v>45098</v>
      </c>
      <c r="D343" s="20">
        <v>615.07</v>
      </c>
      <c r="E343" s="22" t="s">
        <v>10</v>
      </c>
      <c r="F343" s="22" t="s">
        <v>16</v>
      </c>
      <c r="G343" s="22" t="s">
        <v>17</v>
      </c>
    </row>
    <row r="344" ht="15.15" spans="1:7">
      <c r="A344" s="20">
        <v>343</v>
      </c>
      <c r="B344" s="20">
        <v>1215</v>
      </c>
      <c r="C344" s="21">
        <v>45124</v>
      </c>
      <c r="D344" s="20">
        <v>1752.79</v>
      </c>
      <c r="E344" s="22" t="s">
        <v>10</v>
      </c>
      <c r="F344" s="22" t="s">
        <v>18</v>
      </c>
      <c r="G344" s="22" t="s">
        <v>20</v>
      </c>
    </row>
    <row r="345" ht="15.15" spans="1:7">
      <c r="A345" s="20">
        <v>344</v>
      </c>
      <c r="B345" s="20">
        <v>7269</v>
      </c>
      <c r="C345" s="21">
        <v>45258</v>
      </c>
      <c r="D345" s="20">
        <v>382.42</v>
      </c>
      <c r="E345" s="22" t="s">
        <v>10</v>
      </c>
      <c r="F345" s="22" t="s">
        <v>14</v>
      </c>
      <c r="G345" s="22" t="s">
        <v>17</v>
      </c>
    </row>
    <row r="346" ht="15.15" spans="1:7">
      <c r="A346" s="20">
        <v>345</v>
      </c>
      <c r="B346" s="20">
        <v>3542</v>
      </c>
      <c r="C346" s="21">
        <v>45037</v>
      </c>
      <c r="D346" s="20">
        <v>2055.81</v>
      </c>
      <c r="E346" s="22" t="s">
        <v>10</v>
      </c>
      <c r="F346" s="22" t="s">
        <v>14</v>
      </c>
      <c r="G346" s="22" t="s">
        <v>15</v>
      </c>
    </row>
    <row r="347" ht="15.15" spans="1:7">
      <c r="A347" s="20">
        <v>346</v>
      </c>
      <c r="B347" s="20">
        <v>3498</v>
      </c>
      <c r="C347" s="21">
        <v>44962</v>
      </c>
      <c r="D347" s="20">
        <v>152.53</v>
      </c>
      <c r="E347" s="22" t="s">
        <v>10</v>
      </c>
      <c r="F347" s="22" t="s">
        <v>11</v>
      </c>
      <c r="G347" s="22" t="s">
        <v>20</v>
      </c>
    </row>
    <row r="348" ht="15.15" spans="1:7">
      <c r="A348" s="20">
        <v>347</v>
      </c>
      <c r="B348" s="20">
        <v>5923</v>
      </c>
      <c r="C348" s="21">
        <v>45058</v>
      </c>
      <c r="D348" s="20">
        <v>1579.22</v>
      </c>
      <c r="E348" s="22" t="s">
        <v>10</v>
      </c>
      <c r="F348" s="22" t="s">
        <v>11</v>
      </c>
      <c r="G348" s="22" t="s">
        <v>17</v>
      </c>
    </row>
    <row r="349" ht="15.15" spans="1:7">
      <c r="A349" s="20">
        <v>348</v>
      </c>
      <c r="B349" s="20">
        <v>7973</v>
      </c>
      <c r="C349" s="21">
        <v>44965</v>
      </c>
      <c r="D349" s="20">
        <v>208.24</v>
      </c>
      <c r="E349" s="22" t="s">
        <v>10</v>
      </c>
      <c r="F349" s="22" t="s">
        <v>16</v>
      </c>
      <c r="G349" s="22" t="s">
        <v>20</v>
      </c>
    </row>
    <row r="350" ht="15.15" spans="1:7">
      <c r="A350" s="20">
        <v>349</v>
      </c>
      <c r="B350" s="20">
        <v>4373</v>
      </c>
      <c r="C350" s="21">
        <v>45243</v>
      </c>
      <c r="D350" s="20">
        <v>747.33</v>
      </c>
      <c r="E350" s="22" t="s">
        <v>10</v>
      </c>
      <c r="F350" s="22" t="s">
        <v>18</v>
      </c>
      <c r="G350" s="22" t="s">
        <v>15</v>
      </c>
    </row>
    <row r="351" ht="15.15" spans="1:7">
      <c r="A351" s="20">
        <v>350</v>
      </c>
      <c r="B351" s="20">
        <v>2113</v>
      </c>
      <c r="C351" s="21">
        <v>45097</v>
      </c>
      <c r="D351" s="20">
        <v>2240.03</v>
      </c>
      <c r="E351" s="22" t="s">
        <v>10</v>
      </c>
      <c r="F351" s="22" t="s">
        <v>11</v>
      </c>
      <c r="G351" s="22" t="s">
        <v>20</v>
      </c>
    </row>
    <row r="352" ht="15.15" spans="1:7">
      <c r="A352" s="20">
        <v>351</v>
      </c>
      <c r="B352" s="20">
        <v>9158</v>
      </c>
      <c r="C352" s="21">
        <v>44935</v>
      </c>
      <c r="D352" s="20">
        <v>315.29</v>
      </c>
      <c r="E352" s="22" t="s">
        <v>10</v>
      </c>
      <c r="F352" s="22" t="s">
        <v>16</v>
      </c>
      <c r="G352" s="22" t="s">
        <v>17</v>
      </c>
    </row>
    <row r="353" ht="15.15" spans="1:7">
      <c r="A353" s="20">
        <v>352</v>
      </c>
      <c r="B353" s="20">
        <v>9139</v>
      </c>
      <c r="C353" s="21">
        <v>45091</v>
      </c>
      <c r="D353" s="20">
        <v>1085.53</v>
      </c>
      <c r="E353" s="22" t="s">
        <v>10</v>
      </c>
      <c r="F353" s="22" t="s">
        <v>16</v>
      </c>
      <c r="G353" s="22" t="s">
        <v>15</v>
      </c>
    </row>
    <row r="354" ht="15.15" spans="1:7">
      <c r="A354" s="20">
        <v>353</v>
      </c>
      <c r="B354" s="20">
        <v>1751</v>
      </c>
      <c r="C354" s="21">
        <v>44940</v>
      </c>
      <c r="D354" s="20">
        <v>942.14</v>
      </c>
      <c r="E354" s="22" t="s">
        <v>10</v>
      </c>
      <c r="F354" s="22" t="s">
        <v>14</v>
      </c>
      <c r="G354" s="22" t="s">
        <v>15</v>
      </c>
    </row>
    <row r="355" ht="15.15" spans="1:7">
      <c r="A355" s="20">
        <v>354</v>
      </c>
      <c r="B355" s="20">
        <v>5591</v>
      </c>
      <c r="C355" s="21">
        <v>45270</v>
      </c>
      <c r="D355" s="20">
        <v>661</v>
      </c>
      <c r="E355" s="22" t="s">
        <v>22</v>
      </c>
      <c r="F355" s="22" t="s">
        <v>16</v>
      </c>
      <c r="G355" s="22" t="s">
        <v>12</v>
      </c>
    </row>
    <row r="356" ht="15.15" spans="1:7">
      <c r="A356" s="20">
        <v>355</v>
      </c>
      <c r="B356" s="20">
        <v>4121</v>
      </c>
      <c r="C356" s="21">
        <v>44987</v>
      </c>
      <c r="D356" s="20">
        <v>931.48</v>
      </c>
      <c r="E356" s="22" t="s">
        <v>10</v>
      </c>
      <c r="F356" s="22" t="s">
        <v>18</v>
      </c>
      <c r="G356" s="22" t="s">
        <v>17</v>
      </c>
    </row>
    <row r="357" ht="15.15" spans="1:7">
      <c r="A357" s="20">
        <v>356</v>
      </c>
      <c r="B357" s="20">
        <v>3960</v>
      </c>
      <c r="C357" s="21">
        <v>45032</v>
      </c>
      <c r="D357" s="20">
        <v>1218.1</v>
      </c>
      <c r="E357" s="22" t="s">
        <v>10</v>
      </c>
      <c r="F357" s="22" t="s">
        <v>11</v>
      </c>
      <c r="G357" s="22" t="s">
        <v>12</v>
      </c>
    </row>
    <row r="358" ht="15.15" spans="1:7">
      <c r="A358" s="20">
        <v>357</v>
      </c>
      <c r="B358" s="20">
        <v>824</v>
      </c>
      <c r="C358" s="21">
        <v>45070</v>
      </c>
      <c r="D358" s="20">
        <v>931.48</v>
      </c>
      <c r="E358" s="22" t="s">
        <v>10</v>
      </c>
      <c r="F358" s="22" t="s">
        <v>14</v>
      </c>
      <c r="G358" s="22" t="s">
        <v>20</v>
      </c>
    </row>
    <row r="359" ht="15.15" spans="1:7">
      <c r="A359" s="20">
        <v>358</v>
      </c>
      <c r="B359" s="20">
        <v>3460</v>
      </c>
      <c r="C359" s="21">
        <v>45143</v>
      </c>
      <c r="D359" s="20">
        <v>240.57</v>
      </c>
      <c r="E359" s="22" t="s">
        <v>10</v>
      </c>
      <c r="F359" s="22" t="s">
        <v>13</v>
      </c>
      <c r="G359" s="22" t="s">
        <v>20</v>
      </c>
    </row>
    <row r="360" ht="15.15" spans="1:7">
      <c r="A360" s="20">
        <v>359</v>
      </c>
      <c r="B360" s="20">
        <v>2395</v>
      </c>
      <c r="C360" s="21">
        <v>45270</v>
      </c>
      <c r="D360" s="20">
        <v>971.78</v>
      </c>
      <c r="E360" s="22" t="s">
        <v>10</v>
      </c>
      <c r="F360" s="22" t="s">
        <v>16</v>
      </c>
      <c r="G360" s="22" t="s">
        <v>12</v>
      </c>
    </row>
    <row r="361" ht="15.15" spans="1:7">
      <c r="A361" s="20">
        <v>360</v>
      </c>
      <c r="B361" s="20">
        <v>5442</v>
      </c>
      <c r="C361" s="21">
        <v>45241</v>
      </c>
      <c r="D361" s="20">
        <v>1559.09</v>
      </c>
      <c r="E361" s="22" t="s">
        <v>10</v>
      </c>
      <c r="F361" s="22" t="s">
        <v>14</v>
      </c>
      <c r="G361" s="22" t="s">
        <v>20</v>
      </c>
    </row>
    <row r="362" ht="15.15" spans="1:7">
      <c r="A362" s="20">
        <v>361</v>
      </c>
      <c r="B362" s="20">
        <v>3585</v>
      </c>
      <c r="C362" s="21">
        <v>45055</v>
      </c>
      <c r="D362" s="20">
        <v>217.22</v>
      </c>
      <c r="E362" s="22" t="s">
        <v>10</v>
      </c>
      <c r="F362" s="22" t="s">
        <v>16</v>
      </c>
      <c r="G362" s="22" t="s">
        <v>15</v>
      </c>
    </row>
    <row r="363" ht="15.15" spans="1:7">
      <c r="A363" s="20">
        <v>362</v>
      </c>
      <c r="B363" s="20">
        <v>8493</v>
      </c>
      <c r="C363" s="21">
        <v>45131</v>
      </c>
      <c r="D363" s="20">
        <v>193.6</v>
      </c>
      <c r="E363" s="22" t="s">
        <v>10</v>
      </c>
      <c r="F363" s="22" t="s">
        <v>13</v>
      </c>
      <c r="G363" s="22" t="s">
        <v>15</v>
      </c>
    </row>
    <row r="364" ht="15.15" spans="1:7">
      <c r="A364" s="20">
        <v>363</v>
      </c>
      <c r="B364" s="20">
        <v>4753</v>
      </c>
      <c r="C364" s="21">
        <v>44974</v>
      </c>
      <c r="D364" s="20">
        <v>1517.02</v>
      </c>
      <c r="E364" s="22" t="s">
        <v>10</v>
      </c>
      <c r="F364" s="22" t="s">
        <v>14</v>
      </c>
      <c r="G364" s="22" t="s">
        <v>15</v>
      </c>
    </row>
    <row r="365" ht="15.15" spans="1:7">
      <c r="A365" s="20">
        <v>364</v>
      </c>
      <c r="B365" s="20">
        <v>3123</v>
      </c>
      <c r="C365" s="21">
        <v>45266</v>
      </c>
      <c r="D365" s="20">
        <v>2288.57</v>
      </c>
      <c r="E365" s="22" t="s">
        <v>10</v>
      </c>
      <c r="F365" s="22" t="s">
        <v>18</v>
      </c>
      <c r="G365" s="22" t="s">
        <v>20</v>
      </c>
    </row>
    <row r="366" ht="15.15" spans="1:7">
      <c r="A366" s="20">
        <v>365</v>
      </c>
      <c r="B366" s="20">
        <v>308</v>
      </c>
      <c r="C366" s="21">
        <v>44947</v>
      </c>
      <c r="D366" s="20">
        <v>1143.23</v>
      </c>
      <c r="E366" s="22" t="s">
        <v>10</v>
      </c>
      <c r="F366" s="22" t="s">
        <v>18</v>
      </c>
      <c r="G366" s="22" t="s">
        <v>17</v>
      </c>
    </row>
    <row r="367" ht="15.15" spans="1:7">
      <c r="A367" s="20">
        <v>366</v>
      </c>
      <c r="B367" s="20">
        <v>619</v>
      </c>
      <c r="C367" s="21">
        <v>45267</v>
      </c>
      <c r="D367" s="20">
        <v>313.3</v>
      </c>
      <c r="E367" s="22" t="s">
        <v>10</v>
      </c>
      <c r="F367" s="22" t="s">
        <v>16</v>
      </c>
      <c r="G367" s="22" t="s">
        <v>12</v>
      </c>
    </row>
    <row r="368" ht="15.15" spans="1:7">
      <c r="A368" s="20">
        <v>367</v>
      </c>
      <c r="B368" s="20">
        <v>5137</v>
      </c>
      <c r="C368" s="21">
        <v>45027</v>
      </c>
      <c r="D368" s="20">
        <v>1849.26</v>
      </c>
      <c r="E368" s="22" t="s">
        <v>10</v>
      </c>
      <c r="F368" s="22" t="s">
        <v>18</v>
      </c>
      <c r="G368" s="22" t="s">
        <v>15</v>
      </c>
    </row>
    <row r="369" ht="15.15" spans="1:7">
      <c r="A369" s="20">
        <v>368</v>
      </c>
      <c r="B369" s="20">
        <v>975</v>
      </c>
      <c r="C369" s="21">
        <v>45222</v>
      </c>
      <c r="D369" s="20">
        <v>997.08</v>
      </c>
      <c r="E369" s="22" t="s">
        <v>10</v>
      </c>
      <c r="F369" s="22" t="s">
        <v>14</v>
      </c>
      <c r="G369" s="22" t="s">
        <v>15</v>
      </c>
    </row>
    <row r="370" ht="15.15" spans="1:7">
      <c r="A370" s="20">
        <v>369</v>
      </c>
      <c r="B370" s="20">
        <v>8476</v>
      </c>
      <c r="C370" s="21">
        <v>45284</v>
      </c>
      <c r="D370" s="20">
        <v>2418.11</v>
      </c>
      <c r="E370" s="22" t="s">
        <v>10</v>
      </c>
      <c r="F370" s="22" t="s">
        <v>18</v>
      </c>
      <c r="G370" s="22" t="s">
        <v>12</v>
      </c>
    </row>
    <row r="371" ht="15.15" spans="1:7">
      <c r="A371" s="20">
        <v>370</v>
      </c>
      <c r="B371" s="20">
        <v>7356</v>
      </c>
      <c r="C371" s="21">
        <v>45274</v>
      </c>
      <c r="D371" s="20">
        <v>1206.5</v>
      </c>
      <c r="E371" s="22" t="s">
        <v>10</v>
      </c>
      <c r="F371" s="22" t="s">
        <v>13</v>
      </c>
      <c r="G371" s="22" t="s">
        <v>20</v>
      </c>
    </row>
    <row r="372" ht="15.15" spans="1:7">
      <c r="A372" s="20">
        <v>371</v>
      </c>
      <c r="B372" s="20">
        <v>6014</v>
      </c>
      <c r="C372" s="21">
        <v>45084</v>
      </c>
      <c r="D372" s="20">
        <v>353.18</v>
      </c>
      <c r="E372" s="22" t="s">
        <v>21</v>
      </c>
      <c r="F372" s="22" t="s">
        <v>13</v>
      </c>
      <c r="G372" s="22" t="s">
        <v>20</v>
      </c>
    </row>
    <row r="373" ht="15.15" spans="1:7">
      <c r="A373" s="20">
        <v>372</v>
      </c>
      <c r="B373" s="20">
        <v>2437</v>
      </c>
      <c r="C373" s="21">
        <v>45236</v>
      </c>
      <c r="D373" s="20">
        <v>2141.68</v>
      </c>
      <c r="E373" s="22" t="s">
        <v>22</v>
      </c>
      <c r="F373" s="22" t="s">
        <v>14</v>
      </c>
      <c r="G373" s="22" t="s">
        <v>12</v>
      </c>
    </row>
    <row r="374" ht="15.15" spans="1:7">
      <c r="A374" s="20">
        <v>373</v>
      </c>
      <c r="B374" s="20">
        <v>2004</v>
      </c>
      <c r="C374" s="21">
        <v>44932</v>
      </c>
      <c r="D374" s="20">
        <v>539.1</v>
      </c>
      <c r="E374" s="22" t="s">
        <v>10</v>
      </c>
      <c r="F374" s="22" t="s">
        <v>16</v>
      </c>
      <c r="G374" s="22" t="s">
        <v>17</v>
      </c>
    </row>
    <row r="375" ht="15.15" spans="1:7">
      <c r="A375" s="20">
        <v>374</v>
      </c>
      <c r="B375" s="20">
        <v>7197</v>
      </c>
      <c r="C375" s="21">
        <v>45246</v>
      </c>
      <c r="D375" s="20">
        <v>1168.32</v>
      </c>
      <c r="E375" s="22" t="s">
        <v>10</v>
      </c>
      <c r="F375" s="22" t="s">
        <v>16</v>
      </c>
      <c r="G375" s="22" t="s">
        <v>17</v>
      </c>
    </row>
    <row r="376" ht="15.15" spans="1:7">
      <c r="A376" s="20">
        <v>375</v>
      </c>
      <c r="B376" s="20">
        <v>1396</v>
      </c>
      <c r="C376" s="21">
        <v>45059</v>
      </c>
      <c r="D376" s="20">
        <v>3288.53</v>
      </c>
      <c r="E376" s="22" t="s">
        <v>10</v>
      </c>
      <c r="F376" s="22" t="s">
        <v>16</v>
      </c>
      <c r="G376" s="22" t="s">
        <v>15</v>
      </c>
    </row>
    <row r="377" ht="15.15" spans="1:7">
      <c r="A377" s="20">
        <v>376</v>
      </c>
      <c r="B377" s="20">
        <v>2889</v>
      </c>
      <c r="C377" s="21">
        <v>44928</v>
      </c>
      <c r="D377" s="20">
        <v>3837.52</v>
      </c>
      <c r="E377" s="22" t="s">
        <v>10</v>
      </c>
      <c r="F377" s="22" t="s">
        <v>13</v>
      </c>
      <c r="G377" s="22" t="s">
        <v>17</v>
      </c>
    </row>
    <row r="378" ht="15.15" spans="1:7">
      <c r="A378" s="20">
        <v>377</v>
      </c>
      <c r="B378" s="20">
        <v>2132</v>
      </c>
      <c r="C378" s="21">
        <v>45233</v>
      </c>
      <c r="D378" s="20">
        <v>2040.36</v>
      </c>
      <c r="E378" s="22" t="s">
        <v>10</v>
      </c>
      <c r="F378" s="22" t="s">
        <v>16</v>
      </c>
      <c r="G378" s="22" t="s">
        <v>12</v>
      </c>
    </row>
    <row r="379" ht="15.15" spans="1:7">
      <c r="A379" s="20">
        <v>378</v>
      </c>
      <c r="B379" s="20">
        <v>2584</v>
      </c>
      <c r="C379" s="21">
        <v>44994</v>
      </c>
      <c r="D379" s="20">
        <v>193.6</v>
      </c>
      <c r="E379" s="22" t="s">
        <v>10</v>
      </c>
      <c r="F379" s="22" t="s">
        <v>11</v>
      </c>
      <c r="G379" s="22" t="s">
        <v>15</v>
      </c>
    </row>
    <row r="380" ht="15.15" spans="1:7">
      <c r="A380" s="20">
        <v>379</v>
      </c>
      <c r="B380" s="20">
        <v>8114</v>
      </c>
      <c r="C380" s="21">
        <v>44991</v>
      </c>
      <c r="D380" s="20">
        <v>4835.24</v>
      </c>
      <c r="E380" s="22" t="s">
        <v>10</v>
      </c>
      <c r="F380" s="22" t="s">
        <v>16</v>
      </c>
      <c r="G380" s="22" t="s">
        <v>15</v>
      </c>
    </row>
    <row r="381" ht="15.15" spans="1:7">
      <c r="A381" s="20">
        <v>380</v>
      </c>
      <c r="B381" s="20">
        <v>3944</v>
      </c>
      <c r="C381" s="21">
        <v>44974</v>
      </c>
      <c r="D381" s="20">
        <v>3063.38</v>
      </c>
      <c r="E381" s="22" t="s">
        <v>10</v>
      </c>
      <c r="F381" s="22" t="s">
        <v>13</v>
      </c>
      <c r="G381" s="22" t="s">
        <v>20</v>
      </c>
    </row>
    <row r="382" ht="15.15" spans="1:7">
      <c r="A382" s="20">
        <v>381</v>
      </c>
      <c r="B382" s="20">
        <v>150</v>
      </c>
      <c r="C382" s="21">
        <v>45228</v>
      </c>
      <c r="D382" s="20">
        <v>1459.24</v>
      </c>
      <c r="E382" s="22" t="s">
        <v>10</v>
      </c>
      <c r="F382" s="22" t="s">
        <v>11</v>
      </c>
      <c r="G382" s="22" t="s">
        <v>15</v>
      </c>
    </row>
    <row r="383" ht="15.15" spans="1:7">
      <c r="A383" s="20">
        <v>382</v>
      </c>
      <c r="B383" s="20">
        <v>3336</v>
      </c>
      <c r="C383" s="21">
        <v>45085</v>
      </c>
      <c r="D383" s="20">
        <v>2571.47</v>
      </c>
      <c r="E383" s="22" t="s">
        <v>10</v>
      </c>
      <c r="F383" s="22" t="s">
        <v>18</v>
      </c>
      <c r="G383" s="22" t="s">
        <v>15</v>
      </c>
    </row>
    <row r="384" ht="15.15" spans="1:7">
      <c r="A384" s="20">
        <v>383</v>
      </c>
      <c r="B384" s="20">
        <v>7521</v>
      </c>
      <c r="C384" s="21">
        <v>45115</v>
      </c>
      <c r="D384" s="20">
        <v>209.8</v>
      </c>
      <c r="E384" s="22" t="s">
        <v>10</v>
      </c>
      <c r="F384" s="22" t="s">
        <v>13</v>
      </c>
      <c r="G384" s="22" t="s">
        <v>15</v>
      </c>
    </row>
    <row r="385" ht="15.15" spans="1:7">
      <c r="A385" s="20">
        <v>384</v>
      </c>
      <c r="B385" s="20">
        <v>9169</v>
      </c>
      <c r="C385" s="21">
        <v>45190</v>
      </c>
      <c r="D385" s="20">
        <v>1871.48</v>
      </c>
      <c r="E385" s="22" t="s">
        <v>10</v>
      </c>
      <c r="F385" s="22" t="s">
        <v>13</v>
      </c>
      <c r="G385" s="22" t="s">
        <v>17</v>
      </c>
    </row>
    <row r="386" ht="15.15" spans="1:7">
      <c r="A386" s="20">
        <v>385</v>
      </c>
      <c r="B386" s="20">
        <v>5716</v>
      </c>
      <c r="C386" s="21">
        <v>45126</v>
      </c>
      <c r="D386" s="20">
        <v>1276.05</v>
      </c>
      <c r="E386" s="22" t="s">
        <v>10</v>
      </c>
      <c r="F386" s="22" t="s">
        <v>11</v>
      </c>
      <c r="G386" s="22" t="s">
        <v>15</v>
      </c>
    </row>
    <row r="387" ht="15.15" spans="1:7">
      <c r="A387" s="20">
        <v>386</v>
      </c>
      <c r="B387" s="20">
        <v>1136</v>
      </c>
      <c r="C387" s="21">
        <v>45279</v>
      </c>
      <c r="D387" s="20">
        <v>968.43</v>
      </c>
      <c r="E387" s="22" t="s">
        <v>10</v>
      </c>
      <c r="F387" s="22" t="s">
        <v>14</v>
      </c>
      <c r="G387" s="22" t="s">
        <v>17</v>
      </c>
    </row>
    <row r="388" ht="15.15" spans="1:7">
      <c r="A388" s="20">
        <v>387</v>
      </c>
      <c r="B388" s="20">
        <v>2892</v>
      </c>
      <c r="C388" s="21">
        <v>44948</v>
      </c>
      <c r="D388" s="20">
        <v>1095.62</v>
      </c>
      <c r="E388" s="22" t="s">
        <v>10</v>
      </c>
      <c r="F388" s="22" t="s">
        <v>14</v>
      </c>
      <c r="G388" s="22" t="s">
        <v>20</v>
      </c>
    </row>
    <row r="389" ht="15.15" spans="1:7">
      <c r="A389" s="20">
        <v>388</v>
      </c>
      <c r="B389" s="20">
        <v>918</v>
      </c>
      <c r="C389" s="21">
        <v>45009</v>
      </c>
      <c r="D389" s="20">
        <v>1955.93</v>
      </c>
      <c r="E389" s="22" t="s">
        <v>10</v>
      </c>
      <c r="F389" s="22" t="s">
        <v>18</v>
      </c>
      <c r="G389" s="22" t="s">
        <v>17</v>
      </c>
    </row>
    <row r="390" ht="15.15" spans="1:7">
      <c r="A390" s="20">
        <v>389</v>
      </c>
      <c r="B390" s="20">
        <v>1069</v>
      </c>
      <c r="C390" s="21">
        <v>45237</v>
      </c>
      <c r="D390" s="20">
        <v>661.44</v>
      </c>
      <c r="E390" s="22" t="s">
        <v>10</v>
      </c>
      <c r="F390" s="22" t="s">
        <v>14</v>
      </c>
      <c r="G390" s="22" t="s">
        <v>20</v>
      </c>
    </row>
    <row r="391" ht="15.15" spans="1:7">
      <c r="A391" s="20">
        <v>390</v>
      </c>
      <c r="B391" s="20">
        <v>1636</v>
      </c>
      <c r="C391" s="21">
        <v>45226</v>
      </c>
      <c r="D391" s="20">
        <v>1345.54</v>
      </c>
      <c r="E391" s="22" t="s">
        <v>10</v>
      </c>
      <c r="F391" s="22" t="s">
        <v>14</v>
      </c>
      <c r="G391" s="22" t="s">
        <v>17</v>
      </c>
    </row>
    <row r="392" ht="15.15" spans="1:7">
      <c r="A392" s="20">
        <v>391</v>
      </c>
      <c r="B392" s="20">
        <v>5489</v>
      </c>
      <c r="C392" s="21">
        <v>45094</v>
      </c>
      <c r="D392" s="20">
        <v>941.16</v>
      </c>
      <c r="E392" s="22" t="s">
        <v>10</v>
      </c>
      <c r="F392" s="22" t="s">
        <v>13</v>
      </c>
      <c r="G392" s="22" t="s">
        <v>15</v>
      </c>
    </row>
    <row r="393" ht="15.15" spans="1:7">
      <c r="A393" s="20">
        <v>392</v>
      </c>
      <c r="B393" s="20">
        <v>8101</v>
      </c>
      <c r="C393" s="21">
        <v>45003</v>
      </c>
      <c r="D393" s="20">
        <v>363.68</v>
      </c>
      <c r="E393" s="22" t="s">
        <v>10</v>
      </c>
      <c r="F393" s="22" t="s">
        <v>13</v>
      </c>
      <c r="G393" s="22" t="s">
        <v>17</v>
      </c>
    </row>
    <row r="394" ht="15.15" spans="1:7">
      <c r="A394" s="20">
        <v>393</v>
      </c>
      <c r="B394" s="20">
        <v>7658</v>
      </c>
      <c r="C394" s="21">
        <v>45266</v>
      </c>
      <c r="D394" s="20">
        <v>313.65</v>
      </c>
      <c r="E394" s="22" t="s">
        <v>10</v>
      </c>
      <c r="F394" s="22" t="s">
        <v>16</v>
      </c>
      <c r="G394" s="22" t="s">
        <v>20</v>
      </c>
    </row>
    <row r="395" ht="15.15" spans="1:7">
      <c r="A395" s="20">
        <v>394</v>
      </c>
      <c r="B395" s="20">
        <v>8889</v>
      </c>
      <c r="C395" s="21">
        <v>45103</v>
      </c>
      <c r="D395" s="20">
        <v>1731.97</v>
      </c>
      <c r="E395" s="22" t="s">
        <v>10</v>
      </c>
      <c r="F395" s="22" t="s">
        <v>13</v>
      </c>
      <c r="G395" s="22" t="s">
        <v>17</v>
      </c>
    </row>
    <row r="396" ht="15.15" spans="1:7">
      <c r="A396" s="20">
        <v>395</v>
      </c>
      <c r="B396" s="20">
        <v>5356</v>
      </c>
      <c r="C396" s="21">
        <v>45218</v>
      </c>
      <c r="D396" s="20">
        <v>1061.2</v>
      </c>
      <c r="E396" s="22" t="s">
        <v>10</v>
      </c>
      <c r="F396" s="22" t="s">
        <v>18</v>
      </c>
      <c r="G396" s="22" t="s">
        <v>17</v>
      </c>
    </row>
    <row r="397" ht="15.15" spans="1:7">
      <c r="A397" s="20">
        <v>396</v>
      </c>
      <c r="B397" s="20">
        <v>1277</v>
      </c>
      <c r="C397" s="21">
        <v>45241</v>
      </c>
      <c r="D397" s="20">
        <v>552.98</v>
      </c>
      <c r="E397" s="22" t="s">
        <v>10</v>
      </c>
      <c r="F397" s="22" t="s">
        <v>18</v>
      </c>
      <c r="G397" s="22" t="s">
        <v>17</v>
      </c>
    </row>
    <row r="398" ht="15.15" spans="1:7">
      <c r="A398" s="20">
        <v>397</v>
      </c>
      <c r="B398" s="20">
        <v>7183</v>
      </c>
      <c r="C398" s="21">
        <v>44945</v>
      </c>
      <c r="D398" s="20">
        <v>88.32</v>
      </c>
      <c r="E398" s="22" t="s">
        <v>10</v>
      </c>
      <c r="F398" s="22" t="s">
        <v>14</v>
      </c>
      <c r="G398" s="22" t="s">
        <v>12</v>
      </c>
    </row>
    <row r="399" ht="15.15" spans="1:7">
      <c r="A399" s="20">
        <v>398</v>
      </c>
      <c r="B399" s="20">
        <v>344</v>
      </c>
      <c r="C399" s="21">
        <v>45003</v>
      </c>
      <c r="D399" s="20">
        <v>3110.11</v>
      </c>
      <c r="E399" s="22" t="s">
        <v>21</v>
      </c>
      <c r="F399" s="22" t="s">
        <v>19</v>
      </c>
      <c r="G399" s="22" t="s">
        <v>20</v>
      </c>
    </row>
    <row r="400" ht="15.15" spans="1:7">
      <c r="A400" s="20">
        <v>399</v>
      </c>
      <c r="B400" s="20">
        <v>4508</v>
      </c>
      <c r="C400" s="21">
        <v>44975</v>
      </c>
      <c r="D400" s="20">
        <v>274.33</v>
      </c>
      <c r="E400" s="22" t="s">
        <v>10</v>
      </c>
      <c r="F400" s="22" t="s">
        <v>13</v>
      </c>
      <c r="G400" s="22" t="s">
        <v>12</v>
      </c>
    </row>
    <row r="401" ht="15.15" spans="1:7">
      <c r="A401" s="20">
        <v>400</v>
      </c>
      <c r="B401" s="20">
        <v>6946</v>
      </c>
      <c r="C401" s="21">
        <v>45140</v>
      </c>
      <c r="D401" s="20">
        <v>154.28</v>
      </c>
      <c r="E401" s="22" t="s">
        <v>10</v>
      </c>
      <c r="F401" s="22" t="s">
        <v>18</v>
      </c>
      <c r="G401" s="22" t="s">
        <v>17</v>
      </c>
    </row>
    <row r="402" ht="15.15" spans="1:7">
      <c r="A402" s="20">
        <v>401</v>
      </c>
      <c r="B402" s="20">
        <v>1730</v>
      </c>
      <c r="C402" s="21">
        <v>45212</v>
      </c>
      <c r="D402" s="20">
        <v>2637.59</v>
      </c>
      <c r="E402" s="22" t="s">
        <v>10</v>
      </c>
      <c r="F402" s="22" t="s">
        <v>13</v>
      </c>
      <c r="G402" s="22" t="s">
        <v>12</v>
      </c>
    </row>
    <row r="403" ht="15.15" spans="1:7">
      <c r="A403" s="20">
        <v>402</v>
      </c>
      <c r="B403" s="20">
        <v>266</v>
      </c>
      <c r="C403" s="21">
        <v>45181</v>
      </c>
      <c r="D403" s="20">
        <v>644.28</v>
      </c>
      <c r="E403" s="22" t="s">
        <v>10</v>
      </c>
      <c r="F403" s="22" t="s">
        <v>11</v>
      </c>
      <c r="G403" s="22" t="s">
        <v>12</v>
      </c>
    </row>
    <row r="404" ht="15.15" spans="1:7">
      <c r="A404" s="20">
        <v>403</v>
      </c>
      <c r="B404" s="20">
        <v>7472</v>
      </c>
      <c r="C404" s="21">
        <v>45259</v>
      </c>
      <c r="D404" s="20">
        <v>207.19</v>
      </c>
      <c r="E404" s="22" t="s">
        <v>10</v>
      </c>
      <c r="F404" s="22" t="s">
        <v>16</v>
      </c>
      <c r="G404" s="22" t="s">
        <v>12</v>
      </c>
    </row>
    <row r="405" ht="15.15" spans="1:7">
      <c r="A405" s="20">
        <v>404</v>
      </c>
      <c r="B405" s="20">
        <v>4834</v>
      </c>
      <c r="C405" s="21">
        <v>45020</v>
      </c>
      <c r="D405" s="20">
        <v>3639.15</v>
      </c>
      <c r="E405" s="22" t="s">
        <v>10</v>
      </c>
      <c r="F405" s="22" t="s">
        <v>16</v>
      </c>
      <c r="G405" s="22" t="s">
        <v>20</v>
      </c>
    </row>
    <row r="406" ht="15.15" spans="1:7">
      <c r="A406" s="20">
        <v>405</v>
      </c>
      <c r="B406" s="20">
        <v>5691</v>
      </c>
      <c r="C406" s="21">
        <v>45113</v>
      </c>
      <c r="D406" s="20">
        <v>154.02</v>
      </c>
      <c r="E406" s="22" t="s">
        <v>10</v>
      </c>
      <c r="F406" s="22" t="s">
        <v>13</v>
      </c>
      <c r="G406" s="22" t="s">
        <v>17</v>
      </c>
    </row>
    <row r="407" ht="15.15" spans="1:7">
      <c r="A407" s="20">
        <v>406</v>
      </c>
      <c r="B407" s="20">
        <v>8017</v>
      </c>
      <c r="C407" s="21">
        <v>45232</v>
      </c>
      <c r="D407" s="20">
        <v>1352.34</v>
      </c>
      <c r="E407" s="22" t="s">
        <v>10</v>
      </c>
      <c r="F407" s="22" t="s">
        <v>19</v>
      </c>
      <c r="G407" s="22" t="s">
        <v>12</v>
      </c>
    </row>
    <row r="408" ht="15.15" spans="1:7">
      <c r="A408" s="20">
        <v>407</v>
      </c>
      <c r="B408" s="20">
        <v>6965</v>
      </c>
      <c r="C408" s="21">
        <v>45242</v>
      </c>
      <c r="D408" s="20">
        <v>1737.24</v>
      </c>
      <c r="E408" s="22" t="s">
        <v>21</v>
      </c>
      <c r="F408" s="22" t="s">
        <v>14</v>
      </c>
      <c r="G408" s="22" t="s">
        <v>15</v>
      </c>
    </row>
    <row r="409" ht="15.15" spans="1:7">
      <c r="A409" s="20">
        <v>408</v>
      </c>
      <c r="B409" s="20">
        <v>1627</v>
      </c>
      <c r="C409" s="21">
        <v>45262</v>
      </c>
      <c r="D409" s="20">
        <v>613.75</v>
      </c>
      <c r="E409" s="22" t="s">
        <v>10</v>
      </c>
      <c r="F409" s="22" t="s">
        <v>11</v>
      </c>
      <c r="G409" s="22" t="s">
        <v>15</v>
      </c>
    </row>
    <row r="410" ht="15.15" spans="1:7">
      <c r="A410" s="20">
        <v>409</v>
      </c>
      <c r="B410" s="20">
        <v>8231</v>
      </c>
      <c r="C410" s="21">
        <v>45138</v>
      </c>
      <c r="D410" s="20">
        <v>2252.67</v>
      </c>
      <c r="E410" s="22" t="s">
        <v>10</v>
      </c>
      <c r="F410" s="22" t="s">
        <v>16</v>
      </c>
      <c r="G410" s="22" t="s">
        <v>12</v>
      </c>
    </row>
    <row r="411" ht="15.15" spans="1:7">
      <c r="A411" s="20">
        <v>410</v>
      </c>
      <c r="B411" s="20">
        <v>9546</v>
      </c>
      <c r="C411" s="21">
        <v>45188</v>
      </c>
      <c r="D411" s="20">
        <v>1814.64</v>
      </c>
      <c r="E411" s="22" t="s">
        <v>10</v>
      </c>
      <c r="F411" s="22" t="s">
        <v>11</v>
      </c>
      <c r="G411" s="22" t="s">
        <v>12</v>
      </c>
    </row>
    <row r="412" ht="15.15" spans="1:7">
      <c r="A412" s="20">
        <v>411</v>
      </c>
      <c r="B412" s="20">
        <v>8963</v>
      </c>
      <c r="C412" s="21">
        <v>44957</v>
      </c>
      <c r="D412" s="20">
        <v>6922.31</v>
      </c>
      <c r="E412" s="22" t="s">
        <v>10</v>
      </c>
      <c r="F412" s="22" t="s">
        <v>18</v>
      </c>
      <c r="G412" s="22" t="s">
        <v>20</v>
      </c>
    </row>
    <row r="413" ht="15.15" spans="1:7">
      <c r="A413" s="20">
        <v>412</v>
      </c>
      <c r="B413" s="20">
        <v>2184</v>
      </c>
      <c r="C413" s="21">
        <v>45164</v>
      </c>
      <c r="D413" s="20">
        <v>935.66</v>
      </c>
      <c r="E413" s="22" t="s">
        <v>10</v>
      </c>
      <c r="F413" s="22" t="s">
        <v>11</v>
      </c>
      <c r="G413" s="22" t="s">
        <v>15</v>
      </c>
    </row>
    <row r="414" ht="15.15" spans="1:7">
      <c r="A414" s="20">
        <v>413</v>
      </c>
      <c r="B414" s="20">
        <v>1252</v>
      </c>
      <c r="C414" s="21">
        <v>45256</v>
      </c>
      <c r="D414" s="20">
        <v>2731.92</v>
      </c>
      <c r="E414" s="22" t="s">
        <v>10</v>
      </c>
      <c r="F414" s="22" t="s">
        <v>18</v>
      </c>
      <c r="G414" s="22" t="s">
        <v>12</v>
      </c>
    </row>
    <row r="415" ht="15.15" spans="1:7">
      <c r="A415" s="20">
        <v>414</v>
      </c>
      <c r="B415" s="20">
        <v>3282</v>
      </c>
      <c r="C415" s="21">
        <v>45221</v>
      </c>
      <c r="D415" s="20">
        <v>211.3</v>
      </c>
      <c r="E415" s="22" t="s">
        <v>10</v>
      </c>
      <c r="F415" s="22" t="s">
        <v>14</v>
      </c>
      <c r="G415" s="22" t="s">
        <v>17</v>
      </c>
    </row>
    <row r="416" ht="15.15" spans="1:7">
      <c r="A416" s="20">
        <v>415</v>
      </c>
      <c r="B416" s="20">
        <v>7148</v>
      </c>
      <c r="C416" s="21">
        <v>45160</v>
      </c>
      <c r="D416" s="20">
        <v>255.79</v>
      </c>
      <c r="E416" s="22" t="s">
        <v>10</v>
      </c>
      <c r="F416" s="22" t="s">
        <v>18</v>
      </c>
      <c r="G416" s="22" t="s">
        <v>17</v>
      </c>
    </row>
    <row r="417" ht="15.15" spans="1:7">
      <c r="A417" s="20">
        <v>416</v>
      </c>
      <c r="B417" s="20">
        <v>6710</v>
      </c>
      <c r="C417" s="21">
        <v>44996</v>
      </c>
      <c r="D417" s="20">
        <v>1992.18</v>
      </c>
      <c r="E417" s="22" t="s">
        <v>10</v>
      </c>
      <c r="F417" s="22" t="s">
        <v>18</v>
      </c>
      <c r="G417" s="22" t="s">
        <v>20</v>
      </c>
    </row>
    <row r="418" ht="15.15" spans="1:7">
      <c r="A418" s="20">
        <v>417</v>
      </c>
      <c r="B418" s="20">
        <v>6325</v>
      </c>
      <c r="C418" s="21">
        <v>45274</v>
      </c>
      <c r="D418" s="20">
        <v>1675.49</v>
      </c>
      <c r="E418" s="22" t="s">
        <v>10</v>
      </c>
      <c r="F418" s="22" t="s">
        <v>14</v>
      </c>
      <c r="G418" s="22" t="s">
        <v>12</v>
      </c>
    </row>
    <row r="419" ht="15.15" spans="1:7">
      <c r="A419" s="20">
        <v>418</v>
      </c>
      <c r="B419" s="20">
        <v>4288</v>
      </c>
      <c r="C419" s="21">
        <v>45203</v>
      </c>
      <c r="D419" s="20">
        <v>313.65</v>
      </c>
      <c r="E419" s="22" t="s">
        <v>10</v>
      </c>
      <c r="F419" s="22" t="s">
        <v>13</v>
      </c>
      <c r="G419" s="22" t="s">
        <v>17</v>
      </c>
    </row>
    <row r="420" ht="15.15" spans="1:7">
      <c r="A420" s="20">
        <v>419</v>
      </c>
      <c r="B420" s="20">
        <v>4312</v>
      </c>
      <c r="C420" s="21">
        <v>45113</v>
      </c>
      <c r="D420" s="20">
        <v>1267.96</v>
      </c>
      <c r="E420" s="22" t="s">
        <v>10</v>
      </c>
      <c r="F420" s="22" t="s">
        <v>16</v>
      </c>
      <c r="G420" s="22" t="s">
        <v>20</v>
      </c>
    </row>
    <row r="421" ht="15.15" spans="1:7">
      <c r="A421" s="20">
        <v>420</v>
      </c>
      <c r="B421" s="20">
        <v>2837</v>
      </c>
      <c r="C421" s="21">
        <v>45225</v>
      </c>
      <c r="D421" s="20">
        <v>2238.85</v>
      </c>
      <c r="E421" s="22" t="s">
        <v>10</v>
      </c>
      <c r="F421" s="22" t="s">
        <v>16</v>
      </c>
      <c r="G421" s="22" t="s">
        <v>12</v>
      </c>
    </row>
    <row r="422" ht="15.15" spans="1:7">
      <c r="A422" s="20">
        <v>421</v>
      </c>
      <c r="B422" s="20">
        <v>1571</v>
      </c>
      <c r="C422" s="21">
        <v>45202</v>
      </c>
      <c r="D422" s="20">
        <v>96.07</v>
      </c>
      <c r="E422" s="22" t="s">
        <v>10</v>
      </c>
      <c r="F422" s="22" t="s">
        <v>16</v>
      </c>
      <c r="G422" s="22" t="s">
        <v>15</v>
      </c>
    </row>
    <row r="423" ht="15.15" spans="1:7">
      <c r="A423" s="20">
        <v>422</v>
      </c>
      <c r="B423" s="20">
        <v>8781</v>
      </c>
      <c r="C423" s="21">
        <v>45137</v>
      </c>
      <c r="D423" s="20">
        <v>1204.06</v>
      </c>
      <c r="E423" s="22" t="s">
        <v>10</v>
      </c>
      <c r="F423" s="22" t="s">
        <v>13</v>
      </c>
      <c r="G423" s="22" t="s">
        <v>12</v>
      </c>
    </row>
    <row r="424" ht="15.15" spans="1:7">
      <c r="A424" s="20">
        <v>423</v>
      </c>
      <c r="B424" s="20">
        <v>3602</v>
      </c>
      <c r="C424" s="21">
        <v>44958</v>
      </c>
      <c r="D424" s="20">
        <v>2435.31</v>
      </c>
      <c r="E424" s="22" t="s">
        <v>10</v>
      </c>
      <c r="F424" s="22" t="s">
        <v>14</v>
      </c>
      <c r="G424" s="22" t="s">
        <v>12</v>
      </c>
    </row>
    <row r="425" ht="15.15" spans="1:7">
      <c r="A425" s="20">
        <v>424</v>
      </c>
      <c r="B425" s="20">
        <v>9139</v>
      </c>
      <c r="C425" s="21">
        <v>44981</v>
      </c>
      <c r="D425" s="20">
        <v>861.87</v>
      </c>
      <c r="E425" s="22" t="s">
        <v>10</v>
      </c>
      <c r="F425" s="22" t="s">
        <v>16</v>
      </c>
      <c r="G425" s="22" t="s">
        <v>12</v>
      </c>
    </row>
    <row r="426" ht="15.15" spans="1:7">
      <c r="A426" s="20">
        <v>425</v>
      </c>
      <c r="B426" s="20">
        <v>3250</v>
      </c>
      <c r="C426" s="21">
        <v>45241</v>
      </c>
      <c r="D426" s="20">
        <v>2752.78</v>
      </c>
      <c r="E426" s="22" t="s">
        <v>10</v>
      </c>
      <c r="F426" s="22" t="s">
        <v>16</v>
      </c>
      <c r="G426" s="22" t="s">
        <v>20</v>
      </c>
    </row>
    <row r="427" ht="15.15" spans="1:7">
      <c r="A427" s="20">
        <v>426</v>
      </c>
      <c r="B427" s="20">
        <v>9029</v>
      </c>
      <c r="C427" s="21">
        <v>45037</v>
      </c>
      <c r="D427" s="20">
        <v>2450.69</v>
      </c>
      <c r="E427" s="22" t="s">
        <v>10</v>
      </c>
      <c r="F427" s="22" t="s">
        <v>11</v>
      </c>
      <c r="G427" s="22" t="s">
        <v>17</v>
      </c>
    </row>
    <row r="428" ht="15.15" spans="1:7">
      <c r="A428" s="20">
        <v>427</v>
      </c>
      <c r="B428" s="20">
        <v>5677</v>
      </c>
      <c r="C428" s="21">
        <v>45219</v>
      </c>
      <c r="D428" s="20">
        <v>318.02</v>
      </c>
      <c r="E428" s="22" t="s">
        <v>10</v>
      </c>
      <c r="F428" s="22" t="s">
        <v>18</v>
      </c>
      <c r="G428" s="22" t="s">
        <v>17</v>
      </c>
    </row>
    <row r="429" ht="15.15" spans="1:7">
      <c r="A429" s="20">
        <v>428</v>
      </c>
      <c r="B429" s="20">
        <v>1457</v>
      </c>
      <c r="C429" s="21">
        <v>45151</v>
      </c>
      <c r="D429" s="20">
        <v>457.08</v>
      </c>
      <c r="E429" s="22" t="s">
        <v>10</v>
      </c>
      <c r="F429" s="22" t="s">
        <v>11</v>
      </c>
      <c r="G429" s="22" t="s">
        <v>20</v>
      </c>
    </row>
    <row r="430" ht="15.15" spans="1:7">
      <c r="A430" s="20">
        <v>429</v>
      </c>
      <c r="B430" s="20">
        <v>3046</v>
      </c>
      <c r="C430" s="21">
        <v>45026</v>
      </c>
      <c r="D430" s="20">
        <v>1858.95</v>
      </c>
      <c r="E430" s="22" t="s">
        <v>10</v>
      </c>
      <c r="F430" s="22" t="s">
        <v>18</v>
      </c>
      <c r="G430" s="22" t="s">
        <v>20</v>
      </c>
    </row>
    <row r="431" ht="15.15" spans="1:7">
      <c r="A431" s="20">
        <v>430</v>
      </c>
      <c r="B431" s="20">
        <v>7237</v>
      </c>
      <c r="C431" s="21">
        <v>45204</v>
      </c>
      <c r="D431" s="20">
        <v>992.37</v>
      </c>
      <c r="E431" s="22" t="s">
        <v>10</v>
      </c>
      <c r="F431" s="22" t="s">
        <v>11</v>
      </c>
      <c r="G431" s="22" t="s">
        <v>15</v>
      </c>
    </row>
    <row r="432" ht="15.15" spans="1:7">
      <c r="A432" s="20">
        <v>431</v>
      </c>
      <c r="B432" s="20">
        <v>7569</v>
      </c>
      <c r="C432" s="21">
        <v>45110</v>
      </c>
      <c r="D432" s="20">
        <v>1644.93</v>
      </c>
      <c r="E432" s="22" t="s">
        <v>10</v>
      </c>
      <c r="F432" s="22" t="s">
        <v>11</v>
      </c>
      <c r="G432" s="22" t="s">
        <v>15</v>
      </c>
    </row>
    <row r="433" ht="15.15" spans="1:7">
      <c r="A433" s="20">
        <v>432</v>
      </c>
      <c r="B433" s="20">
        <v>1056</v>
      </c>
      <c r="C433" s="21">
        <v>45064</v>
      </c>
      <c r="D433" s="20">
        <v>1164.17</v>
      </c>
      <c r="E433" s="22" t="s">
        <v>10</v>
      </c>
      <c r="F433" s="22" t="s">
        <v>16</v>
      </c>
      <c r="G433" s="22" t="s">
        <v>12</v>
      </c>
    </row>
    <row r="434" ht="15.15" spans="1:7">
      <c r="A434" s="20">
        <v>433</v>
      </c>
      <c r="B434" s="20">
        <v>9767</v>
      </c>
      <c r="C434" s="21">
        <v>45077</v>
      </c>
      <c r="D434" s="20">
        <v>2529.81</v>
      </c>
      <c r="E434" s="22" t="s">
        <v>10</v>
      </c>
      <c r="F434" s="22" t="s">
        <v>18</v>
      </c>
      <c r="G434" s="22" t="s">
        <v>12</v>
      </c>
    </row>
    <row r="435" ht="15.15" spans="1:7">
      <c r="A435" s="20">
        <v>434</v>
      </c>
      <c r="B435" s="20">
        <v>4484</v>
      </c>
      <c r="C435" s="21">
        <v>45217</v>
      </c>
      <c r="D435" s="20">
        <v>3031.85</v>
      </c>
      <c r="E435" s="22" t="s">
        <v>10</v>
      </c>
      <c r="F435" s="22" t="s">
        <v>14</v>
      </c>
      <c r="G435" s="22" t="s">
        <v>20</v>
      </c>
    </row>
    <row r="436" ht="15.15" spans="1:7">
      <c r="A436" s="20">
        <v>435</v>
      </c>
      <c r="B436" s="20">
        <v>3045</v>
      </c>
      <c r="C436" s="21">
        <v>45263</v>
      </c>
      <c r="D436" s="20">
        <v>1674.06</v>
      </c>
      <c r="E436" s="22" t="s">
        <v>10</v>
      </c>
      <c r="F436" s="22" t="s">
        <v>11</v>
      </c>
      <c r="G436" s="22" t="s">
        <v>17</v>
      </c>
    </row>
    <row r="437" ht="15.15" spans="1:7">
      <c r="A437" s="20">
        <v>436</v>
      </c>
      <c r="B437" s="20">
        <v>4193</v>
      </c>
      <c r="C437" s="21">
        <v>45034</v>
      </c>
      <c r="D437" s="20">
        <v>437.12</v>
      </c>
      <c r="E437" s="22" t="s">
        <v>10</v>
      </c>
      <c r="F437" s="22" t="s">
        <v>13</v>
      </c>
      <c r="G437" s="22" t="s">
        <v>17</v>
      </c>
    </row>
    <row r="438" ht="15.15" spans="1:7">
      <c r="A438" s="20">
        <v>437</v>
      </c>
      <c r="B438" s="20">
        <v>2160</v>
      </c>
      <c r="C438" s="21">
        <v>45251</v>
      </c>
      <c r="D438" s="20">
        <v>133.38</v>
      </c>
      <c r="E438" s="22" t="s">
        <v>10</v>
      </c>
      <c r="F438" s="22" t="s">
        <v>16</v>
      </c>
      <c r="G438" s="22" t="s">
        <v>17</v>
      </c>
    </row>
    <row r="439" ht="15.15" spans="1:7">
      <c r="A439" s="20">
        <v>438</v>
      </c>
      <c r="B439" s="20">
        <v>1949</v>
      </c>
      <c r="C439" s="21">
        <v>45273</v>
      </c>
      <c r="D439" s="20">
        <v>131.91</v>
      </c>
      <c r="E439" s="22" t="s">
        <v>10</v>
      </c>
      <c r="F439" s="22" t="s">
        <v>11</v>
      </c>
      <c r="G439" s="22" t="s">
        <v>20</v>
      </c>
    </row>
    <row r="440" ht="15.15" spans="1:7">
      <c r="A440" s="20">
        <v>439</v>
      </c>
      <c r="B440" s="20">
        <v>3287</v>
      </c>
      <c r="C440" s="21">
        <v>45242</v>
      </c>
      <c r="D440" s="20">
        <v>1912.64</v>
      </c>
      <c r="E440" s="22" t="s">
        <v>10</v>
      </c>
      <c r="F440" s="22" t="s">
        <v>14</v>
      </c>
      <c r="G440" s="22" t="s">
        <v>12</v>
      </c>
    </row>
    <row r="441" ht="15.15" spans="1:7">
      <c r="A441" s="20">
        <v>440</v>
      </c>
      <c r="B441" s="20">
        <v>2608</v>
      </c>
      <c r="C441" s="21">
        <v>45008</v>
      </c>
      <c r="D441" s="20">
        <v>282.13</v>
      </c>
      <c r="E441" s="22" t="s">
        <v>10</v>
      </c>
      <c r="F441" s="22" t="s">
        <v>13</v>
      </c>
      <c r="G441" s="22" t="s">
        <v>17</v>
      </c>
    </row>
    <row r="442" ht="15.15" spans="1:7">
      <c r="A442" s="20">
        <v>441</v>
      </c>
      <c r="B442" s="20">
        <v>2147</v>
      </c>
      <c r="C442" s="21">
        <v>44965</v>
      </c>
      <c r="D442" s="20">
        <v>936.76</v>
      </c>
      <c r="E442" s="22" t="s">
        <v>10</v>
      </c>
      <c r="F442" s="22" t="s">
        <v>11</v>
      </c>
      <c r="G442" s="22" t="s">
        <v>20</v>
      </c>
    </row>
    <row r="443" ht="15.15" spans="1:7">
      <c r="A443" s="20">
        <v>442</v>
      </c>
      <c r="B443" s="20">
        <v>4242</v>
      </c>
      <c r="C443" s="21">
        <v>45097</v>
      </c>
      <c r="D443" s="20">
        <v>1471.58</v>
      </c>
      <c r="E443" s="22" t="s">
        <v>10</v>
      </c>
      <c r="F443" s="22" t="s">
        <v>18</v>
      </c>
      <c r="G443" s="22" t="s">
        <v>17</v>
      </c>
    </row>
    <row r="444" ht="15.15" spans="1:7">
      <c r="A444" s="20">
        <v>443</v>
      </c>
      <c r="B444" s="20">
        <v>7151</v>
      </c>
      <c r="C444" s="21">
        <v>44941</v>
      </c>
      <c r="D444" s="20">
        <v>875.32</v>
      </c>
      <c r="E444" s="22" t="s">
        <v>10</v>
      </c>
      <c r="F444" s="22" t="s">
        <v>16</v>
      </c>
      <c r="G444" s="22" t="s">
        <v>17</v>
      </c>
    </row>
    <row r="445" ht="15.15" spans="1:7">
      <c r="A445" s="20">
        <v>444</v>
      </c>
      <c r="B445" s="20">
        <v>4164</v>
      </c>
      <c r="C445" s="21">
        <v>44964</v>
      </c>
      <c r="D445" s="20">
        <v>1952.31</v>
      </c>
      <c r="E445" s="22" t="s">
        <v>10</v>
      </c>
      <c r="F445" s="22" t="s">
        <v>13</v>
      </c>
      <c r="G445" s="22" t="s">
        <v>15</v>
      </c>
    </row>
    <row r="446" ht="15.15" spans="1:7">
      <c r="A446" s="20">
        <v>445</v>
      </c>
      <c r="B446" s="20">
        <v>8616</v>
      </c>
      <c r="C446" s="21">
        <v>45112</v>
      </c>
      <c r="D446" s="20">
        <v>2960.39</v>
      </c>
      <c r="E446" s="22" t="s">
        <v>10</v>
      </c>
      <c r="F446" s="22" t="s">
        <v>11</v>
      </c>
      <c r="G446" s="22" t="s">
        <v>17</v>
      </c>
    </row>
    <row r="447" ht="15.15" spans="1:7">
      <c r="A447" s="20">
        <v>446</v>
      </c>
      <c r="B447" s="20">
        <v>2998</v>
      </c>
      <c r="C447" s="21">
        <v>45035</v>
      </c>
      <c r="D447" s="20">
        <v>919.49</v>
      </c>
      <c r="E447" s="22" t="s">
        <v>10</v>
      </c>
      <c r="F447" s="22" t="s">
        <v>18</v>
      </c>
      <c r="G447" s="22" t="s">
        <v>12</v>
      </c>
    </row>
    <row r="448" ht="15.15" spans="1:7">
      <c r="A448" s="20">
        <v>447</v>
      </c>
      <c r="B448" s="20">
        <v>1674</v>
      </c>
      <c r="C448" s="21">
        <v>45175</v>
      </c>
      <c r="D448" s="20">
        <v>1556.63</v>
      </c>
      <c r="E448" s="22" t="s">
        <v>10</v>
      </c>
      <c r="F448" s="22" t="s">
        <v>18</v>
      </c>
      <c r="G448" s="22" t="s">
        <v>20</v>
      </c>
    </row>
    <row r="449" ht="15.15" spans="1:7">
      <c r="A449" s="20">
        <v>448</v>
      </c>
      <c r="B449" s="20">
        <v>1224</v>
      </c>
      <c r="C449" s="21">
        <v>45007</v>
      </c>
      <c r="D449" s="20">
        <v>917.62</v>
      </c>
      <c r="E449" s="22" t="s">
        <v>10</v>
      </c>
      <c r="F449" s="22" t="s">
        <v>14</v>
      </c>
      <c r="G449" s="22" t="s">
        <v>12</v>
      </c>
    </row>
    <row r="450" ht="15.15" spans="1:7">
      <c r="A450" s="20">
        <v>449</v>
      </c>
      <c r="B450" s="20">
        <v>7080</v>
      </c>
      <c r="C450" s="21">
        <v>45240</v>
      </c>
      <c r="D450" s="20">
        <v>493.21</v>
      </c>
      <c r="E450" s="22" t="s">
        <v>10</v>
      </c>
      <c r="F450" s="22" t="s">
        <v>11</v>
      </c>
      <c r="G450" s="22" t="s">
        <v>12</v>
      </c>
    </row>
    <row r="451" ht="15.15" spans="1:7">
      <c r="A451" s="20">
        <v>450</v>
      </c>
      <c r="B451" s="20">
        <v>3086</v>
      </c>
      <c r="C451" s="21">
        <v>45226</v>
      </c>
      <c r="D451" s="20">
        <v>2455.06</v>
      </c>
      <c r="E451" s="22" t="s">
        <v>10</v>
      </c>
      <c r="F451" s="22" t="s">
        <v>13</v>
      </c>
      <c r="G451" s="22" t="s">
        <v>12</v>
      </c>
    </row>
    <row r="452" ht="15.15" spans="1:7">
      <c r="A452" s="20">
        <v>451</v>
      </c>
      <c r="B452" s="20">
        <v>2510</v>
      </c>
      <c r="C452" s="21">
        <v>45130</v>
      </c>
      <c r="D452" s="20">
        <v>525.68</v>
      </c>
      <c r="E452" s="22" t="s">
        <v>10</v>
      </c>
      <c r="F452" s="22" t="s">
        <v>14</v>
      </c>
      <c r="G452" s="22" t="s">
        <v>12</v>
      </c>
    </row>
    <row r="453" ht="15.15" spans="1:7">
      <c r="A453" s="20">
        <v>452</v>
      </c>
      <c r="B453" s="20">
        <v>1372</v>
      </c>
      <c r="C453" s="21">
        <v>45226</v>
      </c>
      <c r="D453" s="20">
        <v>1534.8</v>
      </c>
      <c r="E453" s="22" t="s">
        <v>10</v>
      </c>
      <c r="F453" s="22" t="s">
        <v>13</v>
      </c>
      <c r="G453" s="22" t="s">
        <v>12</v>
      </c>
    </row>
    <row r="454" ht="15.15" spans="1:7">
      <c r="A454" s="20">
        <v>453</v>
      </c>
      <c r="B454" s="20">
        <v>5651</v>
      </c>
      <c r="C454" s="21">
        <v>45076</v>
      </c>
      <c r="D454" s="20">
        <v>2370.57</v>
      </c>
      <c r="E454" s="22" t="s">
        <v>10</v>
      </c>
      <c r="F454" s="22" t="s">
        <v>18</v>
      </c>
      <c r="G454" s="22" t="s">
        <v>20</v>
      </c>
    </row>
    <row r="455" ht="15.15" spans="1:7">
      <c r="A455" s="20">
        <v>454</v>
      </c>
      <c r="B455" s="20">
        <v>7597</v>
      </c>
      <c r="C455" s="21">
        <v>45238</v>
      </c>
      <c r="D455" s="20">
        <v>1278.28</v>
      </c>
      <c r="E455" s="22" t="s">
        <v>10</v>
      </c>
      <c r="F455" s="22" t="s">
        <v>16</v>
      </c>
      <c r="G455" s="22" t="s">
        <v>20</v>
      </c>
    </row>
    <row r="456" ht="15.15" spans="1:7">
      <c r="A456" s="20">
        <v>455</v>
      </c>
      <c r="B456" s="20">
        <v>2982</v>
      </c>
      <c r="C456" s="21">
        <v>45231</v>
      </c>
      <c r="D456" s="20">
        <v>1159.58</v>
      </c>
      <c r="E456" s="22" t="s">
        <v>10</v>
      </c>
      <c r="F456" s="22" t="s">
        <v>16</v>
      </c>
      <c r="G456" s="22" t="s">
        <v>20</v>
      </c>
    </row>
    <row r="457" ht="15.15" spans="1:7">
      <c r="A457" s="20">
        <v>456</v>
      </c>
      <c r="B457" s="20">
        <v>6526</v>
      </c>
      <c r="C457" s="21">
        <v>45266</v>
      </c>
      <c r="D457" s="20">
        <v>3366.93</v>
      </c>
      <c r="E457" s="22" t="s">
        <v>22</v>
      </c>
      <c r="F457" s="22" t="s">
        <v>11</v>
      </c>
      <c r="G457" s="22" t="s">
        <v>12</v>
      </c>
    </row>
    <row r="458" ht="15.15" spans="1:7">
      <c r="A458" s="20">
        <v>457</v>
      </c>
      <c r="B458" s="20">
        <v>7493</v>
      </c>
      <c r="C458" s="21">
        <v>45221</v>
      </c>
      <c r="D458" s="20">
        <v>2704.9</v>
      </c>
      <c r="E458" s="22" t="s">
        <v>21</v>
      </c>
      <c r="F458" s="22" t="s">
        <v>11</v>
      </c>
      <c r="G458" s="22" t="s">
        <v>12</v>
      </c>
    </row>
    <row r="459" ht="15.15" spans="1:7">
      <c r="A459" s="20">
        <v>458</v>
      </c>
      <c r="B459" s="20">
        <v>5552</v>
      </c>
      <c r="C459" s="21">
        <v>45255</v>
      </c>
      <c r="D459" s="20">
        <v>1651.23</v>
      </c>
      <c r="E459" s="22" t="s">
        <v>10</v>
      </c>
      <c r="F459" s="22" t="s">
        <v>19</v>
      </c>
      <c r="G459" s="22" t="s">
        <v>20</v>
      </c>
    </row>
    <row r="460" ht="15.15" spans="1:7">
      <c r="A460" s="20">
        <v>459</v>
      </c>
      <c r="B460" s="20">
        <v>8128</v>
      </c>
      <c r="C460" s="21">
        <v>44965</v>
      </c>
      <c r="D460" s="20">
        <v>621.26</v>
      </c>
      <c r="E460" s="22" t="s">
        <v>22</v>
      </c>
      <c r="F460" s="22" t="s">
        <v>14</v>
      </c>
      <c r="G460" s="22" t="s">
        <v>17</v>
      </c>
    </row>
    <row r="461" ht="15.15" spans="1:7">
      <c r="A461" s="20">
        <v>460</v>
      </c>
      <c r="B461" s="20">
        <v>1777</v>
      </c>
      <c r="C461" s="21">
        <v>45211</v>
      </c>
      <c r="D461" s="20">
        <v>580</v>
      </c>
      <c r="E461" s="22" t="s">
        <v>10</v>
      </c>
      <c r="F461" s="22" t="s">
        <v>13</v>
      </c>
      <c r="G461" s="22" t="s">
        <v>15</v>
      </c>
    </row>
    <row r="462" ht="15.15" spans="1:7">
      <c r="A462" s="20">
        <v>461</v>
      </c>
      <c r="B462" s="20">
        <v>5119</v>
      </c>
      <c r="C462" s="21">
        <v>45241</v>
      </c>
      <c r="D462" s="20">
        <v>798.94</v>
      </c>
      <c r="E462" s="22" t="s">
        <v>10</v>
      </c>
      <c r="F462" s="22" t="s">
        <v>14</v>
      </c>
      <c r="G462" s="22" t="s">
        <v>20</v>
      </c>
    </row>
    <row r="463" ht="15.15" spans="1:7">
      <c r="A463" s="20">
        <v>462</v>
      </c>
      <c r="B463" s="20">
        <v>9369</v>
      </c>
      <c r="C463" s="21">
        <v>45103</v>
      </c>
      <c r="D463" s="20">
        <v>1064.65</v>
      </c>
      <c r="E463" s="22" t="s">
        <v>10</v>
      </c>
      <c r="F463" s="22" t="s">
        <v>16</v>
      </c>
      <c r="G463" s="22" t="s">
        <v>17</v>
      </c>
    </row>
    <row r="464" ht="15.15" spans="1:7">
      <c r="A464" s="20">
        <v>463</v>
      </c>
      <c r="B464" s="20">
        <v>7074</v>
      </c>
      <c r="C464" s="21">
        <v>45258</v>
      </c>
      <c r="D464" s="20">
        <v>201.88</v>
      </c>
      <c r="E464" s="22" t="s">
        <v>10</v>
      </c>
      <c r="F464" s="22" t="s">
        <v>18</v>
      </c>
      <c r="G464" s="22" t="s">
        <v>12</v>
      </c>
    </row>
    <row r="465" ht="15.15" spans="1:7">
      <c r="A465" s="20">
        <v>464</v>
      </c>
      <c r="B465" s="20">
        <v>6743</v>
      </c>
      <c r="C465" s="21">
        <v>45221</v>
      </c>
      <c r="D465" s="20">
        <v>3034.04</v>
      </c>
      <c r="E465" s="22" t="s">
        <v>10</v>
      </c>
      <c r="F465" s="22" t="s">
        <v>13</v>
      </c>
      <c r="G465" s="22" t="s">
        <v>15</v>
      </c>
    </row>
    <row r="466" ht="15.15" spans="1:7">
      <c r="A466" s="20">
        <v>465</v>
      </c>
      <c r="B466" s="20">
        <v>488</v>
      </c>
      <c r="C466" s="21">
        <v>45127</v>
      </c>
      <c r="D466" s="20">
        <v>2062.23</v>
      </c>
      <c r="E466" s="22" t="s">
        <v>22</v>
      </c>
      <c r="F466" s="22" t="s">
        <v>16</v>
      </c>
      <c r="G466" s="22" t="s">
        <v>17</v>
      </c>
    </row>
    <row r="467" ht="15.15" spans="1:7">
      <c r="A467" s="20">
        <v>466</v>
      </c>
      <c r="B467" s="20">
        <v>8722</v>
      </c>
      <c r="C467" s="21">
        <v>45064</v>
      </c>
      <c r="D467" s="20">
        <v>1946.8</v>
      </c>
      <c r="E467" s="22" t="s">
        <v>10</v>
      </c>
      <c r="F467" s="22" t="s">
        <v>16</v>
      </c>
      <c r="G467" s="22" t="s">
        <v>17</v>
      </c>
    </row>
    <row r="468" ht="15.15" spans="1:7">
      <c r="A468" s="20">
        <v>467</v>
      </c>
      <c r="B468" s="20">
        <v>1069</v>
      </c>
      <c r="C468" s="21">
        <v>44978</v>
      </c>
      <c r="D468" s="20">
        <v>1796.44</v>
      </c>
      <c r="E468" s="22" t="s">
        <v>10</v>
      </c>
      <c r="F468" s="22" t="s">
        <v>14</v>
      </c>
      <c r="G468" s="22" t="s">
        <v>17</v>
      </c>
    </row>
    <row r="469" ht="15.15" spans="1:7">
      <c r="A469" s="20">
        <v>468</v>
      </c>
      <c r="B469" s="20">
        <v>1463</v>
      </c>
      <c r="C469" s="21">
        <v>45245</v>
      </c>
      <c r="D469" s="20">
        <v>918.44</v>
      </c>
      <c r="E469" s="22" t="s">
        <v>10</v>
      </c>
      <c r="F469" s="22" t="s">
        <v>16</v>
      </c>
      <c r="G469" s="22" t="s">
        <v>12</v>
      </c>
    </row>
    <row r="470" ht="15.15" spans="1:7">
      <c r="A470" s="20">
        <v>469</v>
      </c>
      <c r="B470" s="20">
        <v>6989</v>
      </c>
      <c r="C470" s="21">
        <v>45134</v>
      </c>
      <c r="D470" s="20">
        <v>766.48</v>
      </c>
      <c r="E470" s="22" t="s">
        <v>10</v>
      </c>
      <c r="F470" s="22" t="s">
        <v>16</v>
      </c>
      <c r="G470" s="22" t="s">
        <v>20</v>
      </c>
    </row>
    <row r="471" ht="15.15" spans="1:7">
      <c r="A471" s="20">
        <v>470</v>
      </c>
      <c r="B471" s="20">
        <v>5464</v>
      </c>
      <c r="C471" s="21">
        <v>44957</v>
      </c>
      <c r="D471" s="20">
        <v>526.08</v>
      </c>
      <c r="E471" s="22" t="s">
        <v>21</v>
      </c>
      <c r="F471" s="22" t="s">
        <v>16</v>
      </c>
      <c r="G471" s="22" t="s">
        <v>17</v>
      </c>
    </row>
    <row r="472" ht="15.15" spans="1:7">
      <c r="A472" s="20">
        <v>471</v>
      </c>
      <c r="B472" s="20">
        <v>2797</v>
      </c>
      <c r="C472" s="21">
        <v>45221</v>
      </c>
      <c r="D472" s="20">
        <v>3600.01</v>
      </c>
      <c r="E472" s="22" t="s">
        <v>10</v>
      </c>
      <c r="F472" s="22" t="s">
        <v>16</v>
      </c>
      <c r="G472" s="22" t="s">
        <v>12</v>
      </c>
    </row>
    <row r="473" ht="15.15" spans="1:7">
      <c r="A473" s="20">
        <v>472</v>
      </c>
      <c r="B473" s="20">
        <v>1224</v>
      </c>
      <c r="C473" s="21">
        <v>44975</v>
      </c>
      <c r="D473" s="20">
        <v>4794.7</v>
      </c>
      <c r="E473" s="22" t="s">
        <v>10</v>
      </c>
      <c r="F473" s="22" t="s">
        <v>14</v>
      </c>
      <c r="G473" s="22" t="s">
        <v>15</v>
      </c>
    </row>
    <row r="474" ht="15.15" spans="1:7">
      <c r="A474" s="20">
        <v>473</v>
      </c>
      <c r="B474" s="20">
        <v>5778</v>
      </c>
      <c r="C474" s="21">
        <v>45235</v>
      </c>
      <c r="D474" s="20">
        <v>1812.57</v>
      </c>
      <c r="E474" s="22" t="s">
        <v>10</v>
      </c>
      <c r="F474" s="22" t="s">
        <v>16</v>
      </c>
      <c r="G474" s="22" t="s">
        <v>17</v>
      </c>
    </row>
    <row r="475" ht="15.15" spans="1:7">
      <c r="A475" s="20">
        <v>474</v>
      </c>
      <c r="B475" s="20">
        <v>4685</v>
      </c>
      <c r="C475" s="21">
        <v>45288</v>
      </c>
      <c r="D475" s="20">
        <v>1626.59</v>
      </c>
      <c r="E475" s="22" t="s">
        <v>10</v>
      </c>
      <c r="F475" s="22" t="s">
        <v>14</v>
      </c>
      <c r="G475" s="22" t="s">
        <v>12</v>
      </c>
    </row>
    <row r="476" ht="15.15" spans="1:7">
      <c r="A476" s="20">
        <v>475</v>
      </c>
      <c r="B476" s="20">
        <v>3609</v>
      </c>
      <c r="C476" s="21">
        <v>45147</v>
      </c>
      <c r="D476" s="20">
        <v>2187.43</v>
      </c>
      <c r="E476" s="22" t="s">
        <v>10</v>
      </c>
      <c r="F476" s="22" t="s">
        <v>14</v>
      </c>
      <c r="G476" s="22" t="s">
        <v>12</v>
      </c>
    </row>
    <row r="477" ht="15.15" spans="1:7">
      <c r="A477" s="20">
        <v>476</v>
      </c>
      <c r="B477" s="20">
        <v>9210</v>
      </c>
      <c r="C477" s="21">
        <v>45031</v>
      </c>
      <c r="D477" s="20">
        <v>1126.52</v>
      </c>
      <c r="E477" s="22" t="s">
        <v>10</v>
      </c>
      <c r="F477" s="22" t="s">
        <v>16</v>
      </c>
      <c r="G477" s="22" t="s">
        <v>20</v>
      </c>
    </row>
    <row r="478" ht="15.15" spans="1:7">
      <c r="A478" s="20">
        <v>477</v>
      </c>
      <c r="B478" s="20">
        <v>7686</v>
      </c>
      <c r="C478" s="21">
        <v>44956</v>
      </c>
      <c r="D478" s="20">
        <v>822.19</v>
      </c>
      <c r="E478" s="22" t="s">
        <v>10</v>
      </c>
      <c r="F478" s="22" t="s">
        <v>18</v>
      </c>
      <c r="G478" s="22" t="s">
        <v>12</v>
      </c>
    </row>
    <row r="479" ht="15.15" spans="1:7">
      <c r="A479" s="20">
        <v>478</v>
      </c>
      <c r="B479" s="20">
        <v>4856</v>
      </c>
      <c r="C479" s="21">
        <v>45266</v>
      </c>
      <c r="D479" s="20">
        <v>401.69</v>
      </c>
      <c r="E479" s="22" t="s">
        <v>10</v>
      </c>
      <c r="F479" s="22" t="s">
        <v>18</v>
      </c>
      <c r="G479" s="22" t="s">
        <v>17</v>
      </c>
    </row>
    <row r="480" ht="15.15" spans="1:7">
      <c r="A480" s="20">
        <v>479</v>
      </c>
      <c r="B480" s="20">
        <v>973</v>
      </c>
      <c r="C480" s="21">
        <v>45213</v>
      </c>
      <c r="D480" s="20">
        <v>2206.02</v>
      </c>
      <c r="E480" s="22" t="s">
        <v>22</v>
      </c>
      <c r="F480" s="22" t="s">
        <v>16</v>
      </c>
      <c r="G480" s="22" t="s">
        <v>15</v>
      </c>
    </row>
    <row r="481" ht="15.15" spans="1:7">
      <c r="A481" s="20">
        <v>480</v>
      </c>
      <c r="B481" s="20">
        <v>7909</v>
      </c>
      <c r="C481" s="21">
        <v>45268</v>
      </c>
      <c r="D481" s="20">
        <v>897.32</v>
      </c>
      <c r="E481" s="22" t="s">
        <v>10</v>
      </c>
      <c r="F481" s="22" t="s">
        <v>14</v>
      </c>
      <c r="G481" s="22" t="s">
        <v>12</v>
      </c>
    </row>
    <row r="482" ht="15.15" spans="1:7">
      <c r="A482" s="20">
        <v>481</v>
      </c>
      <c r="B482" s="20">
        <v>5443</v>
      </c>
      <c r="C482" s="21">
        <v>45130</v>
      </c>
      <c r="D482" s="20">
        <v>843.98</v>
      </c>
      <c r="E482" s="22" t="s">
        <v>10</v>
      </c>
      <c r="F482" s="22" t="s">
        <v>11</v>
      </c>
      <c r="G482" s="22" t="s">
        <v>17</v>
      </c>
    </row>
    <row r="483" ht="15.15" spans="1:7">
      <c r="A483" s="20">
        <v>482</v>
      </c>
      <c r="B483" s="20">
        <v>8164</v>
      </c>
      <c r="C483" s="21">
        <v>44983</v>
      </c>
      <c r="D483" s="20">
        <v>682.56</v>
      </c>
      <c r="E483" s="22" t="s">
        <v>10</v>
      </c>
      <c r="F483" s="22" t="s">
        <v>11</v>
      </c>
      <c r="G483" s="22" t="s">
        <v>15</v>
      </c>
    </row>
    <row r="484" ht="15.15" spans="1:7">
      <c r="A484" s="20">
        <v>483</v>
      </c>
      <c r="B484" s="20">
        <v>4685</v>
      </c>
      <c r="C484" s="21">
        <v>45277</v>
      </c>
      <c r="D484" s="20">
        <v>1593.72</v>
      </c>
      <c r="E484" s="22" t="s">
        <v>10</v>
      </c>
      <c r="F484" s="22" t="s">
        <v>14</v>
      </c>
      <c r="G484" s="22" t="s">
        <v>12</v>
      </c>
    </row>
    <row r="485" ht="15.15" spans="1:7">
      <c r="A485" s="20">
        <v>484</v>
      </c>
      <c r="B485" s="20">
        <v>8722</v>
      </c>
      <c r="C485" s="21">
        <v>45142</v>
      </c>
      <c r="D485" s="20">
        <v>440.02</v>
      </c>
      <c r="E485" s="22" t="s">
        <v>10</v>
      </c>
      <c r="F485" s="22" t="s">
        <v>16</v>
      </c>
      <c r="G485" s="22" t="s">
        <v>20</v>
      </c>
    </row>
    <row r="486" ht="15.15" spans="1:7">
      <c r="A486" s="20">
        <v>485</v>
      </c>
      <c r="B486" s="20">
        <v>2913</v>
      </c>
      <c r="C486" s="21">
        <v>45238</v>
      </c>
      <c r="D486" s="20">
        <v>2672.61</v>
      </c>
      <c r="E486" s="22" t="s">
        <v>10</v>
      </c>
      <c r="F486" s="22" t="s">
        <v>18</v>
      </c>
      <c r="G486" s="22" t="s">
        <v>15</v>
      </c>
    </row>
    <row r="487" ht="15.15" spans="1:7">
      <c r="A487" s="20">
        <v>486</v>
      </c>
      <c r="B487" s="20">
        <v>5596</v>
      </c>
      <c r="C487" s="21">
        <v>45181</v>
      </c>
      <c r="D487" s="20">
        <v>4549.46</v>
      </c>
      <c r="E487" s="22" t="s">
        <v>10</v>
      </c>
      <c r="F487" s="22" t="s">
        <v>14</v>
      </c>
      <c r="G487" s="22" t="s">
        <v>15</v>
      </c>
    </row>
    <row r="488" ht="15.15" spans="1:7">
      <c r="A488" s="20">
        <v>487</v>
      </c>
      <c r="B488" s="20">
        <v>6115</v>
      </c>
      <c r="C488" s="21">
        <v>44943</v>
      </c>
      <c r="D488" s="20">
        <v>1089.76</v>
      </c>
      <c r="E488" s="22" t="s">
        <v>10</v>
      </c>
      <c r="F488" s="22" t="s">
        <v>18</v>
      </c>
      <c r="G488" s="22" t="s">
        <v>12</v>
      </c>
    </row>
    <row r="489" ht="15.15" spans="1:7">
      <c r="A489" s="20">
        <v>488</v>
      </c>
      <c r="B489" s="20">
        <v>5073</v>
      </c>
      <c r="C489" s="21">
        <v>45239</v>
      </c>
      <c r="D489" s="20">
        <v>588.33</v>
      </c>
      <c r="E489" s="22" t="s">
        <v>10</v>
      </c>
      <c r="F489" s="22" t="s">
        <v>18</v>
      </c>
      <c r="G489" s="22" t="s">
        <v>15</v>
      </c>
    </row>
    <row r="490" ht="15.15" spans="1:7">
      <c r="A490" s="20">
        <v>489</v>
      </c>
      <c r="B490" s="20">
        <v>7243</v>
      </c>
      <c r="C490" s="21">
        <v>45032</v>
      </c>
      <c r="D490" s="20">
        <v>539.1</v>
      </c>
      <c r="E490" s="22" t="s">
        <v>10</v>
      </c>
      <c r="F490" s="22" t="s">
        <v>14</v>
      </c>
      <c r="G490" s="22" t="s">
        <v>17</v>
      </c>
    </row>
    <row r="491" ht="15.15" spans="1:7">
      <c r="A491" s="20">
        <v>490</v>
      </c>
      <c r="B491" s="20">
        <v>824</v>
      </c>
      <c r="C491" s="21">
        <v>45249</v>
      </c>
      <c r="D491" s="20">
        <v>142.43</v>
      </c>
      <c r="E491" s="22" t="s">
        <v>10</v>
      </c>
      <c r="F491" s="22" t="s">
        <v>14</v>
      </c>
      <c r="G491" s="22" t="s">
        <v>20</v>
      </c>
    </row>
    <row r="492" ht="15.15" spans="1:7">
      <c r="A492" s="20">
        <v>491</v>
      </c>
      <c r="B492" s="20">
        <v>7155</v>
      </c>
      <c r="C492" s="21">
        <v>44927</v>
      </c>
      <c r="D492" s="20">
        <v>4581.07</v>
      </c>
      <c r="E492" s="22" t="s">
        <v>10</v>
      </c>
      <c r="F492" s="22" t="s">
        <v>16</v>
      </c>
      <c r="G492" s="22" t="s">
        <v>12</v>
      </c>
    </row>
    <row r="493" ht="15.15" spans="1:7">
      <c r="A493" s="20">
        <v>492</v>
      </c>
      <c r="B493" s="20">
        <v>9583</v>
      </c>
      <c r="C493" s="21">
        <v>45254</v>
      </c>
      <c r="D493" s="20">
        <v>835.33</v>
      </c>
      <c r="E493" s="22" t="s">
        <v>10</v>
      </c>
      <c r="F493" s="22" t="s">
        <v>11</v>
      </c>
      <c r="G493" s="22" t="s">
        <v>17</v>
      </c>
    </row>
    <row r="494" ht="15.15" spans="1:7">
      <c r="A494" s="20">
        <v>493</v>
      </c>
      <c r="B494" s="20">
        <v>9273</v>
      </c>
      <c r="C494" s="21">
        <v>45028</v>
      </c>
      <c r="D494" s="20">
        <v>1030.62</v>
      </c>
      <c r="E494" s="22" t="s">
        <v>10</v>
      </c>
      <c r="F494" s="22" t="s">
        <v>13</v>
      </c>
      <c r="G494" s="22" t="s">
        <v>17</v>
      </c>
    </row>
    <row r="495" ht="15.15" spans="1:7">
      <c r="A495" s="20">
        <v>494</v>
      </c>
      <c r="B495" s="20">
        <v>4368</v>
      </c>
      <c r="C495" s="21">
        <v>44953</v>
      </c>
      <c r="D495" s="20">
        <v>693.91</v>
      </c>
      <c r="E495" s="22" t="s">
        <v>10</v>
      </c>
      <c r="F495" s="22" t="s">
        <v>11</v>
      </c>
      <c r="G495" s="22" t="s">
        <v>20</v>
      </c>
    </row>
    <row r="496" ht="15.15" spans="1:7">
      <c r="A496" s="20">
        <v>495</v>
      </c>
      <c r="B496" s="20">
        <v>4367</v>
      </c>
      <c r="C496" s="21">
        <v>44962</v>
      </c>
      <c r="D496" s="20">
        <v>1840.54</v>
      </c>
      <c r="E496" s="22" t="s">
        <v>10</v>
      </c>
      <c r="F496" s="22" t="s">
        <v>16</v>
      </c>
      <c r="G496" s="22" t="s">
        <v>12</v>
      </c>
    </row>
    <row r="497" ht="15.15" spans="1:7">
      <c r="A497" s="20">
        <v>496</v>
      </c>
      <c r="B497" s="20">
        <v>9199</v>
      </c>
      <c r="C497" s="21">
        <v>45004</v>
      </c>
      <c r="D497" s="20">
        <v>1248.75</v>
      </c>
      <c r="E497" s="22" t="s">
        <v>10</v>
      </c>
      <c r="F497" s="22" t="s">
        <v>16</v>
      </c>
      <c r="G497" s="22" t="s">
        <v>17</v>
      </c>
    </row>
    <row r="498" ht="15.15" spans="1:7">
      <c r="A498" s="20">
        <v>497</v>
      </c>
      <c r="B498" s="20">
        <v>6006</v>
      </c>
      <c r="C498" s="21">
        <v>45149</v>
      </c>
      <c r="D498" s="20">
        <v>3032.72</v>
      </c>
      <c r="E498" s="22" t="s">
        <v>10</v>
      </c>
      <c r="F498" s="22" t="s">
        <v>13</v>
      </c>
      <c r="G498" s="22" t="s">
        <v>20</v>
      </c>
    </row>
    <row r="499" ht="15.15" spans="1:7">
      <c r="A499" s="20">
        <v>498</v>
      </c>
      <c r="B499" s="20">
        <v>8173</v>
      </c>
      <c r="C499" s="21">
        <v>44973</v>
      </c>
      <c r="D499" s="20">
        <v>1724.3</v>
      </c>
      <c r="E499" s="22" t="s">
        <v>10</v>
      </c>
      <c r="F499" s="22" t="s">
        <v>13</v>
      </c>
      <c r="G499" s="22" t="s">
        <v>20</v>
      </c>
    </row>
    <row r="500" ht="15.15" spans="1:7">
      <c r="A500" s="20">
        <v>499</v>
      </c>
      <c r="B500" s="20">
        <v>8298</v>
      </c>
      <c r="C500" s="21">
        <v>45264</v>
      </c>
      <c r="D500" s="20">
        <v>619.65</v>
      </c>
      <c r="E500" s="22" t="s">
        <v>10</v>
      </c>
      <c r="F500" s="22" t="s">
        <v>11</v>
      </c>
      <c r="G500" s="22" t="s">
        <v>20</v>
      </c>
    </row>
    <row r="501" ht="15.15" spans="1:7">
      <c r="A501" s="20">
        <v>500</v>
      </c>
      <c r="B501" s="20">
        <v>115</v>
      </c>
      <c r="C501" s="21">
        <v>45140</v>
      </c>
      <c r="D501" s="20">
        <v>562.73</v>
      </c>
      <c r="E501" s="22" t="s">
        <v>10</v>
      </c>
      <c r="F501" s="22" t="s">
        <v>11</v>
      </c>
      <c r="G501" s="22" t="s">
        <v>15</v>
      </c>
    </row>
    <row r="502" ht="15.15" spans="1:7">
      <c r="A502" s="20">
        <v>501</v>
      </c>
      <c r="B502" s="20">
        <v>7638</v>
      </c>
      <c r="C502" s="21">
        <v>45252</v>
      </c>
      <c r="D502" s="20">
        <v>428.44</v>
      </c>
      <c r="E502" s="22" t="s">
        <v>10</v>
      </c>
      <c r="F502" s="22" t="s">
        <v>11</v>
      </c>
      <c r="G502" s="22" t="s">
        <v>15</v>
      </c>
    </row>
    <row r="503" ht="15.15" spans="1:7">
      <c r="A503" s="20">
        <v>502</v>
      </c>
      <c r="B503" s="20">
        <v>9787</v>
      </c>
      <c r="C503" s="21">
        <v>45221</v>
      </c>
      <c r="D503" s="20">
        <v>2247.07</v>
      </c>
      <c r="E503" s="22" t="s">
        <v>10</v>
      </c>
      <c r="F503" s="22" t="s">
        <v>14</v>
      </c>
      <c r="G503" s="22" t="s">
        <v>17</v>
      </c>
    </row>
    <row r="504" ht="15.15" spans="1:7">
      <c r="A504" s="20">
        <v>503</v>
      </c>
      <c r="B504" s="20">
        <v>4480</v>
      </c>
      <c r="C504" s="21">
        <v>45012</v>
      </c>
      <c r="D504" s="20">
        <v>2763.03</v>
      </c>
      <c r="E504" s="22" t="s">
        <v>10</v>
      </c>
      <c r="F504" s="22" t="s">
        <v>13</v>
      </c>
      <c r="G504" s="22" t="s">
        <v>15</v>
      </c>
    </row>
    <row r="505" ht="15.15" spans="1:7">
      <c r="A505" s="20">
        <v>504</v>
      </c>
      <c r="B505" s="20">
        <v>1141</v>
      </c>
      <c r="C505" s="21">
        <v>45164</v>
      </c>
      <c r="D505" s="20">
        <v>1874.18</v>
      </c>
      <c r="E505" s="22" t="s">
        <v>10</v>
      </c>
      <c r="F505" s="22" t="s">
        <v>14</v>
      </c>
      <c r="G505" s="22" t="s">
        <v>15</v>
      </c>
    </row>
    <row r="506" ht="15.15" spans="1:7">
      <c r="A506" s="20">
        <v>505</v>
      </c>
      <c r="B506" s="20">
        <v>2727</v>
      </c>
      <c r="C506" s="21">
        <v>44988</v>
      </c>
      <c r="D506" s="20">
        <v>159.37</v>
      </c>
      <c r="E506" s="22" t="s">
        <v>10</v>
      </c>
      <c r="F506" s="22" t="s">
        <v>16</v>
      </c>
      <c r="G506" s="22" t="s">
        <v>17</v>
      </c>
    </row>
    <row r="507" ht="15.15" spans="1:7">
      <c r="A507" s="20">
        <v>506</v>
      </c>
      <c r="B507" s="20">
        <v>5897</v>
      </c>
      <c r="C507" s="21">
        <v>45263</v>
      </c>
      <c r="D507" s="20">
        <v>1354.76</v>
      </c>
      <c r="E507" s="22" t="s">
        <v>10</v>
      </c>
      <c r="F507" s="22" t="s">
        <v>16</v>
      </c>
      <c r="G507" s="22" t="s">
        <v>17</v>
      </c>
    </row>
    <row r="508" ht="15.15" spans="1:7">
      <c r="A508" s="20">
        <v>507</v>
      </c>
      <c r="B508" s="20">
        <v>395</v>
      </c>
      <c r="C508" s="21">
        <v>45045</v>
      </c>
      <c r="D508" s="20">
        <v>548.39</v>
      </c>
      <c r="E508" s="22" t="s">
        <v>10</v>
      </c>
      <c r="F508" s="22" t="s">
        <v>18</v>
      </c>
      <c r="G508" s="22" t="s">
        <v>12</v>
      </c>
    </row>
    <row r="509" ht="15.15" spans="1:7">
      <c r="A509" s="20">
        <v>508</v>
      </c>
      <c r="B509" s="20">
        <v>9443</v>
      </c>
      <c r="C509" s="21">
        <v>45212</v>
      </c>
      <c r="D509" s="20">
        <v>2576.94</v>
      </c>
      <c r="E509" s="22" t="s">
        <v>10</v>
      </c>
      <c r="F509" s="22" t="s">
        <v>18</v>
      </c>
      <c r="G509" s="22" t="s">
        <v>15</v>
      </c>
    </row>
    <row r="510" ht="15.15" spans="1:7">
      <c r="A510" s="20">
        <v>509</v>
      </c>
      <c r="B510" s="20">
        <v>3622</v>
      </c>
      <c r="C510" s="21">
        <v>45169</v>
      </c>
      <c r="D510" s="20">
        <v>325.76</v>
      </c>
      <c r="E510" s="22" t="s">
        <v>10</v>
      </c>
      <c r="F510" s="22" t="s">
        <v>19</v>
      </c>
      <c r="G510" s="22" t="s">
        <v>17</v>
      </c>
    </row>
    <row r="511" ht="15.15" spans="1:7">
      <c r="A511" s="20">
        <v>510</v>
      </c>
      <c r="B511" s="20">
        <v>7908</v>
      </c>
      <c r="C511" s="21">
        <v>44929</v>
      </c>
      <c r="D511" s="20">
        <v>2402.81</v>
      </c>
      <c r="E511" s="22" t="s">
        <v>10</v>
      </c>
      <c r="F511" s="22" t="s">
        <v>16</v>
      </c>
      <c r="G511" s="22" t="s">
        <v>15</v>
      </c>
    </row>
    <row r="512" ht="15.15" spans="1:7">
      <c r="A512" s="20">
        <v>511</v>
      </c>
      <c r="B512" s="20">
        <v>1287</v>
      </c>
      <c r="C512" s="21">
        <v>45099</v>
      </c>
      <c r="D512" s="20">
        <v>151.46</v>
      </c>
      <c r="E512" s="22" t="s">
        <v>10</v>
      </c>
      <c r="F512" s="22" t="s">
        <v>14</v>
      </c>
      <c r="G512" s="22" t="s">
        <v>20</v>
      </c>
    </row>
    <row r="513" ht="15.15" spans="1:7">
      <c r="A513" s="20">
        <v>512</v>
      </c>
      <c r="B513" s="20">
        <v>1945</v>
      </c>
      <c r="C513" s="21">
        <v>45080</v>
      </c>
      <c r="D513" s="20">
        <v>1153.5</v>
      </c>
      <c r="E513" s="22" t="s">
        <v>10</v>
      </c>
      <c r="F513" s="22" t="s">
        <v>16</v>
      </c>
      <c r="G513" s="22" t="s">
        <v>15</v>
      </c>
    </row>
    <row r="514" ht="15.15" spans="1:7">
      <c r="A514" s="20">
        <v>513</v>
      </c>
      <c r="B514" s="20">
        <v>2118</v>
      </c>
      <c r="C514" s="21">
        <v>45057</v>
      </c>
      <c r="D514" s="20">
        <v>1860.2</v>
      </c>
      <c r="E514" s="22" t="s">
        <v>10</v>
      </c>
      <c r="F514" s="22" t="s">
        <v>11</v>
      </c>
      <c r="G514" s="22" t="s">
        <v>12</v>
      </c>
    </row>
    <row r="515" ht="15.15" spans="1:7">
      <c r="A515" s="20">
        <v>514</v>
      </c>
      <c r="B515" s="20">
        <v>5692</v>
      </c>
      <c r="C515" s="21">
        <v>45108</v>
      </c>
      <c r="D515" s="20">
        <v>776.21</v>
      </c>
      <c r="E515" s="22" t="s">
        <v>10</v>
      </c>
      <c r="F515" s="22" t="s">
        <v>13</v>
      </c>
      <c r="G515" s="22" t="s">
        <v>20</v>
      </c>
    </row>
    <row r="516" ht="15.15" spans="1:7">
      <c r="A516" s="20">
        <v>515</v>
      </c>
      <c r="B516" s="20">
        <v>9655</v>
      </c>
      <c r="C516" s="21">
        <v>45040</v>
      </c>
      <c r="D516" s="20">
        <v>406.76</v>
      </c>
      <c r="E516" s="22" t="s">
        <v>22</v>
      </c>
      <c r="F516" s="22" t="s">
        <v>11</v>
      </c>
      <c r="G516" s="22" t="s">
        <v>15</v>
      </c>
    </row>
    <row r="517" ht="15.15" spans="1:7">
      <c r="A517" s="20">
        <v>516</v>
      </c>
      <c r="B517" s="20">
        <v>6044</v>
      </c>
      <c r="C517" s="21">
        <v>45079</v>
      </c>
      <c r="D517" s="20">
        <v>1174.22</v>
      </c>
      <c r="E517" s="22" t="s">
        <v>10</v>
      </c>
      <c r="F517" s="22" t="s">
        <v>18</v>
      </c>
      <c r="G517" s="22" t="s">
        <v>20</v>
      </c>
    </row>
    <row r="518" ht="15.15" spans="1:7">
      <c r="A518" s="20">
        <v>517</v>
      </c>
      <c r="B518" s="20">
        <v>3480</v>
      </c>
      <c r="C518" s="21">
        <v>45100</v>
      </c>
      <c r="D518" s="20">
        <v>1639.66</v>
      </c>
      <c r="E518" s="22" t="s">
        <v>10</v>
      </c>
      <c r="F518" s="22" t="s">
        <v>11</v>
      </c>
      <c r="G518" s="22" t="s">
        <v>20</v>
      </c>
    </row>
    <row r="519" ht="15.15" spans="1:7">
      <c r="A519" s="20">
        <v>518</v>
      </c>
      <c r="B519" s="20">
        <v>3991</v>
      </c>
      <c r="C519" s="21">
        <v>45285</v>
      </c>
      <c r="D519" s="20">
        <v>1470.12</v>
      </c>
      <c r="E519" s="22" t="s">
        <v>10</v>
      </c>
      <c r="F519" s="22" t="s">
        <v>18</v>
      </c>
      <c r="G519" s="22" t="s">
        <v>15</v>
      </c>
    </row>
    <row r="520" ht="15.15" spans="1:7">
      <c r="A520" s="20">
        <v>519</v>
      </c>
      <c r="B520" s="20">
        <v>6992</v>
      </c>
      <c r="C520" s="21">
        <v>45133</v>
      </c>
      <c r="D520" s="20">
        <v>2459.18</v>
      </c>
      <c r="E520" s="22" t="s">
        <v>10</v>
      </c>
      <c r="F520" s="22" t="s">
        <v>16</v>
      </c>
      <c r="G520" s="22" t="s">
        <v>17</v>
      </c>
    </row>
    <row r="521" ht="15.15" spans="1:7">
      <c r="A521" s="20">
        <v>520</v>
      </c>
      <c r="B521" s="20">
        <v>3159</v>
      </c>
      <c r="C521" s="21">
        <v>45162</v>
      </c>
      <c r="D521" s="20">
        <v>1355.77</v>
      </c>
      <c r="E521" s="22" t="s">
        <v>22</v>
      </c>
      <c r="F521" s="22" t="s">
        <v>13</v>
      </c>
      <c r="G521" s="22" t="s">
        <v>12</v>
      </c>
    </row>
    <row r="522" ht="15.15" spans="1:7">
      <c r="A522" s="20">
        <v>521</v>
      </c>
      <c r="B522" s="20">
        <v>1006</v>
      </c>
      <c r="C522" s="21">
        <v>45036</v>
      </c>
      <c r="D522" s="20">
        <v>329.52</v>
      </c>
      <c r="E522" s="22" t="s">
        <v>10</v>
      </c>
      <c r="F522" s="22" t="s">
        <v>11</v>
      </c>
      <c r="G522" s="22" t="s">
        <v>17</v>
      </c>
    </row>
    <row r="523" ht="15.15" spans="1:7">
      <c r="A523" s="20">
        <v>522</v>
      </c>
      <c r="B523" s="20">
        <v>4486</v>
      </c>
      <c r="C523" s="21">
        <v>45013</v>
      </c>
      <c r="D523" s="20">
        <v>3633.29</v>
      </c>
      <c r="E523" s="22" t="s">
        <v>10</v>
      </c>
      <c r="F523" s="22" t="s">
        <v>13</v>
      </c>
      <c r="G523" s="22" t="s">
        <v>12</v>
      </c>
    </row>
    <row r="524" ht="15.15" spans="1:7">
      <c r="A524" s="20">
        <v>523</v>
      </c>
      <c r="B524" s="20">
        <v>1917</v>
      </c>
      <c r="C524" s="21">
        <v>45028</v>
      </c>
      <c r="D524" s="20">
        <v>1740</v>
      </c>
      <c r="E524" s="22" t="s">
        <v>10</v>
      </c>
      <c r="F524" s="22" t="s">
        <v>11</v>
      </c>
      <c r="G524" s="22" t="s">
        <v>17</v>
      </c>
    </row>
    <row r="525" ht="15.15" spans="1:7">
      <c r="A525" s="20">
        <v>524</v>
      </c>
      <c r="B525" s="20">
        <v>9856</v>
      </c>
      <c r="C525" s="21">
        <v>44940</v>
      </c>
      <c r="D525" s="20">
        <v>439.45</v>
      </c>
      <c r="E525" s="22" t="s">
        <v>10</v>
      </c>
      <c r="F525" s="22" t="s">
        <v>13</v>
      </c>
      <c r="G525" s="22" t="s">
        <v>20</v>
      </c>
    </row>
    <row r="526" ht="15.15" spans="1:7">
      <c r="A526" s="20">
        <v>525</v>
      </c>
      <c r="B526" s="20">
        <v>1196</v>
      </c>
      <c r="C526" s="21">
        <v>45220</v>
      </c>
      <c r="D526" s="20">
        <v>250.59</v>
      </c>
      <c r="E526" s="22" t="s">
        <v>10</v>
      </c>
      <c r="F526" s="22" t="s">
        <v>14</v>
      </c>
      <c r="G526" s="22" t="s">
        <v>17</v>
      </c>
    </row>
    <row r="527" ht="15.15" spans="1:7">
      <c r="A527" s="20">
        <v>526</v>
      </c>
      <c r="B527" s="20">
        <v>1982</v>
      </c>
      <c r="C527" s="21">
        <v>45279</v>
      </c>
      <c r="D527" s="20">
        <v>3141.35</v>
      </c>
      <c r="E527" s="22" t="s">
        <v>10</v>
      </c>
      <c r="F527" s="22" t="s">
        <v>11</v>
      </c>
      <c r="G527" s="22" t="s">
        <v>15</v>
      </c>
    </row>
    <row r="528" ht="15.15" spans="1:7">
      <c r="A528" s="20">
        <v>527</v>
      </c>
      <c r="B528" s="20">
        <v>1807</v>
      </c>
      <c r="C528" s="21">
        <v>45059</v>
      </c>
      <c r="D528" s="20">
        <v>1832.38</v>
      </c>
      <c r="E528" s="22" t="s">
        <v>10</v>
      </c>
      <c r="F528" s="22" t="s">
        <v>18</v>
      </c>
      <c r="G528" s="22" t="s">
        <v>15</v>
      </c>
    </row>
    <row r="529" ht="15.15" spans="1:7">
      <c r="A529" s="20">
        <v>528</v>
      </c>
      <c r="B529" s="20">
        <v>1210</v>
      </c>
      <c r="C529" s="21">
        <v>44934</v>
      </c>
      <c r="D529" s="20">
        <v>1501.1</v>
      </c>
      <c r="E529" s="22" t="s">
        <v>10</v>
      </c>
      <c r="F529" s="22" t="s">
        <v>11</v>
      </c>
      <c r="G529" s="22" t="s">
        <v>12</v>
      </c>
    </row>
    <row r="530" ht="15.15" spans="1:7">
      <c r="A530" s="20">
        <v>529</v>
      </c>
      <c r="B530" s="20">
        <v>4218</v>
      </c>
      <c r="C530" s="21">
        <v>44994</v>
      </c>
      <c r="D530" s="20">
        <v>90.04</v>
      </c>
      <c r="E530" s="22" t="s">
        <v>10</v>
      </c>
      <c r="F530" s="22" t="s">
        <v>14</v>
      </c>
      <c r="G530" s="22" t="s">
        <v>17</v>
      </c>
    </row>
    <row r="531" ht="15.15" spans="1:7">
      <c r="A531" s="20">
        <v>530</v>
      </c>
      <c r="B531" s="20">
        <v>7712</v>
      </c>
      <c r="C531" s="21">
        <v>45253</v>
      </c>
      <c r="D531" s="20">
        <v>282.13</v>
      </c>
      <c r="E531" s="22" t="s">
        <v>10</v>
      </c>
      <c r="F531" s="22" t="s">
        <v>16</v>
      </c>
      <c r="G531" s="22" t="s">
        <v>20</v>
      </c>
    </row>
    <row r="532" ht="15.15" spans="1:7">
      <c r="A532" s="20">
        <v>531</v>
      </c>
      <c r="B532" s="20">
        <v>277</v>
      </c>
      <c r="C532" s="21">
        <v>44973</v>
      </c>
      <c r="D532" s="20">
        <v>897.32</v>
      </c>
      <c r="E532" s="22" t="s">
        <v>10</v>
      </c>
      <c r="F532" s="22" t="s">
        <v>13</v>
      </c>
      <c r="G532" s="22" t="s">
        <v>20</v>
      </c>
    </row>
    <row r="533" ht="15.15" spans="1:7">
      <c r="A533" s="20">
        <v>532</v>
      </c>
      <c r="B533" s="20">
        <v>6516</v>
      </c>
      <c r="C533" s="21">
        <v>44956</v>
      </c>
      <c r="D533" s="20">
        <v>157.92</v>
      </c>
      <c r="E533" s="22" t="s">
        <v>10</v>
      </c>
      <c r="F533" s="22" t="s">
        <v>13</v>
      </c>
      <c r="G533" s="22" t="s">
        <v>20</v>
      </c>
    </row>
    <row r="534" ht="15.15" spans="1:7">
      <c r="A534" s="20">
        <v>533</v>
      </c>
      <c r="B534" s="20">
        <v>6328</v>
      </c>
      <c r="C534" s="21">
        <v>45179</v>
      </c>
      <c r="D534" s="20">
        <v>729.69</v>
      </c>
      <c r="E534" s="22" t="s">
        <v>10</v>
      </c>
      <c r="F534" s="22" t="s">
        <v>18</v>
      </c>
      <c r="G534" s="22" t="s">
        <v>15</v>
      </c>
    </row>
    <row r="535" ht="15.15" spans="1:7">
      <c r="A535" s="20">
        <v>534</v>
      </c>
      <c r="B535" s="20">
        <v>2107</v>
      </c>
      <c r="C535" s="21">
        <v>44967</v>
      </c>
      <c r="D535" s="20">
        <v>1012.48</v>
      </c>
      <c r="E535" s="22" t="s">
        <v>10</v>
      </c>
      <c r="F535" s="22" t="s">
        <v>11</v>
      </c>
      <c r="G535" s="22" t="s">
        <v>17</v>
      </c>
    </row>
    <row r="536" ht="15.15" spans="1:7">
      <c r="A536" s="20">
        <v>535</v>
      </c>
      <c r="B536" s="20">
        <v>9444</v>
      </c>
      <c r="C536" s="21">
        <v>45201</v>
      </c>
      <c r="D536" s="20">
        <v>541.08</v>
      </c>
      <c r="E536" s="22" t="s">
        <v>10</v>
      </c>
      <c r="F536" s="22" t="s">
        <v>11</v>
      </c>
      <c r="G536" s="22" t="s">
        <v>15</v>
      </c>
    </row>
    <row r="537" ht="15.15" spans="1:7">
      <c r="A537" s="20">
        <v>536</v>
      </c>
      <c r="B537" s="20">
        <v>6143</v>
      </c>
      <c r="C537" s="21">
        <v>44937</v>
      </c>
      <c r="D537" s="20">
        <v>977.28</v>
      </c>
      <c r="E537" s="22" t="s">
        <v>10</v>
      </c>
      <c r="F537" s="22" t="s">
        <v>16</v>
      </c>
      <c r="G537" s="22" t="s">
        <v>20</v>
      </c>
    </row>
    <row r="538" ht="15.15" spans="1:7">
      <c r="A538" s="20">
        <v>537</v>
      </c>
      <c r="B538" s="20">
        <v>1674</v>
      </c>
      <c r="C538" s="21">
        <v>45255</v>
      </c>
      <c r="D538" s="20">
        <v>436.2</v>
      </c>
      <c r="E538" s="22" t="s">
        <v>10</v>
      </c>
      <c r="F538" s="22" t="s">
        <v>18</v>
      </c>
      <c r="G538" s="22" t="s">
        <v>15</v>
      </c>
    </row>
    <row r="539" ht="15.15" spans="1:7">
      <c r="A539" s="20">
        <v>538</v>
      </c>
      <c r="B539" s="20">
        <v>5662</v>
      </c>
      <c r="C539" s="21">
        <v>45272</v>
      </c>
      <c r="D539" s="20">
        <v>140.76</v>
      </c>
      <c r="E539" s="22" t="s">
        <v>10</v>
      </c>
      <c r="F539" s="22" t="s">
        <v>16</v>
      </c>
      <c r="G539" s="22" t="s">
        <v>20</v>
      </c>
    </row>
    <row r="540" ht="15.15" spans="1:7">
      <c r="A540" s="20">
        <v>539</v>
      </c>
      <c r="B540" s="20">
        <v>557</v>
      </c>
      <c r="C540" s="21">
        <v>45258</v>
      </c>
      <c r="D540" s="20">
        <v>714.65</v>
      </c>
      <c r="E540" s="22" t="s">
        <v>10</v>
      </c>
      <c r="F540" s="22" t="s">
        <v>18</v>
      </c>
      <c r="G540" s="22" t="s">
        <v>20</v>
      </c>
    </row>
    <row r="541" ht="15.15" spans="1:7">
      <c r="A541" s="20">
        <v>540</v>
      </c>
      <c r="B541" s="20">
        <v>4328</v>
      </c>
      <c r="C541" s="21">
        <v>45130</v>
      </c>
      <c r="D541" s="20">
        <v>744.5</v>
      </c>
      <c r="E541" s="22" t="s">
        <v>10</v>
      </c>
      <c r="F541" s="22" t="s">
        <v>19</v>
      </c>
      <c r="G541" s="22" t="s">
        <v>15</v>
      </c>
    </row>
    <row r="542" ht="15.15" spans="1:7">
      <c r="A542" s="20">
        <v>541</v>
      </c>
      <c r="B542" s="20">
        <v>6463</v>
      </c>
      <c r="C542" s="21">
        <v>45135</v>
      </c>
      <c r="D542" s="20">
        <v>228.45</v>
      </c>
      <c r="E542" s="22" t="s">
        <v>10</v>
      </c>
      <c r="F542" s="22" t="s">
        <v>18</v>
      </c>
      <c r="G542" s="22" t="s">
        <v>15</v>
      </c>
    </row>
    <row r="543" ht="15.15" spans="1:7">
      <c r="A543" s="20">
        <v>542</v>
      </c>
      <c r="B543" s="20">
        <v>5332</v>
      </c>
      <c r="C543" s="21">
        <v>45195</v>
      </c>
      <c r="D543" s="20">
        <v>2743.04</v>
      </c>
      <c r="E543" s="22" t="s">
        <v>10</v>
      </c>
      <c r="F543" s="22" t="s">
        <v>16</v>
      </c>
      <c r="G543" s="22" t="s">
        <v>15</v>
      </c>
    </row>
    <row r="544" ht="15.15" spans="1:7">
      <c r="A544" s="20">
        <v>543</v>
      </c>
      <c r="B544" s="20">
        <v>7926</v>
      </c>
      <c r="C544" s="21">
        <v>45249</v>
      </c>
      <c r="D544" s="20">
        <v>250.16</v>
      </c>
      <c r="E544" s="22" t="s">
        <v>10</v>
      </c>
      <c r="F544" s="22" t="s">
        <v>16</v>
      </c>
      <c r="G544" s="22" t="s">
        <v>20</v>
      </c>
    </row>
    <row r="545" ht="15.15" spans="1:7">
      <c r="A545" s="20">
        <v>544</v>
      </c>
      <c r="B545" s="20">
        <v>5772</v>
      </c>
      <c r="C545" s="21">
        <v>45031</v>
      </c>
      <c r="D545" s="20">
        <v>651.52</v>
      </c>
      <c r="E545" s="22" t="s">
        <v>10</v>
      </c>
      <c r="F545" s="22" t="s">
        <v>11</v>
      </c>
      <c r="G545" s="22" t="s">
        <v>20</v>
      </c>
    </row>
    <row r="546" ht="15.15" spans="1:7">
      <c r="A546" s="20">
        <v>545</v>
      </c>
      <c r="B546" s="20">
        <v>2094</v>
      </c>
      <c r="C546" s="21">
        <v>45287</v>
      </c>
      <c r="D546" s="20">
        <v>1836.52</v>
      </c>
      <c r="E546" s="22" t="s">
        <v>10</v>
      </c>
      <c r="F546" s="22" t="s">
        <v>18</v>
      </c>
      <c r="G546" s="22" t="s">
        <v>20</v>
      </c>
    </row>
    <row r="547" ht="15.15" spans="1:7">
      <c r="A547" s="20">
        <v>546</v>
      </c>
      <c r="B547" s="20">
        <v>4918</v>
      </c>
      <c r="C547" s="21">
        <v>45176</v>
      </c>
      <c r="D547" s="20">
        <v>201.88</v>
      </c>
      <c r="E547" s="22" t="s">
        <v>10</v>
      </c>
      <c r="F547" s="22" t="s">
        <v>13</v>
      </c>
      <c r="G547" s="22" t="s">
        <v>17</v>
      </c>
    </row>
    <row r="548" ht="15.15" spans="1:7">
      <c r="A548" s="20">
        <v>547</v>
      </c>
      <c r="B548" s="20">
        <v>7021</v>
      </c>
      <c r="C548" s="21">
        <v>44962</v>
      </c>
      <c r="D548" s="20">
        <v>501.18</v>
      </c>
      <c r="E548" s="22" t="s">
        <v>10</v>
      </c>
      <c r="F548" s="22" t="s">
        <v>16</v>
      </c>
      <c r="G548" s="22" t="s">
        <v>17</v>
      </c>
    </row>
    <row r="549" ht="15.15" spans="1:7">
      <c r="A549" s="20">
        <v>548</v>
      </c>
      <c r="B549" s="20">
        <v>3327</v>
      </c>
      <c r="C549" s="21">
        <v>45230</v>
      </c>
      <c r="D549" s="20">
        <v>521.22</v>
      </c>
      <c r="E549" s="22" t="s">
        <v>10</v>
      </c>
      <c r="F549" s="22" t="s">
        <v>16</v>
      </c>
      <c r="G549" s="22" t="s">
        <v>17</v>
      </c>
    </row>
    <row r="550" ht="15.15" spans="1:7">
      <c r="A550" s="20">
        <v>549</v>
      </c>
      <c r="B550" s="20">
        <v>4398</v>
      </c>
      <c r="C550" s="21">
        <v>45025</v>
      </c>
      <c r="D550" s="20">
        <v>732.71</v>
      </c>
      <c r="E550" s="22" t="s">
        <v>10</v>
      </c>
      <c r="F550" s="22" t="s">
        <v>16</v>
      </c>
      <c r="G550" s="22" t="s">
        <v>20</v>
      </c>
    </row>
    <row r="551" ht="15.15" spans="1:7">
      <c r="A551" s="20">
        <v>550</v>
      </c>
      <c r="B551" s="20">
        <v>5662</v>
      </c>
      <c r="C551" s="21">
        <v>45073</v>
      </c>
      <c r="D551" s="20">
        <v>1320.06</v>
      </c>
      <c r="E551" s="22" t="s">
        <v>10</v>
      </c>
      <c r="F551" s="22" t="s">
        <v>16</v>
      </c>
      <c r="G551" s="22" t="s">
        <v>20</v>
      </c>
    </row>
    <row r="552" ht="15.15" spans="1:7">
      <c r="A552" s="20">
        <v>551</v>
      </c>
      <c r="B552" s="20">
        <v>3720</v>
      </c>
      <c r="C552" s="21">
        <v>45108</v>
      </c>
      <c r="D552" s="20">
        <v>399.61</v>
      </c>
      <c r="E552" s="22" t="s">
        <v>10</v>
      </c>
      <c r="F552" s="22" t="s">
        <v>11</v>
      </c>
      <c r="G552" s="22" t="s">
        <v>12</v>
      </c>
    </row>
    <row r="553" ht="15.15" spans="1:7">
      <c r="A553" s="20">
        <v>552</v>
      </c>
      <c r="B553" s="20">
        <v>4432</v>
      </c>
      <c r="C553" s="21">
        <v>45156</v>
      </c>
      <c r="D553" s="20">
        <v>132.23</v>
      </c>
      <c r="E553" s="22" t="s">
        <v>10</v>
      </c>
      <c r="F553" s="22" t="s">
        <v>14</v>
      </c>
      <c r="G553" s="22" t="s">
        <v>15</v>
      </c>
    </row>
    <row r="554" ht="15.15" spans="1:7">
      <c r="A554" s="20">
        <v>553</v>
      </c>
      <c r="B554" s="20">
        <v>6895</v>
      </c>
      <c r="C554" s="21">
        <v>45260</v>
      </c>
      <c r="D554" s="20">
        <v>2293.9</v>
      </c>
      <c r="E554" s="22" t="s">
        <v>10</v>
      </c>
      <c r="F554" s="22" t="s">
        <v>14</v>
      </c>
      <c r="G554" s="22" t="s">
        <v>12</v>
      </c>
    </row>
    <row r="555" ht="15.15" spans="1:7">
      <c r="A555" s="20">
        <v>554</v>
      </c>
      <c r="B555" s="20">
        <v>5218</v>
      </c>
      <c r="C555" s="21">
        <v>45167</v>
      </c>
      <c r="D555" s="20">
        <v>3040.79</v>
      </c>
      <c r="E555" s="22" t="s">
        <v>10</v>
      </c>
      <c r="F555" s="22" t="s">
        <v>13</v>
      </c>
      <c r="G555" s="22" t="s">
        <v>17</v>
      </c>
    </row>
    <row r="556" ht="15.15" spans="1:7">
      <c r="A556" s="20">
        <v>555</v>
      </c>
      <c r="B556" s="20">
        <v>7467</v>
      </c>
      <c r="C556" s="21">
        <v>45290</v>
      </c>
      <c r="D556" s="20">
        <v>1953.51</v>
      </c>
      <c r="E556" s="22" t="s">
        <v>10</v>
      </c>
      <c r="F556" s="22" t="s">
        <v>14</v>
      </c>
      <c r="G556" s="22" t="s">
        <v>17</v>
      </c>
    </row>
    <row r="557" ht="15.15" spans="1:7">
      <c r="A557" s="20">
        <v>556</v>
      </c>
      <c r="B557" s="20">
        <v>8300</v>
      </c>
      <c r="C557" s="21">
        <v>45257</v>
      </c>
      <c r="D557" s="20">
        <v>647.36</v>
      </c>
      <c r="E557" s="22" t="s">
        <v>10</v>
      </c>
      <c r="F557" s="22" t="s">
        <v>16</v>
      </c>
      <c r="G557" s="22" t="s">
        <v>20</v>
      </c>
    </row>
    <row r="558" ht="15.15" spans="1:7">
      <c r="A558" s="20">
        <v>557</v>
      </c>
      <c r="B558" s="20">
        <v>5216</v>
      </c>
      <c r="C558" s="21">
        <v>45113</v>
      </c>
      <c r="D558" s="20">
        <v>278.93</v>
      </c>
      <c r="E558" s="22" t="s">
        <v>10</v>
      </c>
      <c r="F558" s="22" t="s">
        <v>16</v>
      </c>
      <c r="G558" s="22" t="s">
        <v>17</v>
      </c>
    </row>
    <row r="559" ht="15.15" spans="1:7">
      <c r="A559" s="20">
        <v>558</v>
      </c>
      <c r="B559" s="20">
        <v>5182</v>
      </c>
      <c r="C559" s="21">
        <v>45288</v>
      </c>
      <c r="D559" s="20">
        <v>2325.9</v>
      </c>
      <c r="E559" s="22" t="s">
        <v>10</v>
      </c>
      <c r="F559" s="22" t="s">
        <v>11</v>
      </c>
      <c r="G559" s="22" t="s">
        <v>20</v>
      </c>
    </row>
    <row r="560" ht="15.15" spans="1:7">
      <c r="A560" s="20">
        <v>559</v>
      </c>
      <c r="B560" s="20">
        <v>2724</v>
      </c>
      <c r="C560" s="21">
        <v>45256</v>
      </c>
      <c r="D560" s="20">
        <v>1676.48</v>
      </c>
      <c r="E560" s="22" t="s">
        <v>10</v>
      </c>
      <c r="F560" s="22" t="s">
        <v>11</v>
      </c>
      <c r="G560" s="22" t="s">
        <v>17</v>
      </c>
    </row>
    <row r="561" ht="15.15" spans="1:7">
      <c r="A561" s="20">
        <v>560</v>
      </c>
      <c r="B561" s="20">
        <v>3177</v>
      </c>
      <c r="C561" s="21">
        <v>44985</v>
      </c>
      <c r="D561" s="20">
        <v>823.54</v>
      </c>
      <c r="E561" s="22" t="s">
        <v>10</v>
      </c>
      <c r="F561" s="22" t="s">
        <v>13</v>
      </c>
      <c r="G561" s="22" t="s">
        <v>12</v>
      </c>
    </row>
    <row r="562" ht="15.15" spans="1:7">
      <c r="A562" s="20">
        <v>561</v>
      </c>
      <c r="B562" s="20">
        <v>600</v>
      </c>
      <c r="C562" s="21">
        <v>45167</v>
      </c>
      <c r="D562" s="20">
        <v>257.17</v>
      </c>
      <c r="E562" s="22" t="s">
        <v>10</v>
      </c>
      <c r="F562" s="22" t="s">
        <v>11</v>
      </c>
      <c r="G562" s="22" t="s">
        <v>12</v>
      </c>
    </row>
    <row r="563" ht="15.15" spans="1:7">
      <c r="A563" s="20">
        <v>562</v>
      </c>
      <c r="B563" s="20">
        <v>1494</v>
      </c>
      <c r="C563" s="21">
        <v>45048</v>
      </c>
      <c r="D563" s="20">
        <v>1129.1</v>
      </c>
      <c r="E563" s="22" t="s">
        <v>10</v>
      </c>
      <c r="F563" s="22" t="s">
        <v>19</v>
      </c>
      <c r="G563" s="22" t="s">
        <v>12</v>
      </c>
    </row>
    <row r="564" ht="15.15" spans="1:7">
      <c r="A564" s="20">
        <v>563</v>
      </c>
      <c r="B564" s="20">
        <v>3451</v>
      </c>
      <c r="C564" s="21">
        <v>45240</v>
      </c>
      <c r="D564" s="20">
        <v>1212.02</v>
      </c>
      <c r="E564" s="22" t="s">
        <v>10</v>
      </c>
      <c r="F564" s="22" t="s">
        <v>18</v>
      </c>
      <c r="G564" s="22" t="s">
        <v>12</v>
      </c>
    </row>
    <row r="565" ht="15.15" spans="1:7">
      <c r="A565" s="20">
        <v>564</v>
      </c>
      <c r="B565" s="20">
        <v>5240</v>
      </c>
      <c r="C565" s="21">
        <v>45042</v>
      </c>
      <c r="D565" s="20">
        <v>969.87</v>
      </c>
      <c r="E565" s="22" t="s">
        <v>10</v>
      </c>
      <c r="F565" s="22" t="s">
        <v>11</v>
      </c>
      <c r="G565" s="22" t="s">
        <v>20</v>
      </c>
    </row>
    <row r="566" ht="15.15" spans="1:7">
      <c r="A566" s="20">
        <v>565</v>
      </c>
      <c r="B566" s="20">
        <v>6057</v>
      </c>
      <c r="C566" s="21">
        <v>45039</v>
      </c>
      <c r="D566" s="20">
        <v>4913.13</v>
      </c>
      <c r="E566" s="22" t="s">
        <v>10</v>
      </c>
      <c r="F566" s="22" t="s">
        <v>16</v>
      </c>
      <c r="G566" s="22" t="s">
        <v>20</v>
      </c>
    </row>
    <row r="567" ht="15.15" spans="1:7">
      <c r="A567" s="20">
        <v>566</v>
      </c>
      <c r="B567" s="20">
        <v>6489</v>
      </c>
      <c r="C567" s="21">
        <v>45270</v>
      </c>
      <c r="D567" s="20">
        <v>890.61</v>
      </c>
      <c r="E567" s="22" t="s">
        <v>21</v>
      </c>
      <c r="F567" s="22" t="s">
        <v>18</v>
      </c>
      <c r="G567" s="22" t="s">
        <v>15</v>
      </c>
    </row>
    <row r="568" ht="15.15" spans="1:7">
      <c r="A568" s="20">
        <v>567</v>
      </c>
      <c r="B568" s="20">
        <v>1408</v>
      </c>
      <c r="C568" s="21">
        <v>45232</v>
      </c>
      <c r="D568" s="20">
        <v>773.95</v>
      </c>
      <c r="E568" s="22" t="s">
        <v>10</v>
      </c>
      <c r="F568" s="22" t="s">
        <v>18</v>
      </c>
      <c r="G568" s="22" t="s">
        <v>20</v>
      </c>
    </row>
    <row r="569" ht="15.15" spans="1:7">
      <c r="A569" s="20">
        <v>568</v>
      </c>
      <c r="B569" s="20">
        <v>8762</v>
      </c>
      <c r="C569" s="21">
        <v>45258</v>
      </c>
      <c r="D569" s="20">
        <v>1757.6</v>
      </c>
      <c r="E569" s="22" t="s">
        <v>10</v>
      </c>
      <c r="F569" s="22" t="s">
        <v>18</v>
      </c>
      <c r="G569" s="22" t="s">
        <v>15</v>
      </c>
    </row>
    <row r="570" ht="15.15" spans="1:7">
      <c r="A570" s="20">
        <v>569</v>
      </c>
      <c r="B570" s="20">
        <v>7948</v>
      </c>
      <c r="C570" s="21">
        <v>45286</v>
      </c>
      <c r="D570" s="20">
        <v>691.55</v>
      </c>
      <c r="E570" s="22" t="s">
        <v>10</v>
      </c>
      <c r="F570" s="22" t="s">
        <v>16</v>
      </c>
      <c r="G570" s="22" t="s">
        <v>15</v>
      </c>
    </row>
    <row r="571" ht="15.15" spans="1:7">
      <c r="A571" s="20">
        <v>570</v>
      </c>
      <c r="B571" s="20">
        <v>6825</v>
      </c>
      <c r="C571" s="21">
        <v>45103</v>
      </c>
      <c r="D571" s="20">
        <v>3367.09</v>
      </c>
      <c r="E571" s="22" t="s">
        <v>10</v>
      </c>
      <c r="F571" s="22" t="s">
        <v>13</v>
      </c>
      <c r="G571" s="22" t="s">
        <v>15</v>
      </c>
    </row>
    <row r="572" ht="15.15" spans="1:7">
      <c r="A572" s="20">
        <v>571</v>
      </c>
      <c r="B572" s="20">
        <v>7758</v>
      </c>
      <c r="C572" s="21">
        <v>45028</v>
      </c>
      <c r="D572" s="20">
        <v>367.61</v>
      </c>
      <c r="E572" s="22" t="s">
        <v>10</v>
      </c>
      <c r="F572" s="22" t="s">
        <v>11</v>
      </c>
      <c r="G572" s="22" t="s">
        <v>12</v>
      </c>
    </row>
    <row r="573" ht="15.15" spans="1:7">
      <c r="A573" s="20">
        <v>572</v>
      </c>
      <c r="B573" s="20">
        <v>2292</v>
      </c>
      <c r="C573" s="21">
        <v>45235</v>
      </c>
      <c r="D573" s="20">
        <v>866.04</v>
      </c>
      <c r="E573" s="22" t="s">
        <v>10</v>
      </c>
      <c r="F573" s="22" t="s">
        <v>16</v>
      </c>
      <c r="G573" s="22" t="s">
        <v>20</v>
      </c>
    </row>
    <row r="574" ht="15.15" spans="1:7">
      <c r="A574" s="20">
        <v>573</v>
      </c>
      <c r="B574" s="20">
        <v>576</v>
      </c>
      <c r="C574" s="21">
        <v>45100</v>
      </c>
      <c r="D574" s="20">
        <v>3604.38</v>
      </c>
      <c r="E574" s="22" t="s">
        <v>10</v>
      </c>
      <c r="F574" s="22" t="s">
        <v>16</v>
      </c>
      <c r="G574" s="22" t="s">
        <v>12</v>
      </c>
    </row>
    <row r="575" ht="15.15" spans="1:7">
      <c r="A575" s="20">
        <v>574</v>
      </c>
      <c r="B575" s="20">
        <v>600</v>
      </c>
      <c r="C575" s="21">
        <v>45259</v>
      </c>
      <c r="D575" s="20">
        <v>661.14</v>
      </c>
      <c r="E575" s="22" t="s">
        <v>10</v>
      </c>
      <c r="F575" s="22" t="s">
        <v>11</v>
      </c>
      <c r="G575" s="22" t="s">
        <v>12</v>
      </c>
    </row>
    <row r="576" ht="15.15" spans="1:7">
      <c r="A576" s="20">
        <v>575</v>
      </c>
      <c r="B576" s="20">
        <v>4382</v>
      </c>
      <c r="C576" s="21">
        <v>45249</v>
      </c>
      <c r="D576" s="20">
        <v>401.39</v>
      </c>
      <c r="E576" s="22" t="s">
        <v>10</v>
      </c>
      <c r="F576" s="22" t="s">
        <v>14</v>
      </c>
      <c r="G576" s="22" t="s">
        <v>17</v>
      </c>
    </row>
    <row r="577" ht="15.15" spans="1:7">
      <c r="A577" s="20">
        <v>576</v>
      </c>
      <c r="B577" s="20">
        <v>6448</v>
      </c>
      <c r="C577" s="21">
        <v>45249</v>
      </c>
      <c r="D577" s="20">
        <v>2006.65</v>
      </c>
      <c r="E577" s="22" t="s">
        <v>10</v>
      </c>
      <c r="F577" s="22" t="s">
        <v>16</v>
      </c>
      <c r="G577" s="22" t="s">
        <v>12</v>
      </c>
    </row>
    <row r="578" ht="15.15" spans="1:7">
      <c r="A578" s="20">
        <v>577</v>
      </c>
      <c r="B578" s="20">
        <v>8327</v>
      </c>
      <c r="C578" s="21">
        <v>45244</v>
      </c>
      <c r="D578" s="20">
        <v>703.26</v>
      </c>
      <c r="E578" s="22" t="s">
        <v>10</v>
      </c>
      <c r="F578" s="22" t="s">
        <v>14</v>
      </c>
      <c r="G578" s="22" t="s">
        <v>20</v>
      </c>
    </row>
    <row r="579" ht="15.15" spans="1:7">
      <c r="A579" s="20">
        <v>578</v>
      </c>
      <c r="B579" s="20">
        <v>2187</v>
      </c>
      <c r="C579" s="21">
        <v>45020</v>
      </c>
      <c r="D579" s="20">
        <v>549.91</v>
      </c>
      <c r="E579" s="22" t="s">
        <v>10</v>
      </c>
      <c r="F579" s="22" t="s">
        <v>11</v>
      </c>
      <c r="G579" s="22" t="s">
        <v>17</v>
      </c>
    </row>
    <row r="580" ht="15.15" spans="1:7">
      <c r="A580" s="20">
        <v>579</v>
      </c>
      <c r="B580" s="20">
        <v>9052</v>
      </c>
      <c r="C580" s="21">
        <v>45062</v>
      </c>
      <c r="D580" s="20">
        <v>1202.38</v>
      </c>
      <c r="E580" s="22" t="s">
        <v>22</v>
      </c>
      <c r="F580" s="22" t="s">
        <v>18</v>
      </c>
      <c r="G580" s="22" t="s">
        <v>17</v>
      </c>
    </row>
    <row r="581" ht="15.15" spans="1:7">
      <c r="A581" s="20">
        <v>580</v>
      </c>
      <c r="B581" s="20">
        <v>7262</v>
      </c>
      <c r="C581" s="21">
        <v>44984</v>
      </c>
      <c r="D581" s="20">
        <v>996.68</v>
      </c>
      <c r="E581" s="22" t="s">
        <v>10</v>
      </c>
      <c r="F581" s="22" t="s">
        <v>14</v>
      </c>
      <c r="G581" s="22" t="s">
        <v>12</v>
      </c>
    </row>
    <row r="582" ht="15.15" spans="1:7">
      <c r="A582" s="20">
        <v>581</v>
      </c>
      <c r="B582" s="20">
        <v>1898</v>
      </c>
      <c r="C582" s="21">
        <v>45186</v>
      </c>
      <c r="D582" s="20">
        <v>545.46</v>
      </c>
      <c r="E582" s="22" t="s">
        <v>10</v>
      </c>
      <c r="F582" s="22" t="s">
        <v>11</v>
      </c>
      <c r="G582" s="22" t="s">
        <v>20</v>
      </c>
    </row>
    <row r="583" ht="15.15" spans="1:7">
      <c r="A583" s="20">
        <v>582</v>
      </c>
      <c r="B583" s="20">
        <v>3336</v>
      </c>
      <c r="C583" s="21">
        <v>44938</v>
      </c>
      <c r="D583" s="20">
        <v>1428.03</v>
      </c>
      <c r="E583" s="22" t="s">
        <v>10</v>
      </c>
      <c r="F583" s="22" t="s">
        <v>18</v>
      </c>
      <c r="G583" s="22" t="s">
        <v>20</v>
      </c>
    </row>
    <row r="584" ht="15.15" spans="1:7">
      <c r="A584" s="20">
        <v>583</v>
      </c>
      <c r="B584" s="20">
        <v>7757</v>
      </c>
      <c r="C584" s="21">
        <v>45185</v>
      </c>
      <c r="D584" s="20">
        <v>1154.53</v>
      </c>
      <c r="E584" s="22" t="s">
        <v>10</v>
      </c>
      <c r="F584" s="22" t="s">
        <v>14</v>
      </c>
      <c r="G584" s="22" t="s">
        <v>12</v>
      </c>
    </row>
    <row r="585" ht="15.15" spans="1:7">
      <c r="A585" s="20">
        <v>584</v>
      </c>
      <c r="B585" s="20">
        <v>7084</v>
      </c>
      <c r="C585" s="21">
        <v>45178</v>
      </c>
      <c r="D585" s="20">
        <v>885.1</v>
      </c>
      <c r="E585" s="22" t="s">
        <v>10</v>
      </c>
      <c r="F585" s="22" t="s">
        <v>18</v>
      </c>
      <c r="G585" s="22" t="s">
        <v>20</v>
      </c>
    </row>
    <row r="586" ht="15.15" spans="1:7">
      <c r="A586" s="20">
        <v>585</v>
      </c>
      <c r="B586" s="20">
        <v>7159</v>
      </c>
      <c r="C586" s="21">
        <v>45266</v>
      </c>
      <c r="D586" s="20">
        <v>196.53</v>
      </c>
      <c r="E586" s="22" t="s">
        <v>10</v>
      </c>
      <c r="F586" s="22" t="s">
        <v>13</v>
      </c>
      <c r="G586" s="22" t="s">
        <v>20</v>
      </c>
    </row>
    <row r="587" ht="15.15" spans="1:7">
      <c r="A587" s="20">
        <v>586</v>
      </c>
      <c r="B587" s="20">
        <v>5933</v>
      </c>
      <c r="C587" s="21">
        <v>45138</v>
      </c>
      <c r="D587" s="20">
        <v>2731.85</v>
      </c>
      <c r="E587" s="22" t="s">
        <v>10</v>
      </c>
      <c r="F587" s="22" t="s">
        <v>11</v>
      </c>
      <c r="G587" s="22" t="s">
        <v>20</v>
      </c>
    </row>
    <row r="588" ht="15.15" spans="1:7">
      <c r="A588" s="20">
        <v>587</v>
      </c>
      <c r="B588" s="20">
        <v>6174</v>
      </c>
      <c r="C588" s="21">
        <v>45267</v>
      </c>
      <c r="D588" s="20">
        <v>3253.22</v>
      </c>
      <c r="E588" s="22" t="s">
        <v>10</v>
      </c>
      <c r="F588" s="22" t="s">
        <v>18</v>
      </c>
      <c r="G588" s="22" t="s">
        <v>12</v>
      </c>
    </row>
    <row r="589" ht="15.15" spans="1:7">
      <c r="A589" s="20">
        <v>588</v>
      </c>
      <c r="B589" s="20">
        <v>9623</v>
      </c>
      <c r="C589" s="21">
        <v>45291</v>
      </c>
      <c r="D589" s="20">
        <v>1178.92</v>
      </c>
      <c r="E589" s="22" t="s">
        <v>10</v>
      </c>
      <c r="F589" s="22" t="s">
        <v>11</v>
      </c>
      <c r="G589" s="22" t="s">
        <v>15</v>
      </c>
    </row>
    <row r="590" ht="15.15" spans="1:7">
      <c r="A590" s="20">
        <v>589</v>
      </c>
      <c r="B590" s="20">
        <v>8653</v>
      </c>
      <c r="C590" s="21">
        <v>45104</v>
      </c>
      <c r="D590" s="20">
        <v>1318.41</v>
      </c>
      <c r="E590" s="22" t="s">
        <v>10</v>
      </c>
      <c r="F590" s="22" t="s">
        <v>18</v>
      </c>
      <c r="G590" s="22" t="s">
        <v>17</v>
      </c>
    </row>
    <row r="591" ht="15.15" spans="1:7">
      <c r="A591" s="20">
        <v>590</v>
      </c>
      <c r="B591" s="20">
        <v>8999</v>
      </c>
      <c r="C591" s="21">
        <v>45271</v>
      </c>
      <c r="D591" s="20">
        <v>413.98</v>
      </c>
      <c r="E591" s="22" t="s">
        <v>10</v>
      </c>
      <c r="F591" s="22" t="s">
        <v>18</v>
      </c>
      <c r="G591" s="22" t="s">
        <v>17</v>
      </c>
    </row>
    <row r="592" ht="15.15" spans="1:7">
      <c r="A592" s="20">
        <v>591</v>
      </c>
      <c r="B592" s="20">
        <v>5216</v>
      </c>
      <c r="C592" s="21">
        <v>45221</v>
      </c>
      <c r="D592" s="20">
        <v>2662.2</v>
      </c>
      <c r="E592" s="22" t="s">
        <v>10</v>
      </c>
      <c r="F592" s="22" t="s">
        <v>16</v>
      </c>
      <c r="G592" s="22" t="s">
        <v>17</v>
      </c>
    </row>
    <row r="593" ht="15.15" spans="1:7">
      <c r="A593" s="20">
        <v>592</v>
      </c>
      <c r="B593" s="20">
        <v>2060</v>
      </c>
      <c r="C593" s="21">
        <v>45110</v>
      </c>
      <c r="D593" s="20">
        <v>1483.77</v>
      </c>
      <c r="E593" s="22" t="s">
        <v>10</v>
      </c>
      <c r="F593" s="22" t="s">
        <v>16</v>
      </c>
      <c r="G593" s="22" t="s">
        <v>17</v>
      </c>
    </row>
    <row r="594" ht="15.15" spans="1:7">
      <c r="A594" s="20">
        <v>593</v>
      </c>
      <c r="B594" s="20">
        <v>5668</v>
      </c>
      <c r="C594" s="21">
        <v>45149</v>
      </c>
      <c r="D594" s="20">
        <v>497.22</v>
      </c>
      <c r="E594" s="22" t="s">
        <v>10</v>
      </c>
      <c r="F594" s="22" t="s">
        <v>13</v>
      </c>
      <c r="G594" s="22" t="s">
        <v>12</v>
      </c>
    </row>
    <row r="595" ht="15.15" spans="1:7">
      <c r="A595" s="20">
        <v>594</v>
      </c>
      <c r="B595" s="20">
        <v>4004</v>
      </c>
      <c r="C595" s="21">
        <v>45213</v>
      </c>
      <c r="D595" s="20">
        <v>5450.16</v>
      </c>
      <c r="E595" s="22" t="s">
        <v>10</v>
      </c>
      <c r="F595" s="22" t="s">
        <v>14</v>
      </c>
      <c r="G595" s="22" t="s">
        <v>15</v>
      </c>
    </row>
    <row r="596" ht="15.15" spans="1:7">
      <c r="A596" s="20">
        <v>595</v>
      </c>
      <c r="B596" s="20">
        <v>3273</v>
      </c>
      <c r="C596" s="21">
        <v>45040</v>
      </c>
      <c r="D596" s="20">
        <v>718.56</v>
      </c>
      <c r="E596" s="22" t="s">
        <v>21</v>
      </c>
      <c r="F596" s="22" t="s">
        <v>16</v>
      </c>
      <c r="G596" s="22" t="s">
        <v>20</v>
      </c>
    </row>
    <row r="597" ht="15.15" spans="1:7">
      <c r="A597" s="20">
        <v>596</v>
      </c>
      <c r="B597" s="20">
        <v>5133</v>
      </c>
      <c r="C597" s="21">
        <v>45198</v>
      </c>
      <c r="D597" s="20">
        <v>1833.76</v>
      </c>
      <c r="E597" s="22" t="s">
        <v>10</v>
      </c>
      <c r="F597" s="22" t="s">
        <v>13</v>
      </c>
      <c r="G597" s="22" t="s">
        <v>20</v>
      </c>
    </row>
    <row r="598" ht="15.15" spans="1:7">
      <c r="A598" s="20">
        <v>597</v>
      </c>
      <c r="B598" s="20">
        <v>4266</v>
      </c>
      <c r="C598" s="21">
        <v>45270</v>
      </c>
      <c r="D598" s="20">
        <v>1982.55</v>
      </c>
      <c r="E598" s="22" t="s">
        <v>10</v>
      </c>
      <c r="F598" s="22" t="s">
        <v>18</v>
      </c>
      <c r="G598" s="22" t="s">
        <v>12</v>
      </c>
    </row>
    <row r="599" ht="15.15" spans="1:7">
      <c r="A599" s="20">
        <v>598</v>
      </c>
      <c r="B599" s="20">
        <v>7615</v>
      </c>
      <c r="C599" s="21">
        <v>45168</v>
      </c>
      <c r="D599" s="20">
        <v>2010.45</v>
      </c>
      <c r="E599" s="22" t="s">
        <v>10</v>
      </c>
      <c r="F599" s="22" t="s">
        <v>13</v>
      </c>
      <c r="G599" s="22" t="s">
        <v>15</v>
      </c>
    </row>
    <row r="600" ht="15.15" spans="1:7">
      <c r="A600" s="20">
        <v>599</v>
      </c>
      <c r="B600" s="20">
        <v>4098</v>
      </c>
      <c r="C600" s="21">
        <v>45276</v>
      </c>
      <c r="D600" s="20">
        <v>1548.24</v>
      </c>
      <c r="E600" s="22" t="s">
        <v>10</v>
      </c>
      <c r="F600" s="22" t="s">
        <v>11</v>
      </c>
      <c r="G600" s="22" t="s">
        <v>20</v>
      </c>
    </row>
    <row r="601" ht="15.15" spans="1:7">
      <c r="A601" s="20">
        <v>600</v>
      </c>
      <c r="B601" s="20">
        <v>2122</v>
      </c>
      <c r="C601" s="21">
        <v>45183</v>
      </c>
      <c r="D601" s="20">
        <v>1545.68</v>
      </c>
      <c r="E601" s="22" t="s">
        <v>10</v>
      </c>
      <c r="F601" s="22" t="s">
        <v>16</v>
      </c>
      <c r="G601" s="22" t="s">
        <v>20</v>
      </c>
    </row>
    <row r="602" ht="15.15" spans="1:7">
      <c r="A602" s="20">
        <v>601</v>
      </c>
      <c r="B602" s="20">
        <v>5812</v>
      </c>
      <c r="C602" s="21">
        <v>45205</v>
      </c>
      <c r="D602" s="20">
        <v>766.48</v>
      </c>
      <c r="E602" s="22" t="s">
        <v>10</v>
      </c>
      <c r="F602" s="22" t="s">
        <v>11</v>
      </c>
      <c r="G602" s="22" t="s">
        <v>15</v>
      </c>
    </row>
    <row r="603" ht="15.15" spans="1:7">
      <c r="A603" s="20">
        <v>602</v>
      </c>
      <c r="B603" s="20">
        <v>5092</v>
      </c>
      <c r="C603" s="21">
        <v>45251</v>
      </c>
      <c r="D603" s="20">
        <v>1517.12</v>
      </c>
      <c r="E603" s="22" t="s">
        <v>10</v>
      </c>
      <c r="F603" s="22" t="s">
        <v>18</v>
      </c>
      <c r="G603" s="22" t="s">
        <v>17</v>
      </c>
    </row>
    <row r="604" ht="15.15" spans="1:7">
      <c r="A604" s="20">
        <v>603</v>
      </c>
      <c r="B604" s="20">
        <v>8387</v>
      </c>
      <c r="C604" s="21">
        <v>45024</v>
      </c>
      <c r="D604" s="20">
        <v>612.2</v>
      </c>
      <c r="E604" s="22" t="s">
        <v>10</v>
      </c>
      <c r="F604" s="22" t="s">
        <v>14</v>
      </c>
      <c r="G604" s="22" t="s">
        <v>20</v>
      </c>
    </row>
    <row r="605" ht="15.15" spans="1:7">
      <c r="A605" s="20">
        <v>604</v>
      </c>
      <c r="B605" s="20">
        <v>6924</v>
      </c>
      <c r="C605" s="21">
        <v>45176</v>
      </c>
      <c r="D605" s="20">
        <v>829.22</v>
      </c>
      <c r="E605" s="22" t="s">
        <v>10</v>
      </c>
      <c r="F605" s="22" t="s">
        <v>13</v>
      </c>
      <c r="G605" s="22" t="s">
        <v>15</v>
      </c>
    </row>
    <row r="606" ht="15.15" spans="1:7">
      <c r="A606" s="20">
        <v>605</v>
      </c>
      <c r="B606" s="20">
        <v>3303</v>
      </c>
      <c r="C606" s="21">
        <v>45231</v>
      </c>
      <c r="D606" s="20">
        <v>3179.97</v>
      </c>
      <c r="E606" s="22" t="s">
        <v>10</v>
      </c>
      <c r="F606" s="22" t="s">
        <v>14</v>
      </c>
      <c r="G606" s="22" t="s">
        <v>15</v>
      </c>
    </row>
    <row r="607" ht="15.15" spans="1:7">
      <c r="A607" s="20">
        <v>606</v>
      </c>
      <c r="B607" s="20">
        <v>4341</v>
      </c>
      <c r="C607" s="21">
        <v>45243</v>
      </c>
      <c r="D607" s="20">
        <v>538.64</v>
      </c>
      <c r="E607" s="22" t="s">
        <v>10</v>
      </c>
      <c r="F607" s="22" t="s">
        <v>11</v>
      </c>
      <c r="G607" s="22" t="s">
        <v>15</v>
      </c>
    </row>
    <row r="608" ht="15.15" spans="1:7">
      <c r="A608" s="20">
        <v>607</v>
      </c>
      <c r="B608" s="20">
        <v>9935</v>
      </c>
      <c r="C608" s="21">
        <v>45256</v>
      </c>
      <c r="D608" s="20">
        <v>2178</v>
      </c>
      <c r="E608" s="22" t="s">
        <v>10</v>
      </c>
      <c r="F608" s="22" t="s">
        <v>18</v>
      </c>
      <c r="G608" s="22" t="s">
        <v>17</v>
      </c>
    </row>
    <row r="609" ht="15.15" spans="1:7">
      <c r="A609" s="20">
        <v>608</v>
      </c>
      <c r="B609" s="20">
        <v>8271</v>
      </c>
      <c r="C609" s="21">
        <v>45147</v>
      </c>
      <c r="D609" s="20">
        <v>1660.81</v>
      </c>
      <c r="E609" s="22" t="s">
        <v>10</v>
      </c>
      <c r="F609" s="22" t="s">
        <v>14</v>
      </c>
      <c r="G609" s="22" t="s">
        <v>12</v>
      </c>
    </row>
    <row r="610" ht="15.15" spans="1:7">
      <c r="A610" s="20">
        <v>609</v>
      </c>
      <c r="B610" s="20">
        <v>2191</v>
      </c>
      <c r="C610" s="21">
        <v>45177</v>
      </c>
      <c r="D610" s="20">
        <v>449.81</v>
      </c>
      <c r="E610" s="22" t="s">
        <v>10</v>
      </c>
      <c r="F610" s="22" t="s">
        <v>11</v>
      </c>
      <c r="G610" s="22" t="s">
        <v>15</v>
      </c>
    </row>
    <row r="611" ht="15.15" spans="1:7">
      <c r="A611" s="20">
        <v>610</v>
      </c>
      <c r="B611" s="20">
        <v>5417</v>
      </c>
      <c r="C611" s="21">
        <v>45245</v>
      </c>
      <c r="D611" s="20">
        <v>4910.73</v>
      </c>
      <c r="E611" s="22" t="s">
        <v>10</v>
      </c>
      <c r="F611" s="22" t="s">
        <v>14</v>
      </c>
      <c r="G611" s="22" t="s">
        <v>15</v>
      </c>
    </row>
    <row r="612" ht="15.15" spans="1:7">
      <c r="A612" s="20">
        <v>611</v>
      </c>
      <c r="B612" s="20">
        <v>5684</v>
      </c>
      <c r="C612" s="21">
        <v>45225</v>
      </c>
      <c r="D612" s="20">
        <v>1421.95</v>
      </c>
      <c r="E612" s="22" t="s">
        <v>10</v>
      </c>
      <c r="F612" s="22" t="s">
        <v>14</v>
      </c>
      <c r="G612" s="22" t="s">
        <v>15</v>
      </c>
    </row>
    <row r="613" ht="15.15" spans="1:7">
      <c r="A613" s="20">
        <v>612</v>
      </c>
      <c r="B613" s="20">
        <v>339</v>
      </c>
      <c r="C613" s="21">
        <v>45000</v>
      </c>
      <c r="D613" s="20">
        <v>2299.44</v>
      </c>
      <c r="E613" s="22" t="s">
        <v>10</v>
      </c>
      <c r="F613" s="22" t="s">
        <v>14</v>
      </c>
      <c r="G613" s="22" t="s">
        <v>20</v>
      </c>
    </row>
    <row r="614" ht="15.15" spans="1:7">
      <c r="A614" s="20">
        <v>613</v>
      </c>
      <c r="B614" s="20">
        <v>1899</v>
      </c>
      <c r="C614" s="21">
        <v>45146</v>
      </c>
      <c r="D614" s="20">
        <v>1989.51</v>
      </c>
      <c r="E614" s="22" t="s">
        <v>10</v>
      </c>
      <c r="F614" s="22" t="s">
        <v>13</v>
      </c>
      <c r="G614" s="22" t="s">
        <v>12</v>
      </c>
    </row>
    <row r="615" ht="15.15" spans="1:7">
      <c r="A615" s="20">
        <v>614</v>
      </c>
      <c r="B615" s="20">
        <v>4288</v>
      </c>
      <c r="C615" s="21">
        <v>45044</v>
      </c>
      <c r="D615" s="20">
        <v>1442.31</v>
      </c>
      <c r="E615" s="22" t="s">
        <v>10</v>
      </c>
      <c r="F615" s="22" t="s">
        <v>13</v>
      </c>
      <c r="G615" s="22" t="s">
        <v>12</v>
      </c>
    </row>
    <row r="616" ht="15.15" spans="1:7">
      <c r="A616" s="20">
        <v>615</v>
      </c>
      <c r="B616" s="20">
        <v>7474</v>
      </c>
      <c r="C616" s="21">
        <v>45271</v>
      </c>
      <c r="D616" s="20">
        <v>1615.41</v>
      </c>
      <c r="E616" s="22" t="s">
        <v>10</v>
      </c>
      <c r="F616" s="22" t="s">
        <v>13</v>
      </c>
      <c r="G616" s="22" t="s">
        <v>20</v>
      </c>
    </row>
    <row r="617" ht="15.15" spans="1:7">
      <c r="A617" s="20">
        <v>616</v>
      </c>
      <c r="B617" s="20">
        <v>8431</v>
      </c>
      <c r="C617" s="21">
        <v>45103</v>
      </c>
      <c r="D617" s="20">
        <v>833.86</v>
      </c>
      <c r="E617" s="22" t="s">
        <v>10</v>
      </c>
      <c r="F617" s="22" t="s">
        <v>18</v>
      </c>
      <c r="G617" s="22" t="s">
        <v>17</v>
      </c>
    </row>
    <row r="618" ht="15.15" spans="1:7">
      <c r="A618" s="20">
        <v>617</v>
      </c>
      <c r="B618" s="20">
        <v>7166</v>
      </c>
      <c r="C618" s="21">
        <v>45152</v>
      </c>
      <c r="D618" s="20">
        <v>1340.98</v>
      </c>
      <c r="E618" s="22" t="s">
        <v>10</v>
      </c>
      <c r="F618" s="22" t="s">
        <v>13</v>
      </c>
      <c r="G618" s="22" t="s">
        <v>15</v>
      </c>
    </row>
    <row r="619" ht="15.15" spans="1:7">
      <c r="A619" s="20">
        <v>618</v>
      </c>
      <c r="B619" s="20">
        <v>7758</v>
      </c>
      <c r="C619" s="21">
        <v>45203</v>
      </c>
      <c r="D619" s="20">
        <v>266.31</v>
      </c>
      <c r="E619" s="22" t="s">
        <v>10</v>
      </c>
      <c r="F619" s="22" t="s">
        <v>11</v>
      </c>
      <c r="G619" s="22" t="s">
        <v>15</v>
      </c>
    </row>
    <row r="620" ht="15.15" spans="1:7">
      <c r="A620" s="20">
        <v>619</v>
      </c>
      <c r="B620" s="20">
        <v>436</v>
      </c>
      <c r="C620" s="21">
        <v>45252</v>
      </c>
      <c r="D620" s="20">
        <v>711.25</v>
      </c>
      <c r="E620" s="22" t="s">
        <v>10</v>
      </c>
      <c r="F620" s="22" t="s">
        <v>18</v>
      </c>
      <c r="G620" s="22" t="s">
        <v>15</v>
      </c>
    </row>
    <row r="621" ht="15.15" spans="1:7">
      <c r="A621" s="20">
        <v>620</v>
      </c>
      <c r="B621" s="20">
        <v>9780</v>
      </c>
      <c r="C621" s="21">
        <v>44977</v>
      </c>
      <c r="D621" s="20">
        <v>1517.02</v>
      </c>
      <c r="E621" s="22" t="s">
        <v>22</v>
      </c>
      <c r="F621" s="22" t="s">
        <v>11</v>
      </c>
      <c r="G621" s="22" t="s">
        <v>12</v>
      </c>
    </row>
    <row r="622" ht="15.15" spans="1:7">
      <c r="A622" s="20">
        <v>621</v>
      </c>
      <c r="B622" s="20">
        <v>1526</v>
      </c>
      <c r="C622" s="21">
        <v>45210</v>
      </c>
      <c r="D622" s="20">
        <v>2946.25</v>
      </c>
      <c r="E622" s="22" t="s">
        <v>10</v>
      </c>
      <c r="F622" s="22" t="s">
        <v>13</v>
      </c>
      <c r="G622" s="22" t="s">
        <v>17</v>
      </c>
    </row>
    <row r="623" ht="15.15" spans="1:7">
      <c r="A623" s="20">
        <v>622</v>
      </c>
      <c r="B623" s="20">
        <v>3883</v>
      </c>
      <c r="C623" s="21">
        <v>45223</v>
      </c>
      <c r="D623" s="20">
        <v>3572.74</v>
      </c>
      <c r="E623" s="22" t="s">
        <v>10</v>
      </c>
      <c r="F623" s="22" t="s">
        <v>13</v>
      </c>
      <c r="G623" s="22" t="s">
        <v>20</v>
      </c>
    </row>
    <row r="624" ht="15.15" spans="1:7">
      <c r="A624" s="20">
        <v>623</v>
      </c>
      <c r="B624" s="20">
        <v>6989</v>
      </c>
      <c r="C624" s="21">
        <v>45114</v>
      </c>
      <c r="D624" s="20">
        <v>824.61</v>
      </c>
      <c r="E624" s="22" t="s">
        <v>22</v>
      </c>
      <c r="F624" s="22" t="s">
        <v>16</v>
      </c>
      <c r="G624" s="22" t="s">
        <v>12</v>
      </c>
    </row>
    <row r="625" ht="15.15" spans="1:7">
      <c r="A625" s="20">
        <v>624</v>
      </c>
      <c r="B625" s="20">
        <v>6014</v>
      </c>
      <c r="C625" s="21">
        <v>45284</v>
      </c>
      <c r="D625" s="20">
        <v>3122.83</v>
      </c>
      <c r="E625" s="22" t="s">
        <v>10</v>
      </c>
      <c r="F625" s="22" t="s">
        <v>13</v>
      </c>
      <c r="G625" s="22" t="s">
        <v>20</v>
      </c>
    </row>
    <row r="626" ht="15.15" spans="1:7">
      <c r="A626" s="20">
        <v>625</v>
      </c>
      <c r="B626" s="20">
        <v>4362</v>
      </c>
      <c r="C626" s="21">
        <v>45166</v>
      </c>
      <c r="D626" s="20">
        <v>5106.71</v>
      </c>
      <c r="E626" s="22" t="s">
        <v>10</v>
      </c>
      <c r="F626" s="22" t="s">
        <v>13</v>
      </c>
      <c r="G626" s="22" t="s">
        <v>20</v>
      </c>
    </row>
    <row r="627" ht="15.15" spans="1:7">
      <c r="A627" s="20">
        <v>626</v>
      </c>
      <c r="B627" s="20">
        <v>5797</v>
      </c>
      <c r="C627" s="21">
        <v>44976</v>
      </c>
      <c r="D627" s="20">
        <v>2699.85</v>
      </c>
      <c r="E627" s="22" t="s">
        <v>10</v>
      </c>
      <c r="F627" s="22" t="s">
        <v>13</v>
      </c>
      <c r="G627" s="22" t="s">
        <v>15</v>
      </c>
    </row>
    <row r="628" ht="15.15" spans="1:7">
      <c r="A628" s="20">
        <v>627</v>
      </c>
      <c r="B628" s="20">
        <v>3917</v>
      </c>
      <c r="C628" s="21">
        <v>45244</v>
      </c>
      <c r="D628" s="20">
        <v>1930.07</v>
      </c>
      <c r="E628" s="22" t="s">
        <v>10</v>
      </c>
      <c r="F628" s="22" t="s">
        <v>16</v>
      </c>
      <c r="G628" s="22" t="s">
        <v>20</v>
      </c>
    </row>
    <row r="629" ht="15.15" spans="1:7">
      <c r="A629" s="20">
        <v>628</v>
      </c>
      <c r="B629" s="20">
        <v>1909</v>
      </c>
      <c r="C629" s="21">
        <v>45132</v>
      </c>
      <c r="D629" s="20">
        <v>1554.17</v>
      </c>
      <c r="E629" s="22" t="s">
        <v>22</v>
      </c>
      <c r="F629" s="22" t="s">
        <v>13</v>
      </c>
      <c r="G629" s="22" t="s">
        <v>20</v>
      </c>
    </row>
    <row r="630" ht="15.15" spans="1:7">
      <c r="A630" s="20">
        <v>629</v>
      </c>
      <c r="B630" s="20">
        <v>8152</v>
      </c>
      <c r="C630" s="21">
        <v>45279</v>
      </c>
      <c r="D630" s="20">
        <v>1072.43</v>
      </c>
      <c r="E630" s="22" t="s">
        <v>10</v>
      </c>
      <c r="F630" s="22" t="s">
        <v>14</v>
      </c>
      <c r="G630" s="22" t="s">
        <v>15</v>
      </c>
    </row>
    <row r="631" ht="15.15" spans="1:7">
      <c r="A631" s="20">
        <v>630</v>
      </c>
      <c r="B631" s="20">
        <v>1857</v>
      </c>
      <c r="C631" s="21">
        <v>45045</v>
      </c>
      <c r="D631" s="20">
        <v>209.84</v>
      </c>
      <c r="E631" s="22" t="s">
        <v>10</v>
      </c>
      <c r="F631" s="22" t="s">
        <v>13</v>
      </c>
      <c r="G631" s="22" t="s">
        <v>20</v>
      </c>
    </row>
    <row r="632" ht="15.15" spans="1:7">
      <c r="A632" s="20">
        <v>631</v>
      </c>
      <c r="B632" s="20">
        <v>9868</v>
      </c>
      <c r="C632" s="21">
        <v>45225</v>
      </c>
      <c r="D632" s="20">
        <v>209.84</v>
      </c>
      <c r="E632" s="22" t="s">
        <v>21</v>
      </c>
      <c r="F632" s="22" t="s">
        <v>14</v>
      </c>
      <c r="G632" s="22" t="s">
        <v>12</v>
      </c>
    </row>
    <row r="633" ht="15.15" spans="1:7">
      <c r="A633" s="20">
        <v>632</v>
      </c>
      <c r="B633" s="20">
        <v>7053</v>
      </c>
      <c r="C633" s="21">
        <v>45169</v>
      </c>
      <c r="D633" s="20">
        <v>142.43</v>
      </c>
      <c r="E633" s="22" t="s">
        <v>10</v>
      </c>
      <c r="F633" s="22" t="s">
        <v>11</v>
      </c>
      <c r="G633" s="22" t="s">
        <v>12</v>
      </c>
    </row>
    <row r="634" ht="15.15" spans="1:7">
      <c r="A634" s="20">
        <v>633</v>
      </c>
      <c r="B634" s="20">
        <v>5923</v>
      </c>
      <c r="C634" s="21">
        <v>45232</v>
      </c>
      <c r="D634" s="20">
        <v>2078.53</v>
      </c>
      <c r="E634" s="22" t="s">
        <v>10</v>
      </c>
      <c r="F634" s="22" t="s">
        <v>11</v>
      </c>
      <c r="G634" s="22" t="s">
        <v>17</v>
      </c>
    </row>
    <row r="635" ht="15.15" spans="1:7">
      <c r="A635" s="20">
        <v>634</v>
      </c>
      <c r="B635" s="20">
        <v>5118</v>
      </c>
      <c r="C635" s="21">
        <v>45285</v>
      </c>
      <c r="D635" s="20">
        <v>425.63</v>
      </c>
      <c r="E635" s="22" t="s">
        <v>10</v>
      </c>
      <c r="F635" s="22" t="s">
        <v>18</v>
      </c>
      <c r="G635" s="22" t="s">
        <v>17</v>
      </c>
    </row>
    <row r="636" ht="15.15" spans="1:7">
      <c r="A636" s="20">
        <v>635</v>
      </c>
      <c r="B636" s="20">
        <v>1829</v>
      </c>
      <c r="C636" s="21">
        <v>45262</v>
      </c>
      <c r="D636" s="20">
        <v>950.65</v>
      </c>
      <c r="E636" s="22" t="s">
        <v>10</v>
      </c>
      <c r="F636" s="22" t="s">
        <v>11</v>
      </c>
      <c r="G636" s="22" t="s">
        <v>17</v>
      </c>
    </row>
    <row r="637" ht="15.15" spans="1:7">
      <c r="A637" s="20">
        <v>636</v>
      </c>
      <c r="B637" s="20">
        <v>8417</v>
      </c>
      <c r="C637" s="21">
        <v>45106</v>
      </c>
      <c r="D637" s="20">
        <v>3241.23</v>
      </c>
      <c r="E637" s="22" t="s">
        <v>10</v>
      </c>
      <c r="F637" s="22" t="s">
        <v>16</v>
      </c>
      <c r="G637" s="22" t="s">
        <v>17</v>
      </c>
    </row>
    <row r="638" ht="15.15" spans="1:7">
      <c r="A638" s="20">
        <v>637</v>
      </c>
      <c r="B638" s="20">
        <v>2278</v>
      </c>
      <c r="C638" s="21">
        <v>45086</v>
      </c>
      <c r="D638" s="20">
        <v>1403.77</v>
      </c>
      <c r="E638" s="22" t="s">
        <v>10</v>
      </c>
      <c r="F638" s="22" t="s">
        <v>16</v>
      </c>
      <c r="G638" s="22" t="s">
        <v>12</v>
      </c>
    </row>
    <row r="639" ht="15.15" spans="1:7">
      <c r="A639" s="20">
        <v>638</v>
      </c>
      <c r="B639" s="20">
        <v>2107</v>
      </c>
      <c r="C639" s="21">
        <v>45171</v>
      </c>
      <c r="D639" s="20">
        <v>1755.05</v>
      </c>
      <c r="E639" s="22" t="s">
        <v>10</v>
      </c>
      <c r="F639" s="22" t="s">
        <v>11</v>
      </c>
      <c r="G639" s="22" t="s">
        <v>17</v>
      </c>
    </row>
    <row r="640" ht="15.15" spans="1:7">
      <c r="A640" s="20">
        <v>639</v>
      </c>
      <c r="B640" s="20">
        <v>2577</v>
      </c>
      <c r="C640" s="21">
        <v>45001</v>
      </c>
      <c r="D640" s="20">
        <v>250.59</v>
      </c>
      <c r="E640" s="22" t="s">
        <v>10</v>
      </c>
      <c r="F640" s="22" t="s">
        <v>14</v>
      </c>
      <c r="G640" s="22" t="s">
        <v>15</v>
      </c>
    </row>
    <row r="641" ht="15.15" spans="1:7">
      <c r="A641" s="20">
        <v>640</v>
      </c>
      <c r="B641" s="20">
        <v>4637</v>
      </c>
      <c r="C641" s="21">
        <v>45119</v>
      </c>
      <c r="D641" s="20">
        <v>3692.2</v>
      </c>
      <c r="E641" s="22" t="s">
        <v>10</v>
      </c>
      <c r="F641" s="22" t="s">
        <v>14</v>
      </c>
      <c r="G641" s="22" t="s">
        <v>17</v>
      </c>
    </row>
    <row r="642" ht="15.15" spans="1:7">
      <c r="A642" s="20">
        <v>641</v>
      </c>
      <c r="B642" s="20">
        <v>1316</v>
      </c>
      <c r="C642" s="21">
        <v>45228</v>
      </c>
      <c r="D642" s="20">
        <v>2983.44</v>
      </c>
      <c r="E642" s="22" t="s">
        <v>10</v>
      </c>
      <c r="F642" s="22" t="s">
        <v>14</v>
      </c>
      <c r="G642" s="22" t="s">
        <v>20</v>
      </c>
    </row>
    <row r="643" ht="15.15" spans="1:7">
      <c r="A643" s="20">
        <v>642</v>
      </c>
      <c r="B643" s="20">
        <v>3367</v>
      </c>
      <c r="C643" s="21">
        <v>45244</v>
      </c>
      <c r="D643" s="20">
        <v>1248.06</v>
      </c>
      <c r="E643" s="22" t="s">
        <v>10</v>
      </c>
      <c r="F643" s="22" t="s">
        <v>11</v>
      </c>
      <c r="G643" s="22" t="s">
        <v>20</v>
      </c>
    </row>
    <row r="644" ht="15.15" spans="1:7">
      <c r="A644" s="20">
        <v>643</v>
      </c>
      <c r="B644" s="20">
        <v>4136</v>
      </c>
      <c r="C644" s="21">
        <v>44986</v>
      </c>
      <c r="D644" s="20">
        <v>1252.24</v>
      </c>
      <c r="E644" s="22" t="s">
        <v>10</v>
      </c>
      <c r="F644" s="22" t="s">
        <v>13</v>
      </c>
      <c r="G644" s="22" t="s">
        <v>17</v>
      </c>
    </row>
    <row r="645" ht="15.15" spans="1:7">
      <c r="A645" s="20">
        <v>644</v>
      </c>
      <c r="B645" s="20">
        <v>9804</v>
      </c>
      <c r="C645" s="21">
        <v>45141</v>
      </c>
      <c r="D645" s="20">
        <v>265.95</v>
      </c>
      <c r="E645" s="22" t="s">
        <v>10</v>
      </c>
      <c r="F645" s="22" t="s">
        <v>13</v>
      </c>
      <c r="G645" s="22" t="s">
        <v>15</v>
      </c>
    </row>
    <row r="646" ht="15.15" spans="1:7">
      <c r="A646" s="20">
        <v>645</v>
      </c>
      <c r="B646" s="20">
        <v>3926</v>
      </c>
      <c r="C646" s="21">
        <v>45237</v>
      </c>
      <c r="D646" s="20">
        <v>3387.3</v>
      </c>
      <c r="E646" s="22" t="s">
        <v>10</v>
      </c>
      <c r="F646" s="22" t="s">
        <v>11</v>
      </c>
      <c r="G646" s="22" t="s">
        <v>20</v>
      </c>
    </row>
    <row r="647" ht="15.15" spans="1:7">
      <c r="A647" s="20">
        <v>646</v>
      </c>
      <c r="B647" s="20">
        <v>2311</v>
      </c>
      <c r="C647" s="21">
        <v>45065</v>
      </c>
      <c r="D647" s="20">
        <v>2677.59</v>
      </c>
      <c r="E647" s="22" t="s">
        <v>22</v>
      </c>
      <c r="F647" s="22" t="s">
        <v>18</v>
      </c>
      <c r="G647" s="22" t="s">
        <v>20</v>
      </c>
    </row>
    <row r="648" ht="15.15" spans="1:7">
      <c r="A648" s="20">
        <v>647</v>
      </c>
      <c r="B648" s="20">
        <v>3681</v>
      </c>
      <c r="C648" s="21">
        <v>45277</v>
      </c>
      <c r="D648" s="20">
        <v>1399.74</v>
      </c>
      <c r="E648" s="22" t="s">
        <v>10</v>
      </c>
      <c r="F648" s="22" t="s">
        <v>18</v>
      </c>
      <c r="G648" s="22" t="s">
        <v>20</v>
      </c>
    </row>
    <row r="649" ht="15.15" spans="1:7">
      <c r="A649" s="20">
        <v>648</v>
      </c>
      <c r="B649" s="20">
        <v>7211</v>
      </c>
      <c r="C649" s="21">
        <v>45216</v>
      </c>
      <c r="D649" s="20">
        <v>225.07</v>
      </c>
      <c r="E649" s="22" t="s">
        <v>10</v>
      </c>
      <c r="F649" s="22" t="s">
        <v>13</v>
      </c>
      <c r="G649" s="22" t="s">
        <v>15</v>
      </c>
    </row>
    <row r="650" ht="15.15" spans="1:7">
      <c r="A650" s="20">
        <v>649</v>
      </c>
      <c r="B650" s="20">
        <v>8554</v>
      </c>
      <c r="C650" s="21">
        <v>45272</v>
      </c>
      <c r="D650" s="20">
        <v>663.9</v>
      </c>
      <c r="E650" s="22" t="s">
        <v>10</v>
      </c>
      <c r="F650" s="22" t="s">
        <v>16</v>
      </c>
      <c r="G650" s="22" t="s">
        <v>20</v>
      </c>
    </row>
    <row r="651" ht="15.15" spans="1:7">
      <c r="A651" s="20">
        <v>650</v>
      </c>
      <c r="B651" s="20">
        <v>5325</v>
      </c>
      <c r="C651" s="21">
        <v>45091</v>
      </c>
      <c r="D651" s="20">
        <v>3085.4</v>
      </c>
      <c r="E651" s="22" t="s">
        <v>10</v>
      </c>
      <c r="F651" s="22" t="s">
        <v>14</v>
      </c>
      <c r="G651" s="22" t="s">
        <v>20</v>
      </c>
    </row>
    <row r="652" ht="15.15" spans="1:7">
      <c r="A652" s="20">
        <v>651</v>
      </c>
      <c r="B652" s="20">
        <v>5914</v>
      </c>
      <c r="C652" s="21">
        <v>45242</v>
      </c>
      <c r="D652" s="20">
        <v>734.16</v>
      </c>
      <c r="E652" s="22" t="s">
        <v>10</v>
      </c>
      <c r="F652" s="22" t="s">
        <v>16</v>
      </c>
      <c r="G652" s="22" t="s">
        <v>12</v>
      </c>
    </row>
    <row r="653" ht="15.15" spans="1:7">
      <c r="A653" s="20">
        <v>652</v>
      </c>
      <c r="B653" s="20">
        <v>1664</v>
      </c>
      <c r="C653" s="21">
        <v>44961</v>
      </c>
      <c r="D653" s="20">
        <v>1175.96</v>
      </c>
      <c r="E653" s="22" t="s">
        <v>10</v>
      </c>
      <c r="F653" s="22" t="s">
        <v>11</v>
      </c>
      <c r="G653" s="22" t="s">
        <v>15</v>
      </c>
    </row>
    <row r="654" ht="15.15" spans="1:7">
      <c r="A654" s="20">
        <v>653</v>
      </c>
      <c r="B654" s="20">
        <v>2094</v>
      </c>
      <c r="C654" s="21">
        <v>45248</v>
      </c>
      <c r="D654" s="20">
        <v>718.56</v>
      </c>
      <c r="E654" s="22" t="s">
        <v>10</v>
      </c>
      <c r="F654" s="22" t="s">
        <v>18</v>
      </c>
      <c r="G654" s="22" t="s">
        <v>15</v>
      </c>
    </row>
    <row r="655" ht="15.15" spans="1:7">
      <c r="A655" s="20">
        <v>654</v>
      </c>
      <c r="B655" s="20">
        <v>2600</v>
      </c>
      <c r="C655" s="21">
        <v>45183</v>
      </c>
      <c r="D655" s="20">
        <v>310.18</v>
      </c>
      <c r="E655" s="22" t="s">
        <v>10</v>
      </c>
      <c r="F655" s="22" t="s">
        <v>13</v>
      </c>
      <c r="G655" s="22" t="s">
        <v>15</v>
      </c>
    </row>
    <row r="656" ht="15.15" spans="1:7">
      <c r="A656" s="20">
        <v>655</v>
      </c>
      <c r="B656" s="20">
        <v>7513</v>
      </c>
      <c r="C656" s="21">
        <v>45257</v>
      </c>
      <c r="D656" s="20">
        <v>1604.28</v>
      </c>
      <c r="E656" s="22" t="s">
        <v>10</v>
      </c>
      <c r="F656" s="22" t="s">
        <v>11</v>
      </c>
      <c r="G656" s="22" t="s">
        <v>15</v>
      </c>
    </row>
    <row r="657" ht="15.15" spans="1:7">
      <c r="A657" s="20">
        <v>656</v>
      </c>
      <c r="B657" s="20">
        <v>7462</v>
      </c>
      <c r="C657" s="21">
        <v>45228</v>
      </c>
      <c r="D657" s="20">
        <v>338.71</v>
      </c>
      <c r="E657" s="22" t="s">
        <v>10</v>
      </c>
      <c r="F657" s="22" t="s">
        <v>18</v>
      </c>
      <c r="G657" s="22" t="s">
        <v>17</v>
      </c>
    </row>
    <row r="658" ht="15.15" spans="1:7">
      <c r="A658" s="20">
        <v>657</v>
      </c>
      <c r="B658" s="20">
        <v>2612</v>
      </c>
      <c r="C658" s="21">
        <v>45270</v>
      </c>
      <c r="D658" s="20">
        <v>2381.13</v>
      </c>
      <c r="E658" s="22" t="s">
        <v>10</v>
      </c>
      <c r="F658" s="22" t="s">
        <v>16</v>
      </c>
      <c r="G658" s="22" t="s">
        <v>17</v>
      </c>
    </row>
    <row r="659" ht="15.15" spans="1:7">
      <c r="A659" s="20">
        <v>658</v>
      </c>
      <c r="B659" s="20">
        <v>471</v>
      </c>
      <c r="C659" s="21">
        <v>45264</v>
      </c>
      <c r="D659" s="20">
        <v>3761.5</v>
      </c>
      <c r="E659" s="22" t="s">
        <v>10</v>
      </c>
      <c r="F659" s="22" t="s">
        <v>14</v>
      </c>
      <c r="G659" s="22" t="s">
        <v>15</v>
      </c>
    </row>
    <row r="660" ht="15.15" spans="1:7">
      <c r="A660" s="20">
        <v>659</v>
      </c>
      <c r="B660" s="20">
        <v>7099</v>
      </c>
      <c r="C660" s="21">
        <v>45268</v>
      </c>
      <c r="D660" s="20">
        <v>1022.22</v>
      </c>
      <c r="E660" s="22" t="s">
        <v>10</v>
      </c>
      <c r="F660" s="22" t="s">
        <v>16</v>
      </c>
      <c r="G660" s="22" t="s">
        <v>12</v>
      </c>
    </row>
    <row r="661" ht="15.15" spans="1:7">
      <c r="A661" s="20">
        <v>660</v>
      </c>
      <c r="B661" s="20">
        <v>8045</v>
      </c>
      <c r="C661" s="21">
        <v>45176</v>
      </c>
      <c r="D661" s="20">
        <v>1934.26</v>
      </c>
      <c r="E661" s="22" t="s">
        <v>10</v>
      </c>
      <c r="F661" s="22" t="s">
        <v>11</v>
      </c>
      <c r="G661" s="22" t="s">
        <v>12</v>
      </c>
    </row>
    <row r="662" ht="15.15" spans="1:7">
      <c r="A662" s="20">
        <v>661</v>
      </c>
      <c r="B662" s="20">
        <v>3176</v>
      </c>
      <c r="C662" s="21">
        <v>45066</v>
      </c>
      <c r="D662" s="20">
        <v>534.69</v>
      </c>
      <c r="E662" s="22" t="s">
        <v>10</v>
      </c>
      <c r="F662" s="22" t="s">
        <v>14</v>
      </c>
      <c r="G662" s="22" t="s">
        <v>12</v>
      </c>
    </row>
    <row r="663" ht="15.15" spans="1:7">
      <c r="A663" s="20">
        <v>662</v>
      </c>
      <c r="B663" s="20">
        <v>6268</v>
      </c>
      <c r="C663" s="21">
        <v>45192</v>
      </c>
      <c r="D663" s="20">
        <v>1977.6</v>
      </c>
      <c r="E663" s="22" t="s">
        <v>10</v>
      </c>
      <c r="F663" s="22" t="s">
        <v>16</v>
      </c>
      <c r="G663" s="22" t="s">
        <v>15</v>
      </c>
    </row>
    <row r="664" ht="15.15" spans="1:7">
      <c r="A664" s="20">
        <v>663</v>
      </c>
      <c r="B664" s="20">
        <v>7200</v>
      </c>
      <c r="C664" s="21">
        <v>45215</v>
      </c>
      <c r="D664" s="20">
        <v>1869.03</v>
      </c>
      <c r="E664" s="22" t="s">
        <v>10</v>
      </c>
      <c r="F664" s="22" t="s">
        <v>18</v>
      </c>
      <c r="G664" s="22" t="s">
        <v>15</v>
      </c>
    </row>
    <row r="665" ht="15.15" spans="1:7">
      <c r="A665" s="20">
        <v>664</v>
      </c>
      <c r="B665" s="20">
        <v>9004</v>
      </c>
      <c r="C665" s="21">
        <v>44954</v>
      </c>
      <c r="D665" s="20">
        <v>271.37</v>
      </c>
      <c r="E665" s="22" t="s">
        <v>10</v>
      </c>
      <c r="F665" s="22" t="s">
        <v>19</v>
      </c>
      <c r="G665" s="22" t="s">
        <v>15</v>
      </c>
    </row>
    <row r="666" ht="15.15" spans="1:7">
      <c r="A666" s="20">
        <v>665</v>
      </c>
      <c r="B666" s="20">
        <v>2697</v>
      </c>
      <c r="C666" s="21">
        <v>45245</v>
      </c>
      <c r="D666" s="20">
        <v>471.55</v>
      </c>
      <c r="E666" s="22" t="s">
        <v>10</v>
      </c>
      <c r="F666" s="22" t="s">
        <v>13</v>
      </c>
      <c r="G666" s="22" t="s">
        <v>20</v>
      </c>
    </row>
    <row r="667" ht="15.15" spans="1:7">
      <c r="A667" s="20">
        <v>666</v>
      </c>
      <c r="B667" s="20">
        <v>8956</v>
      </c>
      <c r="C667" s="21">
        <v>45240</v>
      </c>
      <c r="D667" s="20">
        <v>1490.74</v>
      </c>
      <c r="E667" s="22" t="s">
        <v>10</v>
      </c>
      <c r="F667" s="22" t="s">
        <v>18</v>
      </c>
      <c r="G667" s="22" t="s">
        <v>12</v>
      </c>
    </row>
    <row r="668" ht="15.15" spans="1:7">
      <c r="A668" s="20">
        <v>667</v>
      </c>
      <c r="B668" s="20">
        <v>7286</v>
      </c>
      <c r="C668" s="21">
        <v>45253</v>
      </c>
      <c r="D668" s="20">
        <v>899.2</v>
      </c>
      <c r="E668" s="22" t="s">
        <v>10</v>
      </c>
      <c r="F668" s="22" t="s">
        <v>18</v>
      </c>
      <c r="G668" s="22" t="s">
        <v>15</v>
      </c>
    </row>
    <row r="669" ht="15.15" spans="1:7">
      <c r="A669" s="20">
        <v>668</v>
      </c>
      <c r="B669" s="20">
        <v>6466</v>
      </c>
      <c r="C669" s="21">
        <v>45273</v>
      </c>
      <c r="D669" s="20">
        <v>2094.95</v>
      </c>
      <c r="E669" s="22" t="s">
        <v>10</v>
      </c>
      <c r="F669" s="22" t="s">
        <v>18</v>
      </c>
      <c r="G669" s="22" t="s">
        <v>15</v>
      </c>
    </row>
    <row r="670" ht="15.15" spans="1:7">
      <c r="A670" s="20">
        <v>669</v>
      </c>
      <c r="B670" s="20">
        <v>3277</v>
      </c>
      <c r="C670" s="21">
        <v>45283</v>
      </c>
      <c r="D670" s="20">
        <v>947.59</v>
      </c>
      <c r="E670" s="22" t="s">
        <v>10</v>
      </c>
      <c r="F670" s="22" t="s">
        <v>13</v>
      </c>
      <c r="G670" s="22" t="s">
        <v>17</v>
      </c>
    </row>
    <row r="671" ht="15.15" spans="1:7">
      <c r="A671" s="20">
        <v>670</v>
      </c>
      <c r="B671" s="20">
        <v>3797</v>
      </c>
      <c r="C671" s="21">
        <v>45282</v>
      </c>
      <c r="D671" s="20">
        <v>44.16</v>
      </c>
      <c r="E671" s="22" t="s">
        <v>10</v>
      </c>
      <c r="F671" s="22" t="s">
        <v>18</v>
      </c>
      <c r="G671" s="22" t="s">
        <v>12</v>
      </c>
    </row>
    <row r="672" ht="15.15" spans="1:7">
      <c r="A672" s="20">
        <v>671</v>
      </c>
      <c r="B672" s="20">
        <v>7206</v>
      </c>
      <c r="C672" s="21">
        <v>45259</v>
      </c>
      <c r="D672" s="20">
        <v>414.73</v>
      </c>
      <c r="E672" s="22" t="s">
        <v>10</v>
      </c>
      <c r="F672" s="22" t="s">
        <v>18</v>
      </c>
      <c r="G672" s="22" t="s">
        <v>12</v>
      </c>
    </row>
    <row r="673" ht="15.15" spans="1:7">
      <c r="A673" s="20">
        <v>672</v>
      </c>
      <c r="B673" s="20">
        <v>6412</v>
      </c>
      <c r="C673" s="21">
        <v>45139</v>
      </c>
      <c r="D673" s="20">
        <v>525.75</v>
      </c>
      <c r="E673" s="22" t="s">
        <v>10</v>
      </c>
      <c r="F673" s="22" t="s">
        <v>14</v>
      </c>
      <c r="G673" s="22" t="s">
        <v>20</v>
      </c>
    </row>
    <row r="674" ht="15.15" spans="1:7">
      <c r="A674" s="20">
        <v>673</v>
      </c>
      <c r="B674" s="20">
        <v>7548</v>
      </c>
      <c r="C674" s="21">
        <v>45109</v>
      </c>
      <c r="D674" s="20">
        <v>525.04</v>
      </c>
      <c r="E674" s="22" t="s">
        <v>10</v>
      </c>
      <c r="F674" s="22" t="s">
        <v>11</v>
      </c>
      <c r="G674" s="22" t="s">
        <v>15</v>
      </c>
    </row>
    <row r="675" ht="15.15" spans="1:7">
      <c r="A675" s="20">
        <v>674</v>
      </c>
      <c r="B675" s="20">
        <v>7903</v>
      </c>
      <c r="C675" s="21">
        <v>45260</v>
      </c>
      <c r="D675" s="20">
        <v>901.51</v>
      </c>
      <c r="E675" s="22" t="s">
        <v>10</v>
      </c>
      <c r="F675" s="22" t="s">
        <v>16</v>
      </c>
      <c r="G675" s="22" t="s">
        <v>20</v>
      </c>
    </row>
    <row r="676" ht="15.15" spans="1:7">
      <c r="A676" s="20">
        <v>675</v>
      </c>
      <c r="B676" s="20">
        <v>7811</v>
      </c>
      <c r="C676" s="21">
        <v>45156</v>
      </c>
      <c r="D676" s="20">
        <v>1621.29</v>
      </c>
      <c r="E676" s="22" t="s">
        <v>10</v>
      </c>
      <c r="F676" s="22" t="s">
        <v>14</v>
      </c>
      <c r="G676" s="22" t="s">
        <v>15</v>
      </c>
    </row>
    <row r="677" ht="15.15" spans="1:7">
      <c r="A677" s="20">
        <v>676</v>
      </c>
      <c r="B677" s="20">
        <v>5338</v>
      </c>
      <c r="C677" s="21">
        <v>45070</v>
      </c>
      <c r="D677" s="20">
        <v>276.75</v>
      </c>
      <c r="E677" s="22" t="s">
        <v>10</v>
      </c>
      <c r="F677" s="22" t="s">
        <v>11</v>
      </c>
      <c r="G677" s="22" t="s">
        <v>17</v>
      </c>
    </row>
    <row r="678" ht="15.15" spans="1:7">
      <c r="A678" s="20">
        <v>677</v>
      </c>
      <c r="B678" s="20">
        <v>6744</v>
      </c>
      <c r="C678" s="21">
        <v>44941</v>
      </c>
      <c r="D678" s="20">
        <v>193.6</v>
      </c>
      <c r="E678" s="22" t="s">
        <v>10</v>
      </c>
      <c r="F678" s="22" t="s">
        <v>13</v>
      </c>
      <c r="G678" s="22" t="s">
        <v>17</v>
      </c>
    </row>
    <row r="679" ht="15.15" spans="1:7">
      <c r="A679" s="20">
        <v>678</v>
      </c>
      <c r="B679" s="20">
        <v>3815</v>
      </c>
      <c r="C679" s="21">
        <v>45142</v>
      </c>
      <c r="D679" s="20">
        <v>621.67</v>
      </c>
      <c r="E679" s="22" t="s">
        <v>10</v>
      </c>
      <c r="F679" s="22" t="s">
        <v>18</v>
      </c>
      <c r="G679" s="22" t="s">
        <v>17</v>
      </c>
    </row>
    <row r="680" ht="15.15" spans="1:7">
      <c r="A680" s="20">
        <v>679</v>
      </c>
      <c r="B680" s="20">
        <v>6597</v>
      </c>
      <c r="C680" s="21">
        <v>45234</v>
      </c>
      <c r="D680" s="20">
        <v>1254.7</v>
      </c>
      <c r="E680" s="22" t="s">
        <v>10</v>
      </c>
      <c r="F680" s="22" t="s">
        <v>16</v>
      </c>
      <c r="G680" s="22" t="s">
        <v>17</v>
      </c>
    </row>
    <row r="681" ht="15.15" spans="1:7">
      <c r="A681" s="20">
        <v>680</v>
      </c>
      <c r="B681" s="20">
        <v>620</v>
      </c>
      <c r="C681" s="21">
        <v>45078</v>
      </c>
      <c r="D681" s="20">
        <v>3575.19</v>
      </c>
      <c r="E681" s="22" t="s">
        <v>10</v>
      </c>
      <c r="F681" s="22" t="s">
        <v>13</v>
      </c>
      <c r="G681" s="22" t="s">
        <v>15</v>
      </c>
    </row>
    <row r="682" ht="15.15" spans="1:7">
      <c r="A682" s="20">
        <v>681</v>
      </c>
      <c r="B682" s="20">
        <v>523</v>
      </c>
      <c r="C682" s="21">
        <v>45253</v>
      </c>
      <c r="D682" s="20">
        <v>1634.4</v>
      </c>
      <c r="E682" s="22" t="s">
        <v>10</v>
      </c>
      <c r="F682" s="22" t="s">
        <v>16</v>
      </c>
      <c r="G682" s="22" t="s">
        <v>15</v>
      </c>
    </row>
    <row r="683" ht="15.15" spans="1:7">
      <c r="A683" s="20">
        <v>682</v>
      </c>
      <c r="B683" s="20">
        <v>5540</v>
      </c>
      <c r="C683" s="21">
        <v>44961</v>
      </c>
      <c r="D683" s="20">
        <v>485.49</v>
      </c>
      <c r="E683" s="22" t="s">
        <v>10</v>
      </c>
      <c r="F683" s="22" t="s">
        <v>18</v>
      </c>
      <c r="G683" s="22" t="s">
        <v>17</v>
      </c>
    </row>
    <row r="684" ht="15.15" spans="1:7">
      <c r="A684" s="20">
        <v>683</v>
      </c>
      <c r="B684" s="20">
        <v>7741</v>
      </c>
      <c r="C684" s="21">
        <v>45016</v>
      </c>
      <c r="D684" s="20">
        <v>339.07</v>
      </c>
      <c r="E684" s="22" t="s">
        <v>10</v>
      </c>
      <c r="F684" s="22" t="s">
        <v>18</v>
      </c>
      <c r="G684" s="22" t="s">
        <v>12</v>
      </c>
    </row>
    <row r="685" ht="15.15" spans="1:7">
      <c r="A685" s="20">
        <v>684</v>
      </c>
      <c r="B685" s="20">
        <v>3569</v>
      </c>
      <c r="C685" s="21">
        <v>44949</v>
      </c>
      <c r="D685" s="20">
        <v>3081.07</v>
      </c>
      <c r="E685" s="22" t="s">
        <v>10</v>
      </c>
      <c r="F685" s="22" t="s">
        <v>13</v>
      </c>
      <c r="G685" s="22" t="s">
        <v>15</v>
      </c>
    </row>
    <row r="686" ht="15.15" spans="1:7">
      <c r="A686" s="20">
        <v>685</v>
      </c>
      <c r="B686" s="20">
        <v>4682</v>
      </c>
      <c r="C686" s="21">
        <v>45175</v>
      </c>
      <c r="D686" s="20">
        <v>2044.21</v>
      </c>
      <c r="E686" s="22" t="s">
        <v>10</v>
      </c>
      <c r="F686" s="22" t="s">
        <v>18</v>
      </c>
      <c r="G686" s="22" t="s">
        <v>15</v>
      </c>
    </row>
    <row r="687" ht="15.15" spans="1:7">
      <c r="A687" s="20">
        <v>686</v>
      </c>
      <c r="B687" s="20">
        <v>5697</v>
      </c>
      <c r="C687" s="21">
        <v>44952</v>
      </c>
      <c r="D687" s="20">
        <v>844.85</v>
      </c>
      <c r="E687" s="22" t="s">
        <v>10</v>
      </c>
      <c r="F687" s="22" t="s">
        <v>11</v>
      </c>
      <c r="G687" s="22" t="s">
        <v>15</v>
      </c>
    </row>
    <row r="688" ht="15.15" spans="1:7">
      <c r="A688" s="20">
        <v>687</v>
      </c>
      <c r="B688" s="20">
        <v>4470</v>
      </c>
      <c r="C688" s="21">
        <v>45251</v>
      </c>
      <c r="D688" s="20">
        <v>1994.61</v>
      </c>
      <c r="E688" s="22" t="s">
        <v>10</v>
      </c>
      <c r="F688" s="22" t="s">
        <v>16</v>
      </c>
      <c r="G688" s="22" t="s">
        <v>15</v>
      </c>
    </row>
    <row r="689" ht="15.15" spans="1:7">
      <c r="A689" s="20">
        <v>688</v>
      </c>
      <c r="B689" s="20">
        <v>8719</v>
      </c>
      <c r="C689" s="21">
        <v>45289</v>
      </c>
      <c r="D689" s="20">
        <v>2256.76</v>
      </c>
      <c r="E689" s="22" t="s">
        <v>10</v>
      </c>
      <c r="F689" s="22" t="s">
        <v>19</v>
      </c>
      <c r="G689" s="22" t="s">
        <v>15</v>
      </c>
    </row>
    <row r="690" ht="15.15" spans="1:7">
      <c r="A690" s="20">
        <v>689</v>
      </c>
      <c r="B690" s="20">
        <v>9402</v>
      </c>
      <c r="C690" s="21">
        <v>45177</v>
      </c>
      <c r="D690" s="20">
        <v>2506.1</v>
      </c>
      <c r="E690" s="22" t="s">
        <v>10</v>
      </c>
      <c r="F690" s="22" t="s">
        <v>13</v>
      </c>
      <c r="G690" s="22" t="s">
        <v>20</v>
      </c>
    </row>
    <row r="691" ht="15.15" spans="1:7">
      <c r="A691" s="20">
        <v>690</v>
      </c>
      <c r="B691" s="20">
        <v>2145</v>
      </c>
      <c r="C691" s="21">
        <v>44945</v>
      </c>
      <c r="D691" s="20">
        <v>623.01</v>
      </c>
      <c r="E691" s="22" t="s">
        <v>10</v>
      </c>
      <c r="F691" s="22" t="s">
        <v>16</v>
      </c>
      <c r="G691" s="22" t="s">
        <v>12</v>
      </c>
    </row>
    <row r="692" ht="15.15" spans="1:7">
      <c r="A692" s="20">
        <v>691</v>
      </c>
      <c r="B692" s="20">
        <v>2530</v>
      </c>
      <c r="C692" s="21">
        <v>45085</v>
      </c>
      <c r="D692" s="20">
        <v>594.9</v>
      </c>
      <c r="E692" s="22" t="s">
        <v>22</v>
      </c>
      <c r="F692" s="22" t="s">
        <v>18</v>
      </c>
      <c r="G692" s="22" t="s">
        <v>20</v>
      </c>
    </row>
    <row r="693" ht="15.15" spans="1:7">
      <c r="A693" s="20">
        <v>692</v>
      </c>
      <c r="B693" s="20">
        <v>3681</v>
      </c>
      <c r="C693" s="21">
        <v>45103</v>
      </c>
      <c r="D693" s="20">
        <v>1577.02</v>
      </c>
      <c r="E693" s="22" t="s">
        <v>10</v>
      </c>
      <c r="F693" s="22" t="s">
        <v>18</v>
      </c>
      <c r="G693" s="22" t="s">
        <v>15</v>
      </c>
    </row>
    <row r="694" ht="15.15" spans="1:7">
      <c r="A694" s="20">
        <v>693</v>
      </c>
      <c r="B694" s="20">
        <v>7377</v>
      </c>
      <c r="C694" s="21">
        <v>45149</v>
      </c>
      <c r="D694" s="20">
        <v>142.43</v>
      </c>
      <c r="E694" s="22" t="s">
        <v>10</v>
      </c>
      <c r="F694" s="22" t="s">
        <v>13</v>
      </c>
      <c r="G694" s="22" t="s">
        <v>17</v>
      </c>
    </row>
    <row r="695" ht="15.15" spans="1:7">
      <c r="A695" s="20">
        <v>694</v>
      </c>
      <c r="B695" s="20">
        <v>6452</v>
      </c>
      <c r="C695" s="21">
        <v>45091</v>
      </c>
      <c r="D695" s="20">
        <v>5981.37</v>
      </c>
      <c r="E695" s="22" t="s">
        <v>21</v>
      </c>
      <c r="F695" s="22" t="s">
        <v>13</v>
      </c>
      <c r="G695" s="22" t="s">
        <v>17</v>
      </c>
    </row>
    <row r="696" ht="15.15" spans="1:7">
      <c r="A696" s="20">
        <v>695</v>
      </c>
      <c r="B696" s="20">
        <v>682</v>
      </c>
      <c r="C696" s="21">
        <v>45270</v>
      </c>
      <c r="D696" s="20">
        <v>1850.73</v>
      </c>
      <c r="E696" s="22" t="s">
        <v>10</v>
      </c>
      <c r="F696" s="22" t="s">
        <v>11</v>
      </c>
      <c r="G696" s="22" t="s">
        <v>17</v>
      </c>
    </row>
    <row r="697" ht="15.15" spans="1:7">
      <c r="A697" s="20">
        <v>696</v>
      </c>
      <c r="B697" s="20">
        <v>1219</v>
      </c>
      <c r="C697" s="21">
        <v>44950</v>
      </c>
      <c r="D697" s="20">
        <v>896.91</v>
      </c>
      <c r="E697" s="22" t="s">
        <v>10</v>
      </c>
      <c r="F697" s="22" t="s">
        <v>13</v>
      </c>
      <c r="G697" s="22" t="s">
        <v>17</v>
      </c>
    </row>
    <row r="698" ht="15.15" spans="1:7">
      <c r="A698" s="20">
        <v>697</v>
      </c>
      <c r="B698" s="20">
        <v>8111</v>
      </c>
      <c r="C698" s="21">
        <v>45070</v>
      </c>
      <c r="D698" s="20">
        <v>1373.19</v>
      </c>
      <c r="E698" s="22" t="s">
        <v>10</v>
      </c>
      <c r="F698" s="22" t="s">
        <v>18</v>
      </c>
      <c r="G698" s="22" t="s">
        <v>17</v>
      </c>
    </row>
    <row r="699" ht="15.15" spans="1:7">
      <c r="A699" s="20">
        <v>698</v>
      </c>
      <c r="B699" s="20">
        <v>289</v>
      </c>
      <c r="C699" s="21">
        <v>45010</v>
      </c>
      <c r="D699" s="20">
        <v>5702.36</v>
      </c>
      <c r="E699" s="22" t="s">
        <v>10</v>
      </c>
      <c r="F699" s="22" t="s">
        <v>11</v>
      </c>
      <c r="G699" s="22" t="s">
        <v>20</v>
      </c>
    </row>
    <row r="700" ht="15.15" spans="1:7">
      <c r="A700" s="20">
        <v>699</v>
      </c>
      <c r="B700" s="20">
        <v>7260</v>
      </c>
      <c r="C700" s="21">
        <v>45271</v>
      </c>
      <c r="D700" s="20">
        <v>1666.77</v>
      </c>
      <c r="E700" s="22" t="s">
        <v>10</v>
      </c>
      <c r="F700" s="22" t="s">
        <v>16</v>
      </c>
      <c r="G700" s="22" t="s">
        <v>17</v>
      </c>
    </row>
    <row r="701" ht="15.15" spans="1:7">
      <c r="A701" s="20">
        <v>700</v>
      </c>
      <c r="B701" s="20">
        <v>8518</v>
      </c>
      <c r="C701" s="21">
        <v>45273</v>
      </c>
      <c r="D701" s="20">
        <v>628.59</v>
      </c>
      <c r="E701" s="22" t="s">
        <v>10</v>
      </c>
      <c r="F701" s="22" t="s">
        <v>16</v>
      </c>
      <c r="G701" s="22" t="s">
        <v>17</v>
      </c>
    </row>
    <row r="702" ht="15.15" spans="1:7">
      <c r="A702" s="20">
        <v>701</v>
      </c>
      <c r="B702" s="20">
        <v>86</v>
      </c>
      <c r="C702" s="21">
        <v>45133</v>
      </c>
      <c r="D702" s="20">
        <v>395.52</v>
      </c>
      <c r="E702" s="22" t="s">
        <v>10</v>
      </c>
      <c r="F702" s="22" t="s">
        <v>18</v>
      </c>
      <c r="G702" s="22" t="s">
        <v>12</v>
      </c>
    </row>
    <row r="703" ht="15.15" spans="1:7">
      <c r="A703" s="20">
        <v>702</v>
      </c>
      <c r="B703" s="20">
        <v>7846</v>
      </c>
      <c r="C703" s="21">
        <v>44928</v>
      </c>
      <c r="D703" s="20">
        <v>7461.37</v>
      </c>
      <c r="E703" s="22" t="s">
        <v>10</v>
      </c>
      <c r="F703" s="22" t="s">
        <v>16</v>
      </c>
      <c r="G703" s="22" t="s">
        <v>12</v>
      </c>
    </row>
    <row r="704" ht="15.15" spans="1:7">
      <c r="A704" s="20">
        <v>703</v>
      </c>
      <c r="B704" s="20">
        <v>3729</v>
      </c>
      <c r="C704" s="21">
        <v>44951</v>
      </c>
      <c r="D704" s="20">
        <v>1560.59</v>
      </c>
      <c r="E704" s="22" t="s">
        <v>10</v>
      </c>
      <c r="F704" s="22" t="s">
        <v>11</v>
      </c>
      <c r="G704" s="22" t="s">
        <v>12</v>
      </c>
    </row>
    <row r="705" ht="15.15" spans="1:7">
      <c r="A705" s="20">
        <v>704</v>
      </c>
      <c r="B705" s="20">
        <v>6901</v>
      </c>
      <c r="C705" s="21">
        <v>45254</v>
      </c>
      <c r="D705" s="20">
        <v>422.21</v>
      </c>
      <c r="E705" s="22" t="s">
        <v>10</v>
      </c>
      <c r="F705" s="22" t="s">
        <v>18</v>
      </c>
      <c r="G705" s="22" t="s">
        <v>15</v>
      </c>
    </row>
    <row r="706" ht="15.15" spans="1:7">
      <c r="A706" s="20">
        <v>705</v>
      </c>
      <c r="B706" s="20">
        <v>6922</v>
      </c>
      <c r="C706" s="21">
        <v>45208</v>
      </c>
      <c r="D706" s="20">
        <v>3387.3</v>
      </c>
      <c r="E706" s="22" t="s">
        <v>10</v>
      </c>
      <c r="F706" s="22" t="s">
        <v>16</v>
      </c>
      <c r="G706" s="22" t="s">
        <v>15</v>
      </c>
    </row>
    <row r="707" ht="15.15" spans="1:7">
      <c r="A707" s="20">
        <v>706</v>
      </c>
      <c r="B707" s="20">
        <v>1795</v>
      </c>
      <c r="C707" s="21">
        <v>45112</v>
      </c>
      <c r="D707" s="20">
        <v>193.8</v>
      </c>
      <c r="E707" s="22" t="s">
        <v>10</v>
      </c>
      <c r="F707" s="22" t="s">
        <v>16</v>
      </c>
      <c r="G707" s="22" t="s">
        <v>12</v>
      </c>
    </row>
    <row r="708" ht="15.15" spans="1:7">
      <c r="A708" s="20">
        <v>707</v>
      </c>
      <c r="B708" s="20">
        <v>9372</v>
      </c>
      <c r="C708" s="21">
        <v>45234</v>
      </c>
      <c r="D708" s="20">
        <v>1289.1</v>
      </c>
      <c r="E708" s="22" t="s">
        <v>10</v>
      </c>
      <c r="F708" s="22" t="s">
        <v>14</v>
      </c>
      <c r="G708" s="22" t="s">
        <v>20</v>
      </c>
    </row>
    <row r="709" ht="15.15" spans="1:7">
      <c r="A709" s="20">
        <v>708</v>
      </c>
      <c r="B709" s="20">
        <v>4364</v>
      </c>
      <c r="C709" s="21">
        <v>45102</v>
      </c>
      <c r="D709" s="20">
        <v>751.38</v>
      </c>
      <c r="E709" s="22" t="s">
        <v>10</v>
      </c>
      <c r="F709" s="22" t="s">
        <v>11</v>
      </c>
      <c r="G709" s="22" t="s">
        <v>20</v>
      </c>
    </row>
    <row r="710" ht="15.15" spans="1:7">
      <c r="A710" s="20">
        <v>709</v>
      </c>
      <c r="B710" s="20">
        <v>3275</v>
      </c>
      <c r="C710" s="21">
        <v>45234</v>
      </c>
      <c r="D710" s="20">
        <v>4307.43</v>
      </c>
      <c r="E710" s="22" t="s">
        <v>10</v>
      </c>
      <c r="F710" s="22" t="s">
        <v>16</v>
      </c>
      <c r="G710" s="22" t="s">
        <v>12</v>
      </c>
    </row>
    <row r="711" ht="15.15" spans="1:7">
      <c r="A711" s="20">
        <v>710</v>
      </c>
      <c r="B711" s="20">
        <v>6408</v>
      </c>
      <c r="C711" s="21">
        <v>44959</v>
      </c>
      <c r="D711" s="20">
        <v>6018.69</v>
      </c>
      <c r="E711" s="22" t="s">
        <v>10</v>
      </c>
      <c r="F711" s="22" t="s">
        <v>18</v>
      </c>
      <c r="G711" s="22" t="s">
        <v>17</v>
      </c>
    </row>
    <row r="712" ht="15.15" spans="1:7">
      <c r="A712" s="20">
        <v>711</v>
      </c>
      <c r="B712" s="20">
        <v>3200</v>
      </c>
      <c r="C712" s="21">
        <v>44986</v>
      </c>
      <c r="D712" s="20">
        <v>318.02</v>
      </c>
      <c r="E712" s="22" t="s">
        <v>10</v>
      </c>
      <c r="F712" s="22" t="s">
        <v>13</v>
      </c>
      <c r="G712" s="22" t="s">
        <v>20</v>
      </c>
    </row>
    <row r="713" ht="15.15" spans="1:7">
      <c r="A713" s="20">
        <v>712</v>
      </c>
      <c r="B713" s="20">
        <v>7825</v>
      </c>
      <c r="C713" s="21">
        <v>45252</v>
      </c>
      <c r="D713" s="20">
        <v>4831.77</v>
      </c>
      <c r="E713" s="22" t="s">
        <v>10</v>
      </c>
      <c r="F713" s="22" t="s">
        <v>18</v>
      </c>
      <c r="G713" s="22" t="s">
        <v>15</v>
      </c>
    </row>
    <row r="714" ht="15.15" spans="1:7">
      <c r="A714" s="20">
        <v>713</v>
      </c>
      <c r="B714" s="20">
        <v>3304</v>
      </c>
      <c r="C714" s="21">
        <v>45213</v>
      </c>
      <c r="D714" s="20">
        <v>691.55</v>
      </c>
      <c r="E714" s="22" t="s">
        <v>10</v>
      </c>
      <c r="F714" s="22" t="s">
        <v>14</v>
      </c>
      <c r="G714" s="22" t="s">
        <v>12</v>
      </c>
    </row>
    <row r="715" ht="15.15" spans="1:7">
      <c r="A715" s="20">
        <v>714</v>
      </c>
      <c r="B715" s="20">
        <v>389</v>
      </c>
      <c r="C715" s="21">
        <v>45231</v>
      </c>
      <c r="D715" s="20">
        <v>899.2</v>
      </c>
      <c r="E715" s="22" t="s">
        <v>10</v>
      </c>
      <c r="F715" s="22" t="s">
        <v>14</v>
      </c>
      <c r="G715" s="22" t="s">
        <v>17</v>
      </c>
    </row>
    <row r="716" ht="15.15" spans="1:7">
      <c r="A716" s="20">
        <v>715</v>
      </c>
      <c r="B716" s="20">
        <v>5053</v>
      </c>
      <c r="C716" s="21">
        <v>45157</v>
      </c>
      <c r="D716" s="20">
        <v>315.29</v>
      </c>
      <c r="E716" s="22" t="s">
        <v>10</v>
      </c>
      <c r="F716" s="22" t="s">
        <v>18</v>
      </c>
      <c r="G716" s="22" t="s">
        <v>20</v>
      </c>
    </row>
    <row r="717" ht="15.15" spans="1:7">
      <c r="A717" s="20">
        <v>716</v>
      </c>
      <c r="B717" s="20">
        <v>5590</v>
      </c>
      <c r="C717" s="21">
        <v>45237</v>
      </c>
      <c r="D717" s="20">
        <v>3911.84</v>
      </c>
      <c r="E717" s="22" t="s">
        <v>10</v>
      </c>
      <c r="F717" s="22" t="s">
        <v>18</v>
      </c>
      <c r="G717" s="22" t="s">
        <v>17</v>
      </c>
    </row>
    <row r="718" ht="15.15" spans="1:7">
      <c r="A718" s="20">
        <v>717</v>
      </c>
      <c r="B718" s="20">
        <v>1279</v>
      </c>
      <c r="C718" s="21">
        <v>44968</v>
      </c>
      <c r="D718" s="20">
        <v>367.55</v>
      </c>
      <c r="E718" s="22" t="s">
        <v>10</v>
      </c>
      <c r="F718" s="22" t="s">
        <v>19</v>
      </c>
      <c r="G718" s="22" t="s">
        <v>15</v>
      </c>
    </row>
    <row r="719" ht="15.15" spans="1:7">
      <c r="A719" s="20">
        <v>718</v>
      </c>
      <c r="B719" s="20">
        <v>6520</v>
      </c>
      <c r="C719" s="21">
        <v>45124</v>
      </c>
      <c r="D719" s="20">
        <v>1017.21</v>
      </c>
      <c r="E719" s="22" t="s">
        <v>10</v>
      </c>
      <c r="F719" s="22" t="s">
        <v>11</v>
      </c>
      <c r="G719" s="22" t="s">
        <v>20</v>
      </c>
    </row>
    <row r="720" ht="15.15" spans="1:7">
      <c r="A720" s="20">
        <v>719</v>
      </c>
      <c r="B720" s="20">
        <v>4109</v>
      </c>
      <c r="C720" s="21">
        <v>45111</v>
      </c>
      <c r="D720" s="20">
        <v>1492.71</v>
      </c>
      <c r="E720" s="22" t="s">
        <v>10</v>
      </c>
      <c r="F720" s="22" t="s">
        <v>11</v>
      </c>
      <c r="G720" s="22" t="s">
        <v>12</v>
      </c>
    </row>
    <row r="721" ht="15.15" spans="1:7">
      <c r="A721" s="20">
        <v>720</v>
      </c>
      <c r="B721" s="20">
        <v>3125</v>
      </c>
      <c r="C721" s="21">
        <v>45246</v>
      </c>
      <c r="D721" s="20">
        <v>1159.04</v>
      </c>
      <c r="E721" s="22" t="s">
        <v>10</v>
      </c>
      <c r="F721" s="22" t="s">
        <v>18</v>
      </c>
      <c r="G721" s="22" t="s">
        <v>20</v>
      </c>
    </row>
    <row r="722" ht="15.15" spans="1:7">
      <c r="A722" s="20">
        <v>721</v>
      </c>
      <c r="B722" s="20">
        <v>9119</v>
      </c>
      <c r="C722" s="21">
        <v>45015</v>
      </c>
      <c r="D722" s="20">
        <v>44.16</v>
      </c>
      <c r="E722" s="22" t="s">
        <v>10</v>
      </c>
      <c r="F722" s="22" t="s">
        <v>16</v>
      </c>
      <c r="G722" s="22" t="s">
        <v>12</v>
      </c>
    </row>
    <row r="723" ht="15.15" spans="1:7">
      <c r="A723" s="20">
        <v>722</v>
      </c>
      <c r="B723" s="20">
        <v>5172</v>
      </c>
      <c r="C723" s="21">
        <v>44958</v>
      </c>
      <c r="D723" s="20">
        <v>1239.3</v>
      </c>
      <c r="E723" s="22" t="s">
        <v>10</v>
      </c>
      <c r="F723" s="22" t="s">
        <v>11</v>
      </c>
      <c r="G723" s="22" t="s">
        <v>20</v>
      </c>
    </row>
    <row r="724" ht="15.15" spans="1:7">
      <c r="A724" s="20">
        <v>723</v>
      </c>
      <c r="B724" s="20">
        <v>8740</v>
      </c>
      <c r="C724" s="21">
        <v>45067</v>
      </c>
      <c r="D724" s="20">
        <v>4290.53</v>
      </c>
      <c r="E724" s="22" t="s">
        <v>10</v>
      </c>
      <c r="F724" s="22" t="s">
        <v>16</v>
      </c>
      <c r="G724" s="22" t="s">
        <v>17</v>
      </c>
    </row>
    <row r="725" ht="15.15" spans="1:7">
      <c r="A725" s="20">
        <v>724</v>
      </c>
      <c r="B725" s="20">
        <v>5077</v>
      </c>
      <c r="C725" s="21">
        <v>45209</v>
      </c>
      <c r="D725" s="20">
        <v>891.2</v>
      </c>
      <c r="E725" s="22" t="s">
        <v>10</v>
      </c>
      <c r="F725" s="22" t="s">
        <v>11</v>
      </c>
      <c r="G725" s="22" t="s">
        <v>15</v>
      </c>
    </row>
    <row r="726" ht="15.15" spans="1:7">
      <c r="A726" s="20">
        <v>725</v>
      </c>
      <c r="B726" s="20">
        <v>1853</v>
      </c>
      <c r="C726" s="21">
        <v>45182</v>
      </c>
      <c r="D726" s="20">
        <v>720.56</v>
      </c>
      <c r="E726" s="22" t="s">
        <v>10</v>
      </c>
      <c r="F726" s="22" t="s">
        <v>18</v>
      </c>
      <c r="G726" s="22" t="s">
        <v>12</v>
      </c>
    </row>
    <row r="727" ht="15.15" spans="1:7">
      <c r="A727" s="20">
        <v>726</v>
      </c>
      <c r="B727" s="20">
        <v>1211</v>
      </c>
      <c r="C727" s="21">
        <v>45131</v>
      </c>
      <c r="D727" s="20">
        <v>795.54</v>
      </c>
      <c r="E727" s="22" t="s">
        <v>10</v>
      </c>
      <c r="F727" s="22" t="s">
        <v>16</v>
      </c>
      <c r="G727" s="22" t="s">
        <v>12</v>
      </c>
    </row>
    <row r="728" ht="15.15" spans="1:7">
      <c r="A728" s="20">
        <v>727</v>
      </c>
      <c r="B728" s="20">
        <v>6597</v>
      </c>
      <c r="C728" s="21">
        <v>45132</v>
      </c>
      <c r="D728" s="20">
        <v>358.36</v>
      </c>
      <c r="E728" s="22" t="s">
        <v>10</v>
      </c>
      <c r="F728" s="22" t="s">
        <v>16</v>
      </c>
      <c r="G728" s="22" t="s">
        <v>20</v>
      </c>
    </row>
    <row r="729" ht="15.15" spans="1:7">
      <c r="A729" s="20">
        <v>728</v>
      </c>
      <c r="B729" s="20">
        <v>5816</v>
      </c>
      <c r="C729" s="21">
        <v>45016</v>
      </c>
      <c r="D729" s="20">
        <v>169.04</v>
      </c>
      <c r="E729" s="22" t="s">
        <v>10</v>
      </c>
      <c r="F729" s="22" t="s">
        <v>18</v>
      </c>
      <c r="G729" s="22" t="s">
        <v>17</v>
      </c>
    </row>
    <row r="730" ht="15.15" spans="1:7">
      <c r="A730" s="20">
        <v>729</v>
      </c>
      <c r="B730" s="20">
        <v>3477</v>
      </c>
      <c r="C730" s="21">
        <v>45022</v>
      </c>
      <c r="D730" s="20">
        <v>1365.96</v>
      </c>
      <c r="E730" s="22" t="s">
        <v>21</v>
      </c>
      <c r="F730" s="22" t="s">
        <v>13</v>
      </c>
      <c r="G730" s="22" t="s">
        <v>17</v>
      </c>
    </row>
    <row r="731" ht="15.15" spans="1:7">
      <c r="A731" s="20">
        <v>730</v>
      </c>
      <c r="B731" s="20">
        <v>5094</v>
      </c>
      <c r="C731" s="21">
        <v>44960</v>
      </c>
      <c r="D731" s="20">
        <v>546.87</v>
      </c>
      <c r="E731" s="22" t="s">
        <v>10</v>
      </c>
      <c r="F731" s="22" t="s">
        <v>11</v>
      </c>
      <c r="G731" s="22" t="s">
        <v>12</v>
      </c>
    </row>
    <row r="732" ht="15.15" spans="1:7">
      <c r="A732" s="20">
        <v>731</v>
      </c>
      <c r="B732" s="20">
        <v>6821</v>
      </c>
      <c r="C732" s="21">
        <v>45167</v>
      </c>
      <c r="D732" s="20">
        <v>367.55</v>
      </c>
      <c r="E732" s="22" t="s">
        <v>10</v>
      </c>
      <c r="F732" s="22" t="s">
        <v>11</v>
      </c>
      <c r="G732" s="22" t="s">
        <v>20</v>
      </c>
    </row>
    <row r="733" ht="15.15" spans="1:7">
      <c r="A733" s="20">
        <v>732</v>
      </c>
      <c r="B733" s="20">
        <v>96</v>
      </c>
      <c r="C733" s="21">
        <v>45266</v>
      </c>
      <c r="D733" s="20">
        <v>654.86</v>
      </c>
      <c r="E733" s="22" t="s">
        <v>10</v>
      </c>
      <c r="F733" s="22" t="s">
        <v>18</v>
      </c>
      <c r="G733" s="22" t="s">
        <v>12</v>
      </c>
    </row>
    <row r="734" ht="15.15" spans="1:7">
      <c r="A734" s="20">
        <v>733</v>
      </c>
      <c r="B734" s="20">
        <v>641</v>
      </c>
      <c r="C734" s="21">
        <v>45189</v>
      </c>
      <c r="D734" s="20">
        <v>1082.51</v>
      </c>
      <c r="E734" s="22" t="s">
        <v>10</v>
      </c>
      <c r="F734" s="22" t="s">
        <v>14</v>
      </c>
      <c r="G734" s="22" t="s">
        <v>20</v>
      </c>
    </row>
    <row r="735" ht="15.15" spans="1:7">
      <c r="A735" s="20">
        <v>734</v>
      </c>
      <c r="B735" s="20">
        <v>1811</v>
      </c>
      <c r="C735" s="21">
        <v>45094</v>
      </c>
      <c r="D735" s="20">
        <v>336.84</v>
      </c>
      <c r="E735" s="22" t="s">
        <v>10</v>
      </c>
      <c r="F735" s="22" t="s">
        <v>16</v>
      </c>
      <c r="G735" s="22" t="s">
        <v>20</v>
      </c>
    </row>
    <row r="736" ht="15.15" spans="1:7">
      <c r="A736" s="20">
        <v>735</v>
      </c>
      <c r="B736" s="20">
        <v>1643</v>
      </c>
      <c r="C736" s="21">
        <v>44943</v>
      </c>
      <c r="D736" s="20">
        <v>1651.24</v>
      </c>
      <c r="E736" s="22" t="s">
        <v>10</v>
      </c>
      <c r="F736" s="22" t="s">
        <v>18</v>
      </c>
      <c r="G736" s="22" t="s">
        <v>17</v>
      </c>
    </row>
    <row r="737" ht="15.15" spans="1:7">
      <c r="A737" s="20">
        <v>736</v>
      </c>
      <c r="B737" s="20">
        <v>5783</v>
      </c>
      <c r="C737" s="21">
        <v>44969</v>
      </c>
      <c r="D737" s="20">
        <v>759.97</v>
      </c>
      <c r="E737" s="22" t="s">
        <v>10</v>
      </c>
      <c r="F737" s="22" t="s">
        <v>14</v>
      </c>
      <c r="G737" s="22" t="s">
        <v>20</v>
      </c>
    </row>
    <row r="738" ht="15.15" spans="1:7">
      <c r="A738" s="20">
        <v>737</v>
      </c>
      <c r="B738" s="20">
        <v>2220</v>
      </c>
      <c r="C738" s="21">
        <v>45280</v>
      </c>
      <c r="D738" s="20">
        <v>1459.26</v>
      </c>
      <c r="E738" s="22" t="s">
        <v>10</v>
      </c>
      <c r="F738" s="22" t="s">
        <v>14</v>
      </c>
      <c r="G738" s="22" t="s">
        <v>15</v>
      </c>
    </row>
    <row r="739" ht="15.15" spans="1:7">
      <c r="A739" s="20">
        <v>738</v>
      </c>
      <c r="B739" s="20">
        <v>7447</v>
      </c>
      <c r="C739" s="21">
        <v>45078</v>
      </c>
      <c r="D739" s="20">
        <v>423.85</v>
      </c>
      <c r="E739" s="22" t="s">
        <v>10</v>
      </c>
      <c r="F739" s="22" t="s">
        <v>18</v>
      </c>
      <c r="G739" s="22" t="s">
        <v>15</v>
      </c>
    </row>
    <row r="740" ht="15.15" spans="1:7">
      <c r="A740" s="20">
        <v>739</v>
      </c>
      <c r="B740" s="20">
        <v>2533</v>
      </c>
      <c r="C740" s="21">
        <v>45254</v>
      </c>
      <c r="D740" s="20">
        <v>260.57</v>
      </c>
      <c r="E740" s="22" t="s">
        <v>10</v>
      </c>
      <c r="F740" s="22" t="s">
        <v>11</v>
      </c>
      <c r="G740" s="22" t="s">
        <v>12</v>
      </c>
    </row>
    <row r="741" ht="15.15" spans="1:7">
      <c r="A741" s="20">
        <v>740</v>
      </c>
      <c r="B741" s="20">
        <v>4516</v>
      </c>
      <c r="C741" s="21">
        <v>45287</v>
      </c>
      <c r="D741" s="20">
        <v>1729.16</v>
      </c>
      <c r="E741" s="22" t="s">
        <v>10</v>
      </c>
      <c r="F741" s="22" t="s">
        <v>18</v>
      </c>
      <c r="G741" s="22" t="s">
        <v>12</v>
      </c>
    </row>
    <row r="742" ht="15.15" spans="1:7">
      <c r="A742" s="20">
        <v>741</v>
      </c>
      <c r="B742" s="20">
        <v>1647</v>
      </c>
      <c r="C742" s="21">
        <v>45281</v>
      </c>
      <c r="D742" s="20">
        <v>428.94</v>
      </c>
      <c r="E742" s="22" t="s">
        <v>10</v>
      </c>
      <c r="F742" s="22" t="s">
        <v>18</v>
      </c>
      <c r="G742" s="22" t="s">
        <v>12</v>
      </c>
    </row>
    <row r="743" ht="15.15" spans="1:7">
      <c r="A743" s="20">
        <v>742</v>
      </c>
      <c r="B743" s="20">
        <v>9658</v>
      </c>
      <c r="C743" s="21">
        <v>45082</v>
      </c>
      <c r="D743" s="20">
        <v>1095.62</v>
      </c>
      <c r="E743" s="22" t="s">
        <v>10</v>
      </c>
      <c r="F743" s="22" t="s">
        <v>18</v>
      </c>
      <c r="G743" s="22" t="s">
        <v>17</v>
      </c>
    </row>
    <row r="744" ht="15.15" spans="1:7">
      <c r="A744" s="20">
        <v>743</v>
      </c>
      <c r="B744" s="20">
        <v>3163</v>
      </c>
      <c r="C744" s="21">
        <v>45265</v>
      </c>
      <c r="D744" s="20">
        <v>858.98</v>
      </c>
      <c r="E744" s="22" t="s">
        <v>10</v>
      </c>
      <c r="F744" s="22" t="s">
        <v>16</v>
      </c>
      <c r="G744" s="22" t="s">
        <v>12</v>
      </c>
    </row>
    <row r="745" ht="15.15" spans="1:7">
      <c r="A745" s="20">
        <v>744</v>
      </c>
      <c r="B745" s="20">
        <v>101</v>
      </c>
      <c r="C745" s="21">
        <v>45007</v>
      </c>
      <c r="D745" s="20">
        <v>865.43</v>
      </c>
      <c r="E745" s="22" t="s">
        <v>10</v>
      </c>
      <c r="F745" s="22" t="s">
        <v>13</v>
      </c>
      <c r="G745" s="22" t="s">
        <v>15</v>
      </c>
    </row>
    <row r="746" ht="15.15" spans="1:7">
      <c r="A746" s="20">
        <v>745</v>
      </c>
      <c r="B746" s="20">
        <v>8898</v>
      </c>
      <c r="C746" s="21">
        <v>45036</v>
      </c>
      <c r="D746" s="20">
        <v>154.28</v>
      </c>
      <c r="E746" s="22" t="s">
        <v>10</v>
      </c>
      <c r="F746" s="22" t="s">
        <v>13</v>
      </c>
      <c r="G746" s="22" t="s">
        <v>12</v>
      </c>
    </row>
    <row r="747" ht="15.15" spans="1:7">
      <c r="A747" s="20">
        <v>746</v>
      </c>
      <c r="B747" s="20">
        <v>2016</v>
      </c>
      <c r="C747" s="21">
        <v>45258</v>
      </c>
      <c r="D747" s="20">
        <v>798.94</v>
      </c>
      <c r="E747" s="22" t="s">
        <v>10</v>
      </c>
      <c r="F747" s="22" t="s">
        <v>14</v>
      </c>
      <c r="G747" s="22" t="s">
        <v>20</v>
      </c>
    </row>
    <row r="748" ht="15.15" spans="1:7">
      <c r="A748" s="20">
        <v>747</v>
      </c>
      <c r="B748" s="20">
        <v>1504</v>
      </c>
      <c r="C748" s="21">
        <v>45008</v>
      </c>
      <c r="D748" s="20">
        <v>336.84</v>
      </c>
      <c r="E748" s="22" t="s">
        <v>10</v>
      </c>
      <c r="F748" s="22" t="s">
        <v>14</v>
      </c>
      <c r="G748" s="22" t="s">
        <v>15</v>
      </c>
    </row>
    <row r="749" ht="15.15" spans="1:7">
      <c r="A749" s="20">
        <v>748</v>
      </c>
      <c r="B749" s="20">
        <v>7426</v>
      </c>
      <c r="C749" s="21">
        <v>45250</v>
      </c>
      <c r="D749" s="20">
        <v>1688.57</v>
      </c>
      <c r="E749" s="22" t="s">
        <v>10</v>
      </c>
      <c r="F749" s="22" t="s">
        <v>11</v>
      </c>
      <c r="G749" s="22" t="s">
        <v>20</v>
      </c>
    </row>
    <row r="750" ht="15.15" spans="1:7">
      <c r="A750" s="20">
        <v>749</v>
      </c>
      <c r="B750" s="20">
        <v>390</v>
      </c>
      <c r="C750" s="21">
        <v>45056</v>
      </c>
      <c r="D750" s="20">
        <v>948.3</v>
      </c>
      <c r="E750" s="22" t="s">
        <v>10</v>
      </c>
      <c r="F750" s="22" t="s">
        <v>13</v>
      </c>
      <c r="G750" s="22" t="s">
        <v>20</v>
      </c>
    </row>
    <row r="751" ht="15.15" spans="1:7">
      <c r="A751" s="20">
        <v>750</v>
      </c>
      <c r="B751" s="20">
        <v>7699</v>
      </c>
      <c r="C751" s="21">
        <v>45275</v>
      </c>
      <c r="D751" s="20">
        <v>240.35</v>
      </c>
      <c r="E751" s="22" t="s">
        <v>10</v>
      </c>
      <c r="F751" s="22" t="s">
        <v>11</v>
      </c>
      <c r="G751" s="22" t="s">
        <v>17</v>
      </c>
    </row>
    <row r="752" ht="15.15" spans="1:7">
      <c r="A752" s="20">
        <v>751</v>
      </c>
      <c r="B752" s="20">
        <v>5405</v>
      </c>
      <c r="C752" s="21">
        <v>45021</v>
      </c>
      <c r="D752" s="20">
        <v>972.84</v>
      </c>
      <c r="E752" s="22" t="s">
        <v>10</v>
      </c>
      <c r="F752" s="22" t="s">
        <v>11</v>
      </c>
      <c r="G752" s="22" t="s">
        <v>20</v>
      </c>
    </row>
    <row r="753" ht="15.15" spans="1:7">
      <c r="A753" s="20">
        <v>752</v>
      </c>
      <c r="B753" s="20">
        <v>2114</v>
      </c>
      <c r="C753" s="21">
        <v>44942</v>
      </c>
      <c r="D753" s="20">
        <v>2101.83</v>
      </c>
      <c r="E753" s="22" t="s">
        <v>10</v>
      </c>
      <c r="F753" s="22" t="s">
        <v>13</v>
      </c>
      <c r="G753" s="22" t="s">
        <v>12</v>
      </c>
    </row>
    <row r="754" ht="15.15" spans="1:7">
      <c r="A754" s="20">
        <v>753</v>
      </c>
      <c r="B754" s="20">
        <v>7699</v>
      </c>
      <c r="C754" s="21">
        <v>45081</v>
      </c>
      <c r="D754" s="20">
        <v>2589.2</v>
      </c>
      <c r="E754" s="22" t="s">
        <v>10</v>
      </c>
      <c r="F754" s="22" t="s">
        <v>11</v>
      </c>
      <c r="G754" s="22" t="s">
        <v>12</v>
      </c>
    </row>
    <row r="755" ht="15.15" spans="1:7">
      <c r="A755" s="20">
        <v>754</v>
      </c>
      <c r="B755" s="20">
        <v>8541</v>
      </c>
      <c r="C755" s="21">
        <v>45281</v>
      </c>
      <c r="D755" s="20">
        <v>2254.14</v>
      </c>
      <c r="E755" s="22" t="s">
        <v>10</v>
      </c>
      <c r="F755" s="22" t="s">
        <v>14</v>
      </c>
      <c r="G755" s="22" t="s">
        <v>12</v>
      </c>
    </row>
    <row r="756" ht="15.15" spans="1:7">
      <c r="A756" s="20">
        <v>755</v>
      </c>
      <c r="B756" s="20">
        <v>8554</v>
      </c>
      <c r="C756" s="21">
        <v>45194</v>
      </c>
      <c r="D756" s="20">
        <v>2911.75</v>
      </c>
      <c r="E756" s="22" t="s">
        <v>22</v>
      </c>
      <c r="F756" s="22" t="s">
        <v>16</v>
      </c>
      <c r="G756" s="22" t="s">
        <v>17</v>
      </c>
    </row>
    <row r="757" ht="15.15" spans="1:7">
      <c r="A757" s="20">
        <v>756</v>
      </c>
      <c r="B757" s="20">
        <v>1131</v>
      </c>
      <c r="C757" s="21">
        <v>45284</v>
      </c>
      <c r="D757" s="20">
        <v>2548.75</v>
      </c>
      <c r="E757" s="22" t="s">
        <v>10</v>
      </c>
      <c r="F757" s="22" t="s">
        <v>16</v>
      </c>
      <c r="G757" s="22" t="s">
        <v>20</v>
      </c>
    </row>
    <row r="758" ht="15.15" spans="1:7">
      <c r="A758" s="20">
        <v>757</v>
      </c>
      <c r="B758" s="20">
        <v>2570</v>
      </c>
      <c r="C758" s="21">
        <v>45145</v>
      </c>
      <c r="D758" s="20">
        <v>2610.6</v>
      </c>
      <c r="E758" s="22" t="s">
        <v>10</v>
      </c>
      <c r="F758" s="22" t="s">
        <v>14</v>
      </c>
      <c r="G758" s="22" t="s">
        <v>15</v>
      </c>
    </row>
    <row r="759" ht="15.15" spans="1:7">
      <c r="A759" s="20">
        <v>758</v>
      </c>
      <c r="B759" s="20">
        <v>207</v>
      </c>
      <c r="C759" s="21">
        <v>45224</v>
      </c>
      <c r="D759" s="20">
        <v>504.69</v>
      </c>
      <c r="E759" s="22" t="s">
        <v>10</v>
      </c>
      <c r="F759" s="22" t="s">
        <v>18</v>
      </c>
      <c r="G759" s="22" t="s">
        <v>15</v>
      </c>
    </row>
    <row r="760" ht="15.15" spans="1:7">
      <c r="A760" s="20">
        <v>759</v>
      </c>
      <c r="B760" s="20">
        <v>632</v>
      </c>
      <c r="C760" s="21">
        <v>45106</v>
      </c>
      <c r="D760" s="20">
        <v>968.43</v>
      </c>
      <c r="E760" s="22" t="s">
        <v>10</v>
      </c>
      <c r="F760" s="22" t="s">
        <v>11</v>
      </c>
      <c r="G760" s="22" t="s">
        <v>20</v>
      </c>
    </row>
    <row r="761" ht="15.15" spans="1:7">
      <c r="A761" s="20">
        <v>760</v>
      </c>
      <c r="B761" s="20">
        <v>9038</v>
      </c>
      <c r="C761" s="21">
        <v>45250</v>
      </c>
      <c r="D761" s="20">
        <v>245.09</v>
      </c>
      <c r="E761" s="22" t="s">
        <v>10</v>
      </c>
      <c r="F761" s="22" t="s">
        <v>14</v>
      </c>
      <c r="G761" s="22" t="s">
        <v>17</v>
      </c>
    </row>
    <row r="762" ht="15.15" spans="1:7">
      <c r="A762" s="20">
        <v>761</v>
      </c>
      <c r="B762" s="20">
        <v>1153</v>
      </c>
      <c r="C762" s="21">
        <v>44927</v>
      </c>
      <c r="D762" s="20">
        <v>1928.96</v>
      </c>
      <c r="E762" s="22" t="s">
        <v>10</v>
      </c>
      <c r="F762" s="22" t="s">
        <v>18</v>
      </c>
      <c r="G762" s="22" t="s">
        <v>12</v>
      </c>
    </row>
    <row r="763" ht="15.15" spans="1:7">
      <c r="A763" s="20">
        <v>762</v>
      </c>
      <c r="B763" s="20">
        <v>9973</v>
      </c>
      <c r="C763" s="21">
        <v>44994</v>
      </c>
      <c r="D763" s="20">
        <v>1969.96</v>
      </c>
      <c r="E763" s="22" t="s">
        <v>10</v>
      </c>
      <c r="F763" s="22" t="s">
        <v>11</v>
      </c>
      <c r="G763" s="22" t="s">
        <v>15</v>
      </c>
    </row>
    <row r="764" ht="15.15" spans="1:7">
      <c r="A764" s="20">
        <v>763</v>
      </c>
      <c r="B764" s="20">
        <v>5225</v>
      </c>
      <c r="C764" s="21">
        <v>45284</v>
      </c>
      <c r="D764" s="20">
        <v>1095.62</v>
      </c>
      <c r="E764" s="22" t="s">
        <v>10</v>
      </c>
      <c r="F764" s="22" t="s">
        <v>16</v>
      </c>
      <c r="G764" s="22" t="s">
        <v>15</v>
      </c>
    </row>
    <row r="765" ht="15.15" spans="1:7">
      <c r="A765" s="20">
        <v>764</v>
      </c>
      <c r="B765" s="20">
        <v>6372</v>
      </c>
      <c r="C765" s="21">
        <v>45012</v>
      </c>
      <c r="D765" s="20">
        <v>787.55</v>
      </c>
      <c r="E765" s="22" t="s">
        <v>10</v>
      </c>
      <c r="F765" s="22" t="s">
        <v>16</v>
      </c>
      <c r="G765" s="22" t="s">
        <v>15</v>
      </c>
    </row>
    <row r="766" ht="15.15" spans="1:7">
      <c r="A766" s="20">
        <v>765</v>
      </c>
      <c r="B766" s="20">
        <v>4044</v>
      </c>
      <c r="C766" s="21">
        <v>45285</v>
      </c>
      <c r="D766" s="20">
        <v>1808.33</v>
      </c>
      <c r="E766" s="22" t="s">
        <v>10</v>
      </c>
      <c r="F766" s="22" t="s">
        <v>13</v>
      </c>
      <c r="G766" s="22" t="s">
        <v>17</v>
      </c>
    </row>
    <row r="767" ht="15.15" spans="1:7">
      <c r="A767" s="20">
        <v>766</v>
      </c>
      <c r="B767" s="20">
        <v>3237</v>
      </c>
      <c r="C767" s="21">
        <v>45207</v>
      </c>
      <c r="D767" s="20">
        <v>596.67</v>
      </c>
      <c r="E767" s="22" t="s">
        <v>10</v>
      </c>
      <c r="F767" s="22" t="s">
        <v>16</v>
      </c>
      <c r="G767" s="22" t="s">
        <v>20</v>
      </c>
    </row>
    <row r="768" ht="15.15" spans="1:7">
      <c r="A768" s="20">
        <v>767</v>
      </c>
      <c r="B768" s="20">
        <v>6646</v>
      </c>
      <c r="C768" s="21">
        <v>44992</v>
      </c>
      <c r="D768" s="20">
        <v>2273.48</v>
      </c>
      <c r="E768" s="22" t="s">
        <v>10</v>
      </c>
      <c r="F768" s="22" t="s">
        <v>14</v>
      </c>
      <c r="G768" s="22" t="s">
        <v>12</v>
      </c>
    </row>
    <row r="769" ht="15.15" spans="1:7">
      <c r="A769" s="20">
        <v>768</v>
      </c>
      <c r="B769" s="20">
        <v>2607</v>
      </c>
      <c r="C769" s="21">
        <v>45021</v>
      </c>
      <c r="D769" s="20">
        <v>2113.97</v>
      </c>
      <c r="E769" s="22" t="s">
        <v>22</v>
      </c>
      <c r="F769" s="22" t="s">
        <v>13</v>
      </c>
      <c r="G769" s="22" t="s">
        <v>17</v>
      </c>
    </row>
    <row r="770" ht="15.15" spans="1:7">
      <c r="A770" s="20">
        <v>769</v>
      </c>
      <c r="B770" s="20">
        <v>4047</v>
      </c>
      <c r="C770" s="21">
        <v>45259</v>
      </c>
      <c r="D770" s="20">
        <v>2666.73</v>
      </c>
      <c r="E770" s="22" t="s">
        <v>10</v>
      </c>
      <c r="F770" s="22" t="s">
        <v>16</v>
      </c>
      <c r="G770" s="22" t="s">
        <v>12</v>
      </c>
    </row>
    <row r="771" ht="15.15" spans="1:7">
      <c r="A771" s="20">
        <v>770</v>
      </c>
      <c r="B771" s="20">
        <v>9328</v>
      </c>
      <c r="C771" s="21">
        <v>45012</v>
      </c>
      <c r="D771" s="20">
        <v>748.01</v>
      </c>
      <c r="E771" s="22" t="s">
        <v>10</v>
      </c>
      <c r="F771" s="22" t="s">
        <v>16</v>
      </c>
      <c r="G771" s="22" t="s">
        <v>17</v>
      </c>
    </row>
    <row r="772" ht="15.15" spans="1:7">
      <c r="A772" s="20">
        <v>771</v>
      </c>
      <c r="B772" s="20">
        <v>946</v>
      </c>
      <c r="C772" s="21">
        <v>44964</v>
      </c>
      <c r="D772" s="20">
        <v>1394.28</v>
      </c>
      <c r="E772" s="22" t="s">
        <v>10</v>
      </c>
      <c r="F772" s="22" t="s">
        <v>14</v>
      </c>
      <c r="G772" s="22" t="s">
        <v>20</v>
      </c>
    </row>
    <row r="773" ht="15.15" spans="1:7">
      <c r="A773" s="20">
        <v>772</v>
      </c>
      <c r="B773" s="20">
        <v>5102</v>
      </c>
      <c r="C773" s="21">
        <v>45114</v>
      </c>
      <c r="D773" s="20">
        <v>2197.64</v>
      </c>
      <c r="E773" s="22" t="s">
        <v>10</v>
      </c>
      <c r="F773" s="22" t="s">
        <v>19</v>
      </c>
      <c r="G773" s="22" t="s">
        <v>20</v>
      </c>
    </row>
    <row r="774" ht="15.15" spans="1:7">
      <c r="A774" s="20">
        <v>773</v>
      </c>
      <c r="B774" s="20">
        <v>3365</v>
      </c>
      <c r="C774" s="21">
        <v>44986</v>
      </c>
      <c r="D774" s="20">
        <v>2653.74</v>
      </c>
      <c r="E774" s="22" t="s">
        <v>10</v>
      </c>
      <c r="F774" s="22" t="s">
        <v>13</v>
      </c>
      <c r="G774" s="22" t="s">
        <v>20</v>
      </c>
    </row>
    <row r="775" ht="15.15" spans="1:7">
      <c r="A775" s="20">
        <v>774</v>
      </c>
      <c r="B775" s="20">
        <v>356</v>
      </c>
      <c r="C775" s="21">
        <v>45278</v>
      </c>
      <c r="D775" s="20">
        <v>1562.12</v>
      </c>
      <c r="E775" s="22" t="s">
        <v>10</v>
      </c>
      <c r="F775" s="22" t="s">
        <v>19</v>
      </c>
      <c r="G775" s="22" t="s">
        <v>17</v>
      </c>
    </row>
    <row r="776" ht="15.15" spans="1:7">
      <c r="A776" s="20">
        <v>775</v>
      </c>
      <c r="B776" s="20">
        <v>8801</v>
      </c>
      <c r="C776" s="21">
        <v>45064</v>
      </c>
      <c r="D776" s="20">
        <v>628.59</v>
      </c>
      <c r="E776" s="22" t="s">
        <v>10</v>
      </c>
      <c r="F776" s="22" t="s">
        <v>16</v>
      </c>
      <c r="G776" s="22" t="s">
        <v>17</v>
      </c>
    </row>
    <row r="777" ht="15.15" spans="1:7">
      <c r="A777" s="20">
        <v>776</v>
      </c>
      <c r="B777" s="20">
        <v>2060</v>
      </c>
      <c r="C777" s="21">
        <v>45001</v>
      </c>
      <c r="D777" s="20">
        <v>727.83</v>
      </c>
      <c r="E777" s="22" t="s">
        <v>22</v>
      </c>
      <c r="F777" s="22" t="s">
        <v>16</v>
      </c>
      <c r="G777" s="22" t="s">
        <v>15</v>
      </c>
    </row>
    <row r="778" ht="15.15" spans="1:7">
      <c r="A778" s="20">
        <v>777</v>
      </c>
      <c r="B778" s="20">
        <v>2917</v>
      </c>
      <c r="C778" s="21">
        <v>45144</v>
      </c>
      <c r="D778" s="20">
        <v>3358.82</v>
      </c>
      <c r="E778" s="22" t="s">
        <v>10</v>
      </c>
      <c r="F778" s="22" t="s">
        <v>11</v>
      </c>
      <c r="G778" s="22" t="s">
        <v>20</v>
      </c>
    </row>
    <row r="779" ht="15.15" spans="1:7">
      <c r="A779" s="20">
        <v>778</v>
      </c>
      <c r="B779" s="20">
        <v>8487</v>
      </c>
      <c r="C779" s="21">
        <v>45252</v>
      </c>
      <c r="D779" s="20">
        <v>526.08</v>
      </c>
      <c r="E779" s="22" t="s">
        <v>10</v>
      </c>
      <c r="F779" s="22" t="s">
        <v>11</v>
      </c>
      <c r="G779" s="22" t="s">
        <v>12</v>
      </c>
    </row>
    <row r="780" ht="15.15" spans="1:7">
      <c r="A780" s="20">
        <v>779</v>
      </c>
      <c r="B780" s="20">
        <v>8463</v>
      </c>
      <c r="C780" s="21">
        <v>44973</v>
      </c>
      <c r="D780" s="20">
        <v>471.55</v>
      </c>
      <c r="E780" s="22" t="s">
        <v>10</v>
      </c>
      <c r="F780" s="22" t="s">
        <v>14</v>
      </c>
      <c r="G780" s="22" t="s">
        <v>20</v>
      </c>
    </row>
    <row r="781" ht="15.15" spans="1:7">
      <c r="A781" s="20">
        <v>780</v>
      </c>
      <c r="B781" s="20">
        <v>9275</v>
      </c>
      <c r="C781" s="21">
        <v>44942</v>
      </c>
      <c r="D781" s="20">
        <v>3862.01</v>
      </c>
      <c r="E781" s="22" t="s">
        <v>10</v>
      </c>
      <c r="F781" s="22" t="s">
        <v>13</v>
      </c>
      <c r="G781" s="22" t="s">
        <v>17</v>
      </c>
    </row>
    <row r="782" ht="15.15" spans="1:7">
      <c r="A782" s="20">
        <v>781</v>
      </c>
      <c r="B782" s="20">
        <v>2004</v>
      </c>
      <c r="C782" s="21">
        <v>45220</v>
      </c>
      <c r="D782" s="20">
        <v>5274.58</v>
      </c>
      <c r="E782" s="22" t="s">
        <v>10</v>
      </c>
      <c r="F782" s="22" t="s">
        <v>16</v>
      </c>
      <c r="G782" s="22" t="s">
        <v>12</v>
      </c>
    </row>
    <row r="783" ht="15.15" spans="1:7">
      <c r="A783" s="20">
        <v>782</v>
      </c>
      <c r="B783" s="20">
        <v>7230</v>
      </c>
      <c r="C783" s="21">
        <v>45181</v>
      </c>
      <c r="D783" s="20">
        <v>3012.94</v>
      </c>
      <c r="E783" s="22" t="s">
        <v>10</v>
      </c>
      <c r="F783" s="22" t="s">
        <v>14</v>
      </c>
      <c r="G783" s="22" t="s">
        <v>17</v>
      </c>
    </row>
    <row r="784" ht="15.15" spans="1:7">
      <c r="A784" s="20">
        <v>783</v>
      </c>
      <c r="B784" s="20">
        <v>8909</v>
      </c>
      <c r="C784" s="21">
        <v>44938</v>
      </c>
      <c r="D784" s="20">
        <v>2193.93</v>
      </c>
      <c r="E784" s="22" t="s">
        <v>10</v>
      </c>
      <c r="F784" s="22" t="s">
        <v>14</v>
      </c>
      <c r="G784" s="22" t="s">
        <v>20</v>
      </c>
    </row>
    <row r="785" ht="15.15" spans="1:7">
      <c r="A785" s="20">
        <v>784</v>
      </c>
      <c r="B785" s="20">
        <v>3292</v>
      </c>
      <c r="C785" s="21">
        <v>45085</v>
      </c>
      <c r="D785" s="20">
        <v>678.83</v>
      </c>
      <c r="E785" s="22" t="s">
        <v>10</v>
      </c>
      <c r="F785" s="22" t="s">
        <v>16</v>
      </c>
      <c r="G785" s="22" t="s">
        <v>12</v>
      </c>
    </row>
    <row r="786" ht="15.15" spans="1:7">
      <c r="A786" s="20">
        <v>785</v>
      </c>
      <c r="B786" s="20">
        <v>9001</v>
      </c>
      <c r="C786" s="21">
        <v>45182</v>
      </c>
      <c r="D786" s="20">
        <v>225.71</v>
      </c>
      <c r="E786" s="22" t="s">
        <v>10</v>
      </c>
      <c r="F786" s="22" t="s">
        <v>11</v>
      </c>
      <c r="G786" s="22" t="s">
        <v>12</v>
      </c>
    </row>
    <row r="787" ht="15.15" spans="1:7">
      <c r="A787" s="20">
        <v>786</v>
      </c>
      <c r="B787" s="20">
        <v>1801</v>
      </c>
      <c r="C787" s="21">
        <v>45138</v>
      </c>
      <c r="D787" s="20">
        <v>121.05</v>
      </c>
      <c r="E787" s="22" t="s">
        <v>10</v>
      </c>
      <c r="F787" s="22" t="s">
        <v>14</v>
      </c>
      <c r="G787" s="22" t="s">
        <v>17</v>
      </c>
    </row>
    <row r="788" ht="15.15" spans="1:7">
      <c r="A788" s="20">
        <v>787</v>
      </c>
      <c r="B788" s="20">
        <v>6777</v>
      </c>
      <c r="C788" s="21">
        <v>45136</v>
      </c>
      <c r="D788" s="20">
        <v>3228.2</v>
      </c>
      <c r="E788" s="22" t="s">
        <v>10</v>
      </c>
      <c r="F788" s="22" t="s">
        <v>16</v>
      </c>
      <c r="G788" s="22" t="s">
        <v>20</v>
      </c>
    </row>
    <row r="789" ht="15.15" spans="1:7">
      <c r="A789" s="20">
        <v>788</v>
      </c>
      <c r="B789" s="20">
        <v>8552</v>
      </c>
      <c r="C789" s="21">
        <v>45177</v>
      </c>
      <c r="D789" s="20">
        <v>321.39</v>
      </c>
      <c r="E789" s="22" t="s">
        <v>10</v>
      </c>
      <c r="F789" s="22" t="s">
        <v>13</v>
      </c>
      <c r="G789" s="22" t="s">
        <v>17</v>
      </c>
    </row>
    <row r="790" ht="15.15" spans="1:7">
      <c r="A790" s="20">
        <v>789</v>
      </c>
      <c r="B790" s="20">
        <v>3321</v>
      </c>
      <c r="C790" s="21">
        <v>45079</v>
      </c>
      <c r="D790" s="20">
        <v>941.41</v>
      </c>
      <c r="E790" s="22" t="s">
        <v>10</v>
      </c>
      <c r="F790" s="22" t="s">
        <v>13</v>
      </c>
      <c r="G790" s="22" t="s">
        <v>15</v>
      </c>
    </row>
    <row r="791" ht="15.15" spans="1:7">
      <c r="A791" s="20">
        <v>790</v>
      </c>
      <c r="B791" s="20">
        <v>5716</v>
      </c>
      <c r="C791" s="21">
        <v>45220</v>
      </c>
      <c r="D791" s="20">
        <v>516.51</v>
      </c>
      <c r="E791" s="22" t="s">
        <v>22</v>
      </c>
      <c r="F791" s="22" t="s">
        <v>11</v>
      </c>
      <c r="G791" s="22" t="s">
        <v>15</v>
      </c>
    </row>
    <row r="792" ht="15.15" spans="1:7">
      <c r="A792" s="20">
        <v>791</v>
      </c>
      <c r="B792" s="20">
        <v>4179</v>
      </c>
      <c r="C792" s="21">
        <v>45212</v>
      </c>
      <c r="D792" s="20">
        <v>231.09</v>
      </c>
      <c r="E792" s="22" t="s">
        <v>10</v>
      </c>
      <c r="F792" s="22" t="s">
        <v>18</v>
      </c>
      <c r="G792" s="22" t="s">
        <v>12</v>
      </c>
    </row>
    <row r="793" ht="15.15" spans="1:7">
      <c r="A793" s="20">
        <v>792</v>
      </c>
      <c r="B793" s="20">
        <v>5341</v>
      </c>
      <c r="C793" s="21">
        <v>45072</v>
      </c>
      <c r="D793" s="20">
        <v>371.68</v>
      </c>
      <c r="E793" s="22" t="s">
        <v>10</v>
      </c>
      <c r="F793" s="22" t="s">
        <v>16</v>
      </c>
      <c r="G793" s="22" t="s">
        <v>20</v>
      </c>
    </row>
    <row r="794" ht="15.15" spans="1:7">
      <c r="A794" s="20">
        <v>793</v>
      </c>
      <c r="B794" s="20">
        <v>4470</v>
      </c>
      <c r="C794" s="21">
        <v>44967</v>
      </c>
      <c r="D794" s="20">
        <v>1802.19</v>
      </c>
      <c r="E794" s="22" t="s">
        <v>10</v>
      </c>
      <c r="F794" s="22" t="s">
        <v>16</v>
      </c>
      <c r="G794" s="22" t="s">
        <v>15</v>
      </c>
    </row>
    <row r="795" ht="15.15" spans="1:7">
      <c r="A795" s="20">
        <v>794</v>
      </c>
      <c r="B795" s="20">
        <v>1201</v>
      </c>
      <c r="C795" s="21">
        <v>45280</v>
      </c>
      <c r="D795" s="20">
        <v>446.38</v>
      </c>
      <c r="E795" s="22" t="s">
        <v>10</v>
      </c>
      <c r="F795" s="22" t="s">
        <v>11</v>
      </c>
      <c r="G795" s="22" t="s">
        <v>15</v>
      </c>
    </row>
    <row r="796" ht="15.15" spans="1:7">
      <c r="A796" s="20">
        <v>795</v>
      </c>
      <c r="B796" s="20">
        <v>2276</v>
      </c>
      <c r="C796" s="21">
        <v>45228</v>
      </c>
      <c r="D796" s="20">
        <v>619.65</v>
      </c>
      <c r="E796" s="22" t="s">
        <v>10</v>
      </c>
      <c r="F796" s="22" t="s">
        <v>18</v>
      </c>
      <c r="G796" s="22" t="s">
        <v>12</v>
      </c>
    </row>
    <row r="797" ht="15.15" spans="1:7">
      <c r="A797" s="20">
        <v>796</v>
      </c>
      <c r="B797" s="20">
        <v>2063</v>
      </c>
      <c r="C797" s="21">
        <v>45109</v>
      </c>
      <c r="D797" s="20">
        <v>162.49</v>
      </c>
      <c r="E797" s="22" t="s">
        <v>10</v>
      </c>
      <c r="F797" s="22" t="s">
        <v>18</v>
      </c>
      <c r="G797" s="22" t="s">
        <v>17</v>
      </c>
    </row>
    <row r="798" ht="15.15" spans="1:7">
      <c r="A798" s="20">
        <v>797</v>
      </c>
      <c r="B798" s="20">
        <v>7380</v>
      </c>
      <c r="C798" s="21">
        <v>45048</v>
      </c>
      <c r="D798" s="20">
        <v>1494.25</v>
      </c>
      <c r="E798" s="22" t="s">
        <v>21</v>
      </c>
      <c r="F798" s="22" t="s">
        <v>19</v>
      </c>
      <c r="G798" s="22" t="s">
        <v>17</v>
      </c>
    </row>
    <row r="799" ht="15.15" spans="1:7">
      <c r="A799" s="20">
        <v>798</v>
      </c>
      <c r="B799" s="20">
        <v>2765</v>
      </c>
      <c r="C799" s="21">
        <v>45285</v>
      </c>
      <c r="D799" s="20">
        <v>265.95</v>
      </c>
      <c r="E799" s="22" t="s">
        <v>10</v>
      </c>
      <c r="F799" s="22" t="s">
        <v>16</v>
      </c>
      <c r="G799" s="22" t="s">
        <v>15</v>
      </c>
    </row>
    <row r="800" ht="15.15" spans="1:7">
      <c r="A800" s="20">
        <v>799</v>
      </c>
      <c r="B800" s="20">
        <v>2278</v>
      </c>
      <c r="C800" s="21">
        <v>45120</v>
      </c>
      <c r="D800" s="20">
        <v>2195.65</v>
      </c>
      <c r="E800" s="22" t="s">
        <v>10</v>
      </c>
      <c r="F800" s="22" t="s">
        <v>16</v>
      </c>
      <c r="G800" s="22" t="s">
        <v>12</v>
      </c>
    </row>
    <row r="801" ht="15.15" spans="1:7">
      <c r="A801" s="20">
        <v>800</v>
      </c>
      <c r="B801" s="20">
        <v>6165</v>
      </c>
      <c r="C801" s="21">
        <v>45200</v>
      </c>
      <c r="D801" s="20">
        <v>3216.9</v>
      </c>
      <c r="E801" s="22" t="s">
        <v>10</v>
      </c>
      <c r="F801" s="22" t="s">
        <v>14</v>
      </c>
      <c r="G801" s="22" t="s">
        <v>17</v>
      </c>
    </row>
    <row r="802" ht="15.15" spans="1:7">
      <c r="A802" s="20">
        <v>801</v>
      </c>
      <c r="B802" s="20">
        <v>7521</v>
      </c>
      <c r="C802" s="21">
        <v>45081</v>
      </c>
      <c r="D802" s="20">
        <v>1363.95</v>
      </c>
      <c r="E802" s="22" t="s">
        <v>10</v>
      </c>
      <c r="F802" s="22" t="s">
        <v>13</v>
      </c>
      <c r="G802" s="22" t="s">
        <v>20</v>
      </c>
    </row>
    <row r="803" ht="15.15" spans="1:7">
      <c r="A803" s="20">
        <v>802</v>
      </c>
      <c r="B803" s="20">
        <v>90</v>
      </c>
      <c r="C803" s="21">
        <v>45254</v>
      </c>
      <c r="D803" s="20">
        <v>2318.19</v>
      </c>
      <c r="E803" s="22" t="s">
        <v>10</v>
      </c>
      <c r="F803" s="22" t="s">
        <v>11</v>
      </c>
      <c r="G803" s="22" t="s">
        <v>12</v>
      </c>
    </row>
    <row r="804" ht="15.15" spans="1:7">
      <c r="A804" s="20">
        <v>803</v>
      </c>
      <c r="B804" s="20">
        <v>7493</v>
      </c>
      <c r="C804" s="21">
        <v>45280</v>
      </c>
      <c r="D804" s="20">
        <v>2967.39</v>
      </c>
      <c r="E804" s="22" t="s">
        <v>10</v>
      </c>
      <c r="F804" s="22" t="s">
        <v>11</v>
      </c>
      <c r="G804" s="22" t="s">
        <v>20</v>
      </c>
    </row>
    <row r="805" ht="15.15" spans="1:7">
      <c r="A805" s="20">
        <v>804</v>
      </c>
      <c r="B805" s="20">
        <v>8108</v>
      </c>
      <c r="C805" s="21">
        <v>45122</v>
      </c>
      <c r="D805" s="20">
        <v>1238.2</v>
      </c>
      <c r="E805" s="22" t="s">
        <v>10</v>
      </c>
      <c r="F805" s="22" t="s">
        <v>18</v>
      </c>
      <c r="G805" s="22" t="s">
        <v>20</v>
      </c>
    </row>
    <row r="806" ht="15.15" spans="1:7">
      <c r="A806" s="20">
        <v>805</v>
      </c>
      <c r="B806" s="20">
        <v>6854</v>
      </c>
      <c r="C806" s="21">
        <v>44977</v>
      </c>
      <c r="D806" s="20">
        <v>2363.57</v>
      </c>
      <c r="E806" s="22" t="s">
        <v>10</v>
      </c>
      <c r="F806" s="22" t="s">
        <v>16</v>
      </c>
      <c r="G806" s="22" t="s">
        <v>12</v>
      </c>
    </row>
    <row r="807" ht="15.15" spans="1:7">
      <c r="A807" s="20">
        <v>806</v>
      </c>
      <c r="B807" s="20">
        <v>5073</v>
      </c>
      <c r="C807" s="21">
        <v>45253</v>
      </c>
      <c r="D807" s="20">
        <v>290.79</v>
      </c>
      <c r="E807" s="22" t="s">
        <v>10</v>
      </c>
      <c r="F807" s="22" t="s">
        <v>18</v>
      </c>
      <c r="G807" s="22" t="s">
        <v>20</v>
      </c>
    </row>
    <row r="808" ht="15.15" spans="1:7">
      <c r="A808" s="20">
        <v>807</v>
      </c>
      <c r="B808" s="20">
        <v>9251</v>
      </c>
      <c r="C808" s="21">
        <v>45236</v>
      </c>
      <c r="D808" s="20">
        <v>343.5</v>
      </c>
      <c r="E808" s="22" t="s">
        <v>10</v>
      </c>
      <c r="F808" s="22" t="s">
        <v>13</v>
      </c>
      <c r="G808" s="22" t="s">
        <v>17</v>
      </c>
    </row>
    <row r="809" ht="15.15" spans="1:7">
      <c r="A809" s="20">
        <v>808</v>
      </c>
      <c r="B809" s="20">
        <v>5848</v>
      </c>
      <c r="C809" s="21">
        <v>45269</v>
      </c>
      <c r="D809" s="20">
        <v>1066.02</v>
      </c>
      <c r="E809" s="22" t="s">
        <v>10</v>
      </c>
      <c r="F809" s="22" t="s">
        <v>18</v>
      </c>
      <c r="G809" s="22" t="s">
        <v>20</v>
      </c>
    </row>
    <row r="810" ht="15.15" spans="1:7">
      <c r="A810" s="20">
        <v>809</v>
      </c>
      <c r="B810" s="20">
        <v>2839</v>
      </c>
      <c r="C810" s="21">
        <v>45108</v>
      </c>
      <c r="D810" s="20">
        <v>2288.27</v>
      </c>
      <c r="E810" s="22" t="s">
        <v>10</v>
      </c>
      <c r="F810" s="22" t="s">
        <v>11</v>
      </c>
      <c r="G810" s="22" t="s">
        <v>12</v>
      </c>
    </row>
    <row r="811" ht="15.15" spans="1:7">
      <c r="A811" s="20">
        <v>810</v>
      </c>
      <c r="B811" s="20">
        <v>7751</v>
      </c>
      <c r="C811" s="21">
        <v>45235</v>
      </c>
      <c r="D811" s="20">
        <v>1995.72</v>
      </c>
      <c r="E811" s="22" t="s">
        <v>10</v>
      </c>
      <c r="F811" s="22" t="s">
        <v>14</v>
      </c>
      <c r="G811" s="22" t="s">
        <v>17</v>
      </c>
    </row>
    <row r="812" ht="15.15" spans="1:7">
      <c r="A812" s="20">
        <v>811</v>
      </c>
      <c r="B812" s="20">
        <v>2187</v>
      </c>
      <c r="C812" s="21">
        <v>45260</v>
      </c>
      <c r="D812" s="20">
        <v>1449.96</v>
      </c>
      <c r="E812" s="22" t="s">
        <v>10</v>
      </c>
      <c r="F812" s="22" t="s">
        <v>11</v>
      </c>
      <c r="G812" s="22" t="s">
        <v>15</v>
      </c>
    </row>
    <row r="813" ht="15.15" spans="1:7">
      <c r="A813" s="20">
        <v>812</v>
      </c>
      <c r="B813" s="20">
        <v>4340</v>
      </c>
      <c r="C813" s="21">
        <v>45141</v>
      </c>
      <c r="D813" s="20">
        <v>752.85</v>
      </c>
      <c r="E813" s="22" t="s">
        <v>10</v>
      </c>
      <c r="F813" s="22" t="s">
        <v>11</v>
      </c>
      <c r="G813" s="22" t="s">
        <v>20</v>
      </c>
    </row>
    <row r="814" ht="15.15" spans="1:7">
      <c r="A814" s="20">
        <v>813</v>
      </c>
      <c r="B814" s="20">
        <v>2934</v>
      </c>
      <c r="C814" s="21">
        <v>44931</v>
      </c>
      <c r="D814" s="20">
        <v>5019.54</v>
      </c>
      <c r="E814" s="22" t="s">
        <v>10</v>
      </c>
      <c r="F814" s="22" t="s">
        <v>16</v>
      </c>
      <c r="G814" s="22" t="s">
        <v>17</v>
      </c>
    </row>
    <row r="815" ht="15.15" spans="1:7">
      <c r="A815" s="20">
        <v>814</v>
      </c>
      <c r="B815" s="20">
        <v>7099</v>
      </c>
      <c r="C815" s="21">
        <v>45248</v>
      </c>
      <c r="D815" s="20">
        <v>1298.14</v>
      </c>
      <c r="E815" s="22" t="s">
        <v>10</v>
      </c>
      <c r="F815" s="22" t="s">
        <v>16</v>
      </c>
      <c r="G815" s="22" t="s">
        <v>20</v>
      </c>
    </row>
    <row r="816" ht="15.15" spans="1:7">
      <c r="A816" s="20">
        <v>815</v>
      </c>
      <c r="B816" s="20">
        <v>9201</v>
      </c>
      <c r="C816" s="21">
        <v>45175</v>
      </c>
      <c r="D816" s="20">
        <v>193.6</v>
      </c>
      <c r="E816" s="22" t="s">
        <v>10</v>
      </c>
      <c r="F816" s="22" t="s">
        <v>16</v>
      </c>
      <c r="G816" s="22" t="s">
        <v>15</v>
      </c>
    </row>
    <row r="817" ht="15.15" spans="1:7">
      <c r="A817" s="20">
        <v>816</v>
      </c>
      <c r="B817" s="20">
        <v>9519</v>
      </c>
      <c r="C817" s="21">
        <v>45153</v>
      </c>
      <c r="D817" s="20">
        <v>2020.44</v>
      </c>
      <c r="E817" s="22" t="s">
        <v>10</v>
      </c>
      <c r="F817" s="22" t="s">
        <v>14</v>
      </c>
      <c r="G817" s="22" t="s">
        <v>17</v>
      </c>
    </row>
    <row r="818" ht="15.15" spans="1:7">
      <c r="A818" s="20">
        <v>817</v>
      </c>
      <c r="B818" s="20">
        <v>3998</v>
      </c>
      <c r="C818" s="21">
        <v>45068</v>
      </c>
      <c r="D818" s="20">
        <v>1995.72</v>
      </c>
      <c r="E818" s="22" t="s">
        <v>10</v>
      </c>
      <c r="F818" s="22" t="s">
        <v>18</v>
      </c>
      <c r="G818" s="22" t="s">
        <v>15</v>
      </c>
    </row>
    <row r="819" ht="15.15" spans="1:7">
      <c r="A819" s="20">
        <v>818</v>
      </c>
      <c r="B819" s="20">
        <v>9529</v>
      </c>
      <c r="C819" s="21">
        <v>45037</v>
      </c>
      <c r="D819" s="20">
        <v>3836.77</v>
      </c>
      <c r="E819" s="22" t="s">
        <v>10</v>
      </c>
      <c r="F819" s="22" t="s">
        <v>18</v>
      </c>
      <c r="G819" s="22" t="s">
        <v>12</v>
      </c>
    </row>
    <row r="820" ht="15.15" spans="1:7">
      <c r="A820" s="20">
        <v>819</v>
      </c>
      <c r="B820" s="20">
        <v>4994</v>
      </c>
      <c r="C820" s="21">
        <v>45001</v>
      </c>
      <c r="D820" s="20">
        <v>1490.33</v>
      </c>
      <c r="E820" s="22" t="s">
        <v>10</v>
      </c>
      <c r="F820" s="22" t="s">
        <v>13</v>
      </c>
      <c r="G820" s="22" t="s">
        <v>15</v>
      </c>
    </row>
    <row r="821" ht="15.15" spans="1:7">
      <c r="A821" s="20">
        <v>820</v>
      </c>
      <c r="B821" s="20">
        <v>5222</v>
      </c>
      <c r="C821" s="21">
        <v>45189</v>
      </c>
      <c r="D821" s="20">
        <v>1804.07</v>
      </c>
      <c r="E821" s="22" t="s">
        <v>10</v>
      </c>
      <c r="F821" s="22" t="s">
        <v>14</v>
      </c>
      <c r="G821" s="22" t="s">
        <v>20</v>
      </c>
    </row>
    <row r="822" ht="15.15" spans="1:7">
      <c r="A822" s="20">
        <v>821</v>
      </c>
      <c r="B822" s="20">
        <v>3358</v>
      </c>
      <c r="C822" s="21">
        <v>44941</v>
      </c>
      <c r="D822" s="20">
        <v>330.94</v>
      </c>
      <c r="E822" s="22" t="s">
        <v>10</v>
      </c>
      <c r="F822" s="22" t="s">
        <v>13</v>
      </c>
      <c r="G822" s="22" t="s">
        <v>12</v>
      </c>
    </row>
    <row r="823" ht="15.15" spans="1:7">
      <c r="A823" s="20">
        <v>822</v>
      </c>
      <c r="B823" s="20">
        <v>2041</v>
      </c>
      <c r="C823" s="21">
        <v>45119</v>
      </c>
      <c r="D823" s="20">
        <v>689.51</v>
      </c>
      <c r="E823" s="22" t="s">
        <v>10</v>
      </c>
      <c r="F823" s="22" t="s">
        <v>14</v>
      </c>
      <c r="G823" s="22" t="s">
        <v>17</v>
      </c>
    </row>
    <row r="824" ht="15.15" spans="1:7">
      <c r="A824" s="20">
        <v>823</v>
      </c>
      <c r="B824" s="20">
        <v>2892</v>
      </c>
      <c r="C824" s="21">
        <v>44992</v>
      </c>
      <c r="D824" s="20">
        <v>1065.18</v>
      </c>
      <c r="E824" s="22" t="s">
        <v>10</v>
      </c>
      <c r="F824" s="22" t="s">
        <v>14</v>
      </c>
      <c r="G824" s="22" t="s">
        <v>20</v>
      </c>
    </row>
    <row r="825" ht="15.15" spans="1:7">
      <c r="A825" s="20">
        <v>824</v>
      </c>
      <c r="B825" s="20">
        <v>1507</v>
      </c>
      <c r="C825" s="21">
        <v>45287</v>
      </c>
      <c r="D825" s="20">
        <v>1786.37</v>
      </c>
      <c r="E825" s="22" t="s">
        <v>10</v>
      </c>
      <c r="F825" s="22" t="s">
        <v>18</v>
      </c>
      <c r="G825" s="22" t="s">
        <v>17</v>
      </c>
    </row>
    <row r="826" ht="15.15" spans="1:7">
      <c r="A826" s="20">
        <v>825</v>
      </c>
      <c r="B826" s="20">
        <v>3604</v>
      </c>
      <c r="C826" s="21">
        <v>45278</v>
      </c>
      <c r="D826" s="20">
        <v>2328.35</v>
      </c>
      <c r="E826" s="22" t="s">
        <v>10</v>
      </c>
      <c r="F826" s="22" t="s">
        <v>11</v>
      </c>
      <c r="G826" s="22" t="s">
        <v>20</v>
      </c>
    </row>
    <row r="827" ht="15.15" spans="1:7">
      <c r="A827" s="20">
        <v>826</v>
      </c>
      <c r="B827" s="20">
        <v>9075</v>
      </c>
      <c r="C827" s="21">
        <v>45136</v>
      </c>
      <c r="D827" s="20">
        <v>2515.92</v>
      </c>
      <c r="E827" s="22" t="s">
        <v>10</v>
      </c>
      <c r="F827" s="22" t="s">
        <v>18</v>
      </c>
      <c r="G827" s="22" t="s">
        <v>17</v>
      </c>
    </row>
    <row r="828" ht="15.15" spans="1:7">
      <c r="A828" s="20">
        <v>827</v>
      </c>
      <c r="B828" s="20">
        <v>4163</v>
      </c>
      <c r="C828" s="21">
        <v>45236</v>
      </c>
      <c r="D828" s="20">
        <v>968.43</v>
      </c>
      <c r="E828" s="22" t="s">
        <v>10</v>
      </c>
      <c r="F828" s="22" t="s">
        <v>13</v>
      </c>
      <c r="G828" s="22" t="s">
        <v>20</v>
      </c>
    </row>
    <row r="829" ht="15.15" spans="1:7">
      <c r="A829" s="20">
        <v>828</v>
      </c>
      <c r="B829" s="20">
        <v>6381</v>
      </c>
      <c r="C829" s="21">
        <v>45191</v>
      </c>
      <c r="D829" s="20">
        <v>437.12</v>
      </c>
      <c r="E829" s="22" t="s">
        <v>10</v>
      </c>
      <c r="F829" s="22" t="s">
        <v>18</v>
      </c>
      <c r="G829" s="22" t="s">
        <v>17</v>
      </c>
    </row>
    <row r="830" ht="15.15" spans="1:7">
      <c r="A830" s="20">
        <v>829</v>
      </c>
      <c r="B830" s="20">
        <v>3230</v>
      </c>
      <c r="C830" s="21">
        <v>45166</v>
      </c>
      <c r="D830" s="20">
        <v>699.56</v>
      </c>
      <c r="E830" s="22" t="s">
        <v>10</v>
      </c>
      <c r="F830" s="22" t="s">
        <v>13</v>
      </c>
      <c r="G830" s="22" t="s">
        <v>12</v>
      </c>
    </row>
    <row r="831" ht="15.15" spans="1:7">
      <c r="A831" s="20">
        <v>830</v>
      </c>
      <c r="B831" s="20">
        <v>4211</v>
      </c>
      <c r="C831" s="21">
        <v>45073</v>
      </c>
      <c r="D831" s="20">
        <v>260.57</v>
      </c>
      <c r="E831" s="22" t="s">
        <v>10</v>
      </c>
      <c r="F831" s="22" t="s">
        <v>14</v>
      </c>
      <c r="G831" s="22" t="s">
        <v>20</v>
      </c>
    </row>
    <row r="832" ht="15.15" spans="1:7">
      <c r="A832" s="20">
        <v>831</v>
      </c>
      <c r="B832" s="20">
        <v>4639</v>
      </c>
      <c r="C832" s="21">
        <v>45173</v>
      </c>
      <c r="D832" s="20">
        <v>2294.24</v>
      </c>
      <c r="E832" s="22" t="s">
        <v>22</v>
      </c>
      <c r="F832" s="22" t="s">
        <v>14</v>
      </c>
      <c r="G832" s="22" t="s">
        <v>20</v>
      </c>
    </row>
    <row r="833" ht="15.15" spans="1:7">
      <c r="A833" s="20">
        <v>832</v>
      </c>
      <c r="B833" s="20">
        <v>3646</v>
      </c>
      <c r="C833" s="21">
        <v>44984</v>
      </c>
      <c r="D833" s="20">
        <v>1923.29</v>
      </c>
      <c r="E833" s="22" t="s">
        <v>10</v>
      </c>
      <c r="F833" s="22" t="s">
        <v>14</v>
      </c>
      <c r="G833" s="22" t="s">
        <v>17</v>
      </c>
    </row>
    <row r="834" ht="15.15" spans="1:7">
      <c r="A834" s="20">
        <v>833</v>
      </c>
      <c r="B834" s="20">
        <v>4037</v>
      </c>
      <c r="C834" s="21">
        <v>45205</v>
      </c>
      <c r="D834" s="20">
        <v>1685.07</v>
      </c>
      <c r="E834" s="22" t="s">
        <v>10</v>
      </c>
      <c r="F834" s="22" t="s">
        <v>13</v>
      </c>
      <c r="G834" s="22" t="s">
        <v>17</v>
      </c>
    </row>
    <row r="835" ht="15.15" spans="1:7">
      <c r="A835" s="20">
        <v>834</v>
      </c>
      <c r="B835" s="20">
        <v>5297</v>
      </c>
      <c r="C835" s="21">
        <v>45243</v>
      </c>
      <c r="D835" s="20">
        <v>440.02</v>
      </c>
      <c r="E835" s="22" t="s">
        <v>10</v>
      </c>
      <c r="F835" s="22" t="s">
        <v>18</v>
      </c>
      <c r="G835" s="22" t="s">
        <v>17</v>
      </c>
    </row>
    <row r="836" ht="15.15" spans="1:7">
      <c r="A836" s="20">
        <v>835</v>
      </c>
      <c r="B836" s="20">
        <v>8600</v>
      </c>
      <c r="C836" s="21">
        <v>44976</v>
      </c>
      <c r="D836" s="20">
        <v>1711.93</v>
      </c>
      <c r="E836" s="22" t="s">
        <v>10</v>
      </c>
      <c r="F836" s="22" t="s">
        <v>16</v>
      </c>
      <c r="G836" s="22" t="s">
        <v>17</v>
      </c>
    </row>
    <row r="837" ht="15.15" spans="1:7">
      <c r="A837" s="20">
        <v>836</v>
      </c>
      <c r="B837" s="20">
        <v>4125</v>
      </c>
      <c r="C837" s="21">
        <v>44997</v>
      </c>
      <c r="D837" s="20">
        <v>2949.04</v>
      </c>
      <c r="E837" s="22" t="s">
        <v>10</v>
      </c>
      <c r="F837" s="22" t="s">
        <v>18</v>
      </c>
      <c r="G837" s="22" t="s">
        <v>17</v>
      </c>
    </row>
    <row r="838" ht="15.15" spans="1:7">
      <c r="A838" s="20">
        <v>837</v>
      </c>
      <c r="B838" s="20">
        <v>7155</v>
      </c>
      <c r="C838" s="21">
        <v>45072</v>
      </c>
      <c r="D838" s="20">
        <v>387.61</v>
      </c>
      <c r="E838" s="22" t="s">
        <v>22</v>
      </c>
      <c r="F838" s="22" t="s">
        <v>16</v>
      </c>
      <c r="G838" s="22" t="s">
        <v>17</v>
      </c>
    </row>
    <row r="839" ht="15.15" spans="1:7">
      <c r="A839" s="20">
        <v>838</v>
      </c>
      <c r="B839" s="20">
        <v>9644</v>
      </c>
      <c r="C839" s="21">
        <v>45033</v>
      </c>
      <c r="D839" s="20">
        <v>2669.6</v>
      </c>
      <c r="E839" s="22" t="s">
        <v>10</v>
      </c>
      <c r="F839" s="22" t="s">
        <v>13</v>
      </c>
      <c r="G839" s="22" t="s">
        <v>15</v>
      </c>
    </row>
    <row r="840" ht="15.15" spans="1:7">
      <c r="A840" s="20">
        <v>839</v>
      </c>
      <c r="B840" s="20">
        <v>8036</v>
      </c>
      <c r="C840" s="21">
        <v>45158</v>
      </c>
      <c r="D840" s="20">
        <v>492.68</v>
      </c>
      <c r="E840" s="22" t="s">
        <v>10</v>
      </c>
      <c r="F840" s="22" t="s">
        <v>18</v>
      </c>
      <c r="G840" s="22" t="s">
        <v>15</v>
      </c>
    </row>
    <row r="841" ht="15.15" spans="1:7">
      <c r="A841" s="20">
        <v>840</v>
      </c>
      <c r="B841" s="20">
        <v>3837</v>
      </c>
      <c r="C841" s="21">
        <v>45107</v>
      </c>
      <c r="D841" s="20">
        <v>1567.12</v>
      </c>
      <c r="E841" s="22" t="s">
        <v>10</v>
      </c>
      <c r="F841" s="22" t="s">
        <v>14</v>
      </c>
      <c r="G841" s="22" t="s">
        <v>12</v>
      </c>
    </row>
    <row r="842" ht="15.15" spans="1:7">
      <c r="A842" s="20">
        <v>841</v>
      </c>
      <c r="B842" s="20">
        <v>8044</v>
      </c>
      <c r="C842" s="21">
        <v>45072</v>
      </c>
      <c r="D842" s="20">
        <v>957.41</v>
      </c>
      <c r="E842" s="22" t="s">
        <v>10</v>
      </c>
      <c r="F842" s="22" t="s">
        <v>14</v>
      </c>
      <c r="G842" s="22" t="s">
        <v>17</v>
      </c>
    </row>
    <row r="843" ht="15.15" spans="1:7">
      <c r="A843" s="20">
        <v>842</v>
      </c>
      <c r="B843" s="20">
        <v>3134</v>
      </c>
      <c r="C843" s="21">
        <v>45256</v>
      </c>
      <c r="D843" s="20">
        <v>812.58</v>
      </c>
      <c r="E843" s="22" t="s">
        <v>10</v>
      </c>
      <c r="F843" s="22" t="s">
        <v>18</v>
      </c>
      <c r="G843" s="22" t="s">
        <v>17</v>
      </c>
    </row>
    <row r="844" ht="15.15" spans="1:7">
      <c r="A844" s="20">
        <v>843</v>
      </c>
      <c r="B844" s="20">
        <v>1562</v>
      </c>
      <c r="C844" s="21">
        <v>45279</v>
      </c>
      <c r="D844" s="20">
        <v>1071.74</v>
      </c>
      <c r="E844" s="22" t="s">
        <v>10</v>
      </c>
      <c r="F844" s="22" t="s">
        <v>13</v>
      </c>
      <c r="G844" s="22" t="s">
        <v>17</v>
      </c>
    </row>
    <row r="845" ht="15.15" spans="1:7">
      <c r="A845" s="20">
        <v>844</v>
      </c>
      <c r="B845" s="20">
        <v>9119</v>
      </c>
      <c r="C845" s="21">
        <v>45171</v>
      </c>
      <c r="D845" s="20">
        <v>1058.52</v>
      </c>
      <c r="E845" s="22" t="s">
        <v>10</v>
      </c>
      <c r="F845" s="22" t="s">
        <v>16</v>
      </c>
      <c r="G845" s="22" t="s">
        <v>15</v>
      </c>
    </row>
    <row r="846" ht="15.15" spans="1:7">
      <c r="A846" s="20">
        <v>845</v>
      </c>
      <c r="B846" s="20">
        <v>6045</v>
      </c>
      <c r="C846" s="21">
        <v>44969</v>
      </c>
      <c r="D846" s="20">
        <v>1495.83</v>
      </c>
      <c r="E846" s="22" t="s">
        <v>10</v>
      </c>
      <c r="F846" s="22" t="s">
        <v>11</v>
      </c>
      <c r="G846" s="22" t="s">
        <v>12</v>
      </c>
    </row>
    <row r="847" ht="15.15" spans="1:7">
      <c r="A847" s="20">
        <v>846</v>
      </c>
      <c r="B847" s="20">
        <v>8307</v>
      </c>
      <c r="C847" s="21">
        <v>45001</v>
      </c>
      <c r="D847" s="20">
        <v>1951.65</v>
      </c>
      <c r="E847" s="22" t="s">
        <v>10</v>
      </c>
      <c r="F847" s="22" t="s">
        <v>11</v>
      </c>
      <c r="G847" s="22" t="s">
        <v>15</v>
      </c>
    </row>
    <row r="848" ht="15.15" spans="1:7">
      <c r="A848" s="20">
        <v>847</v>
      </c>
      <c r="B848" s="20">
        <v>7349</v>
      </c>
      <c r="C848" s="21">
        <v>45247</v>
      </c>
      <c r="D848" s="20">
        <v>3322.05</v>
      </c>
      <c r="E848" s="22" t="s">
        <v>10</v>
      </c>
      <c r="F848" s="22" t="s">
        <v>16</v>
      </c>
      <c r="G848" s="22" t="s">
        <v>12</v>
      </c>
    </row>
    <row r="849" ht="15.15" spans="1:7">
      <c r="A849" s="20">
        <v>848</v>
      </c>
      <c r="B849" s="20">
        <v>5153</v>
      </c>
      <c r="C849" s="21">
        <v>45142</v>
      </c>
      <c r="D849" s="20">
        <v>996.68</v>
      </c>
      <c r="E849" s="22" t="s">
        <v>22</v>
      </c>
      <c r="F849" s="22" t="s">
        <v>11</v>
      </c>
      <c r="G849" s="22" t="s">
        <v>15</v>
      </c>
    </row>
    <row r="850" ht="15.15" spans="1:7">
      <c r="A850" s="20">
        <v>849</v>
      </c>
      <c r="B850" s="20">
        <v>5835</v>
      </c>
      <c r="C850" s="21">
        <v>45282</v>
      </c>
      <c r="D850" s="20">
        <v>1227.5</v>
      </c>
      <c r="E850" s="22" t="s">
        <v>10</v>
      </c>
      <c r="F850" s="22" t="s">
        <v>14</v>
      </c>
      <c r="G850" s="22" t="s">
        <v>12</v>
      </c>
    </row>
    <row r="851" ht="15.15" spans="1:7">
      <c r="A851" s="20">
        <v>850</v>
      </c>
      <c r="B851" s="20">
        <v>2550</v>
      </c>
      <c r="C851" s="21">
        <v>44927</v>
      </c>
      <c r="D851" s="20">
        <v>1597.24</v>
      </c>
      <c r="E851" s="22" t="s">
        <v>10</v>
      </c>
      <c r="F851" s="22" t="s">
        <v>18</v>
      </c>
      <c r="G851" s="22" t="s">
        <v>12</v>
      </c>
    </row>
    <row r="852" ht="15.15" spans="1:7">
      <c r="A852" s="20">
        <v>851</v>
      </c>
      <c r="B852" s="20">
        <v>9053</v>
      </c>
      <c r="C852" s="21">
        <v>45274</v>
      </c>
      <c r="D852" s="20">
        <v>1312.53</v>
      </c>
      <c r="E852" s="22" t="s">
        <v>10</v>
      </c>
      <c r="F852" s="22" t="s">
        <v>18</v>
      </c>
      <c r="G852" s="22" t="s">
        <v>17</v>
      </c>
    </row>
    <row r="853" ht="15.15" spans="1:7">
      <c r="A853" s="20">
        <v>852</v>
      </c>
      <c r="B853" s="20">
        <v>1702</v>
      </c>
      <c r="C853" s="21">
        <v>45019</v>
      </c>
      <c r="D853" s="20">
        <v>1035.79</v>
      </c>
      <c r="E853" s="22" t="s">
        <v>10</v>
      </c>
      <c r="F853" s="22" t="s">
        <v>11</v>
      </c>
      <c r="G853" s="22" t="s">
        <v>15</v>
      </c>
    </row>
    <row r="854" ht="15.15" spans="1:7">
      <c r="A854" s="20">
        <v>853</v>
      </c>
      <c r="B854" s="20">
        <v>9425</v>
      </c>
      <c r="C854" s="21">
        <v>44981</v>
      </c>
      <c r="D854" s="20">
        <v>422.21</v>
      </c>
      <c r="E854" s="22" t="s">
        <v>10</v>
      </c>
      <c r="F854" s="22" t="s">
        <v>18</v>
      </c>
      <c r="G854" s="22" t="s">
        <v>20</v>
      </c>
    </row>
    <row r="855" ht="15.15" spans="1:7">
      <c r="A855" s="20">
        <v>854</v>
      </c>
      <c r="B855" s="20">
        <v>6531</v>
      </c>
      <c r="C855" s="21">
        <v>45128</v>
      </c>
      <c r="D855" s="20">
        <v>545.46</v>
      </c>
      <c r="E855" s="22" t="s">
        <v>10</v>
      </c>
      <c r="F855" s="22" t="s">
        <v>14</v>
      </c>
      <c r="G855" s="22" t="s">
        <v>15</v>
      </c>
    </row>
    <row r="856" ht="15.15" spans="1:7">
      <c r="A856" s="20">
        <v>855</v>
      </c>
      <c r="B856" s="20">
        <v>5687</v>
      </c>
      <c r="C856" s="21">
        <v>45197</v>
      </c>
      <c r="D856" s="20">
        <v>2333.44</v>
      </c>
      <c r="E856" s="22" t="s">
        <v>10</v>
      </c>
      <c r="F856" s="22" t="s">
        <v>14</v>
      </c>
      <c r="G856" s="22" t="s">
        <v>15</v>
      </c>
    </row>
    <row r="857" ht="15.15" spans="1:7">
      <c r="A857" s="20">
        <v>856</v>
      </c>
      <c r="B857" s="20">
        <v>3967</v>
      </c>
      <c r="C857" s="21">
        <v>45281</v>
      </c>
      <c r="D857" s="20">
        <v>1820.42</v>
      </c>
      <c r="E857" s="22" t="s">
        <v>10</v>
      </c>
      <c r="F857" s="22" t="s">
        <v>14</v>
      </c>
      <c r="G857" s="22" t="s">
        <v>15</v>
      </c>
    </row>
    <row r="858" ht="15.15" spans="1:7">
      <c r="A858" s="20">
        <v>857</v>
      </c>
      <c r="B858" s="20">
        <v>8961</v>
      </c>
      <c r="C858" s="21">
        <v>45287</v>
      </c>
      <c r="D858" s="20">
        <v>879.71</v>
      </c>
      <c r="E858" s="22" t="s">
        <v>10</v>
      </c>
      <c r="F858" s="22" t="s">
        <v>13</v>
      </c>
      <c r="G858" s="22" t="s">
        <v>12</v>
      </c>
    </row>
    <row r="859" ht="15.15" spans="1:7">
      <c r="A859" s="20">
        <v>858</v>
      </c>
      <c r="B859" s="20">
        <v>2049</v>
      </c>
      <c r="C859" s="21">
        <v>45243</v>
      </c>
      <c r="D859" s="20">
        <v>1118.89</v>
      </c>
      <c r="E859" s="22" t="s">
        <v>10</v>
      </c>
      <c r="F859" s="22" t="s">
        <v>18</v>
      </c>
      <c r="G859" s="22" t="s">
        <v>12</v>
      </c>
    </row>
    <row r="860" ht="15.15" spans="1:7">
      <c r="A860" s="20">
        <v>859</v>
      </c>
      <c r="B860" s="20">
        <v>20</v>
      </c>
      <c r="C860" s="21">
        <v>45246</v>
      </c>
      <c r="D860" s="20">
        <v>485.89</v>
      </c>
      <c r="E860" s="22" t="s">
        <v>10</v>
      </c>
      <c r="F860" s="22" t="s">
        <v>14</v>
      </c>
      <c r="G860" s="22" t="s">
        <v>20</v>
      </c>
    </row>
    <row r="861" ht="15.15" spans="1:7">
      <c r="A861" s="20">
        <v>860</v>
      </c>
      <c r="B861" s="20">
        <v>3568</v>
      </c>
      <c r="C861" s="21">
        <v>45090</v>
      </c>
      <c r="D861" s="20">
        <v>2572.76</v>
      </c>
      <c r="E861" s="22" t="s">
        <v>10</v>
      </c>
      <c r="F861" s="22" t="s">
        <v>18</v>
      </c>
      <c r="G861" s="22" t="s">
        <v>20</v>
      </c>
    </row>
    <row r="862" ht="15.15" spans="1:7">
      <c r="A862" s="20">
        <v>861</v>
      </c>
      <c r="B862" s="20">
        <v>4362</v>
      </c>
      <c r="C862" s="21">
        <v>45123</v>
      </c>
      <c r="D862" s="20">
        <v>398.02</v>
      </c>
      <c r="E862" s="22" t="s">
        <v>22</v>
      </c>
      <c r="F862" s="22" t="s">
        <v>13</v>
      </c>
      <c r="G862" s="22" t="s">
        <v>12</v>
      </c>
    </row>
    <row r="863" ht="15.15" spans="1:7">
      <c r="A863" s="20">
        <v>862</v>
      </c>
      <c r="B863" s="20">
        <v>3901</v>
      </c>
      <c r="C863" s="21">
        <v>45201</v>
      </c>
      <c r="D863" s="20">
        <v>1076.97</v>
      </c>
      <c r="E863" s="22" t="s">
        <v>10</v>
      </c>
      <c r="F863" s="22" t="s">
        <v>11</v>
      </c>
      <c r="G863" s="22" t="s">
        <v>12</v>
      </c>
    </row>
    <row r="864" ht="15.15" spans="1:7">
      <c r="A864" s="20">
        <v>863</v>
      </c>
      <c r="B864" s="20">
        <v>9983</v>
      </c>
      <c r="C864" s="21">
        <v>45007</v>
      </c>
      <c r="D864" s="20">
        <v>820.56</v>
      </c>
      <c r="E864" s="22" t="s">
        <v>22</v>
      </c>
      <c r="F864" s="22" t="s">
        <v>16</v>
      </c>
      <c r="G864" s="22" t="s">
        <v>15</v>
      </c>
    </row>
    <row r="865" ht="15.15" spans="1:7">
      <c r="A865" s="20">
        <v>864</v>
      </c>
      <c r="B865" s="20">
        <v>7922</v>
      </c>
      <c r="C865" s="21">
        <v>45252</v>
      </c>
      <c r="D865" s="20">
        <v>274.33</v>
      </c>
      <c r="E865" s="22" t="s">
        <v>10</v>
      </c>
      <c r="F865" s="22" t="s">
        <v>11</v>
      </c>
      <c r="G865" s="22" t="s">
        <v>17</v>
      </c>
    </row>
    <row r="866" ht="15.15" spans="1:7">
      <c r="A866" s="20">
        <v>865</v>
      </c>
      <c r="B866" s="20">
        <v>6923</v>
      </c>
      <c r="C866" s="21">
        <v>45066</v>
      </c>
      <c r="D866" s="20">
        <v>3962.55</v>
      </c>
      <c r="E866" s="22" t="s">
        <v>10</v>
      </c>
      <c r="F866" s="22" t="s">
        <v>14</v>
      </c>
      <c r="G866" s="22" t="s">
        <v>20</v>
      </c>
    </row>
    <row r="867" ht="15.15" spans="1:7">
      <c r="A867" s="20">
        <v>866</v>
      </c>
      <c r="B867" s="20">
        <v>604</v>
      </c>
      <c r="C867" s="21">
        <v>45062</v>
      </c>
      <c r="D867" s="20">
        <v>777.03</v>
      </c>
      <c r="E867" s="22" t="s">
        <v>10</v>
      </c>
      <c r="F867" s="22" t="s">
        <v>11</v>
      </c>
      <c r="G867" s="22" t="s">
        <v>17</v>
      </c>
    </row>
    <row r="868" ht="15.15" spans="1:7">
      <c r="A868" s="20">
        <v>867</v>
      </c>
      <c r="B868" s="20">
        <v>6045</v>
      </c>
      <c r="C868" s="21">
        <v>45216</v>
      </c>
      <c r="D868" s="20">
        <v>1606.41</v>
      </c>
      <c r="E868" s="22" t="s">
        <v>10</v>
      </c>
      <c r="F868" s="22" t="s">
        <v>11</v>
      </c>
      <c r="G868" s="22" t="s">
        <v>15</v>
      </c>
    </row>
    <row r="869" ht="15.15" spans="1:7">
      <c r="A869" s="20">
        <v>868</v>
      </c>
      <c r="B869" s="20">
        <v>155</v>
      </c>
      <c r="C869" s="21">
        <v>45067</v>
      </c>
      <c r="D869" s="20">
        <v>619.41</v>
      </c>
      <c r="E869" s="22" t="s">
        <v>10</v>
      </c>
      <c r="F869" s="22" t="s">
        <v>13</v>
      </c>
      <c r="G869" s="22" t="s">
        <v>15</v>
      </c>
    </row>
    <row r="870" ht="15.15" spans="1:7">
      <c r="A870" s="20">
        <v>869</v>
      </c>
      <c r="B870" s="20">
        <v>7638</v>
      </c>
      <c r="C870" s="21">
        <v>45149</v>
      </c>
      <c r="D870" s="20">
        <v>1811.89</v>
      </c>
      <c r="E870" s="22" t="s">
        <v>10</v>
      </c>
      <c r="F870" s="22" t="s">
        <v>11</v>
      </c>
      <c r="G870" s="22" t="s">
        <v>15</v>
      </c>
    </row>
    <row r="871" ht="15.15" spans="1:7">
      <c r="A871" s="20">
        <v>870</v>
      </c>
      <c r="B871" s="20">
        <v>6054</v>
      </c>
      <c r="C871" s="21">
        <v>45200</v>
      </c>
      <c r="D871" s="20">
        <v>313.3</v>
      </c>
      <c r="E871" s="22" t="s">
        <v>10</v>
      </c>
      <c r="F871" s="22" t="s">
        <v>16</v>
      </c>
      <c r="G871" s="22" t="s">
        <v>20</v>
      </c>
    </row>
    <row r="872" ht="15.15" spans="1:7">
      <c r="A872" s="20">
        <v>871</v>
      </c>
      <c r="B872" s="20">
        <v>7745</v>
      </c>
      <c r="C872" s="21">
        <v>45137</v>
      </c>
      <c r="D872" s="20">
        <v>1497.7</v>
      </c>
      <c r="E872" s="22" t="s">
        <v>10</v>
      </c>
      <c r="F872" s="22" t="s">
        <v>11</v>
      </c>
      <c r="G872" s="22" t="s">
        <v>15</v>
      </c>
    </row>
    <row r="873" ht="15.15" spans="1:7">
      <c r="A873" s="20">
        <v>872</v>
      </c>
      <c r="B873" s="20">
        <v>9752</v>
      </c>
      <c r="C873" s="21">
        <v>45208</v>
      </c>
      <c r="D873" s="20">
        <v>9237.23</v>
      </c>
      <c r="E873" s="22" t="s">
        <v>10</v>
      </c>
      <c r="F873" s="22" t="s">
        <v>11</v>
      </c>
      <c r="G873" s="22" t="s">
        <v>15</v>
      </c>
    </row>
    <row r="874" ht="15.15" spans="1:7">
      <c r="A874" s="20">
        <v>873</v>
      </c>
      <c r="B874" s="20">
        <v>7307</v>
      </c>
      <c r="C874" s="21">
        <v>45165</v>
      </c>
      <c r="D874" s="20">
        <v>1186.61</v>
      </c>
      <c r="E874" s="22" t="s">
        <v>10</v>
      </c>
      <c r="F874" s="22" t="s">
        <v>14</v>
      </c>
      <c r="G874" s="22" t="s">
        <v>17</v>
      </c>
    </row>
    <row r="875" ht="15.15" spans="1:7">
      <c r="A875" s="20">
        <v>874</v>
      </c>
      <c r="B875" s="20">
        <v>1249</v>
      </c>
      <c r="C875" s="21">
        <v>45144</v>
      </c>
      <c r="D875" s="20">
        <v>142.43</v>
      </c>
      <c r="E875" s="22" t="s">
        <v>10</v>
      </c>
      <c r="F875" s="22" t="s">
        <v>14</v>
      </c>
      <c r="G875" s="22" t="s">
        <v>17</v>
      </c>
    </row>
    <row r="876" ht="15.15" spans="1:7">
      <c r="A876" s="20">
        <v>875</v>
      </c>
      <c r="B876" s="20">
        <v>4051</v>
      </c>
      <c r="C876" s="21">
        <v>45260</v>
      </c>
      <c r="D876" s="20">
        <v>140.76</v>
      </c>
      <c r="E876" s="22" t="s">
        <v>10</v>
      </c>
      <c r="F876" s="22" t="s">
        <v>18</v>
      </c>
      <c r="G876" s="22" t="s">
        <v>20</v>
      </c>
    </row>
    <row r="877" ht="15.15" spans="1:7">
      <c r="A877" s="20">
        <v>876</v>
      </c>
      <c r="B877" s="20">
        <v>3808</v>
      </c>
      <c r="C877" s="21">
        <v>45237</v>
      </c>
      <c r="D877" s="20">
        <v>2008.11</v>
      </c>
      <c r="E877" s="22" t="s">
        <v>10</v>
      </c>
      <c r="F877" s="22" t="s">
        <v>14</v>
      </c>
      <c r="G877" s="22" t="s">
        <v>20</v>
      </c>
    </row>
    <row r="878" ht="15.15" spans="1:7">
      <c r="A878" s="20">
        <v>877</v>
      </c>
      <c r="B878" s="20">
        <v>3032</v>
      </c>
      <c r="C878" s="21">
        <v>44970</v>
      </c>
      <c r="D878" s="20">
        <v>961.31</v>
      </c>
      <c r="E878" s="22" t="s">
        <v>10</v>
      </c>
      <c r="F878" s="22" t="s">
        <v>16</v>
      </c>
      <c r="G878" s="22" t="s">
        <v>12</v>
      </c>
    </row>
    <row r="879" ht="15.15" spans="1:7">
      <c r="A879" s="20">
        <v>878</v>
      </c>
      <c r="B879" s="20">
        <v>3793</v>
      </c>
      <c r="C879" s="21">
        <v>45199</v>
      </c>
      <c r="D879" s="20">
        <v>2523.74</v>
      </c>
      <c r="E879" s="22" t="s">
        <v>10</v>
      </c>
      <c r="F879" s="22" t="s">
        <v>16</v>
      </c>
      <c r="G879" s="22" t="s">
        <v>12</v>
      </c>
    </row>
    <row r="880" ht="15.15" spans="1:7">
      <c r="A880" s="20">
        <v>879</v>
      </c>
      <c r="B880" s="20">
        <v>1757</v>
      </c>
      <c r="C880" s="21">
        <v>45179</v>
      </c>
      <c r="D880" s="20">
        <v>1383.1</v>
      </c>
      <c r="E880" s="22" t="s">
        <v>10</v>
      </c>
      <c r="F880" s="22" t="s">
        <v>14</v>
      </c>
      <c r="G880" s="22" t="s">
        <v>20</v>
      </c>
    </row>
    <row r="881" ht="15.15" spans="1:7">
      <c r="A881" s="20">
        <v>880</v>
      </c>
      <c r="B881" s="20">
        <v>9635</v>
      </c>
      <c r="C881" s="21">
        <v>45150</v>
      </c>
      <c r="D881" s="20">
        <v>290.79</v>
      </c>
      <c r="E881" s="22" t="s">
        <v>10</v>
      </c>
      <c r="F881" s="22" t="s">
        <v>14</v>
      </c>
      <c r="G881" s="22" t="s">
        <v>15</v>
      </c>
    </row>
    <row r="882" ht="15.15" spans="1:7">
      <c r="A882" s="20">
        <v>881</v>
      </c>
      <c r="B882" s="20">
        <v>2522</v>
      </c>
      <c r="C882" s="21">
        <v>45194</v>
      </c>
      <c r="D882" s="20">
        <v>884.92</v>
      </c>
      <c r="E882" s="22" t="s">
        <v>21</v>
      </c>
      <c r="F882" s="22" t="s">
        <v>11</v>
      </c>
      <c r="G882" s="22" t="s">
        <v>17</v>
      </c>
    </row>
    <row r="883" ht="15.15" spans="1:7">
      <c r="A883" s="20">
        <v>882</v>
      </c>
      <c r="B883" s="20">
        <v>5435</v>
      </c>
      <c r="C883" s="21">
        <v>45210</v>
      </c>
      <c r="D883" s="20">
        <v>1802.19</v>
      </c>
      <c r="E883" s="22" t="s">
        <v>10</v>
      </c>
      <c r="F883" s="22" t="s">
        <v>11</v>
      </c>
      <c r="G883" s="22" t="s">
        <v>12</v>
      </c>
    </row>
    <row r="884" ht="15.15" spans="1:7">
      <c r="A884" s="20">
        <v>883</v>
      </c>
      <c r="B884" s="20">
        <v>4207</v>
      </c>
      <c r="C884" s="21">
        <v>44957</v>
      </c>
      <c r="D884" s="20">
        <v>765.21</v>
      </c>
      <c r="E884" s="22" t="s">
        <v>10</v>
      </c>
      <c r="F884" s="22" t="s">
        <v>11</v>
      </c>
      <c r="G884" s="22" t="s">
        <v>17</v>
      </c>
    </row>
    <row r="885" ht="15.15" spans="1:7">
      <c r="A885" s="20">
        <v>884</v>
      </c>
      <c r="B885" s="20">
        <v>1498</v>
      </c>
      <c r="C885" s="21">
        <v>44974</v>
      </c>
      <c r="D885" s="20">
        <v>2673.18</v>
      </c>
      <c r="E885" s="22" t="s">
        <v>10</v>
      </c>
      <c r="F885" s="22" t="s">
        <v>14</v>
      </c>
      <c r="G885" s="22" t="s">
        <v>20</v>
      </c>
    </row>
    <row r="886" ht="15.15" spans="1:7">
      <c r="A886" s="20">
        <v>885</v>
      </c>
      <c r="B886" s="20">
        <v>4374</v>
      </c>
      <c r="C886" s="21">
        <v>44933</v>
      </c>
      <c r="D886" s="20">
        <v>1038.11</v>
      </c>
      <c r="E886" s="22" t="s">
        <v>10</v>
      </c>
      <c r="F886" s="22" t="s">
        <v>13</v>
      </c>
      <c r="G886" s="22" t="s">
        <v>15</v>
      </c>
    </row>
    <row r="887" ht="15.15" spans="1:7">
      <c r="A887" s="20">
        <v>886</v>
      </c>
      <c r="B887" s="20">
        <v>7164</v>
      </c>
      <c r="C887" s="21">
        <v>45268</v>
      </c>
      <c r="D887" s="20">
        <v>1467.64</v>
      </c>
      <c r="E887" s="22" t="s">
        <v>10</v>
      </c>
      <c r="F887" s="22" t="s">
        <v>16</v>
      </c>
      <c r="G887" s="22" t="s">
        <v>12</v>
      </c>
    </row>
    <row r="888" ht="15.15" spans="1:7">
      <c r="A888" s="20">
        <v>887</v>
      </c>
      <c r="B888" s="20">
        <v>7862</v>
      </c>
      <c r="C888" s="21">
        <v>45291</v>
      </c>
      <c r="D888" s="20">
        <v>627.3</v>
      </c>
      <c r="E888" s="22" t="s">
        <v>10</v>
      </c>
      <c r="F888" s="22" t="s">
        <v>14</v>
      </c>
      <c r="G888" s="22" t="s">
        <v>12</v>
      </c>
    </row>
    <row r="889" ht="15.15" spans="1:7">
      <c r="A889" s="20">
        <v>888</v>
      </c>
      <c r="B889" s="20">
        <v>6460</v>
      </c>
      <c r="C889" s="21">
        <v>45263</v>
      </c>
      <c r="D889" s="20">
        <v>4547.51</v>
      </c>
      <c r="E889" s="22" t="s">
        <v>22</v>
      </c>
      <c r="F889" s="22" t="s">
        <v>13</v>
      </c>
      <c r="G889" s="22" t="s">
        <v>20</v>
      </c>
    </row>
    <row r="890" ht="15.15" spans="1:7">
      <c r="A890" s="20">
        <v>889</v>
      </c>
      <c r="B890" s="20">
        <v>9310</v>
      </c>
      <c r="C890" s="21">
        <v>44950</v>
      </c>
      <c r="D890" s="20">
        <v>3053.33</v>
      </c>
      <c r="E890" s="22" t="s">
        <v>10</v>
      </c>
      <c r="F890" s="22" t="s">
        <v>14</v>
      </c>
      <c r="G890" s="22" t="s">
        <v>12</v>
      </c>
    </row>
    <row r="891" ht="15.15" spans="1:7">
      <c r="A891" s="20">
        <v>890</v>
      </c>
      <c r="B891" s="20">
        <v>5891</v>
      </c>
      <c r="C891" s="21">
        <v>44945</v>
      </c>
      <c r="D891" s="20">
        <v>367.55</v>
      </c>
      <c r="E891" s="22" t="s">
        <v>10</v>
      </c>
      <c r="F891" s="22" t="s">
        <v>13</v>
      </c>
      <c r="G891" s="22" t="s">
        <v>15</v>
      </c>
    </row>
    <row r="892" ht="15.15" spans="1:7">
      <c r="A892" s="20">
        <v>891</v>
      </c>
      <c r="B892" s="20">
        <v>8510</v>
      </c>
      <c r="C892" s="21">
        <v>45084</v>
      </c>
      <c r="D892" s="20">
        <v>1836.52</v>
      </c>
      <c r="E892" s="22" t="s">
        <v>10</v>
      </c>
      <c r="F892" s="22" t="s">
        <v>14</v>
      </c>
      <c r="G892" s="22" t="s">
        <v>15</v>
      </c>
    </row>
    <row r="893" ht="15.15" spans="1:7">
      <c r="A893" s="20">
        <v>892</v>
      </c>
      <c r="B893" s="20">
        <v>2109</v>
      </c>
      <c r="C893" s="21">
        <v>44982</v>
      </c>
      <c r="D893" s="20">
        <v>2896</v>
      </c>
      <c r="E893" s="22" t="s">
        <v>10</v>
      </c>
      <c r="F893" s="22" t="s">
        <v>11</v>
      </c>
      <c r="G893" s="22" t="s">
        <v>17</v>
      </c>
    </row>
    <row r="894" ht="15.15" spans="1:7">
      <c r="A894" s="20">
        <v>893</v>
      </c>
      <c r="B894" s="20">
        <v>2775</v>
      </c>
      <c r="C894" s="21">
        <v>45250</v>
      </c>
      <c r="D894" s="20">
        <v>1041.86</v>
      </c>
      <c r="E894" s="22" t="s">
        <v>10</v>
      </c>
      <c r="F894" s="22" t="s">
        <v>13</v>
      </c>
      <c r="G894" s="22" t="s">
        <v>17</v>
      </c>
    </row>
    <row r="895" ht="15.15" spans="1:7">
      <c r="A895" s="20">
        <v>894</v>
      </c>
      <c r="B895" s="20">
        <v>4639</v>
      </c>
      <c r="C895" s="21">
        <v>45056</v>
      </c>
      <c r="D895" s="20">
        <v>315.29</v>
      </c>
      <c r="E895" s="22" t="s">
        <v>10</v>
      </c>
      <c r="F895" s="22" t="s">
        <v>14</v>
      </c>
      <c r="G895" s="22" t="s">
        <v>20</v>
      </c>
    </row>
    <row r="896" ht="15.15" spans="1:7">
      <c r="A896" s="20">
        <v>895</v>
      </c>
      <c r="B896" s="20">
        <v>6137</v>
      </c>
      <c r="C896" s="21">
        <v>45131</v>
      </c>
      <c r="D896" s="20">
        <v>2120.81</v>
      </c>
      <c r="E896" s="22" t="s">
        <v>10</v>
      </c>
      <c r="F896" s="22" t="s">
        <v>18</v>
      </c>
      <c r="G896" s="22" t="s">
        <v>15</v>
      </c>
    </row>
    <row r="897" ht="15.15" spans="1:7">
      <c r="A897" s="20">
        <v>896</v>
      </c>
      <c r="B897" s="20">
        <v>645</v>
      </c>
      <c r="C897" s="21">
        <v>44946</v>
      </c>
      <c r="D897" s="20">
        <v>2472.89</v>
      </c>
      <c r="E897" s="22" t="s">
        <v>21</v>
      </c>
      <c r="F897" s="22" t="s">
        <v>16</v>
      </c>
      <c r="G897" s="22" t="s">
        <v>20</v>
      </c>
    </row>
    <row r="898" ht="15.15" spans="1:7">
      <c r="A898" s="20">
        <v>897</v>
      </c>
      <c r="B898" s="20">
        <v>4637</v>
      </c>
      <c r="C898" s="21">
        <v>45091</v>
      </c>
      <c r="D898" s="20">
        <v>392.24</v>
      </c>
      <c r="E898" s="22" t="s">
        <v>10</v>
      </c>
      <c r="F898" s="22" t="s">
        <v>14</v>
      </c>
      <c r="G898" s="22" t="s">
        <v>12</v>
      </c>
    </row>
    <row r="899" ht="15.15" spans="1:7">
      <c r="A899" s="20">
        <v>898</v>
      </c>
      <c r="B899" s="20">
        <v>5669</v>
      </c>
      <c r="C899" s="21">
        <v>45116</v>
      </c>
      <c r="D899" s="20">
        <v>428.12</v>
      </c>
      <c r="E899" s="22" t="s">
        <v>10</v>
      </c>
      <c r="F899" s="22" t="s">
        <v>16</v>
      </c>
      <c r="G899" s="22" t="s">
        <v>12</v>
      </c>
    </row>
    <row r="900" ht="15.15" spans="1:7">
      <c r="A900" s="20">
        <v>899</v>
      </c>
      <c r="B900" s="20">
        <v>5502</v>
      </c>
      <c r="C900" s="21">
        <v>45228</v>
      </c>
      <c r="D900" s="20">
        <v>1995.72</v>
      </c>
      <c r="E900" s="22" t="s">
        <v>10</v>
      </c>
      <c r="F900" s="22" t="s">
        <v>11</v>
      </c>
      <c r="G900" s="22" t="s">
        <v>17</v>
      </c>
    </row>
    <row r="901" ht="15.15" spans="1:7">
      <c r="A901" s="20">
        <v>900</v>
      </c>
      <c r="B901" s="20">
        <v>4086</v>
      </c>
      <c r="C901" s="21">
        <v>45258</v>
      </c>
      <c r="D901" s="20">
        <v>627.3</v>
      </c>
      <c r="E901" s="22" t="s">
        <v>10</v>
      </c>
      <c r="F901" s="22" t="s">
        <v>18</v>
      </c>
      <c r="G901" s="22" t="s">
        <v>12</v>
      </c>
    </row>
    <row r="902" ht="15.15" spans="1:7">
      <c r="A902" s="20">
        <v>901</v>
      </c>
      <c r="B902" s="20">
        <v>5558</v>
      </c>
      <c r="C902" s="21">
        <v>45153</v>
      </c>
      <c r="D902" s="20">
        <v>4123.83</v>
      </c>
      <c r="E902" s="22" t="s">
        <v>10</v>
      </c>
      <c r="F902" s="22" t="s">
        <v>16</v>
      </c>
      <c r="G902" s="22" t="s">
        <v>17</v>
      </c>
    </row>
    <row r="903" ht="15.15" spans="1:7">
      <c r="A903" s="20">
        <v>902</v>
      </c>
      <c r="B903" s="20">
        <v>8534</v>
      </c>
      <c r="C903" s="21">
        <v>45018</v>
      </c>
      <c r="D903" s="20">
        <v>1308.6</v>
      </c>
      <c r="E903" s="22" t="s">
        <v>10</v>
      </c>
      <c r="F903" s="22" t="s">
        <v>11</v>
      </c>
      <c r="G903" s="22" t="s">
        <v>12</v>
      </c>
    </row>
    <row r="904" ht="15.15" spans="1:7">
      <c r="A904" s="20">
        <v>903</v>
      </c>
      <c r="B904" s="20">
        <v>6466</v>
      </c>
      <c r="C904" s="21">
        <v>45213</v>
      </c>
      <c r="D904" s="20">
        <v>4795.01</v>
      </c>
      <c r="E904" s="22" t="s">
        <v>10</v>
      </c>
      <c r="F904" s="22" t="s">
        <v>18</v>
      </c>
      <c r="G904" s="22" t="s">
        <v>20</v>
      </c>
    </row>
    <row r="905" ht="15.15" spans="1:7">
      <c r="A905" s="20">
        <v>904</v>
      </c>
      <c r="B905" s="20">
        <v>212</v>
      </c>
      <c r="C905" s="21">
        <v>45014</v>
      </c>
      <c r="D905" s="20">
        <v>1517.16</v>
      </c>
      <c r="E905" s="22" t="s">
        <v>10</v>
      </c>
      <c r="F905" s="22" t="s">
        <v>16</v>
      </c>
      <c r="G905" s="22" t="s">
        <v>20</v>
      </c>
    </row>
    <row r="906" ht="15.15" spans="1:7">
      <c r="A906" s="20">
        <v>905</v>
      </c>
      <c r="B906" s="20">
        <v>8287</v>
      </c>
      <c r="C906" s="21">
        <v>45234</v>
      </c>
      <c r="D906" s="20">
        <v>1001.8</v>
      </c>
      <c r="E906" s="22" t="s">
        <v>10</v>
      </c>
      <c r="F906" s="22" t="s">
        <v>14</v>
      </c>
      <c r="G906" s="22" t="s">
        <v>15</v>
      </c>
    </row>
    <row r="907" ht="15.15" spans="1:7">
      <c r="A907" s="20">
        <v>906</v>
      </c>
      <c r="B907" s="20">
        <v>869</v>
      </c>
      <c r="C907" s="21">
        <v>45199</v>
      </c>
      <c r="D907" s="20">
        <v>536.15</v>
      </c>
      <c r="E907" s="22" t="s">
        <v>10</v>
      </c>
      <c r="F907" s="22" t="s">
        <v>11</v>
      </c>
      <c r="G907" s="22" t="s">
        <v>20</v>
      </c>
    </row>
    <row r="908" ht="15.15" spans="1:7">
      <c r="A908" s="20">
        <v>907</v>
      </c>
      <c r="B908" s="20">
        <v>2484</v>
      </c>
      <c r="C908" s="21">
        <v>45224</v>
      </c>
      <c r="D908" s="20">
        <v>943.1</v>
      </c>
      <c r="E908" s="22" t="s">
        <v>10</v>
      </c>
      <c r="F908" s="22" t="s">
        <v>16</v>
      </c>
      <c r="G908" s="22" t="s">
        <v>12</v>
      </c>
    </row>
    <row r="909" ht="15.15" spans="1:7">
      <c r="A909" s="20">
        <v>908</v>
      </c>
      <c r="B909" s="20">
        <v>4797</v>
      </c>
      <c r="C909" s="21">
        <v>45260</v>
      </c>
      <c r="D909" s="20">
        <v>413.05</v>
      </c>
      <c r="E909" s="22" t="s">
        <v>10</v>
      </c>
      <c r="F909" s="22" t="s">
        <v>16</v>
      </c>
      <c r="G909" s="22" t="s">
        <v>17</v>
      </c>
    </row>
    <row r="910" ht="15.15" spans="1:7">
      <c r="A910" s="20">
        <v>909</v>
      </c>
      <c r="B910" s="20">
        <v>1018</v>
      </c>
      <c r="C910" s="21">
        <v>45016</v>
      </c>
      <c r="D910" s="20">
        <v>2303.41</v>
      </c>
      <c r="E910" s="22" t="s">
        <v>10</v>
      </c>
      <c r="F910" s="22" t="s">
        <v>14</v>
      </c>
      <c r="G910" s="22" t="s">
        <v>12</v>
      </c>
    </row>
    <row r="911" ht="15.15" spans="1:7">
      <c r="A911" s="20">
        <v>910</v>
      </c>
      <c r="B911" s="20">
        <v>1642</v>
      </c>
      <c r="C911" s="21">
        <v>44996</v>
      </c>
      <c r="D911" s="20">
        <v>394.17</v>
      </c>
      <c r="E911" s="22" t="s">
        <v>10</v>
      </c>
      <c r="F911" s="22" t="s">
        <v>14</v>
      </c>
      <c r="G911" s="22" t="s">
        <v>17</v>
      </c>
    </row>
    <row r="912" ht="15.15" spans="1:7">
      <c r="A912" s="20">
        <v>911</v>
      </c>
      <c r="B912" s="20">
        <v>5585</v>
      </c>
      <c r="C912" s="21">
        <v>45272</v>
      </c>
      <c r="D912" s="20">
        <v>3958.46</v>
      </c>
      <c r="E912" s="22" t="s">
        <v>10</v>
      </c>
      <c r="F912" s="22" t="s">
        <v>16</v>
      </c>
      <c r="G912" s="22" t="s">
        <v>15</v>
      </c>
    </row>
    <row r="913" ht="15.15" spans="1:7">
      <c r="A913" s="20">
        <v>912</v>
      </c>
      <c r="B913" s="20">
        <v>3316</v>
      </c>
      <c r="C913" s="21">
        <v>45250</v>
      </c>
      <c r="D913" s="20">
        <v>4816.02</v>
      </c>
      <c r="E913" s="22" t="s">
        <v>10</v>
      </c>
      <c r="F913" s="22" t="s">
        <v>11</v>
      </c>
      <c r="G913" s="22" t="s">
        <v>17</v>
      </c>
    </row>
    <row r="914" ht="15.15" spans="1:7">
      <c r="A914" s="20">
        <v>913</v>
      </c>
      <c r="B914" s="20">
        <v>6567</v>
      </c>
      <c r="C914" s="21">
        <v>45038</v>
      </c>
      <c r="D914" s="20">
        <v>427.48</v>
      </c>
      <c r="E914" s="22" t="s">
        <v>10</v>
      </c>
      <c r="F914" s="22" t="s">
        <v>13</v>
      </c>
      <c r="G914" s="22" t="s">
        <v>12</v>
      </c>
    </row>
    <row r="915" ht="15.15" spans="1:7">
      <c r="A915" s="20">
        <v>914</v>
      </c>
      <c r="B915" s="20">
        <v>2663</v>
      </c>
      <c r="C915" s="21">
        <v>45110</v>
      </c>
      <c r="D915" s="20">
        <v>361.97</v>
      </c>
      <c r="E915" s="22" t="s">
        <v>10</v>
      </c>
      <c r="F915" s="22" t="s">
        <v>11</v>
      </c>
      <c r="G915" s="22" t="s">
        <v>12</v>
      </c>
    </row>
    <row r="916" ht="15.15" spans="1:7">
      <c r="A916" s="20">
        <v>915</v>
      </c>
      <c r="B916" s="20">
        <v>9075</v>
      </c>
      <c r="C916" s="21">
        <v>45015</v>
      </c>
      <c r="D916" s="20">
        <v>252.57</v>
      </c>
      <c r="E916" s="22" t="s">
        <v>10</v>
      </c>
      <c r="F916" s="22" t="s">
        <v>18</v>
      </c>
      <c r="G916" s="22" t="s">
        <v>15</v>
      </c>
    </row>
    <row r="917" ht="15.15" spans="1:7">
      <c r="A917" s="20">
        <v>916</v>
      </c>
      <c r="B917" s="20">
        <v>6895</v>
      </c>
      <c r="C917" s="21">
        <v>44931</v>
      </c>
      <c r="D917" s="20">
        <v>254.46</v>
      </c>
      <c r="E917" s="22" t="s">
        <v>10</v>
      </c>
      <c r="F917" s="22" t="s">
        <v>14</v>
      </c>
      <c r="G917" s="22" t="s">
        <v>12</v>
      </c>
    </row>
    <row r="918" ht="15.15" spans="1:7">
      <c r="A918" s="20">
        <v>917</v>
      </c>
      <c r="B918" s="20">
        <v>4677</v>
      </c>
      <c r="C918" s="21">
        <v>44990</v>
      </c>
      <c r="D918" s="20">
        <v>1525.28</v>
      </c>
      <c r="E918" s="22" t="s">
        <v>10</v>
      </c>
      <c r="F918" s="22" t="s">
        <v>11</v>
      </c>
      <c r="G918" s="22" t="s">
        <v>20</v>
      </c>
    </row>
    <row r="919" ht="15.15" spans="1:7">
      <c r="A919" s="20">
        <v>918</v>
      </c>
      <c r="B919" s="20">
        <v>2815</v>
      </c>
      <c r="C919" s="21">
        <v>45168</v>
      </c>
      <c r="D919" s="20">
        <v>3433.08</v>
      </c>
      <c r="E919" s="22" t="s">
        <v>10</v>
      </c>
      <c r="F919" s="22" t="s">
        <v>14</v>
      </c>
      <c r="G919" s="22" t="s">
        <v>17</v>
      </c>
    </row>
    <row r="920" ht="15.15" spans="1:7">
      <c r="A920" s="20">
        <v>919</v>
      </c>
      <c r="B920" s="20">
        <v>8801</v>
      </c>
      <c r="C920" s="21">
        <v>45248</v>
      </c>
      <c r="D920" s="20">
        <v>1574.12</v>
      </c>
      <c r="E920" s="22" t="s">
        <v>10</v>
      </c>
      <c r="F920" s="22" t="s">
        <v>16</v>
      </c>
      <c r="G920" s="22" t="s">
        <v>20</v>
      </c>
    </row>
    <row r="921" ht="15.15" spans="1:7">
      <c r="A921" s="20">
        <v>920</v>
      </c>
      <c r="B921" s="20">
        <v>9683</v>
      </c>
      <c r="C921" s="21">
        <v>45257</v>
      </c>
      <c r="D921" s="20">
        <v>515.58</v>
      </c>
      <c r="E921" s="22" t="s">
        <v>10</v>
      </c>
      <c r="F921" s="22" t="s">
        <v>11</v>
      </c>
      <c r="G921" s="22" t="s">
        <v>17</v>
      </c>
    </row>
    <row r="922" ht="15.15" spans="1:7">
      <c r="A922" s="20">
        <v>921</v>
      </c>
      <c r="B922" s="20">
        <v>5559</v>
      </c>
      <c r="C922" s="21">
        <v>45268</v>
      </c>
      <c r="D922" s="20">
        <v>1786.41</v>
      </c>
      <c r="E922" s="22" t="s">
        <v>10</v>
      </c>
      <c r="F922" s="22" t="s">
        <v>16</v>
      </c>
      <c r="G922" s="22" t="s">
        <v>17</v>
      </c>
    </row>
    <row r="923" ht="15.15" spans="1:7">
      <c r="A923" s="20">
        <v>922</v>
      </c>
      <c r="B923" s="20">
        <v>8895</v>
      </c>
      <c r="C923" s="21">
        <v>45270</v>
      </c>
      <c r="D923" s="20">
        <v>1813.55</v>
      </c>
      <c r="E923" s="22" t="s">
        <v>10</v>
      </c>
      <c r="F923" s="22" t="s">
        <v>11</v>
      </c>
      <c r="G923" s="22" t="s">
        <v>15</v>
      </c>
    </row>
    <row r="924" ht="15.15" spans="1:7">
      <c r="A924" s="20">
        <v>923</v>
      </c>
      <c r="B924" s="20">
        <v>2716</v>
      </c>
      <c r="C924" s="21">
        <v>45000</v>
      </c>
      <c r="D924" s="20">
        <v>401.69</v>
      </c>
      <c r="E924" s="22" t="s">
        <v>10</v>
      </c>
      <c r="F924" s="22" t="s">
        <v>13</v>
      </c>
      <c r="G924" s="22" t="s">
        <v>20</v>
      </c>
    </row>
    <row r="925" ht="15.15" spans="1:7">
      <c r="A925" s="20">
        <v>924</v>
      </c>
      <c r="B925" s="20">
        <v>1690</v>
      </c>
      <c r="C925" s="21">
        <v>45257</v>
      </c>
      <c r="D925" s="20">
        <v>3267.09</v>
      </c>
      <c r="E925" s="22" t="s">
        <v>10</v>
      </c>
      <c r="F925" s="22" t="s">
        <v>13</v>
      </c>
      <c r="G925" s="22" t="s">
        <v>17</v>
      </c>
    </row>
    <row r="926" ht="15.15" spans="1:7">
      <c r="A926" s="20">
        <v>925</v>
      </c>
      <c r="B926" s="20">
        <v>6182</v>
      </c>
      <c r="C926" s="21">
        <v>45276</v>
      </c>
      <c r="D926" s="20">
        <v>1129.1</v>
      </c>
      <c r="E926" s="22" t="s">
        <v>10</v>
      </c>
      <c r="F926" s="22" t="s">
        <v>13</v>
      </c>
      <c r="G926" s="22" t="s">
        <v>12</v>
      </c>
    </row>
    <row r="927" ht="15.15" spans="1:7">
      <c r="A927" s="20">
        <v>926</v>
      </c>
      <c r="B927" s="20">
        <v>9755</v>
      </c>
      <c r="C927" s="21">
        <v>45264</v>
      </c>
      <c r="D927" s="20">
        <v>807.22</v>
      </c>
      <c r="E927" s="22" t="s">
        <v>10</v>
      </c>
      <c r="F927" s="22" t="s">
        <v>11</v>
      </c>
      <c r="G927" s="22" t="s">
        <v>20</v>
      </c>
    </row>
    <row r="928" ht="15.15" spans="1:7">
      <c r="A928" s="20">
        <v>927</v>
      </c>
      <c r="B928" s="20">
        <v>2971</v>
      </c>
      <c r="C928" s="21">
        <v>45244</v>
      </c>
      <c r="D928" s="20">
        <v>209.84</v>
      </c>
      <c r="E928" s="22" t="s">
        <v>10</v>
      </c>
      <c r="F928" s="22" t="s">
        <v>14</v>
      </c>
      <c r="G928" s="22" t="s">
        <v>12</v>
      </c>
    </row>
    <row r="929" ht="15.15" spans="1:7">
      <c r="A929" s="20">
        <v>928</v>
      </c>
      <c r="B929" s="20">
        <v>8287</v>
      </c>
      <c r="C929" s="21">
        <v>45101</v>
      </c>
      <c r="D929" s="20">
        <v>1851.93</v>
      </c>
      <c r="E929" s="22" t="s">
        <v>10</v>
      </c>
      <c r="F929" s="22" t="s">
        <v>14</v>
      </c>
      <c r="G929" s="22" t="s">
        <v>15</v>
      </c>
    </row>
    <row r="930" ht="15.15" spans="1:7">
      <c r="A930" s="20">
        <v>929</v>
      </c>
      <c r="B930" s="20">
        <v>685</v>
      </c>
      <c r="C930" s="21">
        <v>45247</v>
      </c>
      <c r="D930" s="20">
        <v>459.12</v>
      </c>
      <c r="E930" s="22" t="s">
        <v>10</v>
      </c>
      <c r="F930" s="22" t="s">
        <v>18</v>
      </c>
      <c r="G930" s="22" t="s">
        <v>15</v>
      </c>
    </row>
    <row r="931" ht="15.15" spans="1:7">
      <c r="A931" s="20">
        <v>930</v>
      </c>
      <c r="B931" s="20">
        <v>1372</v>
      </c>
      <c r="C931" s="21">
        <v>45269</v>
      </c>
      <c r="D931" s="20">
        <v>1339.03</v>
      </c>
      <c r="E931" s="22" t="s">
        <v>10</v>
      </c>
      <c r="F931" s="22" t="s">
        <v>13</v>
      </c>
      <c r="G931" s="22" t="s">
        <v>17</v>
      </c>
    </row>
    <row r="932" ht="15.15" spans="1:7">
      <c r="A932" s="20">
        <v>931</v>
      </c>
      <c r="B932" s="20">
        <v>3915</v>
      </c>
      <c r="C932" s="21">
        <v>45080</v>
      </c>
      <c r="D932" s="20">
        <v>1298.12</v>
      </c>
      <c r="E932" s="22" t="s">
        <v>10</v>
      </c>
      <c r="F932" s="22" t="s">
        <v>18</v>
      </c>
      <c r="G932" s="22" t="s">
        <v>12</v>
      </c>
    </row>
    <row r="933" ht="15.15" spans="1:7">
      <c r="A933" s="20">
        <v>932</v>
      </c>
      <c r="B933" s="20">
        <v>4085</v>
      </c>
      <c r="C933" s="21">
        <v>45263</v>
      </c>
      <c r="D933" s="20">
        <v>703.95</v>
      </c>
      <c r="E933" s="22" t="s">
        <v>10</v>
      </c>
      <c r="F933" s="22" t="s">
        <v>18</v>
      </c>
      <c r="G933" s="22" t="s">
        <v>20</v>
      </c>
    </row>
    <row r="934" ht="15.15" spans="1:7">
      <c r="A934" s="20">
        <v>933</v>
      </c>
      <c r="B934" s="20">
        <v>4626</v>
      </c>
      <c r="C934" s="21">
        <v>45238</v>
      </c>
      <c r="D934" s="20">
        <v>459.12</v>
      </c>
      <c r="E934" s="22" t="s">
        <v>10</v>
      </c>
      <c r="F934" s="22" t="s">
        <v>13</v>
      </c>
      <c r="G934" s="22" t="s">
        <v>12</v>
      </c>
    </row>
    <row r="935" ht="15.15" spans="1:7">
      <c r="A935" s="20">
        <v>934</v>
      </c>
      <c r="B935" s="20">
        <v>1718</v>
      </c>
      <c r="C935" s="21">
        <v>45012</v>
      </c>
      <c r="D935" s="20">
        <v>1636.91</v>
      </c>
      <c r="E935" s="22" t="s">
        <v>10</v>
      </c>
      <c r="F935" s="22" t="s">
        <v>18</v>
      </c>
      <c r="G935" s="22" t="s">
        <v>20</v>
      </c>
    </row>
    <row r="936" ht="15.15" spans="1:7">
      <c r="A936" s="20">
        <v>935</v>
      </c>
      <c r="B936" s="20">
        <v>8907</v>
      </c>
      <c r="C936" s="21">
        <v>45001</v>
      </c>
      <c r="D936" s="20">
        <v>844.11</v>
      </c>
      <c r="E936" s="22" t="s">
        <v>10</v>
      </c>
      <c r="F936" s="22" t="s">
        <v>11</v>
      </c>
      <c r="G936" s="22" t="s">
        <v>15</v>
      </c>
    </row>
    <row r="937" ht="15.15" spans="1:7">
      <c r="A937" s="20">
        <v>936</v>
      </c>
      <c r="B937" s="20">
        <v>3514</v>
      </c>
      <c r="C937" s="21">
        <v>45174</v>
      </c>
      <c r="D937" s="20">
        <v>953.95</v>
      </c>
      <c r="E937" s="22" t="s">
        <v>10</v>
      </c>
      <c r="F937" s="22" t="s">
        <v>18</v>
      </c>
      <c r="G937" s="22" t="s">
        <v>12</v>
      </c>
    </row>
    <row r="938" ht="15.15" spans="1:7">
      <c r="A938" s="20">
        <v>937</v>
      </c>
      <c r="B938" s="20">
        <v>690</v>
      </c>
      <c r="C938" s="21">
        <v>44947</v>
      </c>
      <c r="D938" s="20">
        <v>435.69</v>
      </c>
      <c r="E938" s="22" t="s">
        <v>10</v>
      </c>
      <c r="F938" s="22" t="s">
        <v>16</v>
      </c>
      <c r="G938" s="22" t="s">
        <v>20</v>
      </c>
    </row>
    <row r="939" ht="15.15" spans="1:7">
      <c r="A939" s="20">
        <v>938</v>
      </c>
      <c r="B939" s="20">
        <v>6692</v>
      </c>
      <c r="C939" s="21">
        <v>45187</v>
      </c>
      <c r="D939" s="20">
        <v>303.81</v>
      </c>
      <c r="E939" s="22" t="s">
        <v>10</v>
      </c>
      <c r="F939" s="22" t="s">
        <v>16</v>
      </c>
      <c r="G939" s="22" t="s">
        <v>12</v>
      </c>
    </row>
    <row r="940" ht="15.15" spans="1:7">
      <c r="A940" s="20">
        <v>939</v>
      </c>
      <c r="B940" s="20">
        <v>4511</v>
      </c>
      <c r="C940" s="21">
        <v>45158</v>
      </c>
      <c r="D940" s="20">
        <v>2864.27</v>
      </c>
      <c r="E940" s="22" t="s">
        <v>10</v>
      </c>
      <c r="F940" s="22" t="s">
        <v>13</v>
      </c>
      <c r="G940" s="22" t="s">
        <v>15</v>
      </c>
    </row>
    <row r="941" ht="15.15" spans="1:7">
      <c r="A941" s="20">
        <v>940</v>
      </c>
      <c r="B941" s="20">
        <v>5332</v>
      </c>
      <c r="C941" s="21">
        <v>44941</v>
      </c>
      <c r="D941" s="20">
        <v>89.6</v>
      </c>
      <c r="E941" s="22" t="s">
        <v>10</v>
      </c>
      <c r="F941" s="22" t="s">
        <v>16</v>
      </c>
      <c r="G941" s="22" t="s">
        <v>12</v>
      </c>
    </row>
    <row r="942" ht="15.15" spans="1:7">
      <c r="A942" s="20">
        <v>941</v>
      </c>
      <c r="B942" s="20">
        <v>6400</v>
      </c>
      <c r="C942" s="21">
        <v>45046</v>
      </c>
      <c r="D942" s="20">
        <v>1095.62</v>
      </c>
      <c r="E942" s="22" t="s">
        <v>10</v>
      </c>
      <c r="F942" s="22" t="s">
        <v>18</v>
      </c>
      <c r="G942" s="22" t="s">
        <v>17</v>
      </c>
    </row>
    <row r="943" ht="15.15" spans="1:7">
      <c r="A943" s="20">
        <v>942</v>
      </c>
      <c r="B943" s="20">
        <v>373</v>
      </c>
      <c r="C943" s="21">
        <v>44970</v>
      </c>
      <c r="D943" s="20">
        <v>3507</v>
      </c>
      <c r="E943" s="22" t="s">
        <v>10</v>
      </c>
      <c r="F943" s="22" t="s">
        <v>14</v>
      </c>
      <c r="G943" s="22" t="s">
        <v>17</v>
      </c>
    </row>
    <row r="944" ht="15.15" spans="1:7">
      <c r="A944" s="20">
        <v>943</v>
      </c>
      <c r="B944" s="20">
        <v>169</v>
      </c>
      <c r="C944" s="21">
        <v>45112</v>
      </c>
      <c r="D944" s="20">
        <v>1146.23</v>
      </c>
      <c r="E944" s="22" t="s">
        <v>10</v>
      </c>
      <c r="F944" s="22" t="s">
        <v>16</v>
      </c>
      <c r="G944" s="22" t="s">
        <v>15</v>
      </c>
    </row>
    <row r="945" ht="15.15" spans="1:7">
      <c r="A945" s="20">
        <v>944</v>
      </c>
      <c r="B945" s="20">
        <v>5257</v>
      </c>
      <c r="C945" s="21">
        <v>45259</v>
      </c>
      <c r="D945" s="20">
        <v>846.39</v>
      </c>
      <c r="E945" s="22" t="s">
        <v>10</v>
      </c>
      <c r="F945" s="22" t="s">
        <v>11</v>
      </c>
      <c r="G945" s="22" t="s">
        <v>15</v>
      </c>
    </row>
    <row r="946" ht="15.15" spans="1:7">
      <c r="A946" s="20">
        <v>945</v>
      </c>
      <c r="B946" s="20">
        <v>1374</v>
      </c>
      <c r="C946" s="21">
        <v>45253</v>
      </c>
      <c r="D946" s="20">
        <v>906.62</v>
      </c>
      <c r="E946" s="22" t="s">
        <v>10</v>
      </c>
      <c r="F946" s="22" t="s">
        <v>16</v>
      </c>
      <c r="G946" s="22" t="s">
        <v>17</v>
      </c>
    </row>
    <row r="947" ht="15.15" spans="1:7">
      <c r="A947" s="20">
        <v>946</v>
      </c>
      <c r="B947" s="20">
        <v>1176</v>
      </c>
      <c r="C947" s="21">
        <v>45176</v>
      </c>
      <c r="D947" s="20">
        <v>1630.99</v>
      </c>
      <c r="E947" s="22" t="s">
        <v>10</v>
      </c>
      <c r="F947" s="22" t="s">
        <v>13</v>
      </c>
      <c r="G947" s="22" t="s">
        <v>20</v>
      </c>
    </row>
    <row r="948" ht="15.15" spans="1:7">
      <c r="A948" s="20">
        <v>947</v>
      </c>
      <c r="B948" s="20">
        <v>9370</v>
      </c>
      <c r="C948" s="21">
        <v>45265</v>
      </c>
      <c r="D948" s="20">
        <v>1936.47</v>
      </c>
      <c r="E948" s="22" t="s">
        <v>10</v>
      </c>
      <c r="F948" s="22" t="s">
        <v>13</v>
      </c>
      <c r="G948" s="22" t="s">
        <v>20</v>
      </c>
    </row>
    <row r="949" ht="15.15" spans="1:7">
      <c r="A949" s="20">
        <v>948</v>
      </c>
      <c r="B949" s="20">
        <v>8053</v>
      </c>
      <c r="C949" s="21">
        <v>45290</v>
      </c>
      <c r="D949" s="20">
        <v>273.77</v>
      </c>
      <c r="E949" s="22" t="s">
        <v>10</v>
      </c>
      <c r="F949" s="22" t="s">
        <v>19</v>
      </c>
      <c r="G949" s="22" t="s">
        <v>17</v>
      </c>
    </row>
    <row r="950" ht="15.15" spans="1:7">
      <c r="A950" s="20">
        <v>949</v>
      </c>
      <c r="B950" s="20">
        <v>6634</v>
      </c>
      <c r="C950" s="21">
        <v>45041</v>
      </c>
      <c r="D950" s="20">
        <v>300.05</v>
      </c>
      <c r="E950" s="22" t="s">
        <v>10</v>
      </c>
      <c r="F950" s="22" t="s">
        <v>16</v>
      </c>
      <c r="G950" s="22" t="s">
        <v>12</v>
      </c>
    </row>
    <row r="951" ht="15.15" spans="1:7">
      <c r="A951" s="20">
        <v>950</v>
      </c>
      <c r="B951" s="20">
        <v>6110</v>
      </c>
      <c r="C951" s="21">
        <v>45212</v>
      </c>
      <c r="D951" s="20">
        <v>1520.8</v>
      </c>
      <c r="E951" s="22" t="s">
        <v>10</v>
      </c>
      <c r="F951" s="22" t="s">
        <v>16</v>
      </c>
      <c r="G951" s="22" t="s">
        <v>17</v>
      </c>
    </row>
    <row r="952" ht="15.15" spans="1:7">
      <c r="A952" s="20">
        <v>951</v>
      </c>
      <c r="B952" s="20">
        <v>2276</v>
      </c>
      <c r="C952" s="21">
        <v>45145</v>
      </c>
      <c r="D952" s="20">
        <v>2779.26</v>
      </c>
      <c r="E952" s="22" t="s">
        <v>10</v>
      </c>
      <c r="F952" s="22" t="s">
        <v>18</v>
      </c>
      <c r="G952" s="22" t="s">
        <v>20</v>
      </c>
    </row>
    <row r="953" ht="15.15" spans="1:7">
      <c r="A953" s="20">
        <v>952</v>
      </c>
      <c r="B953" s="20">
        <v>71</v>
      </c>
      <c r="C953" s="21">
        <v>45047</v>
      </c>
      <c r="D953" s="20">
        <v>152.53</v>
      </c>
      <c r="E953" s="22" t="s">
        <v>10</v>
      </c>
      <c r="F953" s="22" t="s">
        <v>14</v>
      </c>
      <c r="G953" s="22" t="s">
        <v>17</v>
      </c>
    </row>
    <row r="954" ht="15.15" spans="1:7">
      <c r="A954" s="20">
        <v>953</v>
      </c>
      <c r="B954" s="20">
        <v>3072</v>
      </c>
      <c r="C954" s="21">
        <v>45021</v>
      </c>
      <c r="D954" s="20">
        <v>909.31</v>
      </c>
      <c r="E954" s="22" t="s">
        <v>10</v>
      </c>
      <c r="F954" s="22" t="s">
        <v>19</v>
      </c>
      <c r="G954" s="22" t="s">
        <v>12</v>
      </c>
    </row>
    <row r="955" ht="15.15" spans="1:7">
      <c r="A955" s="20">
        <v>954</v>
      </c>
      <c r="B955" s="20">
        <v>6265</v>
      </c>
      <c r="C955" s="21">
        <v>45023</v>
      </c>
      <c r="D955" s="20">
        <v>1041.67</v>
      </c>
      <c r="E955" s="22" t="s">
        <v>10</v>
      </c>
      <c r="F955" s="22" t="s">
        <v>18</v>
      </c>
      <c r="G955" s="22" t="s">
        <v>20</v>
      </c>
    </row>
    <row r="956" ht="15.15" spans="1:7">
      <c r="A956" s="20">
        <v>955</v>
      </c>
      <c r="B956" s="20">
        <v>6512</v>
      </c>
      <c r="C956" s="21">
        <v>44982</v>
      </c>
      <c r="D956" s="20">
        <v>1417.1</v>
      </c>
      <c r="E956" s="22" t="s">
        <v>10</v>
      </c>
      <c r="F956" s="22" t="s">
        <v>14</v>
      </c>
      <c r="G956" s="22" t="s">
        <v>12</v>
      </c>
    </row>
    <row r="957" ht="15.15" spans="1:7">
      <c r="A957" s="20">
        <v>956</v>
      </c>
      <c r="B957" s="20">
        <v>2504</v>
      </c>
      <c r="C957" s="21">
        <v>45062</v>
      </c>
      <c r="D957" s="20">
        <v>1762.22</v>
      </c>
      <c r="E957" s="22" t="s">
        <v>10</v>
      </c>
      <c r="F957" s="22" t="s">
        <v>18</v>
      </c>
      <c r="G957" s="22" t="s">
        <v>17</v>
      </c>
    </row>
    <row r="958" ht="15.15" spans="1:7">
      <c r="A958" s="20">
        <v>957</v>
      </c>
      <c r="B958" s="20">
        <v>4452</v>
      </c>
      <c r="C958" s="21">
        <v>45176</v>
      </c>
      <c r="D958" s="20">
        <v>1095.03</v>
      </c>
      <c r="E958" s="22" t="s">
        <v>10</v>
      </c>
      <c r="F958" s="22" t="s">
        <v>16</v>
      </c>
      <c r="G958" s="22" t="s">
        <v>20</v>
      </c>
    </row>
    <row r="959" ht="15.15" spans="1:7">
      <c r="A959" s="20">
        <v>958</v>
      </c>
      <c r="B959" s="20">
        <v>6099</v>
      </c>
      <c r="C959" s="21">
        <v>45133</v>
      </c>
      <c r="D959" s="20">
        <v>1240.27</v>
      </c>
      <c r="E959" s="22" t="s">
        <v>10</v>
      </c>
      <c r="F959" s="22" t="s">
        <v>16</v>
      </c>
      <c r="G959" s="22" t="s">
        <v>17</v>
      </c>
    </row>
    <row r="960" ht="15.15" spans="1:7">
      <c r="A960" s="20">
        <v>959</v>
      </c>
      <c r="B960" s="20">
        <v>5703</v>
      </c>
      <c r="C960" s="21">
        <v>45095</v>
      </c>
      <c r="D960" s="20">
        <v>3125.58</v>
      </c>
      <c r="E960" s="22" t="s">
        <v>10</v>
      </c>
      <c r="F960" s="22" t="s">
        <v>14</v>
      </c>
      <c r="G960" s="22" t="s">
        <v>12</v>
      </c>
    </row>
    <row r="961" ht="15.15" spans="1:7">
      <c r="A961" s="20">
        <v>960</v>
      </c>
      <c r="B961" s="20">
        <v>7445</v>
      </c>
      <c r="C961" s="21">
        <v>44957</v>
      </c>
      <c r="D961" s="20">
        <v>958.53</v>
      </c>
      <c r="E961" s="22" t="s">
        <v>10</v>
      </c>
      <c r="F961" s="22" t="s">
        <v>11</v>
      </c>
      <c r="G961" s="22" t="s">
        <v>12</v>
      </c>
    </row>
    <row r="962" ht="15.15" spans="1:7">
      <c r="A962" s="20">
        <v>961</v>
      </c>
      <c r="B962" s="20">
        <v>3444</v>
      </c>
      <c r="C962" s="21">
        <v>45256</v>
      </c>
      <c r="D962" s="20">
        <v>2010.32</v>
      </c>
      <c r="E962" s="22" t="s">
        <v>10</v>
      </c>
      <c r="F962" s="22" t="s">
        <v>14</v>
      </c>
      <c r="G962" s="22" t="s">
        <v>12</v>
      </c>
    </row>
    <row r="963" ht="15.15" spans="1:7">
      <c r="A963" s="20">
        <v>962</v>
      </c>
      <c r="B963" s="20">
        <v>2724</v>
      </c>
      <c r="C963" s="21">
        <v>44973</v>
      </c>
      <c r="D963" s="20">
        <v>2028.56</v>
      </c>
      <c r="E963" s="22" t="s">
        <v>10</v>
      </c>
      <c r="F963" s="22" t="s">
        <v>11</v>
      </c>
      <c r="G963" s="22" t="s">
        <v>20</v>
      </c>
    </row>
    <row r="964" ht="15.15" spans="1:7">
      <c r="A964" s="20">
        <v>963</v>
      </c>
      <c r="B964" s="20">
        <v>9636</v>
      </c>
      <c r="C964" s="21">
        <v>45230</v>
      </c>
      <c r="D964" s="20">
        <v>44.16</v>
      </c>
      <c r="E964" s="22" t="s">
        <v>10</v>
      </c>
      <c r="F964" s="22" t="s">
        <v>13</v>
      </c>
      <c r="G964" s="22" t="s">
        <v>12</v>
      </c>
    </row>
    <row r="965" ht="15.15" spans="1:7">
      <c r="A965" s="20">
        <v>964</v>
      </c>
      <c r="B965" s="20">
        <v>3132</v>
      </c>
      <c r="C965" s="21">
        <v>45274</v>
      </c>
      <c r="D965" s="20">
        <v>6289.37</v>
      </c>
      <c r="E965" s="22" t="s">
        <v>10</v>
      </c>
      <c r="F965" s="22" t="s">
        <v>13</v>
      </c>
      <c r="G965" s="22" t="s">
        <v>17</v>
      </c>
    </row>
    <row r="966" ht="15.15" spans="1:7">
      <c r="A966" s="20">
        <v>965</v>
      </c>
      <c r="B966" s="20">
        <v>2862</v>
      </c>
      <c r="C966" s="21">
        <v>45115</v>
      </c>
      <c r="D966" s="20">
        <v>4482.04</v>
      </c>
      <c r="E966" s="22" t="s">
        <v>10</v>
      </c>
      <c r="F966" s="22" t="s">
        <v>14</v>
      </c>
      <c r="G966" s="22" t="s">
        <v>15</v>
      </c>
    </row>
    <row r="967" ht="15.15" spans="1:7">
      <c r="A967" s="20">
        <v>966</v>
      </c>
      <c r="B967" s="20">
        <v>1056</v>
      </c>
      <c r="C967" s="21">
        <v>45274</v>
      </c>
      <c r="D967" s="20">
        <v>1871.48</v>
      </c>
      <c r="E967" s="22" t="s">
        <v>10</v>
      </c>
      <c r="F967" s="22" t="s">
        <v>16</v>
      </c>
      <c r="G967" s="22" t="s">
        <v>17</v>
      </c>
    </row>
    <row r="968" ht="15.15" spans="1:7">
      <c r="A968" s="20">
        <v>967</v>
      </c>
      <c r="B968" s="20">
        <v>8808</v>
      </c>
      <c r="C968" s="21">
        <v>45136</v>
      </c>
      <c r="D968" s="20">
        <v>1057.86</v>
      </c>
      <c r="E968" s="22" t="s">
        <v>10</v>
      </c>
      <c r="F968" s="22" t="s">
        <v>16</v>
      </c>
      <c r="G968" s="22" t="s">
        <v>17</v>
      </c>
    </row>
    <row r="969" ht="15.15" spans="1:7">
      <c r="A969" s="20">
        <v>968</v>
      </c>
      <c r="B969" s="20">
        <v>9385</v>
      </c>
      <c r="C969" s="21">
        <v>44933</v>
      </c>
      <c r="D969" s="20">
        <v>2014.72</v>
      </c>
      <c r="E969" s="22" t="s">
        <v>10</v>
      </c>
      <c r="F969" s="22" t="s">
        <v>13</v>
      </c>
      <c r="G969" s="22" t="s">
        <v>17</v>
      </c>
    </row>
    <row r="970" ht="15.15" spans="1:7">
      <c r="A970" s="20">
        <v>969</v>
      </c>
      <c r="B970" s="20">
        <v>9644</v>
      </c>
      <c r="C970" s="21">
        <v>44975</v>
      </c>
      <c r="D970" s="20">
        <v>1245.97</v>
      </c>
      <c r="E970" s="22" t="s">
        <v>10</v>
      </c>
      <c r="F970" s="22" t="s">
        <v>13</v>
      </c>
      <c r="G970" s="22" t="s">
        <v>17</v>
      </c>
    </row>
    <row r="971" ht="15.15" spans="1:7">
      <c r="A971" s="20">
        <v>970</v>
      </c>
      <c r="B971" s="20">
        <v>4991</v>
      </c>
      <c r="C971" s="21">
        <v>44981</v>
      </c>
      <c r="D971" s="20">
        <v>359.28</v>
      </c>
      <c r="E971" s="22" t="s">
        <v>10</v>
      </c>
      <c r="F971" s="22" t="s">
        <v>14</v>
      </c>
      <c r="G971" s="22" t="s">
        <v>20</v>
      </c>
    </row>
    <row r="972" ht="15.15" spans="1:7">
      <c r="A972" s="20">
        <v>971</v>
      </c>
      <c r="B972" s="20">
        <v>187</v>
      </c>
      <c r="C972" s="21">
        <v>44938</v>
      </c>
      <c r="D972" s="20">
        <v>615.77</v>
      </c>
      <c r="E972" s="22" t="s">
        <v>22</v>
      </c>
      <c r="F972" s="22" t="s">
        <v>18</v>
      </c>
      <c r="G972" s="22" t="s">
        <v>12</v>
      </c>
    </row>
    <row r="973" ht="15.15" spans="1:7">
      <c r="A973" s="20">
        <v>972</v>
      </c>
      <c r="B973" s="20">
        <v>9666</v>
      </c>
      <c r="C973" s="21">
        <v>45038</v>
      </c>
      <c r="D973" s="20">
        <v>442.69</v>
      </c>
      <c r="E973" s="22" t="s">
        <v>10</v>
      </c>
      <c r="F973" s="22" t="s">
        <v>18</v>
      </c>
      <c r="G973" s="22" t="s">
        <v>12</v>
      </c>
    </row>
    <row r="974" ht="15.15" spans="1:7">
      <c r="A974" s="20">
        <v>973</v>
      </c>
      <c r="B974" s="20">
        <v>6576</v>
      </c>
      <c r="C974" s="21">
        <v>45180</v>
      </c>
      <c r="D974" s="20">
        <v>3193.95</v>
      </c>
      <c r="E974" s="22" t="s">
        <v>10</v>
      </c>
      <c r="F974" s="22" t="s">
        <v>11</v>
      </c>
      <c r="G974" s="22" t="s">
        <v>15</v>
      </c>
    </row>
    <row r="975" ht="15.15" spans="1:7">
      <c r="A975" s="20">
        <v>974</v>
      </c>
      <c r="B975" s="20">
        <v>6027</v>
      </c>
      <c r="C975" s="21">
        <v>45093</v>
      </c>
      <c r="D975" s="20">
        <v>1022.51</v>
      </c>
      <c r="E975" s="22" t="s">
        <v>10</v>
      </c>
      <c r="F975" s="22" t="s">
        <v>14</v>
      </c>
      <c r="G975" s="22" t="s">
        <v>20</v>
      </c>
    </row>
    <row r="976" ht="15.15" spans="1:7">
      <c r="A976" s="20">
        <v>975</v>
      </c>
      <c r="B976" s="20">
        <v>6588</v>
      </c>
      <c r="C976" s="21">
        <v>45117</v>
      </c>
      <c r="D976" s="20">
        <v>406.33</v>
      </c>
      <c r="E976" s="22" t="s">
        <v>10</v>
      </c>
      <c r="F976" s="22" t="s">
        <v>18</v>
      </c>
      <c r="G976" s="22" t="s">
        <v>15</v>
      </c>
    </row>
    <row r="977" ht="15.15" spans="1:7">
      <c r="A977" s="20">
        <v>976</v>
      </c>
      <c r="B977" s="20">
        <v>1985</v>
      </c>
      <c r="C977" s="21">
        <v>45198</v>
      </c>
      <c r="D977" s="20">
        <v>1520.34</v>
      </c>
      <c r="E977" s="22" t="s">
        <v>10</v>
      </c>
      <c r="F977" s="22" t="s">
        <v>16</v>
      </c>
      <c r="G977" s="22" t="s">
        <v>20</v>
      </c>
    </row>
    <row r="978" ht="15.15" spans="1:7">
      <c r="A978" s="20">
        <v>977</v>
      </c>
      <c r="B978" s="20">
        <v>9968</v>
      </c>
      <c r="C978" s="21">
        <v>45234</v>
      </c>
      <c r="D978" s="20">
        <v>714.81</v>
      </c>
      <c r="E978" s="22" t="s">
        <v>10</v>
      </c>
      <c r="F978" s="22" t="s">
        <v>16</v>
      </c>
      <c r="G978" s="22" t="s">
        <v>17</v>
      </c>
    </row>
    <row r="979" ht="15.15" spans="1:7">
      <c r="A979" s="20">
        <v>978</v>
      </c>
      <c r="B979" s="20">
        <v>4555</v>
      </c>
      <c r="C979" s="21">
        <v>44937</v>
      </c>
      <c r="D979" s="20">
        <v>1277.56</v>
      </c>
      <c r="E979" s="22" t="s">
        <v>10</v>
      </c>
      <c r="F979" s="22" t="s">
        <v>16</v>
      </c>
      <c r="G979" s="22" t="s">
        <v>12</v>
      </c>
    </row>
    <row r="980" ht="15.15" spans="1:7">
      <c r="A980" s="20">
        <v>979</v>
      </c>
      <c r="B980" s="20">
        <v>1777</v>
      </c>
      <c r="C980" s="21">
        <v>45272</v>
      </c>
      <c r="D980" s="20">
        <v>132.98</v>
      </c>
      <c r="E980" s="22" t="s">
        <v>10</v>
      </c>
      <c r="F980" s="22" t="s">
        <v>13</v>
      </c>
      <c r="G980" s="22" t="s">
        <v>17</v>
      </c>
    </row>
    <row r="981" ht="15.15" spans="1:7">
      <c r="A981" s="20">
        <v>980</v>
      </c>
      <c r="B981" s="20">
        <v>9235</v>
      </c>
      <c r="C981" s="21">
        <v>45152</v>
      </c>
      <c r="D981" s="20">
        <v>2608.86</v>
      </c>
      <c r="E981" s="22" t="s">
        <v>10</v>
      </c>
      <c r="F981" s="22" t="s">
        <v>11</v>
      </c>
      <c r="G981" s="22" t="s">
        <v>12</v>
      </c>
    </row>
    <row r="982" ht="15.15" spans="1:7">
      <c r="A982" s="20">
        <v>981</v>
      </c>
      <c r="B982" s="20">
        <v>4427</v>
      </c>
      <c r="C982" s="21">
        <v>45186</v>
      </c>
      <c r="D982" s="20">
        <v>1645.17</v>
      </c>
      <c r="E982" s="22" t="s">
        <v>22</v>
      </c>
      <c r="F982" s="22" t="s">
        <v>11</v>
      </c>
      <c r="G982" s="22" t="s">
        <v>20</v>
      </c>
    </row>
    <row r="983" ht="15.15" spans="1:7">
      <c r="A983" s="20">
        <v>982</v>
      </c>
      <c r="B983" s="20">
        <v>1242</v>
      </c>
      <c r="C983" s="21">
        <v>45073</v>
      </c>
      <c r="D983" s="20">
        <v>264.46</v>
      </c>
      <c r="E983" s="22" t="s">
        <v>10</v>
      </c>
      <c r="F983" s="22" t="s">
        <v>16</v>
      </c>
      <c r="G983" s="22" t="s">
        <v>15</v>
      </c>
    </row>
    <row r="984" ht="15.15" spans="1:7">
      <c r="A984" s="20">
        <v>983</v>
      </c>
      <c r="B984" s="20">
        <v>5506</v>
      </c>
      <c r="C984" s="21">
        <v>45218</v>
      </c>
      <c r="D984" s="20">
        <v>376.54</v>
      </c>
      <c r="E984" s="22" t="s">
        <v>10</v>
      </c>
      <c r="F984" s="22" t="s">
        <v>11</v>
      </c>
      <c r="G984" s="22" t="s">
        <v>17</v>
      </c>
    </row>
    <row r="985" ht="15.15" spans="1:7">
      <c r="A985" s="20">
        <v>984</v>
      </c>
      <c r="B985" s="20">
        <v>5635</v>
      </c>
      <c r="C985" s="21">
        <v>45257</v>
      </c>
      <c r="D985" s="20">
        <v>395.8</v>
      </c>
      <c r="E985" s="22" t="s">
        <v>10</v>
      </c>
      <c r="F985" s="22" t="s">
        <v>16</v>
      </c>
      <c r="G985" s="22" t="s">
        <v>15</v>
      </c>
    </row>
    <row r="986" ht="15.15" spans="1:7">
      <c r="A986" s="20">
        <v>985</v>
      </c>
      <c r="B986" s="20">
        <v>7468</v>
      </c>
      <c r="C986" s="21">
        <v>45118</v>
      </c>
      <c r="D986" s="20">
        <v>776.21</v>
      </c>
      <c r="E986" s="22" t="s">
        <v>10</v>
      </c>
      <c r="F986" s="22" t="s">
        <v>16</v>
      </c>
      <c r="G986" s="22" t="s">
        <v>17</v>
      </c>
    </row>
    <row r="987" ht="15.15" spans="1:7">
      <c r="A987" s="20">
        <v>986</v>
      </c>
      <c r="B987" s="20">
        <v>1352</v>
      </c>
      <c r="C987" s="21">
        <v>45291</v>
      </c>
      <c r="D987" s="20">
        <v>1971.43</v>
      </c>
      <c r="E987" s="22" t="s">
        <v>10</v>
      </c>
      <c r="F987" s="22" t="s">
        <v>18</v>
      </c>
      <c r="G987" s="22" t="s">
        <v>15</v>
      </c>
    </row>
    <row r="988" ht="15.15" spans="1:7">
      <c r="A988" s="20">
        <v>987</v>
      </c>
      <c r="B988" s="20">
        <v>8932</v>
      </c>
      <c r="C988" s="21">
        <v>45006</v>
      </c>
      <c r="D988" s="20">
        <v>931.48</v>
      </c>
      <c r="E988" s="22" t="s">
        <v>21</v>
      </c>
      <c r="F988" s="22" t="s">
        <v>18</v>
      </c>
      <c r="G988" s="22" t="s">
        <v>15</v>
      </c>
    </row>
    <row r="989" ht="15.15" spans="1:7">
      <c r="A989" s="20">
        <v>988</v>
      </c>
      <c r="B989" s="20">
        <v>9519</v>
      </c>
      <c r="C989" s="21">
        <v>45288</v>
      </c>
      <c r="D989" s="20">
        <v>1021.75</v>
      </c>
      <c r="E989" s="22" t="s">
        <v>10</v>
      </c>
      <c r="F989" s="22" t="s">
        <v>14</v>
      </c>
      <c r="G989" s="22" t="s">
        <v>20</v>
      </c>
    </row>
    <row r="990" ht="15.15" spans="1:7">
      <c r="A990" s="20">
        <v>989</v>
      </c>
      <c r="B990" s="20">
        <v>5174</v>
      </c>
      <c r="C990" s="21">
        <v>45008</v>
      </c>
      <c r="D990" s="20">
        <v>549.91</v>
      </c>
      <c r="E990" s="22" t="s">
        <v>22</v>
      </c>
      <c r="F990" s="22" t="s">
        <v>11</v>
      </c>
      <c r="G990" s="22" t="s">
        <v>17</v>
      </c>
    </row>
    <row r="991" ht="15.15" spans="1:7">
      <c r="A991" s="20">
        <v>990</v>
      </c>
      <c r="B991" s="20">
        <v>9620</v>
      </c>
      <c r="C991" s="21">
        <v>45238</v>
      </c>
      <c r="D991" s="20">
        <v>623.26</v>
      </c>
      <c r="E991" s="22" t="s">
        <v>10</v>
      </c>
      <c r="F991" s="22" t="s">
        <v>11</v>
      </c>
      <c r="G991" s="22" t="s">
        <v>12</v>
      </c>
    </row>
    <row r="992" ht="15.15" spans="1:7">
      <c r="A992" s="20">
        <v>991</v>
      </c>
      <c r="B992" s="20">
        <v>6404</v>
      </c>
      <c r="C992" s="21">
        <v>44995</v>
      </c>
      <c r="D992" s="20">
        <v>578.97</v>
      </c>
      <c r="E992" s="22" t="s">
        <v>10</v>
      </c>
      <c r="F992" s="22" t="s">
        <v>11</v>
      </c>
      <c r="G992" s="22" t="s">
        <v>20</v>
      </c>
    </row>
    <row r="993" ht="15.15" spans="1:7">
      <c r="A993" s="20">
        <v>992</v>
      </c>
      <c r="B993" s="20">
        <v>800</v>
      </c>
      <c r="C993" s="21">
        <v>45148</v>
      </c>
      <c r="D993" s="20">
        <v>2343.54</v>
      </c>
      <c r="E993" s="22" t="s">
        <v>10</v>
      </c>
      <c r="F993" s="22" t="s">
        <v>13</v>
      </c>
      <c r="G993" s="22" t="s">
        <v>20</v>
      </c>
    </row>
    <row r="994" ht="15.15" spans="1:7">
      <c r="A994" s="20">
        <v>993</v>
      </c>
      <c r="B994" s="20">
        <v>8075</v>
      </c>
      <c r="C994" s="21">
        <v>45049</v>
      </c>
      <c r="D994" s="20">
        <v>374.8</v>
      </c>
      <c r="E994" s="22" t="s">
        <v>10</v>
      </c>
      <c r="F994" s="22" t="s">
        <v>11</v>
      </c>
      <c r="G994" s="22" t="s">
        <v>15</v>
      </c>
    </row>
    <row r="995" ht="15.15" spans="1:7">
      <c r="A995" s="20">
        <v>994</v>
      </c>
      <c r="B995" s="20">
        <v>4021</v>
      </c>
      <c r="C995" s="21">
        <v>45193</v>
      </c>
      <c r="D995" s="20">
        <v>154.02</v>
      </c>
      <c r="E995" s="22" t="s">
        <v>10</v>
      </c>
      <c r="F995" s="22" t="s">
        <v>16</v>
      </c>
      <c r="G995" s="22" t="s">
        <v>20</v>
      </c>
    </row>
    <row r="996" ht="15.15" spans="1:7">
      <c r="A996" s="20">
        <v>995</v>
      </c>
      <c r="B996" s="20">
        <v>3406</v>
      </c>
      <c r="C996" s="21">
        <v>44980</v>
      </c>
      <c r="D996" s="20">
        <v>381.54</v>
      </c>
      <c r="E996" s="22" t="s">
        <v>10</v>
      </c>
      <c r="F996" s="22" t="s">
        <v>13</v>
      </c>
      <c r="G996" s="22" t="s">
        <v>12</v>
      </c>
    </row>
    <row r="997" ht="15.15" spans="1:7">
      <c r="A997" s="20">
        <v>996</v>
      </c>
      <c r="B997" s="20">
        <v>1435</v>
      </c>
      <c r="C997" s="21">
        <v>45186</v>
      </c>
      <c r="D997" s="20">
        <v>204.4</v>
      </c>
      <c r="E997" s="22" t="s">
        <v>10</v>
      </c>
      <c r="F997" s="22" t="s">
        <v>11</v>
      </c>
      <c r="G997" s="22" t="s">
        <v>20</v>
      </c>
    </row>
    <row r="998" ht="15.15" spans="1:7">
      <c r="A998" s="20">
        <v>997</v>
      </c>
      <c r="B998" s="20">
        <v>4940</v>
      </c>
      <c r="C998" s="21">
        <v>45119</v>
      </c>
      <c r="D998" s="20">
        <v>1437.34</v>
      </c>
      <c r="E998" s="22" t="s">
        <v>10</v>
      </c>
      <c r="F998" s="22" t="s">
        <v>13</v>
      </c>
      <c r="G998" s="22" t="s">
        <v>15</v>
      </c>
    </row>
    <row r="999" ht="15.15" spans="1:7">
      <c r="A999" s="20">
        <v>998</v>
      </c>
      <c r="B999" s="20">
        <v>9147</v>
      </c>
      <c r="C999" s="21">
        <v>45142</v>
      </c>
      <c r="D999" s="20">
        <v>154.02</v>
      </c>
      <c r="E999" s="22" t="s">
        <v>10</v>
      </c>
      <c r="F999" s="22" t="s">
        <v>14</v>
      </c>
      <c r="G999" s="22" t="s">
        <v>17</v>
      </c>
    </row>
    <row r="1000" ht="15.15" spans="1:7">
      <c r="A1000" s="20">
        <v>999</v>
      </c>
      <c r="B1000" s="20">
        <v>8251</v>
      </c>
      <c r="C1000" s="21">
        <v>45214</v>
      </c>
      <c r="D1000" s="20">
        <v>1891.67</v>
      </c>
      <c r="E1000" s="22" t="s">
        <v>10</v>
      </c>
      <c r="F1000" s="22" t="s">
        <v>11</v>
      </c>
      <c r="G1000" s="22" t="s">
        <v>20</v>
      </c>
    </row>
    <row r="1001" ht="15.15" spans="1:7">
      <c r="A1001" s="20">
        <v>1000</v>
      </c>
      <c r="B1001" s="20">
        <v>2565</v>
      </c>
      <c r="C1001" s="21">
        <v>45183</v>
      </c>
      <c r="D1001" s="20">
        <v>3623.32</v>
      </c>
      <c r="E1001" s="22" t="s">
        <v>10</v>
      </c>
      <c r="F1001" s="22" t="s">
        <v>16</v>
      </c>
      <c r="G1001" s="22" t="s">
        <v>20</v>
      </c>
    </row>
    <row r="1002" ht="15.15" spans="1:7">
      <c r="A1002" s="20">
        <v>1001</v>
      </c>
      <c r="B1002" s="20">
        <v>1195</v>
      </c>
      <c r="C1002" s="21">
        <v>45289</v>
      </c>
      <c r="D1002" s="20">
        <v>1974.42</v>
      </c>
      <c r="E1002" s="22" t="s">
        <v>10</v>
      </c>
      <c r="F1002" s="22" t="s">
        <v>14</v>
      </c>
      <c r="G1002" s="22" t="s">
        <v>12</v>
      </c>
    </row>
    <row r="1003" ht="15.15" spans="1:7">
      <c r="A1003" s="20">
        <v>1002</v>
      </c>
      <c r="B1003" s="20">
        <v>6910</v>
      </c>
      <c r="C1003" s="21">
        <v>45286</v>
      </c>
      <c r="D1003" s="20">
        <v>260.43</v>
      </c>
      <c r="E1003" s="22" t="s">
        <v>10</v>
      </c>
      <c r="F1003" s="22" t="s">
        <v>18</v>
      </c>
      <c r="G1003" s="22" t="s">
        <v>12</v>
      </c>
    </row>
    <row r="1004" ht="15.15" spans="1:7">
      <c r="A1004" s="20">
        <v>1003</v>
      </c>
      <c r="B1004" s="20">
        <v>8116</v>
      </c>
      <c r="C1004" s="21">
        <v>45276</v>
      </c>
      <c r="D1004" s="20">
        <v>927.63</v>
      </c>
      <c r="E1004" s="22" t="s">
        <v>10</v>
      </c>
      <c r="F1004" s="22" t="s">
        <v>16</v>
      </c>
      <c r="G1004" s="22" t="s">
        <v>12</v>
      </c>
    </row>
    <row r="1005" ht="15.15" spans="1:7">
      <c r="A1005" s="20">
        <v>1004</v>
      </c>
      <c r="B1005" s="20">
        <v>8395</v>
      </c>
      <c r="C1005" s="21">
        <v>44962</v>
      </c>
      <c r="D1005" s="20">
        <v>951.46</v>
      </c>
      <c r="E1005" s="22" t="s">
        <v>10</v>
      </c>
      <c r="F1005" s="22" t="s">
        <v>13</v>
      </c>
      <c r="G1005" s="22" t="s">
        <v>17</v>
      </c>
    </row>
    <row r="1006" ht="15.15" spans="1:7">
      <c r="A1006" s="20">
        <v>1005</v>
      </c>
      <c r="B1006" s="20">
        <v>7086</v>
      </c>
      <c r="C1006" s="21">
        <v>45221</v>
      </c>
      <c r="D1006" s="20">
        <v>181.14</v>
      </c>
      <c r="E1006" s="22" t="s">
        <v>10</v>
      </c>
      <c r="F1006" s="22" t="s">
        <v>14</v>
      </c>
      <c r="G1006" s="22" t="s">
        <v>20</v>
      </c>
    </row>
    <row r="1007" ht="15.15" spans="1:7">
      <c r="A1007" s="20">
        <v>1006</v>
      </c>
      <c r="B1007" s="20">
        <v>7493</v>
      </c>
      <c r="C1007" s="21">
        <v>45286</v>
      </c>
      <c r="D1007" s="20">
        <v>800.5</v>
      </c>
      <c r="E1007" s="22" t="s">
        <v>10</v>
      </c>
      <c r="F1007" s="22" t="s">
        <v>11</v>
      </c>
      <c r="G1007" s="22" t="s">
        <v>12</v>
      </c>
    </row>
    <row r="1008" ht="15.15" spans="1:7">
      <c r="A1008" s="20">
        <v>1007</v>
      </c>
      <c r="B1008" s="20">
        <v>6313</v>
      </c>
      <c r="C1008" s="21">
        <v>45204</v>
      </c>
      <c r="D1008" s="20">
        <v>602.73</v>
      </c>
      <c r="E1008" s="22" t="s">
        <v>10</v>
      </c>
      <c r="F1008" s="22" t="s">
        <v>13</v>
      </c>
      <c r="G1008" s="22" t="s">
        <v>15</v>
      </c>
    </row>
    <row r="1009" ht="15.15" spans="1:7">
      <c r="A1009" s="20">
        <v>1008</v>
      </c>
      <c r="B1009" s="20">
        <v>213</v>
      </c>
      <c r="C1009" s="21">
        <v>45207</v>
      </c>
      <c r="D1009" s="20">
        <v>406.76</v>
      </c>
      <c r="E1009" s="22" t="s">
        <v>10</v>
      </c>
      <c r="F1009" s="22" t="s">
        <v>18</v>
      </c>
      <c r="G1009" s="22" t="s">
        <v>15</v>
      </c>
    </row>
    <row r="1010" ht="15.15" spans="1:7">
      <c r="A1010" s="20">
        <v>1009</v>
      </c>
      <c r="B1010" s="20">
        <v>8884</v>
      </c>
      <c r="C1010" s="21">
        <v>45136</v>
      </c>
      <c r="D1010" s="20">
        <v>3894.01</v>
      </c>
      <c r="E1010" s="22" t="s">
        <v>10</v>
      </c>
      <c r="F1010" s="22" t="s">
        <v>16</v>
      </c>
      <c r="G1010" s="22" t="s">
        <v>17</v>
      </c>
    </row>
    <row r="1011" ht="15.15" spans="1:7">
      <c r="A1011" s="20">
        <v>1010</v>
      </c>
      <c r="B1011" s="20">
        <v>4028</v>
      </c>
      <c r="C1011" s="21">
        <v>45215</v>
      </c>
      <c r="D1011" s="20">
        <v>4126.52</v>
      </c>
      <c r="E1011" s="22" t="s">
        <v>10</v>
      </c>
      <c r="F1011" s="22" t="s">
        <v>14</v>
      </c>
      <c r="G1011" s="22" t="s">
        <v>15</v>
      </c>
    </row>
    <row r="1012" ht="15.15" spans="1:7">
      <c r="A1012" s="20">
        <v>1011</v>
      </c>
      <c r="B1012" s="20">
        <v>6682</v>
      </c>
      <c r="C1012" s="21">
        <v>45097</v>
      </c>
      <c r="D1012" s="20">
        <v>1801.53</v>
      </c>
      <c r="E1012" s="22" t="s">
        <v>10</v>
      </c>
      <c r="F1012" s="22" t="s">
        <v>13</v>
      </c>
      <c r="G1012" s="22" t="s">
        <v>17</v>
      </c>
    </row>
    <row r="1013" ht="15.15" spans="1:7">
      <c r="A1013" s="20">
        <v>1012</v>
      </c>
      <c r="B1013" s="20">
        <v>9077</v>
      </c>
      <c r="C1013" s="21">
        <v>45195</v>
      </c>
      <c r="D1013" s="20">
        <v>2273.81</v>
      </c>
      <c r="E1013" s="22" t="s">
        <v>10</v>
      </c>
      <c r="F1013" s="22" t="s">
        <v>16</v>
      </c>
      <c r="G1013" s="22" t="s">
        <v>15</v>
      </c>
    </row>
    <row r="1014" ht="15.15" spans="1:7">
      <c r="A1014" s="20">
        <v>1013</v>
      </c>
      <c r="B1014" s="20">
        <v>90</v>
      </c>
      <c r="C1014" s="21">
        <v>45278</v>
      </c>
      <c r="D1014" s="20">
        <v>1287.11</v>
      </c>
      <c r="E1014" s="22" t="s">
        <v>10</v>
      </c>
      <c r="F1014" s="22" t="s">
        <v>11</v>
      </c>
      <c r="G1014" s="22" t="s">
        <v>15</v>
      </c>
    </row>
    <row r="1015" ht="15.15" spans="1:7">
      <c r="A1015" s="20">
        <v>1014</v>
      </c>
      <c r="B1015" s="20">
        <v>690</v>
      </c>
      <c r="C1015" s="21">
        <v>44984</v>
      </c>
      <c r="D1015" s="20">
        <v>1071.23</v>
      </c>
      <c r="E1015" s="22" t="s">
        <v>10</v>
      </c>
      <c r="F1015" s="22" t="s">
        <v>16</v>
      </c>
      <c r="G1015" s="22" t="s">
        <v>20</v>
      </c>
    </row>
    <row r="1016" ht="15.15" spans="1:7">
      <c r="A1016" s="20">
        <v>1015</v>
      </c>
      <c r="B1016" s="20">
        <v>1945</v>
      </c>
      <c r="C1016" s="21">
        <v>45032</v>
      </c>
      <c r="D1016" s="20">
        <v>1695.09</v>
      </c>
      <c r="E1016" s="22" t="s">
        <v>10</v>
      </c>
      <c r="F1016" s="22" t="s">
        <v>16</v>
      </c>
      <c r="G1016" s="22" t="s">
        <v>15</v>
      </c>
    </row>
    <row r="1017" ht="15.15" spans="1:7">
      <c r="A1017" s="20">
        <v>1016</v>
      </c>
      <c r="B1017" s="20">
        <v>9300</v>
      </c>
      <c r="C1017" s="21">
        <v>45015</v>
      </c>
      <c r="D1017" s="20">
        <v>2362.51</v>
      </c>
      <c r="E1017" s="22" t="s">
        <v>10</v>
      </c>
      <c r="F1017" s="22" t="s">
        <v>11</v>
      </c>
      <c r="G1017" s="22" t="s">
        <v>15</v>
      </c>
    </row>
    <row r="1018" ht="15.15" spans="1:7">
      <c r="A1018" s="20">
        <v>1017</v>
      </c>
      <c r="B1018" s="20">
        <v>3917</v>
      </c>
      <c r="C1018" s="21">
        <v>45119</v>
      </c>
      <c r="D1018" s="20">
        <v>282.13</v>
      </c>
      <c r="E1018" s="22" t="s">
        <v>10</v>
      </c>
      <c r="F1018" s="22" t="s">
        <v>16</v>
      </c>
      <c r="G1018" s="22" t="s">
        <v>12</v>
      </c>
    </row>
    <row r="1019" ht="15.15" spans="1:7">
      <c r="A1019" s="20">
        <v>1018</v>
      </c>
      <c r="B1019" s="20">
        <v>8766</v>
      </c>
      <c r="C1019" s="21">
        <v>45040</v>
      </c>
      <c r="D1019" s="20">
        <v>1044.8</v>
      </c>
      <c r="E1019" s="22" t="s">
        <v>10</v>
      </c>
      <c r="F1019" s="22" t="s">
        <v>13</v>
      </c>
      <c r="G1019" s="22" t="s">
        <v>12</v>
      </c>
    </row>
    <row r="1020" ht="15.15" spans="1:7">
      <c r="A1020" s="20">
        <v>1019</v>
      </c>
      <c r="B1020" s="20">
        <v>6228</v>
      </c>
      <c r="C1020" s="21">
        <v>45034</v>
      </c>
      <c r="D1020" s="20">
        <v>884.92</v>
      </c>
      <c r="E1020" s="22" t="s">
        <v>10</v>
      </c>
      <c r="F1020" s="22" t="s">
        <v>13</v>
      </c>
      <c r="G1020" s="22" t="s">
        <v>17</v>
      </c>
    </row>
    <row r="1021" ht="15.15" spans="1:7">
      <c r="A1021" s="20">
        <v>1020</v>
      </c>
      <c r="B1021" s="20">
        <v>2518</v>
      </c>
      <c r="C1021" s="21">
        <v>44965</v>
      </c>
      <c r="D1021" s="20">
        <v>992.54</v>
      </c>
      <c r="E1021" s="22" t="s">
        <v>10</v>
      </c>
      <c r="F1021" s="22" t="s">
        <v>18</v>
      </c>
      <c r="G1021" s="22" t="s">
        <v>17</v>
      </c>
    </row>
    <row r="1022" ht="15.15" spans="1:7">
      <c r="A1022" s="20">
        <v>1021</v>
      </c>
      <c r="B1022" s="20">
        <v>9372</v>
      </c>
      <c r="C1022" s="21">
        <v>45069</v>
      </c>
      <c r="D1022" s="20">
        <v>2552.38</v>
      </c>
      <c r="E1022" s="22" t="s">
        <v>10</v>
      </c>
      <c r="F1022" s="22" t="s">
        <v>14</v>
      </c>
      <c r="G1022" s="22" t="s">
        <v>20</v>
      </c>
    </row>
    <row r="1023" ht="15.15" spans="1:7">
      <c r="A1023" s="20">
        <v>1022</v>
      </c>
      <c r="B1023" s="20">
        <v>4764</v>
      </c>
      <c r="C1023" s="21">
        <v>45225</v>
      </c>
      <c r="D1023" s="20">
        <v>884.91</v>
      </c>
      <c r="E1023" s="22" t="s">
        <v>10</v>
      </c>
      <c r="F1023" s="22" t="s">
        <v>13</v>
      </c>
      <c r="G1023" s="22" t="s">
        <v>17</v>
      </c>
    </row>
    <row r="1024" ht="15.15" spans="1:7">
      <c r="A1024" s="20">
        <v>1023</v>
      </c>
      <c r="B1024" s="20">
        <v>1328</v>
      </c>
      <c r="C1024" s="21">
        <v>45161</v>
      </c>
      <c r="D1024" s="20">
        <v>623.01</v>
      </c>
      <c r="E1024" s="22" t="s">
        <v>10</v>
      </c>
      <c r="F1024" s="22" t="s">
        <v>11</v>
      </c>
      <c r="G1024" s="22" t="s">
        <v>17</v>
      </c>
    </row>
    <row r="1025" ht="15.15" spans="1:7">
      <c r="A1025" s="20">
        <v>1024</v>
      </c>
      <c r="B1025" s="20">
        <v>7472</v>
      </c>
      <c r="C1025" s="21">
        <v>45039</v>
      </c>
      <c r="D1025" s="20">
        <v>1089.75</v>
      </c>
      <c r="E1025" s="22" t="s">
        <v>10</v>
      </c>
      <c r="F1025" s="22" t="s">
        <v>16</v>
      </c>
      <c r="G1025" s="22" t="s">
        <v>17</v>
      </c>
    </row>
    <row r="1026" ht="15.15" spans="1:7">
      <c r="A1026" s="20">
        <v>1025</v>
      </c>
      <c r="B1026" s="20">
        <v>690</v>
      </c>
      <c r="C1026" s="21">
        <v>45246</v>
      </c>
      <c r="D1026" s="20">
        <v>260.61</v>
      </c>
      <c r="E1026" s="22" t="s">
        <v>10</v>
      </c>
      <c r="F1026" s="22" t="s">
        <v>16</v>
      </c>
      <c r="G1026" s="22" t="s">
        <v>12</v>
      </c>
    </row>
    <row r="1027" ht="15.15" spans="1:7">
      <c r="A1027" s="20">
        <v>1026</v>
      </c>
      <c r="B1027" s="20">
        <v>3183</v>
      </c>
      <c r="C1027" s="21">
        <v>45254</v>
      </c>
      <c r="D1027" s="20">
        <v>1411.03</v>
      </c>
      <c r="E1027" s="22" t="s">
        <v>10</v>
      </c>
      <c r="F1027" s="22" t="s">
        <v>18</v>
      </c>
      <c r="G1027" s="22" t="s">
        <v>12</v>
      </c>
    </row>
    <row r="1028" ht="15.15" spans="1:7">
      <c r="A1028" s="20">
        <v>1027</v>
      </c>
      <c r="B1028" s="20">
        <v>5521</v>
      </c>
      <c r="C1028" s="21">
        <v>45203</v>
      </c>
      <c r="D1028" s="20">
        <v>313.21</v>
      </c>
      <c r="E1028" s="22" t="s">
        <v>10</v>
      </c>
      <c r="F1028" s="22" t="s">
        <v>18</v>
      </c>
      <c r="G1028" s="22" t="s">
        <v>12</v>
      </c>
    </row>
    <row r="1029" ht="15.15" spans="1:7">
      <c r="A1029" s="20">
        <v>1028</v>
      </c>
      <c r="B1029" s="20">
        <v>2150</v>
      </c>
      <c r="C1029" s="21">
        <v>45157</v>
      </c>
      <c r="D1029" s="20">
        <v>5129.03</v>
      </c>
      <c r="E1029" s="22" t="s">
        <v>10</v>
      </c>
      <c r="F1029" s="22" t="s">
        <v>18</v>
      </c>
      <c r="G1029" s="22" t="s">
        <v>15</v>
      </c>
    </row>
    <row r="1030" ht="15.15" spans="1:7">
      <c r="A1030" s="20">
        <v>1029</v>
      </c>
      <c r="B1030" s="20">
        <v>8239</v>
      </c>
      <c r="C1030" s="21">
        <v>45268</v>
      </c>
      <c r="D1030" s="20">
        <v>1832.33</v>
      </c>
      <c r="E1030" s="22" t="s">
        <v>10</v>
      </c>
      <c r="F1030" s="22" t="s">
        <v>18</v>
      </c>
      <c r="G1030" s="22" t="s">
        <v>17</v>
      </c>
    </row>
    <row r="1031" ht="15.15" spans="1:7">
      <c r="A1031" s="20">
        <v>1030</v>
      </c>
      <c r="B1031" s="20">
        <v>443</v>
      </c>
      <c r="C1031" s="21">
        <v>45268</v>
      </c>
      <c r="D1031" s="20">
        <v>1129.1</v>
      </c>
      <c r="E1031" s="22" t="s">
        <v>10</v>
      </c>
      <c r="F1031" s="22" t="s">
        <v>14</v>
      </c>
      <c r="G1031" s="22" t="s">
        <v>17</v>
      </c>
    </row>
    <row r="1032" ht="15.15" spans="1:7">
      <c r="A1032" s="20">
        <v>1031</v>
      </c>
      <c r="B1032" s="20">
        <v>9281</v>
      </c>
      <c r="C1032" s="21">
        <v>44968</v>
      </c>
      <c r="D1032" s="20">
        <v>697.18</v>
      </c>
      <c r="E1032" s="22" t="s">
        <v>10</v>
      </c>
      <c r="F1032" s="22" t="s">
        <v>19</v>
      </c>
      <c r="G1032" s="22" t="s">
        <v>15</v>
      </c>
    </row>
    <row r="1033" ht="15.15" spans="1:7">
      <c r="A1033" s="20">
        <v>1032</v>
      </c>
      <c r="B1033" s="20">
        <v>8745</v>
      </c>
      <c r="C1033" s="21">
        <v>45233</v>
      </c>
      <c r="D1033" s="20">
        <v>151.46</v>
      </c>
      <c r="E1033" s="22" t="s">
        <v>10</v>
      </c>
      <c r="F1033" s="22" t="s">
        <v>13</v>
      </c>
      <c r="G1033" s="22" t="s">
        <v>15</v>
      </c>
    </row>
    <row r="1034" ht="15.15" spans="1:7">
      <c r="A1034" s="20">
        <v>1033</v>
      </c>
      <c r="B1034" s="20">
        <v>7970</v>
      </c>
      <c r="C1034" s="21">
        <v>45090</v>
      </c>
      <c r="D1034" s="20">
        <v>164.76</v>
      </c>
      <c r="E1034" s="22" t="s">
        <v>10</v>
      </c>
      <c r="F1034" s="22" t="s">
        <v>18</v>
      </c>
      <c r="G1034" s="22" t="s">
        <v>20</v>
      </c>
    </row>
    <row r="1035" ht="15.15" spans="1:7">
      <c r="A1035" s="20">
        <v>1034</v>
      </c>
      <c r="B1035" s="20">
        <v>5273</v>
      </c>
      <c r="C1035" s="21">
        <v>45084</v>
      </c>
      <c r="D1035" s="20">
        <v>376.78</v>
      </c>
      <c r="E1035" s="22" t="s">
        <v>10</v>
      </c>
      <c r="F1035" s="22" t="s">
        <v>14</v>
      </c>
      <c r="G1035" s="22" t="s">
        <v>15</v>
      </c>
    </row>
    <row r="1036" ht="15.15" spans="1:7">
      <c r="A1036" s="20">
        <v>1035</v>
      </c>
      <c r="B1036" s="20">
        <v>2928</v>
      </c>
      <c r="C1036" s="21">
        <v>45263</v>
      </c>
      <c r="D1036" s="20">
        <v>986.13</v>
      </c>
      <c r="E1036" s="22" t="s">
        <v>10</v>
      </c>
      <c r="F1036" s="22" t="s">
        <v>18</v>
      </c>
      <c r="G1036" s="22" t="s">
        <v>17</v>
      </c>
    </row>
    <row r="1037" ht="15.15" spans="1:7">
      <c r="A1037" s="20">
        <v>1036</v>
      </c>
      <c r="B1037" s="20">
        <v>347</v>
      </c>
      <c r="C1037" s="21">
        <v>45107</v>
      </c>
      <c r="D1037" s="20">
        <v>399.61</v>
      </c>
      <c r="E1037" s="22" t="s">
        <v>10</v>
      </c>
      <c r="F1037" s="22" t="s">
        <v>16</v>
      </c>
      <c r="G1037" s="22" t="s">
        <v>15</v>
      </c>
    </row>
    <row r="1038" ht="15.15" spans="1:7">
      <c r="A1038" s="20">
        <v>1037</v>
      </c>
      <c r="B1038" s="20">
        <v>5958</v>
      </c>
      <c r="C1038" s="21">
        <v>45286</v>
      </c>
      <c r="D1038" s="20">
        <v>235.44</v>
      </c>
      <c r="E1038" s="22" t="s">
        <v>10</v>
      </c>
      <c r="F1038" s="22" t="s">
        <v>18</v>
      </c>
      <c r="G1038" s="22" t="s">
        <v>12</v>
      </c>
    </row>
    <row r="1039" ht="15.15" spans="1:7">
      <c r="A1039" s="20">
        <v>1038</v>
      </c>
      <c r="B1039" s="20">
        <v>5825</v>
      </c>
      <c r="C1039" s="21">
        <v>45109</v>
      </c>
      <c r="D1039" s="20">
        <v>1680.91</v>
      </c>
      <c r="E1039" s="22" t="s">
        <v>10</v>
      </c>
      <c r="F1039" s="22" t="s">
        <v>14</v>
      </c>
      <c r="G1039" s="22" t="s">
        <v>17</v>
      </c>
    </row>
    <row r="1040" ht="15.15" spans="1:7">
      <c r="A1040" s="20">
        <v>1039</v>
      </c>
      <c r="B1040" s="20">
        <v>3078</v>
      </c>
      <c r="C1040" s="21">
        <v>44950</v>
      </c>
      <c r="D1040" s="20">
        <v>3460.7</v>
      </c>
      <c r="E1040" s="22" t="s">
        <v>10</v>
      </c>
      <c r="F1040" s="22" t="s">
        <v>18</v>
      </c>
      <c r="G1040" s="22" t="s">
        <v>17</v>
      </c>
    </row>
    <row r="1041" ht="15.15" spans="1:7">
      <c r="A1041" s="20">
        <v>1040</v>
      </c>
      <c r="B1041" s="20">
        <v>5961</v>
      </c>
      <c r="C1041" s="21">
        <v>45215</v>
      </c>
      <c r="D1041" s="20">
        <v>441.28</v>
      </c>
      <c r="E1041" s="22" t="s">
        <v>10</v>
      </c>
      <c r="F1041" s="22" t="s">
        <v>11</v>
      </c>
      <c r="G1041" s="22" t="s">
        <v>20</v>
      </c>
    </row>
    <row r="1042" ht="15.15" spans="1:7">
      <c r="A1042" s="20">
        <v>1041</v>
      </c>
      <c r="B1042" s="20">
        <v>8521</v>
      </c>
      <c r="C1042" s="21">
        <v>45146</v>
      </c>
      <c r="D1042" s="20">
        <v>1212.08</v>
      </c>
      <c r="E1042" s="22" t="s">
        <v>10</v>
      </c>
      <c r="F1042" s="22" t="s">
        <v>16</v>
      </c>
      <c r="G1042" s="22" t="s">
        <v>12</v>
      </c>
    </row>
    <row r="1043" ht="15.15" spans="1:7">
      <c r="A1043" s="20">
        <v>1042</v>
      </c>
      <c r="B1043" s="20">
        <v>2679</v>
      </c>
      <c r="C1043" s="21">
        <v>45158</v>
      </c>
      <c r="D1043" s="20">
        <v>618.93</v>
      </c>
      <c r="E1043" s="22" t="s">
        <v>10</v>
      </c>
      <c r="F1043" s="22" t="s">
        <v>13</v>
      </c>
      <c r="G1043" s="22" t="s">
        <v>17</v>
      </c>
    </row>
    <row r="1044" ht="15.15" spans="1:7">
      <c r="A1044" s="20">
        <v>1043</v>
      </c>
      <c r="B1044" s="20">
        <v>157</v>
      </c>
      <c r="C1044" s="21">
        <v>45127</v>
      </c>
      <c r="D1044" s="20">
        <v>589.05</v>
      </c>
      <c r="E1044" s="22" t="s">
        <v>10</v>
      </c>
      <c r="F1044" s="22" t="s">
        <v>18</v>
      </c>
      <c r="G1044" s="22" t="s">
        <v>20</v>
      </c>
    </row>
    <row r="1045" ht="15.15" spans="1:7">
      <c r="A1045" s="20">
        <v>1044</v>
      </c>
      <c r="B1045" s="20">
        <v>7102</v>
      </c>
      <c r="C1045" s="21">
        <v>44970</v>
      </c>
      <c r="D1045" s="20">
        <v>445.88</v>
      </c>
      <c r="E1045" s="22" t="s">
        <v>10</v>
      </c>
      <c r="F1045" s="22" t="s">
        <v>16</v>
      </c>
      <c r="G1045" s="22" t="s">
        <v>15</v>
      </c>
    </row>
    <row r="1046" ht="15.15" spans="1:7">
      <c r="A1046" s="20">
        <v>1045</v>
      </c>
      <c r="B1046" s="20">
        <v>9819</v>
      </c>
      <c r="C1046" s="21">
        <v>44956</v>
      </c>
      <c r="D1046" s="20">
        <v>1968.52</v>
      </c>
      <c r="E1046" s="22" t="s">
        <v>10</v>
      </c>
      <c r="F1046" s="22" t="s">
        <v>13</v>
      </c>
      <c r="G1046" s="22" t="s">
        <v>15</v>
      </c>
    </row>
    <row r="1047" ht="15.15" spans="1:7">
      <c r="A1047" s="20">
        <v>1046</v>
      </c>
      <c r="B1047" s="20">
        <v>8709</v>
      </c>
      <c r="C1047" s="21">
        <v>45014</v>
      </c>
      <c r="D1047" s="20">
        <v>585.38</v>
      </c>
      <c r="E1047" s="22" t="s">
        <v>10</v>
      </c>
      <c r="F1047" s="22" t="s">
        <v>14</v>
      </c>
      <c r="G1047" s="22" t="s">
        <v>12</v>
      </c>
    </row>
    <row r="1048" ht="15.15" spans="1:7">
      <c r="A1048" s="20">
        <v>1047</v>
      </c>
      <c r="B1048" s="20">
        <v>5825</v>
      </c>
      <c r="C1048" s="21">
        <v>44998</v>
      </c>
      <c r="D1048" s="20">
        <v>182.67</v>
      </c>
      <c r="E1048" s="22" t="s">
        <v>22</v>
      </c>
      <c r="F1048" s="22" t="s">
        <v>14</v>
      </c>
      <c r="G1048" s="22" t="s">
        <v>15</v>
      </c>
    </row>
    <row r="1049" ht="15.15" spans="1:7">
      <c r="A1049" s="20">
        <v>1048</v>
      </c>
      <c r="B1049" s="20">
        <v>5846</v>
      </c>
      <c r="C1049" s="21">
        <v>45219</v>
      </c>
      <c r="D1049" s="20">
        <v>1033.01</v>
      </c>
      <c r="E1049" s="22" t="s">
        <v>10</v>
      </c>
      <c r="F1049" s="22" t="s">
        <v>11</v>
      </c>
      <c r="G1049" s="22" t="s">
        <v>20</v>
      </c>
    </row>
    <row r="1050" ht="15.15" spans="1:7">
      <c r="A1050" s="20">
        <v>1049</v>
      </c>
      <c r="B1050" s="20">
        <v>1313</v>
      </c>
      <c r="C1050" s="21">
        <v>45225</v>
      </c>
      <c r="D1050" s="20">
        <v>776.21</v>
      </c>
      <c r="E1050" s="22" t="s">
        <v>10</v>
      </c>
      <c r="F1050" s="22" t="s">
        <v>11</v>
      </c>
      <c r="G1050" s="22" t="s">
        <v>12</v>
      </c>
    </row>
    <row r="1051" ht="15.15" spans="1:7">
      <c r="A1051" s="20">
        <v>1050</v>
      </c>
      <c r="B1051" s="20">
        <v>9132</v>
      </c>
      <c r="C1051" s="21">
        <v>45221</v>
      </c>
      <c r="D1051" s="20">
        <v>1094.24</v>
      </c>
      <c r="E1051" s="22" t="s">
        <v>10</v>
      </c>
      <c r="F1051" s="22" t="s">
        <v>18</v>
      </c>
      <c r="G1051" s="22" t="s">
        <v>12</v>
      </c>
    </row>
    <row r="1052" ht="15.15" spans="1:7">
      <c r="A1052" s="20">
        <v>1051</v>
      </c>
      <c r="B1052" s="20">
        <v>1489</v>
      </c>
      <c r="C1052" s="21">
        <v>44989</v>
      </c>
      <c r="D1052" s="20">
        <v>719.08</v>
      </c>
      <c r="E1052" s="22" t="s">
        <v>10</v>
      </c>
      <c r="F1052" s="22" t="s">
        <v>13</v>
      </c>
      <c r="G1052" s="22" t="s">
        <v>17</v>
      </c>
    </row>
    <row r="1053" ht="15.15" spans="1:7">
      <c r="A1053" s="20">
        <v>1052</v>
      </c>
      <c r="B1053" s="20">
        <v>1078</v>
      </c>
      <c r="C1053" s="21">
        <v>45025</v>
      </c>
      <c r="D1053" s="20">
        <v>200.91</v>
      </c>
      <c r="E1053" s="22" t="s">
        <v>10</v>
      </c>
      <c r="F1053" s="22" t="s">
        <v>11</v>
      </c>
      <c r="G1053" s="22" t="s">
        <v>12</v>
      </c>
    </row>
    <row r="1054" ht="15.15" spans="1:7">
      <c r="A1054" s="20">
        <v>1053</v>
      </c>
      <c r="B1054" s="20">
        <v>3</v>
      </c>
      <c r="C1054" s="21">
        <v>45243</v>
      </c>
      <c r="D1054" s="20">
        <v>6298.1</v>
      </c>
      <c r="E1054" s="22" t="s">
        <v>10</v>
      </c>
      <c r="F1054" s="22" t="s">
        <v>11</v>
      </c>
      <c r="G1054" s="22" t="s">
        <v>17</v>
      </c>
    </row>
    <row r="1055" ht="15.15" spans="1:7">
      <c r="A1055" s="20">
        <v>1054</v>
      </c>
      <c r="B1055" s="20">
        <v>5684</v>
      </c>
      <c r="C1055" s="21">
        <v>44970</v>
      </c>
      <c r="D1055" s="20">
        <v>1705.09</v>
      </c>
      <c r="E1055" s="22" t="s">
        <v>10</v>
      </c>
      <c r="F1055" s="22" t="s">
        <v>14</v>
      </c>
      <c r="G1055" s="22" t="s">
        <v>17</v>
      </c>
    </row>
    <row r="1056" ht="15.15" spans="1:7">
      <c r="A1056" s="20">
        <v>1055</v>
      </c>
      <c r="B1056" s="20">
        <v>8331</v>
      </c>
      <c r="C1056" s="21">
        <v>45226</v>
      </c>
      <c r="D1056" s="20">
        <v>2520.79</v>
      </c>
      <c r="E1056" s="22" t="s">
        <v>10</v>
      </c>
      <c r="F1056" s="22" t="s">
        <v>18</v>
      </c>
      <c r="G1056" s="22" t="s">
        <v>12</v>
      </c>
    </row>
    <row r="1057" ht="15.15" spans="1:7">
      <c r="A1057" s="20">
        <v>1056</v>
      </c>
      <c r="B1057" s="20">
        <v>398</v>
      </c>
      <c r="C1057" s="21">
        <v>45176</v>
      </c>
      <c r="D1057" s="20">
        <v>2065.25</v>
      </c>
      <c r="E1057" s="22" t="s">
        <v>10</v>
      </c>
      <c r="F1057" s="22" t="s">
        <v>13</v>
      </c>
      <c r="G1057" s="22" t="s">
        <v>20</v>
      </c>
    </row>
    <row r="1058" ht="15.15" spans="1:7">
      <c r="A1058" s="20">
        <v>1057</v>
      </c>
      <c r="B1058" s="20">
        <v>8483</v>
      </c>
      <c r="C1058" s="21">
        <v>45033</v>
      </c>
      <c r="D1058" s="20">
        <v>5316.1</v>
      </c>
      <c r="E1058" s="22" t="s">
        <v>10</v>
      </c>
      <c r="F1058" s="22" t="s">
        <v>18</v>
      </c>
      <c r="G1058" s="22" t="s">
        <v>15</v>
      </c>
    </row>
    <row r="1059" ht="15.15" spans="1:7">
      <c r="A1059" s="20">
        <v>1058</v>
      </c>
      <c r="B1059" s="20">
        <v>5633</v>
      </c>
      <c r="C1059" s="21">
        <v>45264</v>
      </c>
      <c r="D1059" s="20">
        <v>2148.49</v>
      </c>
      <c r="E1059" s="22" t="s">
        <v>10</v>
      </c>
      <c r="F1059" s="22" t="s">
        <v>16</v>
      </c>
      <c r="G1059" s="22" t="s">
        <v>15</v>
      </c>
    </row>
    <row r="1060" ht="15.15" spans="1:7">
      <c r="A1060" s="20">
        <v>1059</v>
      </c>
      <c r="B1060" s="20">
        <v>127</v>
      </c>
      <c r="C1060" s="21">
        <v>45002</v>
      </c>
      <c r="D1060" s="20">
        <v>491.81</v>
      </c>
      <c r="E1060" s="22" t="s">
        <v>10</v>
      </c>
      <c r="F1060" s="22" t="s">
        <v>14</v>
      </c>
      <c r="G1060" s="22" t="s">
        <v>15</v>
      </c>
    </row>
    <row r="1061" ht="15.15" spans="1:7">
      <c r="A1061" s="20">
        <v>1060</v>
      </c>
      <c r="B1061" s="20">
        <v>9729</v>
      </c>
      <c r="C1061" s="21">
        <v>45107</v>
      </c>
      <c r="D1061" s="20">
        <v>2393.45</v>
      </c>
      <c r="E1061" s="22" t="s">
        <v>10</v>
      </c>
      <c r="F1061" s="22" t="s">
        <v>18</v>
      </c>
      <c r="G1061" s="22" t="s">
        <v>12</v>
      </c>
    </row>
    <row r="1062" ht="15.15" spans="1:7">
      <c r="A1062" s="20">
        <v>1061</v>
      </c>
      <c r="B1062" s="20">
        <v>1974</v>
      </c>
      <c r="C1062" s="21">
        <v>45215</v>
      </c>
      <c r="D1062" s="20">
        <v>771.46</v>
      </c>
      <c r="E1062" s="22" t="s">
        <v>10</v>
      </c>
      <c r="F1062" s="22" t="s">
        <v>13</v>
      </c>
      <c r="G1062" s="22" t="s">
        <v>17</v>
      </c>
    </row>
    <row r="1063" ht="15.15" spans="1:7">
      <c r="A1063" s="20">
        <v>1062</v>
      </c>
      <c r="B1063" s="20">
        <v>5724</v>
      </c>
      <c r="C1063" s="21">
        <v>45136</v>
      </c>
      <c r="D1063" s="20">
        <v>1826.95</v>
      </c>
      <c r="E1063" s="22" t="s">
        <v>10</v>
      </c>
      <c r="F1063" s="22" t="s">
        <v>13</v>
      </c>
      <c r="G1063" s="22" t="s">
        <v>12</v>
      </c>
    </row>
    <row r="1064" ht="15.15" spans="1:7">
      <c r="A1064" s="20">
        <v>1063</v>
      </c>
      <c r="B1064" s="20">
        <v>8036</v>
      </c>
      <c r="C1064" s="21">
        <v>45107</v>
      </c>
      <c r="D1064" s="20">
        <v>1128.91</v>
      </c>
      <c r="E1064" s="22" t="s">
        <v>10</v>
      </c>
      <c r="F1064" s="22" t="s">
        <v>18</v>
      </c>
      <c r="G1064" s="22" t="s">
        <v>12</v>
      </c>
    </row>
    <row r="1065" ht="15.15" spans="1:7">
      <c r="A1065" s="20">
        <v>1064</v>
      </c>
      <c r="B1065" s="20">
        <v>6002</v>
      </c>
      <c r="C1065" s="21">
        <v>44978</v>
      </c>
      <c r="D1065" s="20">
        <v>187.47</v>
      </c>
      <c r="E1065" s="22" t="s">
        <v>10</v>
      </c>
      <c r="F1065" s="22" t="s">
        <v>14</v>
      </c>
      <c r="G1065" s="22" t="s">
        <v>12</v>
      </c>
    </row>
    <row r="1066" ht="15.15" spans="1:7">
      <c r="A1066" s="20">
        <v>1065</v>
      </c>
      <c r="B1066" s="20">
        <v>8897</v>
      </c>
      <c r="C1066" s="21">
        <v>45138</v>
      </c>
      <c r="D1066" s="20">
        <v>455.19</v>
      </c>
      <c r="E1066" s="22" t="s">
        <v>10</v>
      </c>
      <c r="F1066" s="22" t="s">
        <v>13</v>
      </c>
      <c r="G1066" s="22" t="s">
        <v>12</v>
      </c>
    </row>
    <row r="1067" ht="15.15" spans="1:7">
      <c r="A1067" s="20">
        <v>1066</v>
      </c>
      <c r="B1067" s="20">
        <v>4979</v>
      </c>
      <c r="C1067" s="21">
        <v>44984</v>
      </c>
      <c r="D1067" s="20">
        <v>1433.78</v>
      </c>
      <c r="E1067" s="22" t="s">
        <v>10</v>
      </c>
      <c r="F1067" s="22" t="s">
        <v>13</v>
      </c>
      <c r="G1067" s="22" t="s">
        <v>15</v>
      </c>
    </row>
    <row r="1068" ht="15.15" spans="1:7">
      <c r="A1068" s="20">
        <v>1067</v>
      </c>
      <c r="B1068" s="20">
        <v>2934</v>
      </c>
      <c r="C1068" s="21">
        <v>44976</v>
      </c>
      <c r="D1068" s="20">
        <v>2712.45</v>
      </c>
      <c r="E1068" s="22" t="s">
        <v>10</v>
      </c>
      <c r="F1068" s="22" t="s">
        <v>16</v>
      </c>
      <c r="G1068" s="22" t="s">
        <v>15</v>
      </c>
    </row>
    <row r="1069" ht="15.15" spans="1:7">
      <c r="A1069" s="20">
        <v>1068</v>
      </c>
      <c r="B1069" s="20">
        <v>5163</v>
      </c>
      <c r="C1069" s="21">
        <v>45272</v>
      </c>
      <c r="D1069" s="20">
        <v>664.52</v>
      </c>
      <c r="E1069" s="22" t="s">
        <v>10</v>
      </c>
      <c r="F1069" s="22" t="s">
        <v>11</v>
      </c>
      <c r="G1069" s="22" t="s">
        <v>17</v>
      </c>
    </row>
    <row r="1070" ht="15.15" spans="1:7">
      <c r="A1070" s="20">
        <v>1069</v>
      </c>
      <c r="B1070" s="20">
        <v>7933</v>
      </c>
      <c r="C1070" s="21">
        <v>45032</v>
      </c>
      <c r="D1070" s="20">
        <v>1539.81</v>
      </c>
      <c r="E1070" s="22" t="s">
        <v>10</v>
      </c>
      <c r="F1070" s="22" t="s">
        <v>14</v>
      </c>
      <c r="G1070" s="22" t="s">
        <v>17</v>
      </c>
    </row>
    <row r="1071" ht="15.15" spans="1:7">
      <c r="A1071" s="20">
        <v>1070</v>
      </c>
      <c r="B1071" s="20">
        <v>5133</v>
      </c>
      <c r="C1071" s="21">
        <v>45118</v>
      </c>
      <c r="D1071" s="20">
        <v>619.65</v>
      </c>
      <c r="E1071" s="22" t="s">
        <v>10</v>
      </c>
      <c r="F1071" s="22" t="s">
        <v>13</v>
      </c>
      <c r="G1071" s="22" t="s">
        <v>17</v>
      </c>
    </row>
    <row r="1072" ht="15.15" spans="1:7">
      <c r="A1072" s="20">
        <v>1071</v>
      </c>
      <c r="B1072" s="20">
        <v>98</v>
      </c>
      <c r="C1072" s="21">
        <v>45236</v>
      </c>
      <c r="D1072" s="20">
        <v>469.76</v>
      </c>
      <c r="E1072" s="22" t="s">
        <v>10</v>
      </c>
      <c r="F1072" s="22" t="s">
        <v>11</v>
      </c>
      <c r="G1072" s="22" t="s">
        <v>12</v>
      </c>
    </row>
    <row r="1073" ht="15.15" spans="1:7">
      <c r="A1073" s="20">
        <v>1072</v>
      </c>
      <c r="B1073" s="20">
        <v>6910</v>
      </c>
      <c r="C1073" s="21">
        <v>44975</v>
      </c>
      <c r="D1073" s="20">
        <v>744.14</v>
      </c>
      <c r="E1073" s="22" t="s">
        <v>10</v>
      </c>
      <c r="F1073" s="22" t="s">
        <v>18</v>
      </c>
      <c r="G1073" s="22" t="s">
        <v>12</v>
      </c>
    </row>
    <row r="1074" ht="15.15" spans="1:7">
      <c r="A1074" s="20">
        <v>1073</v>
      </c>
      <c r="B1074" s="20">
        <v>4345</v>
      </c>
      <c r="C1074" s="21">
        <v>44986</v>
      </c>
      <c r="D1074" s="20">
        <v>486.75</v>
      </c>
      <c r="E1074" s="22" t="s">
        <v>10</v>
      </c>
      <c r="F1074" s="22" t="s">
        <v>11</v>
      </c>
      <c r="G1074" s="22" t="s">
        <v>17</v>
      </c>
    </row>
    <row r="1075" ht="15.15" spans="1:7">
      <c r="A1075" s="20">
        <v>1074</v>
      </c>
      <c r="B1075" s="20">
        <v>3034</v>
      </c>
      <c r="C1075" s="21">
        <v>44996</v>
      </c>
      <c r="D1075" s="20">
        <v>442.69</v>
      </c>
      <c r="E1075" s="22" t="s">
        <v>10</v>
      </c>
      <c r="F1075" s="22" t="s">
        <v>16</v>
      </c>
      <c r="G1075" s="22" t="s">
        <v>20</v>
      </c>
    </row>
    <row r="1076" ht="15.15" spans="1:7">
      <c r="A1076" s="20">
        <v>1075</v>
      </c>
      <c r="B1076" s="20">
        <v>283</v>
      </c>
      <c r="C1076" s="21">
        <v>45233</v>
      </c>
      <c r="D1076" s="20">
        <v>2487.64</v>
      </c>
      <c r="E1076" s="22" t="s">
        <v>10</v>
      </c>
      <c r="F1076" s="22" t="s">
        <v>13</v>
      </c>
      <c r="G1076" s="22" t="s">
        <v>15</v>
      </c>
    </row>
    <row r="1077" ht="15.15" spans="1:7">
      <c r="A1077" s="20">
        <v>1076</v>
      </c>
      <c r="B1077" s="20">
        <v>108</v>
      </c>
      <c r="C1077" s="21">
        <v>45212</v>
      </c>
      <c r="D1077" s="20">
        <v>30.63</v>
      </c>
      <c r="E1077" s="22" t="s">
        <v>10</v>
      </c>
      <c r="F1077" s="22" t="s">
        <v>16</v>
      </c>
      <c r="G1077" s="22" t="s">
        <v>12</v>
      </c>
    </row>
    <row r="1078" ht="15.15" spans="1:7">
      <c r="A1078" s="20">
        <v>1077</v>
      </c>
      <c r="B1078" s="20">
        <v>4716</v>
      </c>
      <c r="C1078" s="21">
        <v>45270</v>
      </c>
      <c r="D1078" s="20">
        <v>1417.1</v>
      </c>
      <c r="E1078" s="22" t="s">
        <v>10</v>
      </c>
      <c r="F1078" s="22" t="s">
        <v>16</v>
      </c>
      <c r="G1078" s="22" t="s">
        <v>20</v>
      </c>
    </row>
    <row r="1079" ht="15.15" spans="1:7">
      <c r="A1079" s="20">
        <v>1078</v>
      </c>
      <c r="B1079" s="20">
        <v>7781</v>
      </c>
      <c r="C1079" s="21">
        <v>45252</v>
      </c>
      <c r="D1079" s="20">
        <v>105.06</v>
      </c>
      <c r="E1079" s="22" t="s">
        <v>22</v>
      </c>
      <c r="F1079" s="22" t="s">
        <v>16</v>
      </c>
      <c r="G1079" s="22" t="s">
        <v>15</v>
      </c>
    </row>
    <row r="1080" ht="15.15" spans="1:7">
      <c r="A1080" s="20">
        <v>1079</v>
      </c>
      <c r="B1080" s="20">
        <v>1714</v>
      </c>
      <c r="C1080" s="21">
        <v>45273</v>
      </c>
      <c r="D1080" s="20">
        <v>968.43</v>
      </c>
      <c r="E1080" s="22" t="s">
        <v>21</v>
      </c>
      <c r="F1080" s="22" t="s">
        <v>18</v>
      </c>
      <c r="G1080" s="22" t="s">
        <v>12</v>
      </c>
    </row>
    <row r="1081" ht="15.15" spans="1:7">
      <c r="A1081" s="20">
        <v>1080</v>
      </c>
      <c r="B1081" s="20">
        <v>5873</v>
      </c>
      <c r="C1081" s="21">
        <v>45268</v>
      </c>
      <c r="D1081" s="20">
        <v>2993.91</v>
      </c>
      <c r="E1081" s="22" t="s">
        <v>10</v>
      </c>
      <c r="F1081" s="22" t="s">
        <v>13</v>
      </c>
      <c r="G1081" s="22" t="s">
        <v>15</v>
      </c>
    </row>
    <row r="1082" ht="15.15" spans="1:7">
      <c r="A1082" s="20">
        <v>1081</v>
      </c>
      <c r="B1082" s="20">
        <v>3960</v>
      </c>
      <c r="C1082" s="21">
        <v>45277</v>
      </c>
      <c r="D1082" s="20">
        <v>1227.5</v>
      </c>
      <c r="E1082" s="22" t="s">
        <v>10</v>
      </c>
      <c r="F1082" s="22" t="s">
        <v>11</v>
      </c>
      <c r="G1082" s="22" t="s">
        <v>17</v>
      </c>
    </row>
    <row r="1083" ht="15.15" spans="1:7">
      <c r="A1083" s="20">
        <v>1082</v>
      </c>
      <c r="B1083" s="20">
        <v>7767</v>
      </c>
      <c r="C1083" s="21">
        <v>44955</v>
      </c>
      <c r="D1083" s="20">
        <v>686.4</v>
      </c>
      <c r="E1083" s="22" t="s">
        <v>10</v>
      </c>
      <c r="F1083" s="22" t="s">
        <v>16</v>
      </c>
      <c r="G1083" s="22" t="s">
        <v>17</v>
      </c>
    </row>
    <row r="1084" ht="15.15" spans="1:7">
      <c r="A1084" s="20">
        <v>1083</v>
      </c>
      <c r="B1084" s="20">
        <v>2576</v>
      </c>
      <c r="C1084" s="21">
        <v>45195</v>
      </c>
      <c r="D1084" s="20">
        <v>5332.51</v>
      </c>
      <c r="E1084" s="22" t="s">
        <v>10</v>
      </c>
      <c r="F1084" s="22" t="s">
        <v>11</v>
      </c>
      <c r="G1084" s="22" t="s">
        <v>12</v>
      </c>
    </row>
    <row r="1085" ht="15.15" spans="1:7">
      <c r="A1085" s="20">
        <v>1084</v>
      </c>
      <c r="B1085" s="20">
        <v>8243</v>
      </c>
      <c r="C1085" s="21">
        <v>45066</v>
      </c>
      <c r="D1085" s="20">
        <v>2889.79</v>
      </c>
      <c r="E1085" s="22" t="s">
        <v>10</v>
      </c>
      <c r="F1085" s="22" t="s">
        <v>13</v>
      </c>
      <c r="G1085" s="22" t="s">
        <v>12</v>
      </c>
    </row>
    <row r="1086" ht="15.15" spans="1:7">
      <c r="A1086" s="20">
        <v>1085</v>
      </c>
      <c r="B1086" s="20">
        <v>1304</v>
      </c>
      <c r="C1086" s="21">
        <v>45042</v>
      </c>
      <c r="D1086" s="20">
        <v>1127.69</v>
      </c>
      <c r="E1086" s="22" t="s">
        <v>10</v>
      </c>
      <c r="F1086" s="22" t="s">
        <v>11</v>
      </c>
      <c r="G1086" s="22" t="s">
        <v>12</v>
      </c>
    </row>
    <row r="1087" ht="15.15" spans="1:7">
      <c r="A1087" s="20">
        <v>1086</v>
      </c>
      <c r="B1087" s="20">
        <v>7748</v>
      </c>
      <c r="C1087" s="21">
        <v>45072</v>
      </c>
      <c r="D1087" s="20">
        <v>1936.62</v>
      </c>
      <c r="E1087" s="22" t="s">
        <v>10</v>
      </c>
      <c r="F1087" s="22" t="s">
        <v>16</v>
      </c>
      <c r="G1087" s="22" t="s">
        <v>20</v>
      </c>
    </row>
    <row r="1088" ht="15.15" spans="1:7">
      <c r="A1088" s="20">
        <v>1087</v>
      </c>
      <c r="B1088" s="20">
        <v>87</v>
      </c>
      <c r="C1088" s="21">
        <v>45001</v>
      </c>
      <c r="D1088" s="20">
        <v>1416.9</v>
      </c>
      <c r="E1088" s="22" t="s">
        <v>10</v>
      </c>
      <c r="F1088" s="22" t="s">
        <v>13</v>
      </c>
      <c r="G1088" s="22" t="s">
        <v>20</v>
      </c>
    </row>
    <row r="1089" ht="15.15" spans="1:7">
      <c r="A1089" s="20">
        <v>1088</v>
      </c>
      <c r="B1089" s="20">
        <v>9328</v>
      </c>
      <c r="C1089" s="21">
        <v>45175</v>
      </c>
      <c r="D1089" s="20">
        <v>157.92</v>
      </c>
      <c r="E1089" s="22" t="s">
        <v>10</v>
      </c>
      <c r="F1089" s="22" t="s">
        <v>16</v>
      </c>
      <c r="G1089" s="22" t="s">
        <v>17</v>
      </c>
    </row>
    <row r="1090" ht="15.15" spans="1:7">
      <c r="A1090" s="20">
        <v>1089</v>
      </c>
      <c r="B1090" s="20">
        <v>8654</v>
      </c>
      <c r="C1090" s="21">
        <v>44977</v>
      </c>
      <c r="D1090" s="20">
        <v>667.02</v>
      </c>
      <c r="E1090" s="22" t="s">
        <v>10</v>
      </c>
      <c r="F1090" s="22" t="s">
        <v>13</v>
      </c>
      <c r="G1090" s="22" t="s">
        <v>12</v>
      </c>
    </row>
    <row r="1091" ht="15.15" spans="1:7">
      <c r="A1091" s="20">
        <v>1090</v>
      </c>
      <c r="B1091" s="20">
        <v>9110</v>
      </c>
      <c r="C1091" s="21">
        <v>45263</v>
      </c>
      <c r="D1091" s="20">
        <v>1995.72</v>
      </c>
      <c r="E1091" s="22" t="s">
        <v>10</v>
      </c>
      <c r="F1091" s="22" t="s">
        <v>14</v>
      </c>
      <c r="G1091" s="22" t="s">
        <v>17</v>
      </c>
    </row>
    <row r="1092" ht="15.15" spans="1:7">
      <c r="A1092" s="20">
        <v>1091</v>
      </c>
      <c r="B1092" s="20">
        <v>6549</v>
      </c>
      <c r="C1092" s="21">
        <v>45199</v>
      </c>
      <c r="D1092" s="20">
        <v>921.67</v>
      </c>
      <c r="E1092" s="22" t="s">
        <v>10</v>
      </c>
      <c r="F1092" s="22" t="s">
        <v>18</v>
      </c>
      <c r="G1092" s="22" t="s">
        <v>20</v>
      </c>
    </row>
    <row r="1093" ht="15.15" spans="1:7">
      <c r="A1093" s="20">
        <v>1092</v>
      </c>
      <c r="B1093" s="20">
        <v>1225</v>
      </c>
      <c r="C1093" s="21">
        <v>45235</v>
      </c>
      <c r="D1093" s="20">
        <v>3527.25</v>
      </c>
      <c r="E1093" s="22" t="s">
        <v>10</v>
      </c>
      <c r="F1093" s="22" t="s">
        <v>16</v>
      </c>
      <c r="G1093" s="22" t="s">
        <v>17</v>
      </c>
    </row>
    <row r="1094" ht="15.15" spans="1:7">
      <c r="A1094" s="20">
        <v>1093</v>
      </c>
      <c r="B1094" s="20">
        <v>3236</v>
      </c>
      <c r="C1094" s="21">
        <v>45185</v>
      </c>
      <c r="D1094" s="20">
        <v>444.39</v>
      </c>
      <c r="E1094" s="22" t="s">
        <v>10</v>
      </c>
      <c r="F1094" s="22" t="s">
        <v>18</v>
      </c>
      <c r="G1094" s="22" t="s">
        <v>12</v>
      </c>
    </row>
    <row r="1095" ht="15.15" spans="1:7">
      <c r="A1095" s="20">
        <v>1094</v>
      </c>
      <c r="B1095" s="20">
        <v>982</v>
      </c>
      <c r="C1095" s="21">
        <v>45202</v>
      </c>
      <c r="D1095" s="20">
        <v>872.25</v>
      </c>
      <c r="E1095" s="22" t="s">
        <v>10</v>
      </c>
      <c r="F1095" s="22" t="s">
        <v>14</v>
      </c>
      <c r="G1095" s="22" t="s">
        <v>15</v>
      </c>
    </row>
    <row r="1096" ht="15.15" spans="1:7">
      <c r="A1096" s="20">
        <v>1095</v>
      </c>
      <c r="B1096" s="20">
        <v>1630</v>
      </c>
      <c r="C1096" s="21">
        <v>45055</v>
      </c>
      <c r="D1096" s="20">
        <v>422.6</v>
      </c>
      <c r="E1096" s="22" t="s">
        <v>10</v>
      </c>
      <c r="F1096" s="22" t="s">
        <v>16</v>
      </c>
      <c r="G1096" s="22" t="s">
        <v>17</v>
      </c>
    </row>
    <row r="1097" ht="15.15" spans="1:7">
      <c r="A1097" s="20">
        <v>1096</v>
      </c>
      <c r="B1097" s="20">
        <v>2115</v>
      </c>
      <c r="C1097" s="21">
        <v>45231</v>
      </c>
      <c r="D1097" s="20">
        <v>4488.46</v>
      </c>
      <c r="E1097" s="22" t="s">
        <v>10</v>
      </c>
      <c r="F1097" s="22" t="s">
        <v>14</v>
      </c>
      <c r="G1097" s="22" t="s">
        <v>17</v>
      </c>
    </row>
    <row r="1098" ht="15.15" spans="1:7">
      <c r="A1098" s="20">
        <v>1097</v>
      </c>
      <c r="B1098" s="20">
        <v>1308</v>
      </c>
      <c r="C1098" s="21">
        <v>45258</v>
      </c>
      <c r="D1098" s="20">
        <v>290.79</v>
      </c>
      <c r="E1098" s="22" t="s">
        <v>10</v>
      </c>
      <c r="F1098" s="22" t="s">
        <v>16</v>
      </c>
      <c r="G1098" s="22" t="s">
        <v>17</v>
      </c>
    </row>
    <row r="1099" ht="15.15" spans="1:7">
      <c r="A1099" s="20">
        <v>1098</v>
      </c>
      <c r="B1099" s="20">
        <v>9623</v>
      </c>
      <c r="C1099" s="21">
        <v>44981</v>
      </c>
      <c r="D1099" s="20">
        <v>1944.13</v>
      </c>
      <c r="E1099" s="22" t="s">
        <v>10</v>
      </c>
      <c r="F1099" s="22" t="s">
        <v>11</v>
      </c>
      <c r="G1099" s="22" t="s">
        <v>15</v>
      </c>
    </row>
    <row r="1100" ht="15.15" spans="1:7">
      <c r="A1100" s="20">
        <v>1099</v>
      </c>
      <c r="B1100" s="20">
        <v>8953</v>
      </c>
      <c r="C1100" s="21">
        <v>45235</v>
      </c>
      <c r="D1100" s="20">
        <v>670.34</v>
      </c>
      <c r="E1100" s="22" t="s">
        <v>10</v>
      </c>
      <c r="F1100" s="22" t="s">
        <v>16</v>
      </c>
      <c r="G1100" s="22" t="s">
        <v>17</v>
      </c>
    </row>
    <row r="1101" ht="15.15" spans="1:7">
      <c r="A1101" s="20">
        <v>1100</v>
      </c>
      <c r="B1101" s="20">
        <v>1601</v>
      </c>
      <c r="C1101" s="21">
        <v>45075</v>
      </c>
      <c r="D1101" s="20">
        <v>418.97</v>
      </c>
      <c r="E1101" s="22" t="s">
        <v>10</v>
      </c>
      <c r="F1101" s="22" t="s">
        <v>18</v>
      </c>
      <c r="G1101" s="22" t="s">
        <v>12</v>
      </c>
    </row>
    <row r="1102" ht="15.15" spans="1:7">
      <c r="A1102" s="20">
        <v>1101</v>
      </c>
      <c r="B1102" s="20">
        <v>5703</v>
      </c>
      <c r="C1102" s="21">
        <v>45103</v>
      </c>
      <c r="D1102" s="20">
        <v>831.92</v>
      </c>
      <c r="E1102" s="22" t="s">
        <v>10</v>
      </c>
      <c r="F1102" s="22" t="s">
        <v>19</v>
      </c>
      <c r="G1102" s="22" t="s">
        <v>20</v>
      </c>
    </row>
    <row r="1103" ht="15.15" spans="1:7">
      <c r="A1103" s="20">
        <v>1102</v>
      </c>
      <c r="B1103" s="20">
        <v>9090</v>
      </c>
      <c r="C1103" s="21">
        <v>44967</v>
      </c>
      <c r="D1103" s="20">
        <v>1093.42</v>
      </c>
      <c r="E1103" s="22" t="s">
        <v>10</v>
      </c>
      <c r="F1103" s="22" t="s">
        <v>11</v>
      </c>
      <c r="G1103" s="22" t="s">
        <v>12</v>
      </c>
    </row>
    <row r="1104" ht="15.15" spans="1:7">
      <c r="A1104" s="20">
        <v>1103</v>
      </c>
      <c r="B1104" s="20">
        <v>2373</v>
      </c>
      <c r="C1104" s="21">
        <v>45148</v>
      </c>
      <c r="D1104" s="20">
        <v>572.72</v>
      </c>
      <c r="E1104" s="22" t="s">
        <v>10</v>
      </c>
      <c r="F1104" s="22" t="s">
        <v>16</v>
      </c>
      <c r="G1104" s="22" t="s">
        <v>15</v>
      </c>
    </row>
    <row r="1105" ht="15.15" spans="1:7">
      <c r="A1105" s="20">
        <v>1104</v>
      </c>
      <c r="B1105" s="20">
        <v>1695</v>
      </c>
      <c r="C1105" s="21">
        <v>44933</v>
      </c>
      <c r="D1105" s="20">
        <v>2127.02</v>
      </c>
      <c r="E1105" s="22" t="s">
        <v>10</v>
      </c>
      <c r="F1105" s="22" t="s">
        <v>14</v>
      </c>
      <c r="G1105" s="22" t="s">
        <v>12</v>
      </c>
    </row>
    <row r="1106" ht="15.15" spans="1:7">
      <c r="A1106" s="20">
        <v>1105</v>
      </c>
      <c r="B1106" s="20">
        <v>3339</v>
      </c>
      <c r="C1106" s="21">
        <v>45166</v>
      </c>
      <c r="D1106" s="20">
        <v>744.5</v>
      </c>
      <c r="E1106" s="22" t="s">
        <v>10</v>
      </c>
      <c r="F1106" s="22" t="s">
        <v>11</v>
      </c>
      <c r="G1106" s="22" t="s">
        <v>12</v>
      </c>
    </row>
    <row r="1107" ht="15.15" spans="1:7">
      <c r="A1107" s="20">
        <v>1106</v>
      </c>
      <c r="B1107" s="20">
        <v>1814</v>
      </c>
      <c r="C1107" s="21">
        <v>45228</v>
      </c>
      <c r="D1107" s="20">
        <v>313.65</v>
      </c>
      <c r="E1107" s="22" t="s">
        <v>10</v>
      </c>
      <c r="F1107" s="22" t="s">
        <v>11</v>
      </c>
      <c r="G1107" s="22" t="s">
        <v>17</v>
      </c>
    </row>
    <row r="1108" ht="15.15" spans="1:7">
      <c r="A1108" s="20">
        <v>1107</v>
      </c>
      <c r="B1108" s="20">
        <v>8200</v>
      </c>
      <c r="C1108" s="21">
        <v>45214</v>
      </c>
      <c r="D1108" s="20">
        <v>1334.04</v>
      </c>
      <c r="E1108" s="22" t="s">
        <v>10</v>
      </c>
      <c r="F1108" s="22" t="s">
        <v>18</v>
      </c>
      <c r="G1108" s="22" t="s">
        <v>12</v>
      </c>
    </row>
    <row r="1109" ht="15.15" spans="1:7">
      <c r="A1109" s="20">
        <v>1108</v>
      </c>
      <c r="B1109" s="20">
        <v>7487</v>
      </c>
      <c r="C1109" s="21">
        <v>45000</v>
      </c>
      <c r="D1109" s="20">
        <v>548.66</v>
      </c>
      <c r="E1109" s="22" t="s">
        <v>10</v>
      </c>
      <c r="F1109" s="22" t="s">
        <v>14</v>
      </c>
      <c r="G1109" s="22" t="s">
        <v>12</v>
      </c>
    </row>
    <row r="1110" ht="15.15" spans="1:7">
      <c r="A1110" s="20">
        <v>1109</v>
      </c>
      <c r="B1110" s="20">
        <v>9005</v>
      </c>
      <c r="C1110" s="21">
        <v>45148</v>
      </c>
      <c r="D1110" s="20">
        <v>2668.72</v>
      </c>
      <c r="E1110" s="22" t="s">
        <v>22</v>
      </c>
      <c r="F1110" s="22" t="s">
        <v>13</v>
      </c>
      <c r="G1110" s="22" t="s">
        <v>17</v>
      </c>
    </row>
    <row r="1111" ht="15.15" spans="1:7">
      <c r="A1111" s="20">
        <v>1110</v>
      </c>
      <c r="B1111" s="20">
        <v>4902</v>
      </c>
      <c r="C1111" s="21">
        <v>45085</v>
      </c>
      <c r="D1111" s="20">
        <v>972.84</v>
      </c>
      <c r="E1111" s="22" t="s">
        <v>10</v>
      </c>
      <c r="F1111" s="22" t="s">
        <v>16</v>
      </c>
      <c r="G1111" s="22" t="s">
        <v>15</v>
      </c>
    </row>
    <row r="1112" ht="15.15" spans="1:7">
      <c r="A1112" s="20">
        <v>1111</v>
      </c>
      <c r="B1112" s="20">
        <v>422</v>
      </c>
      <c r="C1112" s="21">
        <v>45217</v>
      </c>
      <c r="D1112" s="20">
        <v>1083.19</v>
      </c>
      <c r="E1112" s="22" t="s">
        <v>21</v>
      </c>
      <c r="F1112" s="22" t="s">
        <v>18</v>
      </c>
      <c r="G1112" s="22" t="s">
        <v>12</v>
      </c>
    </row>
    <row r="1113" ht="15.15" spans="1:7">
      <c r="A1113" s="20">
        <v>1112</v>
      </c>
      <c r="B1113" s="20">
        <v>4540</v>
      </c>
      <c r="C1113" s="21">
        <v>45282</v>
      </c>
      <c r="D1113" s="20">
        <v>235.13</v>
      </c>
      <c r="E1113" s="22" t="s">
        <v>10</v>
      </c>
      <c r="F1113" s="22" t="s">
        <v>18</v>
      </c>
      <c r="G1113" s="22" t="s">
        <v>15</v>
      </c>
    </row>
    <row r="1114" ht="15.15" spans="1:7">
      <c r="A1114" s="20">
        <v>1113</v>
      </c>
      <c r="B1114" s="20">
        <v>4851</v>
      </c>
      <c r="C1114" s="21">
        <v>45202</v>
      </c>
      <c r="D1114" s="20">
        <v>2587.9</v>
      </c>
      <c r="E1114" s="22" t="s">
        <v>10</v>
      </c>
      <c r="F1114" s="22" t="s">
        <v>11</v>
      </c>
      <c r="G1114" s="22" t="s">
        <v>15</v>
      </c>
    </row>
    <row r="1115" ht="15.15" spans="1:7">
      <c r="A1115" s="20">
        <v>1114</v>
      </c>
      <c r="B1115" s="20">
        <v>7931</v>
      </c>
      <c r="C1115" s="21">
        <v>45241</v>
      </c>
      <c r="D1115" s="20">
        <v>978.85</v>
      </c>
      <c r="E1115" s="22" t="s">
        <v>10</v>
      </c>
      <c r="F1115" s="22" t="s">
        <v>16</v>
      </c>
      <c r="G1115" s="22" t="s">
        <v>15</v>
      </c>
    </row>
    <row r="1116" ht="15.15" spans="1:7">
      <c r="A1116" s="20">
        <v>1115</v>
      </c>
      <c r="B1116" s="20">
        <v>682</v>
      </c>
      <c r="C1116" s="21">
        <v>45118</v>
      </c>
      <c r="D1116" s="20">
        <v>13199.04</v>
      </c>
      <c r="E1116" s="22" t="s">
        <v>10</v>
      </c>
      <c r="F1116" s="22" t="s">
        <v>11</v>
      </c>
      <c r="G1116" s="22" t="s">
        <v>20</v>
      </c>
    </row>
    <row r="1117" ht="15.15" spans="1:7">
      <c r="A1117" s="20">
        <v>1116</v>
      </c>
      <c r="B1117" s="20">
        <v>5114</v>
      </c>
      <c r="C1117" s="21">
        <v>44980</v>
      </c>
      <c r="D1117" s="20">
        <v>3018.72</v>
      </c>
      <c r="E1117" s="22" t="s">
        <v>10</v>
      </c>
      <c r="F1117" s="22" t="s">
        <v>18</v>
      </c>
      <c r="G1117" s="22" t="s">
        <v>17</v>
      </c>
    </row>
    <row r="1118" ht="15.15" spans="1:7">
      <c r="A1118" s="20">
        <v>1117</v>
      </c>
      <c r="B1118" s="20">
        <v>488</v>
      </c>
      <c r="C1118" s="21">
        <v>45206</v>
      </c>
      <c r="D1118" s="20">
        <v>2137.78</v>
      </c>
      <c r="E1118" s="22" t="s">
        <v>10</v>
      </c>
      <c r="F1118" s="22" t="s">
        <v>16</v>
      </c>
      <c r="G1118" s="22" t="s">
        <v>15</v>
      </c>
    </row>
    <row r="1119" ht="15.15" spans="1:7">
      <c r="A1119" s="20">
        <v>1118</v>
      </c>
      <c r="B1119" s="20">
        <v>1737</v>
      </c>
      <c r="C1119" s="21">
        <v>44974</v>
      </c>
      <c r="D1119" s="20">
        <v>1056.4</v>
      </c>
      <c r="E1119" s="22" t="s">
        <v>10</v>
      </c>
      <c r="F1119" s="22" t="s">
        <v>16</v>
      </c>
      <c r="G1119" s="22" t="s">
        <v>12</v>
      </c>
    </row>
    <row r="1120" ht="15.15" spans="1:7">
      <c r="A1120" s="20">
        <v>1119</v>
      </c>
      <c r="B1120" s="20">
        <v>2306</v>
      </c>
      <c r="C1120" s="21">
        <v>45290</v>
      </c>
      <c r="D1120" s="20">
        <v>549.91</v>
      </c>
      <c r="E1120" s="22" t="s">
        <v>10</v>
      </c>
      <c r="F1120" s="22" t="s">
        <v>14</v>
      </c>
      <c r="G1120" s="22" t="s">
        <v>20</v>
      </c>
    </row>
    <row r="1121" ht="15.15" spans="1:7">
      <c r="A1121" s="20">
        <v>1120</v>
      </c>
      <c r="B1121" s="20">
        <v>7223</v>
      </c>
      <c r="C1121" s="21">
        <v>44959</v>
      </c>
      <c r="D1121" s="20">
        <v>150.41</v>
      </c>
      <c r="E1121" s="22" t="s">
        <v>10</v>
      </c>
      <c r="F1121" s="22" t="s">
        <v>18</v>
      </c>
      <c r="G1121" s="22" t="s">
        <v>17</v>
      </c>
    </row>
    <row r="1122" ht="15.15" spans="1:7">
      <c r="A1122" s="20">
        <v>1121</v>
      </c>
      <c r="B1122" s="20">
        <v>5888</v>
      </c>
      <c r="C1122" s="21">
        <v>44936</v>
      </c>
      <c r="D1122" s="20">
        <v>1276.59</v>
      </c>
      <c r="E1122" s="22" t="s">
        <v>10</v>
      </c>
      <c r="F1122" s="22" t="s">
        <v>14</v>
      </c>
      <c r="G1122" s="22" t="s">
        <v>15</v>
      </c>
    </row>
    <row r="1123" ht="15.15" spans="1:7">
      <c r="A1123" s="20">
        <v>1122</v>
      </c>
      <c r="B1123" s="20">
        <v>8814</v>
      </c>
      <c r="C1123" s="21">
        <v>45218</v>
      </c>
      <c r="D1123" s="20">
        <v>2544.08</v>
      </c>
      <c r="E1123" s="22" t="s">
        <v>10</v>
      </c>
      <c r="F1123" s="22" t="s">
        <v>11</v>
      </c>
      <c r="G1123" s="22" t="s">
        <v>15</v>
      </c>
    </row>
    <row r="1124" ht="15.15" spans="1:7">
      <c r="A1124" s="20">
        <v>1123</v>
      </c>
      <c r="B1124" s="20">
        <v>1912</v>
      </c>
      <c r="C1124" s="21">
        <v>45176</v>
      </c>
      <c r="D1124" s="20">
        <v>228.45</v>
      </c>
      <c r="E1124" s="22" t="s">
        <v>10</v>
      </c>
      <c r="F1124" s="22" t="s">
        <v>13</v>
      </c>
      <c r="G1124" s="22" t="s">
        <v>20</v>
      </c>
    </row>
    <row r="1125" ht="15.15" spans="1:7">
      <c r="A1125" s="20">
        <v>1124</v>
      </c>
      <c r="B1125" s="20">
        <v>9307</v>
      </c>
      <c r="C1125" s="21">
        <v>45290</v>
      </c>
      <c r="D1125" s="20">
        <v>4446.45</v>
      </c>
      <c r="E1125" s="22" t="s">
        <v>10</v>
      </c>
      <c r="F1125" s="22" t="s">
        <v>11</v>
      </c>
      <c r="G1125" s="22" t="s">
        <v>17</v>
      </c>
    </row>
    <row r="1126" ht="15.15" spans="1:7">
      <c r="A1126" s="20">
        <v>1125</v>
      </c>
      <c r="B1126" s="20">
        <v>4366</v>
      </c>
      <c r="C1126" s="21">
        <v>45216</v>
      </c>
      <c r="D1126" s="20">
        <v>2397.41</v>
      </c>
      <c r="E1126" s="22" t="s">
        <v>10</v>
      </c>
      <c r="F1126" s="22" t="s">
        <v>18</v>
      </c>
      <c r="G1126" s="22" t="s">
        <v>17</v>
      </c>
    </row>
    <row r="1127" ht="15.15" spans="1:7">
      <c r="A1127" s="20">
        <v>1126</v>
      </c>
      <c r="B1127" s="20">
        <v>3872</v>
      </c>
      <c r="C1127" s="21">
        <v>44954</v>
      </c>
      <c r="D1127" s="20">
        <v>323.68</v>
      </c>
      <c r="E1127" s="22" t="s">
        <v>10</v>
      </c>
      <c r="F1127" s="22" t="s">
        <v>13</v>
      </c>
      <c r="G1127" s="22" t="s">
        <v>20</v>
      </c>
    </row>
    <row r="1128" ht="15.15" spans="1:7">
      <c r="A1128" s="20">
        <v>1127</v>
      </c>
      <c r="B1128" s="20">
        <v>6655</v>
      </c>
      <c r="C1128" s="21">
        <v>45147</v>
      </c>
      <c r="D1128" s="20">
        <v>290.79</v>
      </c>
      <c r="E1128" s="22" t="s">
        <v>10</v>
      </c>
      <c r="F1128" s="22" t="s">
        <v>14</v>
      </c>
      <c r="G1128" s="22" t="s">
        <v>12</v>
      </c>
    </row>
    <row r="1129" ht="15.15" spans="1:7">
      <c r="A1129" s="20">
        <v>1128</v>
      </c>
      <c r="B1129" s="20">
        <v>9236</v>
      </c>
      <c r="C1129" s="21">
        <v>45285</v>
      </c>
      <c r="D1129" s="20">
        <v>479.1</v>
      </c>
      <c r="E1129" s="22" t="s">
        <v>10</v>
      </c>
      <c r="F1129" s="22" t="s">
        <v>18</v>
      </c>
      <c r="G1129" s="22" t="s">
        <v>15</v>
      </c>
    </row>
    <row r="1130" ht="15.15" spans="1:7">
      <c r="A1130" s="20">
        <v>1129</v>
      </c>
      <c r="B1130" s="20">
        <v>9315</v>
      </c>
      <c r="C1130" s="21">
        <v>45246</v>
      </c>
      <c r="D1130" s="20">
        <v>1837.89</v>
      </c>
      <c r="E1130" s="22" t="s">
        <v>10</v>
      </c>
      <c r="F1130" s="22" t="s">
        <v>18</v>
      </c>
      <c r="G1130" s="22" t="s">
        <v>17</v>
      </c>
    </row>
    <row r="1131" ht="15.15" spans="1:7">
      <c r="A1131" s="20">
        <v>1130</v>
      </c>
      <c r="B1131" s="20">
        <v>6061</v>
      </c>
      <c r="C1131" s="21">
        <v>45268</v>
      </c>
      <c r="D1131" s="20">
        <v>1289.02</v>
      </c>
      <c r="E1131" s="22" t="s">
        <v>10</v>
      </c>
      <c r="F1131" s="22" t="s">
        <v>16</v>
      </c>
      <c r="G1131" s="22" t="s">
        <v>17</v>
      </c>
    </row>
    <row r="1132" ht="15.15" spans="1:7">
      <c r="A1132" s="20">
        <v>1131</v>
      </c>
      <c r="B1132" s="20">
        <v>5482</v>
      </c>
      <c r="C1132" s="21">
        <v>45241</v>
      </c>
      <c r="D1132" s="20">
        <v>406.33</v>
      </c>
      <c r="E1132" s="22" t="s">
        <v>10</v>
      </c>
      <c r="F1132" s="22" t="s">
        <v>11</v>
      </c>
      <c r="G1132" s="22" t="s">
        <v>15</v>
      </c>
    </row>
    <row r="1133" ht="15.15" spans="1:7">
      <c r="A1133" s="20">
        <v>1132</v>
      </c>
      <c r="B1133" s="20">
        <v>6070</v>
      </c>
      <c r="C1133" s="21">
        <v>45073</v>
      </c>
      <c r="D1133" s="20">
        <v>3602.11</v>
      </c>
      <c r="E1133" s="22" t="s">
        <v>10</v>
      </c>
      <c r="F1133" s="22" t="s">
        <v>18</v>
      </c>
      <c r="G1133" s="22" t="s">
        <v>17</v>
      </c>
    </row>
    <row r="1134" ht="15.15" spans="1:7">
      <c r="A1134" s="20">
        <v>1133</v>
      </c>
      <c r="B1134" s="20">
        <v>90</v>
      </c>
      <c r="C1134" s="21">
        <v>45053</v>
      </c>
      <c r="D1134" s="20">
        <v>1416.81</v>
      </c>
      <c r="E1134" s="22" t="s">
        <v>10</v>
      </c>
      <c r="F1134" s="22" t="s">
        <v>11</v>
      </c>
      <c r="G1134" s="22" t="s">
        <v>15</v>
      </c>
    </row>
    <row r="1135" ht="15.15" spans="1:7">
      <c r="A1135" s="20">
        <v>1134</v>
      </c>
      <c r="B1135" s="20">
        <v>4677</v>
      </c>
      <c r="C1135" s="21">
        <v>45155</v>
      </c>
      <c r="D1135" s="20">
        <v>1302.24</v>
      </c>
      <c r="E1135" s="22" t="s">
        <v>10</v>
      </c>
      <c r="F1135" s="22" t="s">
        <v>11</v>
      </c>
      <c r="G1135" s="22" t="s">
        <v>17</v>
      </c>
    </row>
    <row r="1136" ht="15.15" spans="1:7">
      <c r="A1136" s="20">
        <v>1135</v>
      </c>
      <c r="B1136" s="20">
        <v>8952</v>
      </c>
      <c r="C1136" s="21">
        <v>44976</v>
      </c>
      <c r="D1136" s="20">
        <v>889.76</v>
      </c>
      <c r="E1136" s="22" t="s">
        <v>10</v>
      </c>
      <c r="F1136" s="22" t="s">
        <v>18</v>
      </c>
      <c r="G1136" s="22" t="s">
        <v>12</v>
      </c>
    </row>
    <row r="1137" ht="15.15" spans="1:7">
      <c r="A1137" s="20">
        <v>1136</v>
      </c>
      <c r="B1137" s="20">
        <v>6872</v>
      </c>
      <c r="C1137" s="21">
        <v>44972</v>
      </c>
      <c r="D1137" s="20">
        <v>1709.14</v>
      </c>
      <c r="E1137" s="22" t="s">
        <v>10</v>
      </c>
      <c r="F1137" s="22" t="s">
        <v>14</v>
      </c>
      <c r="G1137" s="22" t="s">
        <v>17</v>
      </c>
    </row>
    <row r="1138" ht="15.15" spans="1:7">
      <c r="A1138" s="20">
        <v>1137</v>
      </c>
      <c r="B1138" s="20">
        <v>7508</v>
      </c>
      <c r="C1138" s="21">
        <v>44968</v>
      </c>
      <c r="D1138" s="20">
        <v>628.59</v>
      </c>
      <c r="E1138" s="22" t="s">
        <v>10</v>
      </c>
      <c r="F1138" s="22" t="s">
        <v>13</v>
      </c>
      <c r="G1138" s="22" t="s">
        <v>20</v>
      </c>
    </row>
    <row r="1139" ht="15.15" spans="1:7">
      <c r="A1139" s="20">
        <v>1138</v>
      </c>
      <c r="B1139" s="20">
        <v>2636</v>
      </c>
      <c r="C1139" s="21">
        <v>45083</v>
      </c>
      <c r="D1139" s="20">
        <v>2252.41</v>
      </c>
      <c r="E1139" s="22" t="s">
        <v>10</v>
      </c>
      <c r="F1139" s="22" t="s">
        <v>11</v>
      </c>
      <c r="G1139" s="22" t="s">
        <v>17</v>
      </c>
    </row>
    <row r="1140" ht="15.15" spans="1:7">
      <c r="A1140" s="20">
        <v>1139</v>
      </c>
      <c r="B1140" s="20">
        <v>9197</v>
      </c>
      <c r="C1140" s="21">
        <v>45202</v>
      </c>
      <c r="D1140" s="20">
        <v>22948.01</v>
      </c>
      <c r="E1140" s="22" t="s">
        <v>10</v>
      </c>
      <c r="F1140" s="22" t="s">
        <v>11</v>
      </c>
      <c r="G1140" s="22" t="s">
        <v>15</v>
      </c>
    </row>
    <row r="1141" ht="15.15" spans="1:7">
      <c r="A1141" s="20">
        <v>1140</v>
      </c>
      <c r="B1141" s="20">
        <v>3888</v>
      </c>
      <c r="C1141" s="21">
        <v>45088</v>
      </c>
      <c r="D1141" s="20">
        <v>3251.05</v>
      </c>
      <c r="E1141" s="22" t="s">
        <v>10</v>
      </c>
      <c r="F1141" s="22" t="s">
        <v>18</v>
      </c>
      <c r="G1141" s="22" t="s">
        <v>20</v>
      </c>
    </row>
    <row r="1142" ht="15.15" spans="1:7">
      <c r="A1142" s="20">
        <v>1141</v>
      </c>
      <c r="B1142" s="20">
        <v>4602</v>
      </c>
      <c r="C1142" s="21">
        <v>45255</v>
      </c>
      <c r="D1142" s="20">
        <v>907.95</v>
      </c>
      <c r="E1142" s="22" t="s">
        <v>10</v>
      </c>
      <c r="F1142" s="22" t="s">
        <v>14</v>
      </c>
      <c r="G1142" s="22" t="s">
        <v>12</v>
      </c>
    </row>
    <row r="1143" ht="15.15" spans="1:7">
      <c r="A1143" s="20">
        <v>1142</v>
      </c>
      <c r="B1143" s="20">
        <v>4189</v>
      </c>
      <c r="C1143" s="21">
        <v>44927</v>
      </c>
      <c r="D1143" s="20">
        <v>858.98</v>
      </c>
      <c r="E1143" s="22" t="s">
        <v>10</v>
      </c>
      <c r="F1143" s="22" t="s">
        <v>18</v>
      </c>
      <c r="G1143" s="22" t="s">
        <v>12</v>
      </c>
    </row>
    <row r="1144" ht="15.15" spans="1:7">
      <c r="A1144" s="20">
        <v>1143</v>
      </c>
      <c r="B1144" s="20">
        <v>6832</v>
      </c>
      <c r="C1144" s="21">
        <v>45173</v>
      </c>
      <c r="D1144" s="20">
        <v>803.38</v>
      </c>
      <c r="E1144" s="22" t="s">
        <v>10</v>
      </c>
      <c r="F1144" s="22" t="s">
        <v>18</v>
      </c>
      <c r="G1144" s="22" t="s">
        <v>15</v>
      </c>
    </row>
    <row r="1145" ht="15.15" spans="1:7">
      <c r="A1145" s="20">
        <v>1144</v>
      </c>
      <c r="B1145" s="20">
        <v>8993</v>
      </c>
      <c r="C1145" s="21">
        <v>45237</v>
      </c>
      <c r="D1145" s="20">
        <v>2329.03</v>
      </c>
      <c r="E1145" s="22" t="s">
        <v>10</v>
      </c>
      <c r="F1145" s="22" t="s">
        <v>13</v>
      </c>
      <c r="G1145" s="22" t="s">
        <v>15</v>
      </c>
    </row>
    <row r="1146" ht="15.15" spans="1:7">
      <c r="A1146" s="20">
        <v>1145</v>
      </c>
      <c r="B1146" s="20">
        <v>7270</v>
      </c>
      <c r="C1146" s="21">
        <v>45180</v>
      </c>
      <c r="D1146" s="20">
        <v>4981.47</v>
      </c>
      <c r="E1146" s="22" t="s">
        <v>10</v>
      </c>
      <c r="F1146" s="22" t="s">
        <v>11</v>
      </c>
      <c r="G1146" s="22" t="s">
        <v>15</v>
      </c>
    </row>
    <row r="1147" ht="15.15" spans="1:7">
      <c r="A1147" s="20">
        <v>1146</v>
      </c>
      <c r="B1147" s="20">
        <v>2193</v>
      </c>
      <c r="C1147" s="21">
        <v>45279</v>
      </c>
      <c r="D1147" s="20">
        <v>428.94</v>
      </c>
      <c r="E1147" s="22" t="s">
        <v>10</v>
      </c>
      <c r="F1147" s="22" t="s">
        <v>16</v>
      </c>
      <c r="G1147" s="22" t="s">
        <v>12</v>
      </c>
    </row>
    <row r="1148" ht="15.15" spans="1:7">
      <c r="A1148" s="20">
        <v>1147</v>
      </c>
      <c r="B1148" s="20">
        <v>7621</v>
      </c>
      <c r="C1148" s="21">
        <v>45191</v>
      </c>
      <c r="D1148" s="20">
        <v>5503.25</v>
      </c>
      <c r="E1148" s="22" t="s">
        <v>10</v>
      </c>
      <c r="F1148" s="22" t="s">
        <v>14</v>
      </c>
      <c r="G1148" s="22" t="s">
        <v>12</v>
      </c>
    </row>
    <row r="1149" ht="15.15" spans="1:7">
      <c r="A1149" s="20">
        <v>1148</v>
      </c>
      <c r="B1149" s="20">
        <v>445</v>
      </c>
      <c r="C1149" s="21">
        <v>45206</v>
      </c>
      <c r="D1149" s="20">
        <v>1777.25</v>
      </c>
      <c r="E1149" s="22" t="s">
        <v>10</v>
      </c>
      <c r="F1149" s="22" t="s">
        <v>16</v>
      </c>
      <c r="G1149" s="22" t="s">
        <v>20</v>
      </c>
    </row>
    <row r="1150" ht="15.15" spans="1:7">
      <c r="A1150" s="20">
        <v>1149</v>
      </c>
      <c r="B1150" s="20">
        <v>5914</v>
      </c>
      <c r="C1150" s="21">
        <v>45269</v>
      </c>
      <c r="D1150" s="20">
        <v>820.77</v>
      </c>
      <c r="E1150" s="22" t="s">
        <v>10</v>
      </c>
      <c r="F1150" s="22" t="s">
        <v>16</v>
      </c>
      <c r="G1150" s="22" t="s">
        <v>15</v>
      </c>
    </row>
    <row r="1151" ht="15.15" spans="1:7">
      <c r="A1151" s="20">
        <v>1150</v>
      </c>
      <c r="B1151" s="20">
        <v>5588</v>
      </c>
      <c r="C1151" s="21">
        <v>45120</v>
      </c>
      <c r="D1151" s="20">
        <v>2502.75</v>
      </c>
      <c r="E1151" s="22" t="s">
        <v>10</v>
      </c>
      <c r="F1151" s="22" t="s">
        <v>13</v>
      </c>
      <c r="G1151" s="22" t="s">
        <v>17</v>
      </c>
    </row>
    <row r="1152" ht="15.15" spans="1:7">
      <c r="A1152" s="20">
        <v>1151</v>
      </c>
      <c r="B1152" s="20">
        <v>7279</v>
      </c>
      <c r="C1152" s="21">
        <v>45061</v>
      </c>
      <c r="D1152" s="20">
        <v>968.43</v>
      </c>
      <c r="E1152" s="22" t="s">
        <v>10</v>
      </c>
      <c r="F1152" s="22" t="s">
        <v>18</v>
      </c>
      <c r="G1152" s="22" t="s">
        <v>17</v>
      </c>
    </row>
    <row r="1153" ht="15.15" spans="1:7">
      <c r="A1153" s="20">
        <v>1152</v>
      </c>
      <c r="B1153" s="20">
        <v>8763</v>
      </c>
      <c r="C1153" s="21">
        <v>45023</v>
      </c>
      <c r="D1153" s="20">
        <v>5382.78</v>
      </c>
      <c r="E1153" s="22" t="s">
        <v>10</v>
      </c>
      <c r="F1153" s="22" t="s">
        <v>18</v>
      </c>
      <c r="G1153" s="22" t="s">
        <v>17</v>
      </c>
    </row>
    <row r="1154" ht="15.15" spans="1:7">
      <c r="A1154" s="20">
        <v>1153</v>
      </c>
      <c r="B1154" s="20">
        <v>7037</v>
      </c>
      <c r="C1154" s="21">
        <v>45272</v>
      </c>
      <c r="D1154" s="20">
        <v>2076.31</v>
      </c>
      <c r="E1154" s="22" t="s">
        <v>10</v>
      </c>
      <c r="F1154" s="22" t="s">
        <v>13</v>
      </c>
      <c r="G1154" s="22" t="s">
        <v>17</v>
      </c>
    </row>
    <row r="1155" ht="15.15" spans="1:7">
      <c r="A1155" s="20">
        <v>1154</v>
      </c>
      <c r="B1155" s="20">
        <v>4084</v>
      </c>
      <c r="C1155" s="21">
        <v>45012</v>
      </c>
      <c r="D1155" s="20">
        <v>2877.76</v>
      </c>
      <c r="E1155" s="22" t="s">
        <v>10</v>
      </c>
      <c r="F1155" s="22" t="s">
        <v>11</v>
      </c>
      <c r="G1155" s="22" t="s">
        <v>15</v>
      </c>
    </row>
    <row r="1156" ht="15.15" spans="1:7">
      <c r="A1156" s="20">
        <v>1155</v>
      </c>
      <c r="B1156" s="20">
        <v>4084</v>
      </c>
      <c r="C1156" s="21">
        <v>45249</v>
      </c>
      <c r="D1156" s="20">
        <v>1732.07</v>
      </c>
      <c r="E1156" s="22" t="s">
        <v>10</v>
      </c>
      <c r="F1156" s="22" t="s">
        <v>11</v>
      </c>
      <c r="G1156" s="22" t="s">
        <v>20</v>
      </c>
    </row>
    <row r="1157" ht="15.15" spans="1:7">
      <c r="A1157" s="20">
        <v>1156</v>
      </c>
      <c r="B1157" s="20">
        <v>6756</v>
      </c>
      <c r="C1157" s="21">
        <v>45191</v>
      </c>
      <c r="D1157" s="20">
        <v>631.66</v>
      </c>
      <c r="E1157" s="22" t="s">
        <v>10</v>
      </c>
      <c r="F1157" s="22" t="s">
        <v>16</v>
      </c>
      <c r="G1157" s="22" t="s">
        <v>12</v>
      </c>
    </row>
    <row r="1158" ht="15.15" spans="1:7">
      <c r="A1158" s="20">
        <v>1157</v>
      </c>
      <c r="B1158" s="20">
        <v>3984</v>
      </c>
      <c r="C1158" s="21">
        <v>45070</v>
      </c>
      <c r="D1158" s="20">
        <v>1126.52</v>
      </c>
      <c r="E1158" s="22" t="s">
        <v>10</v>
      </c>
      <c r="F1158" s="22" t="s">
        <v>16</v>
      </c>
      <c r="G1158" s="22" t="s">
        <v>12</v>
      </c>
    </row>
    <row r="1159" ht="15.15" spans="1:7">
      <c r="A1159" s="20">
        <v>1158</v>
      </c>
      <c r="B1159" s="20">
        <v>6099</v>
      </c>
      <c r="C1159" s="21">
        <v>45281</v>
      </c>
      <c r="D1159" s="20">
        <v>1623.03</v>
      </c>
      <c r="E1159" s="22" t="s">
        <v>10</v>
      </c>
      <c r="F1159" s="22" t="s">
        <v>16</v>
      </c>
      <c r="G1159" s="22" t="s">
        <v>12</v>
      </c>
    </row>
    <row r="1160" ht="15.15" spans="1:7">
      <c r="A1160" s="20">
        <v>1159</v>
      </c>
      <c r="B1160" s="20">
        <v>8703</v>
      </c>
      <c r="C1160" s="21">
        <v>45242</v>
      </c>
      <c r="D1160" s="20">
        <v>325.76</v>
      </c>
      <c r="E1160" s="22" t="s">
        <v>10</v>
      </c>
      <c r="F1160" s="22" t="s">
        <v>16</v>
      </c>
      <c r="G1160" s="22" t="s">
        <v>17</v>
      </c>
    </row>
    <row r="1161" ht="15.15" spans="1:7">
      <c r="A1161" s="20">
        <v>1160</v>
      </c>
      <c r="B1161" s="20">
        <v>5188</v>
      </c>
      <c r="C1161" s="21">
        <v>45113</v>
      </c>
      <c r="D1161" s="20">
        <v>4011.24</v>
      </c>
      <c r="E1161" s="22" t="s">
        <v>10</v>
      </c>
      <c r="F1161" s="22" t="s">
        <v>14</v>
      </c>
      <c r="G1161" s="22" t="s">
        <v>17</v>
      </c>
    </row>
    <row r="1162" ht="15.15" spans="1:7">
      <c r="A1162" s="20">
        <v>1161</v>
      </c>
      <c r="B1162" s="20">
        <v>4145</v>
      </c>
      <c r="C1162" s="21">
        <v>45018</v>
      </c>
      <c r="D1162" s="20">
        <v>1038.06</v>
      </c>
      <c r="E1162" s="22" t="s">
        <v>10</v>
      </c>
      <c r="F1162" s="22" t="s">
        <v>14</v>
      </c>
      <c r="G1162" s="22" t="s">
        <v>17</v>
      </c>
    </row>
    <row r="1163" ht="15.15" spans="1:7">
      <c r="A1163" s="20">
        <v>1162</v>
      </c>
      <c r="B1163" s="20">
        <v>4254</v>
      </c>
      <c r="C1163" s="21">
        <v>45163</v>
      </c>
      <c r="D1163" s="20">
        <v>716.32</v>
      </c>
      <c r="E1163" s="22" t="s">
        <v>10</v>
      </c>
      <c r="F1163" s="22" t="s">
        <v>19</v>
      </c>
      <c r="G1163" s="22" t="s">
        <v>20</v>
      </c>
    </row>
    <row r="1164" ht="15.15" spans="1:7">
      <c r="A1164" s="20">
        <v>1163</v>
      </c>
      <c r="B1164" s="20">
        <v>8362</v>
      </c>
      <c r="C1164" s="21">
        <v>45179</v>
      </c>
      <c r="D1164" s="20">
        <v>2475.56</v>
      </c>
      <c r="E1164" s="22" t="s">
        <v>10</v>
      </c>
      <c r="F1164" s="22" t="s">
        <v>16</v>
      </c>
      <c r="G1164" s="22" t="s">
        <v>20</v>
      </c>
    </row>
    <row r="1165" ht="15.15" spans="1:7">
      <c r="A1165" s="20">
        <v>1164</v>
      </c>
      <c r="B1165" s="20">
        <v>1881</v>
      </c>
      <c r="C1165" s="21">
        <v>45272</v>
      </c>
      <c r="D1165" s="20">
        <v>1768.6</v>
      </c>
      <c r="E1165" s="22" t="s">
        <v>10</v>
      </c>
      <c r="F1165" s="22" t="s">
        <v>13</v>
      </c>
      <c r="G1165" s="22" t="s">
        <v>20</v>
      </c>
    </row>
    <row r="1166" ht="15.15" spans="1:7">
      <c r="A1166" s="20">
        <v>1165</v>
      </c>
      <c r="B1166" s="20">
        <v>3527</v>
      </c>
      <c r="C1166" s="21">
        <v>45216</v>
      </c>
      <c r="D1166" s="20">
        <v>97.28</v>
      </c>
      <c r="E1166" s="22" t="s">
        <v>10</v>
      </c>
      <c r="F1166" s="22" t="s">
        <v>14</v>
      </c>
      <c r="G1166" s="22" t="s">
        <v>15</v>
      </c>
    </row>
    <row r="1167" ht="15.15" spans="1:7">
      <c r="A1167" s="20">
        <v>1166</v>
      </c>
      <c r="B1167" s="20">
        <v>9683</v>
      </c>
      <c r="C1167" s="21">
        <v>45034</v>
      </c>
      <c r="D1167" s="20">
        <v>211.3</v>
      </c>
      <c r="E1167" s="22" t="s">
        <v>10</v>
      </c>
      <c r="F1167" s="22" t="s">
        <v>11</v>
      </c>
      <c r="G1167" s="22" t="s">
        <v>20</v>
      </c>
    </row>
    <row r="1168" ht="15.15" spans="1:7">
      <c r="A1168" s="20">
        <v>1167</v>
      </c>
      <c r="B1168" s="20">
        <v>3943</v>
      </c>
      <c r="C1168" s="21">
        <v>45287</v>
      </c>
      <c r="D1168" s="20">
        <v>2165.17</v>
      </c>
      <c r="E1168" s="22" t="s">
        <v>10</v>
      </c>
      <c r="F1168" s="22" t="s">
        <v>14</v>
      </c>
      <c r="G1168" s="22" t="s">
        <v>20</v>
      </c>
    </row>
    <row r="1169" ht="15.15" spans="1:7">
      <c r="A1169" s="20">
        <v>1168</v>
      </c>
      <c r="B1169" s="20">
        <v>2219</v>
      </c>
      <c r="C1169" s="21">
        <v>45252</v>
      </c>
      <c r="D1169" s="20">
        <v>2814.99</v>
      </c>
      <c r="E1169" s="22" t="s">
        <v>10</v>
      </c>
      <c r="F1169" s="22" t="s">
        <v>18</v>
      </c>
      <c r="G1169" s="22" t="s">
        <v>17</v>
      </c>
    </row>
    <row r="1170" ht="15.15" spans="1:7">
      <c r="A1170" s="20">
        <v>1169</v>
      </c>
      <c r="B1170" s="20">
        <v>1951</v>
      </c>
      <c r="C1170" s="21">
        <v>45007</v>
      </c>
      <c r="D1170" s="20">
        <v>2429.17</v>
      </c>
      <c r="E1170" s="22" t="s">
        <v>10</v>
      </c>
      <c r="F1170" s="22" t="s">
        <v>13</v>
      </c>
      <c r="G1170" s="22" t="s">
        <v>15</v>
      </c>
    </row>
    <row r="1171" ht="15.15" spans="1:7">
      <c r="A1171" s="20">
        <v>1170</v>
      </c>
      <c r="B1171" s="20">
        <v>6062</v>
      </c>
      <c r="C1171" s="21">
        <v>44966</v>
      </c>
      <c r="D1171" s="20">
        <v>1630.06</v>
      </c>
      <c r="E1171" s="22" t="s">
        <v>22</v>
      </c>
      <c r="F1171" s="22" t="s">
        <v>16</v>
      </c>
      <c r="G1171" s="22" t="s">
        <v>20</v>
      </c>
    </row>
    <row r="1172" ht="15.15" spans="1:7">
      <c r="A1172" s="20">
        <v>1171</v>
      </c>
      <c r="B1172" s="20">
        <v>7552</v>
      </c>
      <c r="C1172" s="21">
        <v>45092</v>
      </c>
      <c r="D1172" s="20">
        <v>1527.31</v>
      </c>
      <c r="E1172" s="22" t="s">
        <v>10</v>
      </c>
      <c r="F1172" s="22" t="s">
        <v>18</v>
      </c>
      <c r="G1172" s="22" t="s">
        <v>15</v>
      </c>
    </row>
    <row r="1173" ht="15.15" spans="1:7">
      <c r="A1173" s="20">
        <v>1172</v>
      </c>
      <c r="B1173" s="20">
        <v>1067</v>
      </c>
      <c r="C1173" s="21">
        <v>45215</v>
      </c>
      <c r="D1173" s="20">
        <v>1786.37</v>
      </c>
      <c r="E1173" s="22" t="s">
        <v>10</v>
      </c>
      <c r="F1173" s="22" t="s">
        <v>14</v>
      </c>
      <c r="G1173" s="22" t="s">
        <v>15</v>
      </c>
    </row>
    <row r="1174" ht="15.15" spans="1:7">
      <c r="A1174" s="20">
        <v>1173</v>
      </c>
      <c r="B1174" s="20">
        <v>3211</v>
      </c>
      <c r="C1174" s="21">
        <v>45229</v>
      </c>
      <c r="D1174" s="20">
        <v>1695.09</v>
      </c>
      <c r="E1174" s="22" t="s">
        <v>10</v>
      </c>
      <c r="F1174" s="22" t="s">
        <v>16</v>
      </c>
      <c r="G1174" s="22" t="s">
        <v>12</v>
      </c>
    </row>
    <row r="1175" ht="15.15" spans="1:7">
      <c r="A1175" s="20">
        <v>1174</v>
      </c>
      <c r="B1175" s="20">
        <v>8573</v>
      </c>
      <c r="C1175" s="21">
        <v>45282</v>
      </c>
      <c r="D1175" s="20">
        <v>799.39</v>
      </c>
      <c r="E1175" s="22" t="s">
        <v>10</v>
      </c>
      <c r="F1175" s="22" t="s">
        <v>16</v>
      </c>
      <c r="G1175" s="22" t="s">
        <v>20</v>
      </c>
    </row>
    <row r="1176" ht="15.15" spans="1:7">
      <c r="A1176" s="20">
        <v>1175</v>
      </c>
      <c r="B1176" s="20">
        <v>3947</v>
      </c>
      <c r="C1176" s="21">
        <v>45067</v>
      </c>
      <c r="D1176" s="20">
        <v>359.28</v>
      </c>
      <c r="E1176" s="22" t="s">
        <v>10</v>
      </c>
      <c r="F1176" s="22" t="s">
        <v>11</v>
      </c>
      <c r="G1176" s="22" t="s">
        <v>12</v>
      </c>
    </row>
    <row r="1177" ht="15.15" spans="1:7">
      <c r="A1177" s="20">
        <v>1176</v>
      </c>
      <c r="B1177" s="20">
        <v>3512</v>
      </c>
      <c r="C1177" s="21">
        <v>45171</v>
      </c>
      <c r="D1177" s="20">
        <v>3232.03</v>
      </c>
      <c r="E1177" s="22" t="s">
        <v>10</v>
      </c>
      <c r="F1177" s="22" t="s">
        <v>13</v>
      </c>
      <c r="G1177" s="22" t="s">
        <v>12</v>
      </c>
    </row>
    <row r="1178" ht="15.15" spans="1:7">
      <c r="A1178" s="20">
        <v>1177</v>
      </c>
      <c r="B1178" s="20">
        <v>4220</v>
      </c>
      <c r="C1178" s="21">
        <v>45252</v>
      </c>
      <c r="D1178" s="20">
        <v>1103.78</v>
      </c>
      <c r="E1178" s="22" t="s">
        <v>10</v>
      </c>
      <c r="F1178" s="22" t="s">
        <v>13</v>
      </c>
      <c r="G1178" s="22" t="s">
        <v>17</v>
      </c>
    </row>
    <row r="1179" ht="15.15" spans="1:7">
      <c r="A1179" s="20">
        <v>1178</v>
      </c>
      <c r="B1179" s="20">
        <v>869</v>
      </c>
      <c r="C1179" s="21">
        <v>45096</v>
      </c>
      <c r="D1179" s="20">
        <v>1074.49</v>
      </c>
      <c r="E1179" s="22" t="s">
        <v>10</v>
      </c>
      <c r="F1179" s="22" t="s">
        <v>11</v>
      </c>
      <c r="G1179" s="22" t="s">
        <v>17</v>
      </c>
    </row>
    <row r="1180" ht="15.15" spans="1:7">
      <c r="A1180" s="20">
        <v>1179</v>
      </c>
      <c r="B1180" s="20">
        <v>7739</v>
      </c>
      <c r="C1180" s="21">
        <v>45267</v>
      </c>
      <c r="D1180" s="20">
        <v>1942.27</v>
      </c>
      <c r="E1180" s="22" t="s">
        <v>10</v>
      </c>
      <c r="F1180" s="22" t="s">
        <v>11</v>
      </c>
      <c r="G1180" s="22" t="s">
        <v>15</v>
      </c>
    </row>
    <row r="1181" ht="15.15" spans="1:7">
      <c r="A1181" s="20">
        <v>1180</v>
      </c>
      <c r="B1181" s="20">
        <v>1920</v>
      </c>
      <c r="C1181" s="21">
        <v>45284</v>
      </c>
      <c r="D1181" s="20">
        <v>526.08</v>
      </c>
      <c r="E1181" s="22" t="s">
        <v>10</v>
      </c>
      <c r="F1181" s="22" t="s">
        <v>11</v>
      </c>
      <c r="G1181" s="22" t="s">
        <v>12</v>
      </c>
    </row>
    <row r="1182" ht="15.15" spans="1:7">
      <c r="A1182" s="20">
        <v>1181</v>
      </c>
      <c r="B1182" s="20">
        <v>8144</v>
      </c>
      <c r="C1182" s="21">
        <v>45012</v>
      </c>
      <c r="D1182" s="20">
        <v>629.52</v>
      </c>
      <c r="E1182" s="22" t="s">
        <v>10</v>
      </c>
      <c r="F1182" s="22" t="s">
        <v>14</v>
      </c>
      <c r="G1182" s="22" t="s">
        <v>12</v>
      </c>
    </row>
    <row r="1183" ht="15.15" spans="1:7">
      <c r="A1183" s="20">
        <v>1182</v>
      </c>
      <c r="B1183" s="20">
        <v>8198</v>
      </c>
      <c r="C1183" s="21">
        <v>44965</v>
      </c>
      <c r="D1183" s="20">
        <v>719.27</v>
      </c>
      <c r="E1183" s="22" t="s">
        <v>10</v>
      </c>
      <c r="F1183" s="22" t="s">
        <v>14</v>
      </c>
      <c r="G1183" s="22" t="s">
        <v>15</v>
      </c>
    </row>
    <row r="1184" ht="15.15" spans="1:7">
      <c r="A1184" s="20">
        <v>1183</v>
      </c>
      <c r="B1184" s="20">
        <v>7387</v>
      </c>
      <c r="C1184" s="21">
        <v>45202</v>
      </c>
      <c r="D1184" s="20">
        <v>538.64</v>
      </c>
      <c r="E1184" s="22" t="s">
        <v>10</v>
      </c>
      <c r="F1184" s="22" t="s">
        <v>14</v>
      </c>
      <c r="G1184" s="22" t="s">
        <v>20</v>
      </c>
    </row>
    <row r="1185" ht="15.15" spans="1:7">
      <c r="A1185" s="20">
        <v>1184</v>
      </c>
      <c r="B1185" s="20">
        <v>9029</v>
      </c>
      <c r="C1185" s="21">
        <v>45026</v>
      </c>
      <c r="D1185" s="20">
        <v>4396.37</v>
      </c>
      <c r="E1185" s="22" t="s">
        <v>10</v>
      </c>
      <c r="F1185" s="22" t="s">
        <v>11</v>
      </c>
      <c r="G1185" s="22" t="s">
        <v>20</v>
      </c>
    </row>
    <row r="1186" ht="15.15" spans="1:7">
      <c r="A1186" s="20">
        <v>1185</v>
      </c>
      <c r="B1186" s="20">
        <v>8197</v>
      </c>
      <c r="C1186" s="21">
        <v>45217</v>
      </c>
      <c r="D1186" s="20">
        <v>2904.14</v>
      </c>
      <c r="E1186" s="22" t="s">
        <v>10</v>
      </c>
      <c r="F1186" s="22" t="s">
        <v>16</v>
      </c>
      <c r="G1186" s="22" t="s">
        <v>17</v>
      </c>
    </row>
    <row r="1187" ht="15.15" spans="1:7">
      <c r="A1187" s="20">
        <v>1186</v>
      </c>
      <c r="B1187" s="20">
        <v>8897</v>
      </c>
      <c r="C1187" s="21">
        <v>45054</v>
      </c>
      <c r="D1187" s="20">
        <v>88.32</v>
      </c>
      <c r="E1187" s="22" t="s">
        <v>10</v>
      </c>
      <c r="F1187" s="22" t="s">
        <v>13</v>
      </c>
      <c r="G1187" s="22" t="s">
        <v>20</v>
      </c>
    </row>
    <row r="1188" ht="15.15" spans="1:7">
      <c r="A1188" s="20">
        <v>1187</v>
      </c>
      <c r="B1188" s="20">
        <v>9466</v>
      </c>
      <c r="C1188" s="21">
        <v>44995</v>
      </c>
      <c r="D1188" s="20">
        <v>632.57</v>
      </c>
      <c r="E1188" s="22" t="s">
        <v>10</v>
      </c>
      <c r="F1188" s="22" t="s">
        <v>16</v>
      </c>
      <c r="G1188" s="22" t="s">
        <v>15</v>
      </c>
    </row>
    <row r="1189" ht="15.15" spans="1:7">
      <c r="A1189" s="20">
        <v>1188</v>
      </c>
      <c r="B1189" s="20">
        <v>4330</v>
      </c>
      <c r="C1189" s="21">
        <v>44938</v>
      </c>
      <c r="D1189" s="20">
        <v>196.53</v>
      </c>
      <c r="E1189" s="22" t="s">
        <v>10</v>
      </c>
      <c r="F1189" s="22" t="s">
        <v>18</v>
      </c>
      <c r="G1189" s="22" t="s">
        <v>15</v>
      </c>
    </row>
    <row r="1190" ht="15.15" spans="1:7">
      <c r="A1190" s="20">
        <v>1189</v>
      </c>
      <c r="B1190" s="20">
        <v>5010</v>
      </c>
      <c r="C1190" s="21">
        <v>44987</v>
      </c>
      <c r="D1190" s="20">
        <v>442.46</v>
      </c>
      <c r="E1190" s="22" t="s">
        <v>10</v>
      </c>
      <c r="F1190" s="22" t="s">
        <v>16</v>
      </c>
      <c r="G1190" s="22" t="s">
        <v>12</v>
      </c>
    </row>
    <row r="1191" ht="15.15" spans="1:7">
      <c r="A1191" s="20">
        <v>1190</v>
      </c>
      <c r="B1191" s="20">
        <v>1116</v>
      </c>
      <c r="C1191" s="21">
        <v>45081</v>
      </c>
      <c r="D1191" s="20">
        <v>1078.67</v>
      </c>
      <c r="E1191" s="22" t="s">
        <v>10</v>
      </c>
      <c r="F1191" s="22" t="s">
        <v>18</v>
      </c>
      <c r="G1191" s="22" t="s">
        <v>20</v>
      </c>
    </row>
    <row r="1192" ht="15.15" spans="1:7">
      <c r="A1192" s="20">
        <v>1191</v>
      </c>
      <c r="B1192" s="20">
        <v>5240</v>
      </c>
      <c r="C1192" s="21">
        <v>45034</v>
      </c>
      <c r="D1192" s="20">
        <v>315.29</v>
      </c>
      <c r="E1192" s="22" t="s">
        <v>10</v>
      </c>
      <c r="F1192" s="22" t="s">
        <v>11</v>
      </c>
      <c r="G1192" s="22" t="s">
        <v>20</v>
      </c>
    </row>
    <row r="1193" ht="15.15" spans="1:7">
      <c r="A1193" s="20">
        <v>1192</v>
      </c>
      <c r="B1193" s="20">
        <v>4164</v>
      </c>
      <c r="C1193" s="21">
        <v>45170</v>
      </c>
      <c r="D1193" s="20">
        <v>1041.67</v>
      </c>
      <c r="E1193" s="22" t="s">
        <v>10</v>
      </c>
      <c r="F1193" s="22" t="s">
        <v>13</v>
      </c>
      <c r="G1193" s="22" t="s">
        <v>17</v>
      </c>
    </row>
    <row r="1194" ht="15.15" spans="1:7">
      <c r="A1194" s="20">
        <v>1193</v>
      </c>
      <c r="B1194" s="20">
        <v>5133</v>
      </c>
      <c r="C1194" s="21">
        <v>45187</v>
      </c>
      <c r="D1194" s="20">
        <v>478.11</v>
      </c>
      <c r="E1194" s="22" t="s">
        <v>10</v>
      </c>
      <c r="F1194" s="22" t="s">
        <v>13</v>
      </c>
      <c r="G1194" s="22" t="s">
        <v>17</v>
      </c>
    </row>
    <row r="1195" ht="15.15" spans="1:7">
      <c r="A1195" s="20">
        <v>1194</v>
      </c>
      <c r="B1195" s="20">
        <v>3723</v>
      </c>
      <c r="C1195" s="21">
        <v>45087</v>
      </c>
      <c r="D1195" s="20">
        <v>1484.56</v>
      </c>
      <c r="E1195" s="22" t="s">
        <v>10</v>
      </c>
      <c r="F1195" s="22" t="s">
        <v>13</v>
      </c>
      <c r="G1195" s="22" t="s">
        <v>17</v>
      </c>
    </row>
    <row r="1196" ht="15.15" spans="1:7">
      <c r="A1196" s="20">
        <v>1195</v>
      </c>
      <c r="B1196" s="20">
        <v>7467</v>
      </c>
      <c r="C1196" s="21">
        <v>45062</v>
      </c>
      <c r="D1196" s="20">
        <v>997.47</v>
      </c>
      <c r="E1196" s="22" t="s">
        <v>10</v>
      </c>
      <c r="F1196" s="22" t="s">
        <v>14</v>
      </c>
      <c r="G1196" s="22" t="s">
        <v>15</v>
      </c>
    </row>
    <row r="1197" ht="15.15" spans="1:7">
      <c r="A1197" s="20">
        <v>1196</v>
      </c>
      <c r="B1197" s="20">
        <v>447</v>
      </c>
      <c r="C1197" s="21">
        <v>44933</v>
      </c>
      <c r="D1197" s="20">
        <v>2214.84</v>
      </c>
      <c r="E1197" s="22" t="s">
        <v>10</v>
      </c>
      <c r="F1197" s="22" t="s">
        <v>14</v>
      </c>
      <c r="G1197" s="22" t="s">
        <v>17</v>
      </c>
    </row>
    <row r="1198" ht="15.15" spans="1:7">
      <c r="A1198" s="20">
        <v>1197</v>
      </c>
      <c r="B1198" s="20">
        <v>303</v>
      </c>
      <c r="C1198" s="21">
        <v>45047</v>
      </c>
      <c r="D1198" s="20">
        <v>721.38</v>
      </c>
      <c r="E1198" s="22" t="s">
        <v>10</v>
      </c>
      <c r="F1198" s="22" t="s">
        <v>11</v>
      </c>
      <c r="G1198" s="22" t="s">
        <v>12</v>
      </c>
    </row>
    <row r="1199" ht="15.15" spans="1:7">
      <c r="A1199" s="20">
        <v>1198</v>
      </c>
      <c r="B1199" s="20">
        <v>6702</v>
      </c>
      <c r="C1199" s="21">
        <v>44938</v>
      </c>
      <c r="D1199" s="20">
        <v>788.31</v>
      </c>
      <c r="E1199" s="22" t="s">
        <v>10</v>
      </c>
      <c r="F1199" s="22" t="s">
        <v>16</v>
      </c>
      <c r="G1199" s="22" t="s">
        <v>20</v>
      </c>
    </row>
    <row r="1200" ht="15.15" spans="1:7">
      <c r="A1200" s="20">
        <v>1199</v>
      </c>
      <c r="B1200" s="20">
        <v>7410</v>
      </c>
      <c r="C1200" s="21">
        <v>45116</v>
      </c>
      <c r="D1200" s="20">
        <v>2297.46</v>
      </c>
      <c r="E1200" s="22" t="s">
        <v>10</v>
      </c>
      <c r="F1200" s="22" t="s">
        <v>16</v>
      </c>
      <c r="G1200" s="22" t="s">
        <v>15</v>
      </c>
    </row>
    <row r="1201" ht="15.15" spans="1:7">
      <c r="A1201" s="20">
        <v>1200</v>
      </c>
      <c r="B1201" s="20">
        <v>5373</v>
      </c>
      <c r="C1201" s="21">
        <v>45246</v>
      </c>
      <c r="D1201" s="20">
        <v>154.02</v>
      </c>
      <c r="E1201" s="22" t="s">
        <v>10</v>
      </c>
      <c r="F1201" s="22" t="s">
        <v>14</v>
      </c>
      <c r="G1201" s="22" t="s">
        <v>15</v>
      </c>
    </row>
    <row r="1202" ht="15.15" spans="1:7">
      <c r="A1202" s="20">
        <v>1201</v>
      </c>
      <c r="B1202" s="20">
        <v>8966</v>
      </c>
      <c r="C1202" s="21">
        <v>45081</v>
      </c>
      <c r="D1202" s="20">
        <v>1367.72</v>
      </c>
      <c r="E1202" s="22" t="s">
        <v>10</v>
      </c>
      <c r="F1202" s="22" t="s">
        <v>14</v>
      </c>
      <c r="G1202" s="22" t="s">
        <v>12</v>
      </c>
    </row>
    <row r="1203" ht="15.15" spans="1:7">
      <c r="A1203" s="20">
        <v>1202</v>
      </c>
      <c r="B1203" s="20">
        <v>3161</v>
      </c>
      <c r="C1203" s="21">
        <v>45164</v>
      </c>
      <c r="D1203" s="20">
        <v>2809.34</v>
      </c>
      <c r="E1203" s="22" t="s">
        <v>10</v>
      </c>
      <c r="F1203" s="22" t="s">
        <v>14</v>
      </c>
      <c r="G1203" s="22" t="s">
        <v>20</v>
      </c>
    </row>
    <row r="1204" ht="15.15" spans="1:7">
      <c r="A1204" s="20">
        <v>1203</v>
      </c>
      <c r="B1204" s="20">
        <v>7261</v>
      </c>
      <c r="C1204" s="21">
        <v>45189</v>
      </c>
      <c r="D1204" s="20">
        <v>315.29</v>
      </c>
      <c r="E1204" s="22" t="s">
        <v>10</v>
      </c>
      <c r="F1204" s="22" t="s">
        <v>18</v>
      </c>
      <c r="G1204" s="22" t="s">
        <v>17</v>
      </c>
    </row>
    <row r="1205" ht="15.15" spans="1:7">
      <c r="A1205" s="20">
        <v>1204</v>
      </c>
      <c r="B1205" s="20">
        <v>6106</v>
      </c>
      <c r="C1205" s="21">
        <v>44940</v>
      </c>
      <c r="D1205" s="20">
        <v>2921.07</v>
      </c>
      <c r="E1205" s="22" t="s">
        <v>10</v>
      </c>
      <c r="F1205" s="22" t="s">
        <v>18</v>
      </c>
      <c r="G1205" s="22" t="s">
        <v>17</v>
      </c>
    </row>
    <row r="1206" ht="15.15" spans="1:7">
      <c r="A1206" s="20">
        <v>1205</v>
      </c>
      <c r="B1206" s="20">
        <v>9282</v>
      </c>
      <c r="C1206" s="21">
        <v>45051</v>
      </c>
      <c r="D1206" s="20">
        <v>2318.99</v>
      </c>
      <c r="E1206" s="22" t="s">
        <v>10</v>
      </c>
      <c r="F1206" s="22" t="s">
        <v>13</v>
      </c>
      <c r="G1206" s="22" t="s">
        <v>17</v>
      </c>
    </row>
    <row r="1207" ht="15.15" spans="1:7">
      <c r="A1207" s="20">
        <v>1206</v>
      </c>
      <c r="B1207" s="20">
        <v>3841</v>
      </c>
      <c r="C1207" s="21">
        <v>45257</v>
      </c>
      <c r="D1207" s="20">
        <v>305.06</v>
      </c>
      <c r="E1207" s="22" t="s">
        <v>10</v>
      </c>
      <c r="F1207" s="22" t="s">
        <v>18</v>
      </c>
      <c r="G1207" s="22" t="s">
        <v>17</v>
      </c>
    </row>
    <row r="1208" ht="15.15" spans="1:7">
      <c r="A1208" s="20">
        <v>1207</v>
      </c>
      <c r="B1208" s="20">
        <v>4107</v>
      </c>
      <c r="C1208" s="21">
        <v>44986</v>
      </c>
      <c r="D1208" s="20">
        <v>1009.26</v>
      </c>
      <c r="E1208" s="22" t="s">
        <v>10</v>
      </c>
      <c r="F1208" s="22" t="s">
        <v>13</v>
      </c>
      <c r="G1208" s="22" t="s">
        <v>17</v>
      </c>
    </row>
    <row r="1209" ht="15.15" spans="1:7">
      <c r="A1209" s="20">
        <v>1208</v>
      </c>
      <c r="B1209" s="20">
        <v>2232</v>
      </c>
      <c r="C1209" s="21">
        <v>45124</v>
      </c>
      <c r="D1209" s="20">
        <v>315.18</v>
      </c>
      <c r="E1209" s="22" t="s">
        <v>10</v>
      </c>
      <c r="F1209" s="22" t="s">
        <v>11</v>
      </c>
      <c r="G1209" s="22" t="s">
        <v>17</v>
      </c>
    </row>
    <row r="1210" ht="15.15" spans="1:7">
      <c r="A1210" s="20">
        <v>1209</v>
      </c>
      <c r="B1210" s="20">
        <v>8547</v>
      </c>
      <c r="C1210" s="21">
        <v>45197</v>
      </c>
      <c r="D1210" s="20">
        <v>1916.38</v>
      </c>
      <c r="E1210" s="22" t="s">
        <v>10</v>
      </c>
      <c r="F1210" s="22" t="s">
        <v>16</v>
      </c>
      <c r="G1210" s="22" t="s">
        <v>20</v>
      </c>
    </row>
    <row r="1211" ht="15.15" spans="1:7">
      <c r="A1211" s="20">
        <v>1210</v>
      </c>
      <c r="B1211" s="20">
        <v>1027</v>
      </c>
      <c r="C1211" s="21">
        <v>45038</v>
      </c>
      <c r="D1211" s="20">
        <v>208.24</v>
      </c>
      <c r="E1211" s="22" t="s">
        <v>10</v>
      </c>
      <c r="F1211" s="22" t="s">
        <v>18</v>
      </c>
      <c r="G1211" s="22" t="s">
        <v>17</v>
      </c>
    </row>
    <row r="1212" ht="15.15" spans="1:7">
      <c r="A1212" s="20">
        <v>1211</v>
      </c>
      <c r="B1212" s="20">
        <v>5313</v>
      </c>
      <c r="C1212" s="21">
        <v>45076</v>
      </c>
      <c r="D1212" s="20">
        <v>3064.98</v>
      </c>
      <c r="E1212" s="22" t="s">
        <v>10</v>
      </c>
      <c r="F1212" s="22" t="s">
        <v>16</v>
      </c>
      <c r="G1212" s="22" t="s">
        <v>17</v>
      </c>
    </row>
    <row r="1213" ht="15.15" spans="1:7">
      <c r="A1213" s="20">
        <v>1212</v>
      </c>
      <c r="B1213" s="20">
        <v>2926</v>
      </c>
      <c r="C1213" s="21">
        <v>45224</v>
      </c>
      <c r="D1213" s="20">
        <v>2580.08</v>
      </c>
      <c r="E1213" s="22" t="s">
        <v>10</v>
      </c>
      <c r="F1213" s="22" t="s">
        <v>16</v>
      </c>
      <c r="G1213" s="22" t="s">
        <v>12</v>
      </c>
    </row>
    <row r="1214" ht="15.15" spans="1:7">
      <c r="A1214" s="20">
        <v>1213</v>
      </c>
      <c r="B1214" s="20">
        <v>2659</v>
      </c>
      <c r="C1214" s="21">
        <v>45188</v>
      </c>
      <c r="D1214" s="20">
        <v>1264.86</v>
      </c>
      <c r="E1214" s="22" t="s">
        <v>10</v>
      </c>
      <c r="F1214" s="22" t="s">
        <v>13</v>
      </c>
      <c r="G1214" s="22" t="s">
        <v>15</v>
      </c>
    </row>
    <row r="1215" ht="15.15" spans="1:7">
      <c r="A1215" s="20">
        <v>1214</v>
      </c>
      <c r="B1215" s="20">
        <v>2079</v>
      </c>
      <c r="C1215" s="21">
        <v>45207</v>
      </c>
      <c r="D1215" s="20">
        <v>1871.48</v>
      </c>
      <c r="E1215" s="22" t="s">
        <v>10</v>
      </c>
      <c r="F1215" s="22" t="s">
        <v>18</v>
      </c>
      <c r="G1215" s="22" t="s">
        <v>20</v>
      </c>
    </row>
    <row r="1216" ht="15.15" spans="1:7">
      <c r="A1216" s="20">
        <v>1215</v>
      </c>
      <c r="B1216" s="20">
        <v>7832</v>
      </c>
      <c r="C1216" s="21">
        <v>45058</v>
      </c>
      <c r="D1216" s="20">
        <v>1860.2</v>
      </c>
      <c r="E1216" s="22" t="s">
        <v>10</v>
      </c>
      <c r="F1216" s="22" t="s">
        <v>13</v>
      </c>
      <c r="G1216" s="22" t="s">
        <v>12</v>
      </c>
    </row>
    <row r="1217" ht="15.15" spans="1:7">
      <c r="A1217" s="20">
        <v>1216</v>
      </c>
      <c r="B1217" s="20">
        <v>775</v>
      </c>
      <c r="C1217" s="21">
        <v>44987</v>
      </c>
      <c r="D1217" s="20">
        <v>177.79</v>
      </c>
      <c r="E1217" s="22" t="s">
        <v>10</v>
      </c>
      <c r="F1217" s="22" t="s">
        <v>16</v>
      </c>
      <c r="G1217" s="22" t="s">
        <v>20</v>
      </c>
    </row>
    <row r="1218" ht="15.15" spans="1:7">
      <c r="A1218" s="20">
        <v>1217</v>
      </c>
      <c r="B1218" s="20">
        <v>5209</v>
      </c>
      <c r="C1218" s="21">
        <v>44963</v>
      </c>
      <c r="D1218" s="20">
        <v>2863.77</v>
      </c>
      <c r="E1218" s="22" t="s">
        <v>10</v>
      </c>
      <c r="F1218" s="22" t="s">
        <v>18</v>
      </c>
      <c r="G1218" s="22" t="s">
        <v>20</v>
      </c>
    </row>
    <row r="1219" ht="15.15" spans="1:7">
      <c r="A1219" s="20">
        <v>1218</v>
      </c>
      <c r="B1219" s="20">
        <v>3811</v>
      </c>
      <c r="C1219" s="21">
        <v>45156</v>
      </c>
      <c r="D1219" s="20">
        <v>1280.27</v>
      </c>
      <c r="E1219" s="22" t="s">
        <v>10</v>
      </c>
      <c r="F1219" s="22" t="s">
        <v>16</v>
      </c>
      <c r="G1219" s="22" t="s">
        <v>20</v>
      </c>
    </row>
    <row r="1220" ht="15.15" spans="1:7">
      <c r="A1220" s="20">
        <v>1219</v>
      </c>
      <c r="B1220" s="20">
        <v>6756</v>
      </c>
      <c r="C1220" s="21">
        <v>44948</v>
      </c>
      <c r="D1220" s="20">
        <v>868.28</v>
      </c>
      <c r="E1220" s="22" t="s">
        <v>10</v>
      </c>
      <c r="F1220" s="22" t="s">
        <v>16</v>
      </c>
      <c r="G1220" s="22" t="s">
        <v>12</v>
      </c>
    </row>
    <row r="1221" ht="15.15" spans="1:7">
      <c r="A1221" s="20">
        <v>1220</v>
      </c>
      <c r="B1221" s="20">
        <v>7701</v>
      </c>
      <c r="C1221" s="21">
        <v>45286</v>
      </c>
      <c r="D1221" s="20">
        <v>548.81</v>
      </c>
      <c r="E1221" s="22" t="s">
        <v>10</v>
      </c>
      <c r="F1221" s="22" t="s">
        <v>18</v>
      </c>
      <c r="G1221" s="22" t="s">
        <v>17</v>
      </c>
    </row>
    <row r="1222" ht="15.15" spans="1:7">
      <c r="A1222" s="20">
        <v>1221</v>
      </c>
      <c r="B1222" s="20">
        <v>1146</v>
      </c>
      <c r="C1222" s="21">
        <v>45176</v>
      </c>
      <c r="D1222" s="20">
        <v>526.08</v>
      </c>
      <c r="E1222" s="22" t="s">
        <v>10</v>
      </c>
      <c r="F1222" s="22" t="s">
        <v>14</v>
      </c>
      <c r="G1222" s="22" t="s">
        <v>12</v>
      </c>
    </row>
    <row r="1223" ht="15.15" spans="1:7">
      <c r="A1223" s="20">
        <v>1222</v>
      </c>
      <c r="B1223" s="20">
        <v>2652</v>
      </c>
      <c r="C1223" s="21">
        <v>45064</v>
      </c>
      <c r="D1223" s="20">
        <v>235.13</v>
      </c>
      <c r="E1223" s="22" t="s">
        <v>10</v>
      </c>
      <c r="F1223" s="22" t="s">
        <v>11</v>
      </c>
      <c r="G1223" s="22" t="s">
        <v>20</v>
      </c>
    </row>
    <row r="1224" ht="15.15" spans="1:7">
      <c r="A1224" s="20">
        <v>1223</v>
      </c>
      <c r="B1224" s="20">
        <v>4349</v>
      </c>
      <c r="C1224" s="21">
        <v>45187</v>
      </c>
      <c r="D1224" s="20">
        <v>1350.16</v>
      </c>
      <c r="E1224" s="22" t="s">
        <v>10</v>
      </c>
      <c r="F1224" s="22" t="s">
        <v>16</v>
      </c>
      <c r="G1224" s="22" t="s">
        <v>20</v>
      </c>
    </row>
    <row r="1225" ht="15.15" spans="1:7">
      <c r="A1225" s="20">
        <v>1224</v>
      </c>
      <c r="B1225" s="20">
        <v>7922</v>
      </c>
      <c r="C1225" s="21">
        <v>44989</v>
      </c>
      <c r="D1225" s="20">
        <v>1819.08</v>
      </c>
      <c r="E1225" s="22" t="s">
        <v>21</v>
      </c>
      <c r="F1225" s="22" t="s">
        <v>11</v>
      </c>
      <c r="G1225" s="22" t="s">
        <v>20</v>
      </c>
    </row>
    <row r="1226" ht="15.15" spans="1:7">
      <c r="A1226" s="20">
        <v>1225</v>
      </c>
      <c r="B1226" s="20">
        <v>6002</v>
      </c>
      <c r="C1226" s="21">
        <v>44952</v>
      </c>
      <c r="D1226" s="20">
        <v>436.2</v>
      </c>
      <c r="E1226" s="22" t="s">
        <v>10</v>
      </c>
      <c r="F1226" s="22" t="s">
        <v>19</v>
      </c>
      <c r="G1226" s="22" t="s">
        <v>17</v>
      </c>
    </row>
    <row r="1227" ht="15.15" spans="1:7">
      <c r="A1227" s="20">
        <v>1226</v>
      </c>
      <c r="B1227" s="20">
        <v>2198</v>
      </c>
      <c r="C1227" s="21">
        <v>45287</v>
      </c>
      <c r="D1227" s="20">
        <v>695.33</v>
      </c>
      <c r="E1227" s="22" t="s">
        <v>21</v>
      </c>
      <c r="F1227" s="22" t="s">
        <v>14</v>
      </c>
      <c r="G1227" s="22" t="s">
        <v>17</v>
      </c>
    </row>
    <row r="1228" ht="15.15" spans="1:7">
      <c r="A1228" s="20">
        <v>1227</v>
      </c>
      <c r="B1228" s="20">
        <v>4901</v>
      </c>
      <c r="C1228" s="21">
        <v>45149</v>
      </c>
      <c r="D1228" s="20">
        <v>462.84</v>
      </c>
      <c r="E1228" s="22" t="s">
        <v>10</v>
      </c>
      <c r="F1228" s="22" t="s">
        <v>18</v>
      </c>
      <c r="G1228" s="22" t="s">
        <v>20</v>
      </c>
    </row>
    <row r="1229" ht="15.15" spans="1:7">
      <c r="A1229" s="20">
        <v>1228</v>
      </c>
      <c r="B1229" s="20">
        <v>374</v>
      </c>
      <c r="C1229" s="21">
        <v>45142</v>
      </c>
      <c r="D1229" s="20">
        <v>3707.81</v>
      </c>
      <c r="E1229" s="22" t="s">
        <v>10</v>
      </c>
      <c r="F1229" s="22" t="s">
        <v>18</v>
      </c>
      <c r="G1229" s="22" t="s">
        <v>20</v>
      </c>
    </row>
    <row r="1230" ht="15.15" spans="1:7">
      <c r="A1230" s="20">
        <v>1229</v>
      </c>
      <c r="B1230" s="20">
        <v>8532</v>
      </c>
      <c r="C1230" s="21">
        <v>44983</v>
      </c>
      <c r="D1230" s="20">
        <v>432.45</v>
      </c>
      <c r="E1230" s="22" t="s">
        <v>10</v>
      </c>
      <c r="F1230" s="22" t="s">
        <v>18</v>
      </c>
      <c r="G1230" s="22" t="s">
        <v>17</v>
      </c>
    </row>
    <row r="1231" ht="15.15" spans="1:7">
      <c r="A1231" s="20">
        <v>1230</v>
      </c>
      <c r="B1231" s="20">
        <v>9430</v>
      </c>
      <c r="C1231" s="21">
        <v>45012</v>
      </c>
      <c r="D1231" s="20">
        <v>1798.4</v>
      </c>
      <c r="E1231" s="22" t="s">
        <v>10</v>
      </c>
      <c r="F1231" s="22" t="s">
        <v>18</v>
      </c>
      <c r="G1231" s="22" t="s">
        <v>15</v>
      </c>
    </row>
    <row r="1232" ht="15.15" spans="1:7">
      <c r="A1232" s="20">
        <v>1231</v>
      </c>
      <c r="B1232" s="20">
        <v>5223</v>
      </c>
      <c r="C1232" s="21">
        <v>45004</v>
      </c>
      <c r="D1232" s="20">
        <v>442.46</v>
      </c>
      <c r="E1232" s="22" t="s">
        <v>10</v>
      </c>
      <c r="F1232" s="22" t="s">
        <v>14</v>
      </c>
      <c r="G1232" s="22" t="s">
        <v>15</v>
      </c>
    </row>
    <row r="1233" ht="15.15" spans="1:7">
      <c r="A1233" s="20">
        <v>1232</v>
      </c>
      <c r="B1233" s="20">
        <v>757</v>
      </c>
      <c r="C1233" s="21">
        <v>45131</v>
      </c>
      <c r="D1233" s="20">
        <v>208.24</v>
      </c>
      <c r="E1233" s="22" t="s">
        <v>10</v>
      </c>
      <c r="F1233" s="22" t="s">
        <v>16</v>
      </c>
      <c r="G1233" s="22" t="s">
        <v>12</v>
      </c>
    </row>
    <row r="1234" ht="15.15" spans="1:7">
      <c r="A1234" s="20">
        <v>1233</v>
      </c>
      <c r="B1234" s="20">
        <v>1158</v>
      </c>
      <c r="C1234" s="21">
        <v>45205</v>
      </c>
      <c r="D1234" s="20">
        <v>5547.62</v>
      </c>
      <c r="E1234" s="22" t="s">
        <v>10</v>
      </c>
      <c r="F1234" s="22" t="s">
        <v>14</v>
      </c>
      <c r="G1234" s="22" t="s">
        <v>12</v>
      </c>
    </row>
    <row r="1235" ht="15.15" spans="1:7">
      <c r="A1235" s="20">
        <v>1234</v>
      </c>
      <c r="B1235" s="20">
        <v>3686</v>
      </c>
      <c r="C1235" s="21">
        <v>45208</v>
      </c>
      <c r="D1235" s="20">
        <v>2045.04</v>
      </c>
      <c r="E1235" s="22" t="s">
        <v>10</v>
      </c>
      <c r="F1235" s="22" t="s">
        <v>11</v>
      </c>
      <c r="G1235" s="22" t="s">
        <v>12</v>
      </c>
    </row>
    <row r="1236" ht="15.15" spans="1:7">
      <c r="A1236" s="20">
        <v>1235</v>
      </c>
      <c r="B1236" s="20">
        <v>8760</v>
      </c>
      <c r="C1236" s="21">
        <v>45048</v>
      </c>
      <c r="D1236" s="20">
        <v>406.33</v>
      </c>
      <c r="E1236" s="22" t="s">
        <v>10</v>
      </c>
      <c r="F1236" s="22" t="s">
        <v>13</v>
      </c>
      <c r="G1236" s="22" t="s">
        <v>15</v>
      </c>
    </row>
    <row r="1237" ht="15.15" spans="1:7">
      <c r="A1237" s="20">
        <v>1236</v>
      </c>
      <c r="B1237" s="20">
        <v>590</v>
      </c>
      <c r="C1237" s="21">
        <v>45212</v>
      </c>
      <c r="D1237" s="20">
        <v>555.16</v>
      </c>
      <c r="E1237" s="22" t="s">
        <v>10</v>
      </c>
      <c r="F1237" s="22" t="s">
        <v>14</v>
      </c>
      <c r="G1237" s="22" t="s">
        <v>17</v>
      </c>
    </row>
    <row r="1238" ht="15.15" spans="1:7">
      <c r="A1238" s="20">
        <v>1237</v>
      </c>
      <c r="B1238" s="20">
        <v>2886</v>
      </c>
      <c r="C1238" s="21">
        <v>45119</v>
      </c>
      <c r="D1238" s="20">
        <v>1774.49</v>
      </c>
      <c r="E1238" s="22" t="s">
        <v>10</v>
      </c>
      <c r="F1238" s="22" t="s">
        <v>13</v>
      </c>
      <c r="G1238" s="22" t="s">
        <v>20</v>
      </c>
    </row>
    <row r="1239" ht="15.15" spans="1:7">
      <c r="A1239" s="20">
        <v>1238</v>
      </c>
      <c r="B1239" s="20">
        <v>5508</v>
      </c>
      <c r="C1239" s="21">
        <v>45145</v>
      </c>
      <c r="D1239" s="20">
        <v>3703.14</v>
      </c>
      <c r="E1239" s="22" t="s">
        <v>10</v>
      </c>
      <c r="F1239" s="22" t="s">
        <v>13</v>
      </c>
      <c r="G1239" s="22" t="s">
        <v>15</v>
      </c>
    </row>
    <row r="1240" ht="15.15" spans="1:7">
      <c r="A1240" s="20">
        <v>1239</v>
      </c>
      <c r="B1240" s="20">
        <v>15</v>
      </c>
      <c r="C1240" s="21">
        <v>45142</v>
      </c>
      <c r="D1240" s="20">
        <v>764.02</v>
      </c>
      <c r="E1240" s="22" t="s">
        <v>10</v>
      </c>
      <c r="F1240" s="22" t="s">
        <v>18</v>
      </c>
      <c r="G1240" s="22" t="s">
        <v>15</v>
      </c>
    </row>
    <row r="1241" ht="15.15" spans="1:7">
      <c r="A1241" s="20">
        <v>1240</v>
      </c>
      <c r="B1241" s="20">
        <v>5489</v>
      </c>
      <c r="C1241" s="21">
        <v>45250</v>
      </c>
      <c r="D1241" s="20">
        <v>990.62</v>
      </c>
      <c r="E1241" s="22" t="s">
        <v>10</v>
      </c>
      <c r="F1241" s="22" t="s">
        <v>13</v>
      </c>
      <c r="G1241" s="22" t="s">
        <v>15</v>
      </c>
    </row>
    <row r="1242" ht="15.15" spans="1:7">
      <c r="A1242" s="20">
        <v>1241</v>
      </c>
      <c r="B1242" s="20">
        <v>4064</v>
      </c>
      <c r="C1242" s="21">
        <v>45082</v>
      </c>
      <c r="D1242" s="20">
        <v>1836.52</v>
      </c>
      <c r="E1242" s="22" t="s">
        <v>10</v>
      </c>
      <c r="F1242" s="22" t="s">
        <v>18</v>
      </c>
      <c r="G1242" s="22" t="s">
        <v>17</v>
      </c>
    </row>
    <row r="1243" ht="15.15" spans="1:7">
      <c r="A1243" s="20">
        <v>1242</v>
      </c>
      <c r="B1243" s="20">
        <v>9106</v>
      </c>
      <c r="C1243" s="21">
        <v>45256</v>
      </c>
      <c r="D1243" s="20">
        <v>278.93</v>
      </c>
      <c r="E1243" s="22" t="s">
        <v>10</v>
      </c>
      <c r="F1243" s="22" t="s">
        <v>11</v>
      </c>
      <c r="G1243" s="22" t="s">
        <v>17</v>
      </c>
    </row>
    <row r="1244" ht="15.15" spans="1:7">
      <c r="A1244" s="20">
        <v>1243</v>
      </c>
      <c r="B1244" s="20">
        <v>7520</v>
      </c>
      <c r="C1244" s="21">
        <v>45074</v>
      </c>
      <c r="D1244" s="20">
        <v>1394.16</v>
      </c>
      <c r="E1244" s="22" t="s">
        <v>10</v>
      </c>
      <c r="F1244" s="22" t="s">
        <v>11</v>
      </c>
      <c r="G1244" s="22" t="s">
        <v>15</v>
      </c>
    </row>
    <row r="1245" ht="15.15" spans="1:7">
      <c r="A1245" s="20">
        <v>1244</v>
      </c>
      <c r="B1245" s="20">
        <v>6989</v>
      </c>
      <c r="C1245" s="21">
        <v>45275</v>
      </c>
      <c r="D1245" s="20">
        <v>1800.21</v>
      </c>
      <c r="E1245" s="22" t="s">
        <v>10</v>
      </c>
      <c r="F1245" s="22" t="s">
        <v>16</v>
      </c>
      <c r="G1245" s="22" t="s">
        <v>15</v>
      </c>
    </row>
    <row r="1246" ht="15.15" spans="1:7">
      <c r="A1246" s="20">
        <v>1245</v>
      </c>
      <c r="B1246" s="20">
        <v>4279</v>
      </c>
      <c r="C1246" s="21">
        <v>44969</v>
      </c>
      <c r="D1246" s="20">
        <v>1982.68</v>
      </c>
      <c r="E1246" s="22" t="s">
        <v>10</v>
      </c>
      <c r="F1246" s="22" t="s">
        <v>13</v>
      </c>
      <c r="G1246" s="22" t="s">
        <v>20</v>
      </c>
    </row>
    <row r="1247" ht="15.15" spans="1:7">
      <c r="A1247" s="20">
        <v>1246</v>
      </c>
      <c r="B1247" s="20">
        <v>5092</v>
      </c>
      <c r="C1247" s="21">
        <v>45272</v>
      </c>
      <c r="D1247" s="20">
        <v>2150.67</v>
      </c>
      <c r="E1247" s="22" t="s">
        <v>10</v>
      </c>
      <c r="F1247" s="22" t="s">
        <v>18</v>
      </c>
      <c r="G1247" s="22" t="s">
        <v>15</v>
      </c>
    </row>
    <row r="1248" ht="15.15" spans="1:7">
      <c r="A1248" s="20">
        <v>1247</v>
      </c>
      <c r="B1248" s="20">
        <v>4966</v>
      </c>
      <c r="C1248" s="21">
        <v>45250</v>
      </c>
      <c r="D1248" s="20">
        <v>339.07</v>
      </c>
      <c r="E1248" s="22" t="s">
        <v>10</v>
      </c>
      <c r="F1248" s="22" t="s">
        <v>16</v>
      </c>
      <c r="G1248" s="22" t="s">
        <v>15</v>
      </c>
    </row>
    <row r="1249" ht="15.15" spans="1:7">
      <c r="A1249" s="20">
        <v>1248</v>
      </c>
      <c r="B1249" s="20">
        <v>7540</v>
      </c>
      <c r="C1249" s="21">
        <v>44980</v>
      </c>
      <c r="D1249" s="20">
        <v>3865.08</v>
      </c>
      <c r="E1249" s="22" t="s">
        <v>10</v>
      </c>
      <c r="F1249" s="22" t="s">
        <v>16</v>
      </c>
      <c r="G1249" s="22" t="s">
        <v>15</v>
      </c>
    </row>
    <row r="1250" ht="15.15" spans="1:7">
      <c r="A1250" s="20">
        <v>1249</v>
      </c>
      <c r="B1250" s="20">
        <v>5255</v>
      </c>
      <c r="C1250" s="21">
        <v>44968</v>
      </c>
      <c r="D1250" s="20">
        <v>2599.64</v>
      </c>
      <c r="E1250" s="22" t="s">
        <v>10</v>
      </c>
      <c r="F1250" s="22" t="s">
        <v>16</v>
      </c>
      <c r="G1250" s="22" t="s">
        <v>20</v>
      </c>
    </row>
    <row r="1251" ht="15.15" spans="1:7">
      <c r="A1251" s="20">
        <v>1250</v>
      </c>
      <c r="B1251" s="20">
        <v>9933</v>
      </c>
      <c r="C1251" s="21">
        <v>45145</v>
      </c>
      <c r="D1251" s="20">
        <v>344.28</v>
      </c>
      <c r="E1251" s="22" t="s">
        <v>10</v>
      </c>
      <c r="F1251" s="22" t="s">
        <v>11</v>
      </c>
      <c r="G1251" s="22" t="s">
        <v>15</v>
      </c>
    </row>
    <row r="1252" ht="15.15" spans="1:7">
      <c r="A1252" s="20">
        <v>1251</v>
      </c>
      <c r="B1252" s="20">
        <v>6605</v>
      </c>
      <c r="C1252" s="21">
        <v>45024</v>
      </c>
      <c r="D1252" s="20">
        <v>2293.7</v>
      </c>
      <c r="E1252" s="22" t="s">
        <v>21</v>
      </c>
      <c r="F1252" s="22" t="s">
        <v>18</v>
      </c>
      <c r="G1252" s="22" t="s">
        <v>17</v>
      </c>
    </row>
    <row r="1253" ht="15.15" spans="1:7">
      <c r="A1253" s="20">
        <v>1252</v>
      </c>
      <c r="B1253" s="20">
        <v>7211</v>
      </c>
      <c r="C1253" s="21">
        <v>45201</v>
      </c>
      <c r="D1253" s="20">
        <v>2516.86</v>
      </c>
      <c r="E1253" s="22" t="s">
        <v>10</v>
      </c>
      <c r="F1253" s="22" t="s">
        <v>13</v>
      </c>
      <c r="G1253" s="22" t="s">
        <v>12</v>
      </c>
    </row>
    <row r="1254" ht="15.15" spans="1:7">
      <c r="A1254" s="20">
        <v>1253</v>
      </c>
      <c r="B1254" s="20">
        <v>9223</v>
      </c>
      <c r="C1254" s="21">
        <v>45242</v>
      </c>
      <c r="D1254" s="20">
        <v>1695.09</v>
      </c>
      <c r="E1254" s="22" t="s">
        <v>10</v>
      </c>
      <c r="F1254" s="22" t="s">
        <v>14</v>
      </c>
      <c r="G1254" s="22" t="s">
        <v>12</v>
      </c>
    </row>
    <row r="1255" ht="15.15" spans="1:7">
      <c r="A1255" s="20">
        <v>1254</v>
      </c>
      <c r="B1255" s="20">
        <v>1110</v>
      </c>
      <c r="C1255" s="21">
        <v>45282</v>
      </c>
      <c r="D1255" s="20">
        <v>756.21</v>
      </c>
      <c r="E1255" s="22" t="s">
        <v>10</v>
      </c>
      <c r="F1255" s="22" t="s">
        <v>16</v>
      </c>
      <c r="G1255" s="22" t="s">
        <v>15</v>
      </c>
    </row>
    <row r="1256" ht="15.15" spans="1:7">
      <c r="A1256" s="20">
        <v>1255</v>
      </c>
      <c r="B1256" s="20">
        <v>2196</v>
      </c>
      <c r="C1256" s="21">
        <v>45252</v>
      </c>
      <c r="D1256" s="20">
        <v>1041.67</v>
      </c>
      <c r="E1256" s="22" t="s">
        <v>10</v>
      </c>
      <c r="F1256" s="22" t="s">
        <v>16</v>
      </c>
      <c r="G1256" s="22" t="s">
        <v>15</v>
      </c>
    </row>
    <row r="1257" ht="15.15" spans="1:7">
      <c r="A1257" s="20">
        <v>1256</v>
      </c>
      <c r="B1257" s="20">
        <v>1088</v>
      </c>
      <c r="C1257" s="21">
        <v>45159</v>
      </c>
      <c r="D1257" s="20">
        <v>1393.73</v>
      </c>
      <c r="E1257" s="22" t="s">
        <v>10</v>
      </c>
      <c r="F1257" s="22" t="s">
        <v>14</v>
      </c>
      <c r="G1257" s="22" t="s">
        <v>17</v>
      </c>
    </row>
    <row r="1258" ht="15.15" spans="1:7">
      <c r="A1258" s="20">
        <v>1257</v>
      </c>
      <c r="B1258" s="20">
        <v>1501</v>
      </c>
      <c r="C1258" s="21">
        <v>45112</v>
      </c>
      <c r="D1258" s="20">
        <v>200.91</v>
      </c>
      <c r="E1258" s="22" t="s">
        <v>10</v>
      </c>
      <c r="F1258" s="22" t="s">
        <v>18</v>
      </c>
      <c r="G1258" s="22" t="s">
        <v>20</v>
      </c>
    </row>
    <row r="1259" ht="15.15" spans="1:7">
      <c r="A1259" s="20">
        <v>1258</v>
      </c>
      <c r="B1259" s="20">
        <v>9314</v>
      </c>
      <c r="C1259" s="21">
        <v>45087</v>
      </c>
      <c r="D1259" s="20">
        <v>699.45</v>
      </c>
      <c r="E1259" s="22" t="s">
        <v>10</v>
      </c>
      <c r="F1259" s="22" t="s">
        <v>18</v>
      </c>
      <c r="G1259" s="22" t="s">
        <v>15</v>
      </c>
    </row>
    <row r="1260" ht="15.15" spans="1:7">
      <c r="A1260" s="20">
        <v>1259</v>
      </c>
      <c r="B1260" s="20">
        <v>5869</v>
      </c>
      <c r="C1260" s="21">
        <v>45286</v>
      </c>
      <c r="D1260" s="20">
        <v>436.2</v>
      </c>
      <c r="E1260" s="22" t="s">
        <v>10</v>
      </c>
      <c r="F1260" s="22" t="s">
        <v>16</v>
      </c>
      <c r="G1260" s="22" t="s">
        <v>12</v>
      </c>
    </row>
    <row r="1261" ht="15.15" spans="1:7">
      <c r="A1261" s="20">
        <v>1260</v>
      </c>
      <c r="B1261" s="20">
        <v>1321</v>
      </c>
      <c r="C1261" s="21">
        <v>44994</v>
      </c>
      <c r="D1261" s="20">
        <v>154.28</v>
      </c>
      <c r="E1261" s="22" t="s">
        <v>10</v>
      </c>
      <c r="F1261" s="22" t="s">
        <v>14</v>
      </c>
      <c r="G1261" s="22" t="s">
        <v>12</v>
      </c>
    </row>
    <row r="1262" ht="15.15" spans="1:7">
      <c r="A1262" s="20">
        <v>1261</v>
      </c>
      <c r="B1262" s="20">
        <v>3582</v>
      </c>
      <c r="C1262" s="21">
        <v>44940</v>
      </c>
      <c r="D1262" s="20">
        <v>556.73</v>
      </c>
      <c r="E1262" s="22" t="s">
        <v>10</v>
      </c>
      <c r="F1262" s="22" t="s">
        <v>18</v>
      </c>
      <c r="G1262" s="22" t="s">
        <v>12</v>
      </c>
    </row>
    <row r="1263" ht="15.15" spans="1:7">
      <c r="A1263" s="20">
        <v>1262</v>
      </c>
      <c r="B1263" s="20">
        <v>7297</v>
      </c>
      <c r="C1263" s="21">
        <v>45043</v>
      </c>
      <c r="D1263" s="20">
        <v>2100</v>
      </c>
      <c r="E1263" s="22" t="s">
        <v>10</v>
      </c>
      <c r="F1263" s="22" t="s">
        <v>16</v>
      </c>
      <c r="G1263" s="22" t="s">
        <v>15</v>
      </c>
    </row>
    <row r="1264" ht="15.15" spans="1:7">
      <c r="A1264" s="20">
        <v>1263</v>
      </c>
      <c r="B1264" s="20">
        <v>4327</v>
      </c>
      <c r="C1264" s="21">
        <v>44964</v>
      </c>
      <c r="D1264" s="20">
        <v>649.61</v>
      </c>
      <c r="E1264" s="22" t="s">
        <v>10</v>
      </c>
      <c r="F1264" s="22" t="s">
        <v>13</v>
      </c>
      <c r="G1264" s="22" t="s">
        <v>17</v>
      </c>
    </row>
    <row r="1265" ht="15.15" spans="1:7">
      <c r="A1265" s="20">
        <v>1264</v>
      </c>
      <c r="B1265" s="20">
        <v>1267</v>
      </c>
      <c r="C1265" s="21">
        <v>45086</v>
      </c>
      <c r="D1265" s="20">
        <v>3035.72</v>
      </c>
      <c r="E1265" s="22" t="s">
        <v>10</v>
      </c>
      <c r="F1265" s="22" t="s">
        <v>14</v>
      </c>
      <c r="G1265" s="22" t="s">
        <v>15</v>
      </c>
    </row>
    <row r="1266" ht="15.15" spans="1:7">
      <c r="A1266" s="20">
        <v>1265</v>
      </c>
      <c r="B1266" s="20">
        <v>7117</v>
      </c>
      <c r="C1266" s="21">
        <v>45141</v>
      </c>
      <c r="D1266" s="20">
        <v>995.47</v>
      </c>
      <c r="E1266" s="22" t="s">
        <v>10</v>
      </c>
      <c r="F1266" s="22" t="s">
        <v>16</v>
      </c>
      <c r="G1266" s="22" t="s">
        <v>15</v>
      </c>
    </row>
    <row r="1267" ht="15.15" spans="1:7">
      <c r="A1267" s="20">
        <v>1266</v>
      </c>
      <c r="B1267" s="20">
        <v>3260</v>
      </c>
      <c r="C1267" s="21">
        <v>44984</v>
      </c>
      <c r="D1267" s="20">
        <v>228.45</v>
      </c>
      <c r="E1267" s="22" t="s">
        <v>10</v>
      </c>
      <c r="F1267" s="22" t="s">
        <v>13</v>
      </c>
      <c r="G1267" s="22" t="s">
        <v>15</v>
      </c>
    </row>
    <row r="1268" ht="15.15" spans="1:7">
      <c r="A1268" s="20">
        <v>1267</v>
      </c>
      <c r="B1268" s="20">
        <v>3102</v>
      </c>
      <c r="C1268" s="21">
        <v>45001</v>
      </c>
      <c r="D1268" s="20">
        <v>2708.73</v>
      </c>
      <c r="E1268" s="22" t="s">
        <v>10</v>
      </c>
      <c r="F1268" s="22" t="s">
        <v>18</v>
      </c>
      <c r="G1268" s="22" t="s">
        <v>17</v>
      </c>
    </row>
    <row r="1269" ht="15.15" spans="1:7">
      <c r="A1269" s="20">
        <v>1268</v>
      </c>
      <c r="B1269" s="20">
        <v>7861</v>
      </c>
      <c r="C1269" s="21">
        <v>44962</v>
      </c>
      <c r="D1269" s="20">
        <v>401.39</v>
      </c>
      <c r="E1269" s="22" t="s">
        <v>10</v>
      </c>
      <c r="F1269" s="22" t="s">
        <v>13</v>
      </c>
      <c r="G1269" s="22" t="s">
        <v>12</v>
      </c>
    </row>
    <row r="1270" ht="15.15" spans="1:7">
      <c r="A1270" s="20">
        <v>1269</v>
      </c>
      <c r="B1270" s="20">
        <v>5490</v>
      </c>
      <c r="C1270" s="21">
        <v>45209</v>
      </c>
      <c r="D1270" s="20">
        <v>377.58</v>
      </c>
      <c r="E1270" s="22" t="s">
        <v>10</v>
      </c>
      <c r="F1270" s="22" t="s">
        <v>18</v>
      </c>
      <c r="G1270" s="22" t="s">
        <v>12</v>
      </c>
    </row>
    <row r="1271" ht="15.15" spans="1:7">
      <c r="A1271" s="20">
        <v>1270</v>
      </c>
      <c r="B1271" s="20">
        <v>3575</v>
      </c>
      <c r="C1271" s="21">
        <v>44961</v>
      </c>
      <c r="D1271" s="20">
        <v>861.87</v>
      </c>
      <c r="E1271" s="22" t="s">
        <v>10</v>
      </c>
      <c r="F1271" s="22" t="s">
        <v>11</v>
      </c>
      <c r="G1271" s="22" t="s">
        <v>17</v>
      </c>
    </row>
    <row r="1272" ht="15.15" spans="1:7">
      <c r="A1272" s="20">
        <v>1271</v>
      </c>
      <c r="B1272" s="20">
        <v>1940</v>
      </c>
      <c r="C1272" s="21">
        <v>45124</v>
      </c>
      <c r="D1272" s="20">
        <v>401.69</v>
      </c>
      <c r="E1272" s="22" t="s">
        <v>10</v>
      </c>
      <c r="F1272" s="22" t="s">
        <v>18</v>
      </c>
      <c r="G1272" s="22" t="s">
        <v>12</v>
      </c>
    </row>
    <row r="1273" ht="15.15" spans="1:7">
      <c r="A1273" s="20">
        <v>1272</v>
      </c>
      <c r="B1273" s="20">
        <v>5577</v>
      </c>
      <c r="C1273" s="21">
        <v>45232</v>
      </c>
      <c r="D1273" s="20">
        <v>812.58</v>
      </c>
      <c r="E1273" s="22" t="s">
        <v>10</v>
      </c>
      <c r="F1273" s="22" t="s">
        <v>16</v>
      </c>
      <c r="G1273" s="22" t="s">
        <v>15</v>
      </c>
    </row>
    <row r="1274" ht="15.15" spans="1:7">
      <c r="A1274" s="20">
        <v>1273</v>
      </c>
      <c r="B1274" s="20">
        <v>1126</v>
      </c>
      <c r="C1274" s="21">
        <v>45245</v>
      </c>
      <c r="D1274" s="20">
        <v>1203.74</v>
      </c>
      <c r="E1274" s="22" t="s">
        <v>10</v>
      </c>
      <c r="F1274" s="22" t="s">
        <v>11</v>
      </c>
      <c r="G1274" s="22" t="s">
        <v>20</v>
      </c>
    </row>
    <row r="1275" ht="15.15" spans="1:7">
      <c r="A1275" s="20">
        <v>1274</v>
      </c>
      <c r="B1275" s="20">
        <v>5168</v>
      </c>
      <c r="C1275" s="21">
        <v>45021</v>
      </c>
      <c r="D1275" s="20">
        <v>250.59</v>
      </c>
      <c r="E1275" s="22" t="s">
        <v>10</v>
      </c>
      <c r="F1275" s="22" t="s">
        <v>16</v>
      </c>
      <c r="G1275" s="22" t="s">
        <v>20</v>
      </c>
    </row>
    <row r="1276" ht="15.15" spans="1:7">
      <c r="A1276" s="20">
        <v>1275</v>
      </c>
      <c r="B1276" s="20">
        <v>7810</v>
      </c>
      <c r="C1276" s="21">
        <v>45156</v>
      </c>
      <c r="D1276" s="20">
        <v>2193.84</v>
      </c>
      <c r="E1276" s="22" t="s">
        <v>21</v>
      </c>
      <c r="F1276" s="22" t="s">
        <v>13</v>
      </c>
      <c r="G1276" s="22" t="s">
        <v>12</v>
      </c>
    </row>
    <row r="1277" ht="15.15" spans="1:7">
      <c r="A1277" s="20">
        <v>1276</v>
      </c>
      <c r="B1277" s="20">
        <v>7542</v>
      </c>
      <c r="C1277" s="21">
        <v>45083</v>
      </c>
      <c r="D1277" s="20">
        <v>1238.2</v>
      </c>
      <c r="E1277" s="22" t="s">
        <v>10</v>
      </c>
      <c r="F1277" s="22" t="s">
        <v>18</v>
      </c>
      <c r="G1277" s="22" t="s">
        <v>17</v>
      </c>
    </row>
    <row r="1278" ht="15.15" spans="1:7">
      <c r="A1278" s="20">
        <v>1277</v>
      </c>
      <c r="B1278" s="20">
        <v>2309</v>
      </c>
      <c r="C1278" s="21">
        <v>45105</v>
      </c>
      <c r="D1278" s="20">
        <v>1479.63</v>
      </c>
      <c r="E1278" s="22" t="s">
        <v>21</v>
      </c>
      <c r="F1278" s="22" t="s">
        <v>18</v>
      </c>
      <c r="G1278" s="22" t="s">
        <v>17</v>
      </c>
    </row>
    <row r="1279" ht="15.15" spans="1:7">
      <c r="A1279" s="20">
        <v>1278</v>
      </c>
      <c r="B1279" s="20">
        <v>9774</v>
      </c>
      <c r="C1279" s="21">
        <v>44936</v>
      </c>
      <c r="D1279" s="20">
        <v>616.73</v>
      </c>
      <c r="E1279" s="22" t="s">
        <v>10</v>
      </c>
      <c r="F1279" s="22" t="s">
        <v>14</v>
      </c>
      <c r="G1279" s="22" t="s">
        <v>17</v>
      </c>
    </row>
    <row r="1280" ht="15.15" spans="1:7">
      <c r="A1280" s="20">
        <v>1279</v>
      </c>
      <c r="B1280" s="20">
        <v>2630</v>
      </c>
      <c r="C1280" s="21">
        <v>45271</v>
      </c>
      <c r="D1280" s="20">
        <v>638.1</v>
      </c>
      <c r="E1280" s="22" t="s">
        <v>10</v>
      </c>
      <c r="F1280" s="22" t="s">
        <v>14</v>
      </c>
      <c r="G1280" s="22" t="s">
        <v>17</v>
      </c>
    </row>
    <row r="1281" ht="15.15" spans="1:7">
      <c r="A1281" s="20">
        <v>1280</v>
      </c>
      <c r="B1281" s="20">
        <v>8518</v>
      </c>
      <c r="C1281" s="21">
        <v>45142</v>
      </c>
      <c r="D1281" s="20">
        <v>465.76</v>
      </c>
      <c r="E1281" s="22" t="s">
        <v>10</v>
      </c>
      <c r="F1281" s="22" t="s">
        <v>16</v>
      </c>
      <c r="G1281" s="22" t="s">
        <v>20</v>
      </c>
    </row>
    <row r="1282" ht="15.15" spans="1:7">
      <c r="A1282" s="20">
        <v>1281</v>
      </c>
      <c r="B1282" s="20">
        <v>8630</v>
      </c>
      <c r="C1282" s="21">
        <v>44963</v>
      </c>
      <c r="D1282" s="20">
        <v>1513.62</v>
      </c>
      <c r="E1282" s="22" t="s">
        <v>10</v>
      </c>
      <c r="F1282" s="22" t="s">
        <v>18</v>
      </c>
      <c r="G1282" s="22" t="s">
        <v>15</v>
      </c>
    </row>
    <row r="1283" ht="15.15" spans="1:7">
      <c r="A1283" s="20">
        <v>1282</v>
      </c>
      <c r="B1283" s="20">
        <v>6106</v>
      </c>
      <c r="C1283" s="21">
        <v>45252</v>
      </c>
      <c r="D1283" s="20">
        <v>434.69</v>
      </c>
      <c r="E1283" s="22" t="s">
        <v>10</v>
      </c>
      <c r="F1283" s="22" t="s">
        <v>18</v>
      </c>
      <c r="G1283" s="22" t="s">
        <v>15</v>
      </c>
    </row>
    <row r="1284" ht="15.15" spans="1:7">
      <c r="A1284" s="20">
        <v>1283</v>
      </c>
      <c r="B1284" s="20">
        <v>585</v>
      </c>
      <c r="C1284" s="21">
        <v>45237</v>
      </c>
      <c r="D1284" s="20">
        <v>4057.5</v>
      </c>
      <c r="E1284" s="22" t="s">
        <v>10</v>
      </c>
      <c r="F1284" s="22" t="s">
        <v>11</v>
      </c>
      <c r="G1284" s="22" t="s">
        <v>20</v>
      </c>
    </row>
    <row r="1285" ht="15.15" spans="1:7">
      <c r="A1285" s="20">
        <v>1284</v>
      </c>
      <c r="B1285" s="20">
        <v>7930</v>
      </c>
      <c r="C1285" s="21">
        <v>44936</v>
      </c>
      <c r="D1285" s="20">
        <v>1457.67</v>
      </c>
      <c r="E1285" s="22" t="s">
        <v>10</v>
      </c>
      <c r="F1285" s="22" t="s">
        <v>14</v>
      </c>
      <c r="G1285" s="22" t="s">
        <v>17</v>
      </c>
    </row>
    <row r="1286" ht="15.15" spans="1:7">
      <c r="A1286" s="20">
        <v>1285</v>
      </c>
      <c r="B1286" s="20">
        <v>8121</v>
      </c>
      <c r="C1286" s="21">
        <v>45005</v>
      </c>
      <c r="D1286" s="20">
        <v>731.83</v>
      </c>
      <c r="E1286" s="22" t="s">
        <v>10</v>
      </c>
      <c r="F1286" s="22" t="s">
        <v>18</v>
      </c>
      <c r="G1286" s="22" t="s">
        <v>20</v>
      </c>
    </row>
    <row r="1287" ht="15.15" spans="1:7">
      <c r="A1287" s="20">
        <v>1286</v>
      </c>
      <c r="B1287" s="20">
        <v>5887</v>
      </c>
      <c r="C1287" s="21">
        <v>45096</v>
      </c>
      <c r="D1287" s="20">
        <v>594.37</v>
      </c>
      <c r="E1287" s="22" t="s">
        <v>10</v>
      </c>
      <c r="F1287" s="22" t="s">
        <v>13</v>
      </c>
      <c r="G1287" s="22" t="s">
        <v>20</v>
      </c>
    </row>
    <row r="1288" ht="15.15" spans="1:7">
      <c r="A1288" s="20">
        <v>1287</v>
      </c>
      <c r="B1288" s="20">
        <v>1694</v>
      </c>
      <c r="C1288" s="21">
        <v>45167</v>
      </c>
      <c r="D1288" s="20">
        <v>1321.82</v>
      </c>
      <c r="E1288" s="22" t="s">
        <v>10</v>
      </c>
      <c r="F1288" s="22" t="s">
        <v>13</v>
      </c>
      <c r="G1288" s="22" t="s">
        <v>17</v>
      </c>
    </row>
    <row r="1289" ht="15.15" spans="1:7">
      <c r="A1289" s="20">
        <v>1288</v>
      </c>
      <c r="B1289" s="20">
        <v>2113</v>
      </c>
      <c r="C1289" s="21">
        <v>45158</v>
      </c>
      <c r="D1289" s="20">
        <v>2586.81</v>
      </c>
      <c r="E1289" s="22" t="s">
        <v>10</v>
      </c>
      <c r="F1289" s="22" t="s">
        <v>11</v>
      </c>
      <c r="G1289" s="22" t="s">
        <v>20</v>
      </c>
    </row>
    <row r="1290" ht="15.15" spans="1:7">
      <c r="A1290" s="20">
        <v>1289</v>
      </c>
      <c r="B1290" s="20">
        <v>1840</v>
      </c>
      <c r="C1290" s="21">
        <v>45158</v>
      </c>
      <c r="D1290" s="20">
        <v>5140.5</v>
      </c>
      <c r="E1290" s="22" t="s">
        <v>10</v>
      </c>
      <c r="F1290" s="22" t="s">
        <v>18</v>
      </c>
      <c r="G1290" s="22" t="s">
        <v>15</v>
      </c>
    </row>
    <row r="1291" ht="15.15" spans="1:7">
      <c r="A1291" s="20">
        <v>1290</v>
      </c>
      <c r="B1291" s="20">
        <v>8274</v>
      </c>
      <c r="C1291" s="21">
        <v>45232</v>
      </c>
      <c r="D1291" s="20">
        <v>1425.82</v>
      </c>
      <c r="E1291" s="22" t="s">
        <v>10</v>
      </c>
      <c r="F1291" s="22" t="s">
        <v>13</v>
      </c>
      <c r="G1291" s="22" t="s">
        <v>20</v>
      </c>
    </row>
    <row r="1292" ht="15.15" spans="1:7">
      <c r="A1292" s="20">
        <v>1291</v>
      </c>
      <c r="B1292" s="20">
        <v>9465</v>
      </c>
      <c r="C1292" s="21">
        <v>45238</v>
      </c>
      <c r="D1292" s="20">
        <v>943.1</v>
      </c>
      <c r="E1292" s="22" t="s">
        <v>10</v>
      </c>
      <c r="F1292" s="22" t="s">
        <v>11</v>
      </c>
      <c r="G1292" s="22" t="s">
        <v>12</v>
      </c>
    </row>
    <row r="1293" ht="15.15" spans="1:7">
      <c r="A1293" s="20">
        <v>1292</v>
      </c>
      <c r="B1293" s="20">
        <v>1530</v>
      </c>
      <c r="C1293" s="21">
        <v>45290</v>
      </c>
      <c r="D1293" s="20">
        <v>339.07</v>
      </c>
      <c r="E1293" s="22" t="s">
        <v>10</v>
      </c>
      <c r="F1293" s="22" t="s">
        <v>11</v>
      </c>
      <c r="G1293" s="22" t="s">
        <v>20</v>
      </c>
    </row>
    <row r="1294" ht="15.15" spans="1:7">
      <c r="A1294" s="20">
        <v>1293</v>
      </c>
      <c r="B1294" s="20">
        <v>4538</v>
      </c>
      <c r="C1294" s="21">
        <v>45275</v>
      </c>
      <c r="D1294" s="20">
        <v>193.8</v>
      </c>
      <c r="E1294" s="22" t="s">
        <v>10</v>
      </c>
      <c r="F1294" s="22" t="s">
        <v>14</v>
      </c>
      <c r="G1294" s="22" t="s">
        <v>17</v>
      </c>
    </row>
    <row r="1295" ht="15.15" spans="1:7">
      <c r="A1295" s="20">
        <v>1294</v>
      </c>
      <c r="B1295" s="20">
        <v>6822</v>
      </c>
      <c r="C1295" s="21">
        <v>45289</v>
      </c>
      <c r="D1295" s="20">
        <v>1309.5</v>
      </c>
      <c r="E1295" s="22" t="s">
        <v>10</v>
      </c>
      <c r="F1295" s="22" t="s">
        <v>14</v>
      </c>
      <c r="G1295" s="22" t="s">
        <v>15</v>
      </c>
    </row>
    <row r="1296" ht="15.15" spans="1:7">
      <c r="A1296" s="20">
        <v>1295</v>
      </c>
      <c r="B1296" s="20">
        <v>1919</v>
      </c>
      <c r="C1296" s="21">
        <v>45081</v>
      </c>
      <c r="D1296" s="20">
        <v>1169</v>
      </c>
      <c r="E1296" s="22" t="s">
        <v>10</v>
      </c>
      <c r="F1296" s="22" t="s">
        <v>13</v>
      </c>
      <c r="G1296" s="22" t="s">
        <v>12</v>
      </c>
    </row>
    <row r="1297" ht="15.15" spans="1:7">
      <c r="A1297" s="20">
        <v>1296</v>
      </c>
      <c r="B1297" s="20">
        <v>1363</v>
      </c>
      <c r="C1297" s="21">
        <v>45118</v>
      </c>
      <c r="D1297" s="20">
        <v>1035.4</v>
      </c>
      <c r="E1297" s="22" t="s">
        <v>10</v>
      </c>
      <c r="F1297" s="22" t="s">
        <v>14</v>
      </c>
      <c r="G1297" s="22" t="s">
        <v>17</v>
      </c>
    </row>
    <row r="1298" ht="15.15" spans="1:7">
      <c r="A1298" s="20">
        <v>1297</v>
      </c>
      <c r="B1298" s="20">
        <v>5621</v>
      </c>
      <c r="C1298" s="21">
        <v>45090</v>
      </c>
      <c r="D1298" s="20">
        <v>1258.97</v>
      </c>
      <c r="E1298" s="22" t="s">
        <v>10</v>
      </c>
      <c r="F1298" s="22" t="s">
        <v>13</v>
      </c>
      <c r="G1298" s="22" t="s">
        <v>17</v>
      </c>
    </row>
    <row r="1299" ht="15.15" spans="1:7">
      <c r="A1299" s="20">
        <v>1298</v>
      </c>
      <c r="B1299" s="20">
        <v>6872</v>
      </c>
      <c r="C1299" s="21">
        <v>45064</v>
      </c>
      <c r="D1299" s="20">
        <v>549.91</v>
      </c>
      <c r="E1299" s="22" t="s">
        <v>10</v>
      </c>
      <c r="F1299" s="22" t="s">
        <v>14</v>
      </c>
      <c r="G1299" s="22" t="s">
        <v>15</v>
      </c>
    </row>
    <row r="1300" ht="15.15" spans="1:7">
      <c r="A1300" s="20">
        <v>1299</v>
      </c>
      <c r="B1300" s="20">
        <v>9710</v>
      </c>
      <c r="C1300" s="21">
        <v>45272</v>
      </c>
      <c r="D1300" s="20">
        <v>154.02</v>
      </c>
      <c r="E1300" s="22" t="s">
        <v>10</v>
      </c>
      <c r="F1300" s="22" t="s">
        <v>14</v>
      </c>
      <c r="G1300" s="22" t="s">
        <v>12</v>
      </c>
    </row>
    <row r="1301" ht="15.15" spans="1:7">
      <c r="A1301" s="20">
        <v>1300</v>
      </c>
      <c r="B1301" s="20">
        <v>6672</v>
      </c>
      <c r="C1301" s="21">
        <v>45068</v>
      </c>
      <c r="D1301" s="20">
        <v>1463.58</v>
      </c>
      <c r="E1301" s="22" t="s">
        <v>10</v>
      </c>
      <c r="F1301" s="22" t="s">
        <v>16</v>
      </c>
      <c r="G1301" s="22" t="s">
        <v>17</v>
      </c>
    </row>
    <row r="1302" ht="15.15" spans="1:7">
      <c r="A1302" s="20">
        <v>1301</v>
      </c>
      <c r="B1302" s="20">
        <v>9684</v>
      </c>
      <c r="C1302" s="21">
        <v>45089</v>
      </c>
      <c r="D1302" s="20">
        <v>859.25</v>
      </c>
      <c r="E1302" s="22" t="s">
        <v>10</v>
      </c>
      <c r="F1302" s="22" t="s">
        <v>13</v>
      </c>
      <c r="G1302" s="22" t="s">
        <v>12</v>
      </c>
    </row>
    <row r="1303" ht="15.15" spans="1:7">
      <c r="A1303" s="20">
        <v>1302</v>
      </c>
      <c r="B1303" s="20">
        <v>1248</v>
      </c>
      <c r="C1303" s="21">
        <v>44970</v>
      </c>
      <c r="D1303" s="20">
        <v>1114.32</v>
      </c>
      <c r="E1303" s="22" t="s">
        <v>10</v>
      </c>
      <c r="F1303" s="22" t="s">
        <v>14</v>
      </c>
      <c r="G1303" s="22" t="s">
        <v>15</v>
      </c>
    </row>
    <row r="1304" ht="15.15" spans="1:7">
      <c r="A1304" s="20">
        <v>1303</v>
      </c>
      <c r="B1304" s="20">
        <v>4345</v>
      </c>
      <c r="C1304" s="21">
        <v>45236</v>
      </c>
      <c r="D1304" s="20">
        <v>132.23</v>
      </c>
      <c r="E1304" s="22" t="s">
        <v>10</v>
      </c>
      <c r="F1304" s="22" t="s">
        <v>11</v>
      </c>
      <c r="G1304" s="22" t="s">
        <v>15</v>
      </c>
    </row>
    <row r="1305" ht="15.15" spans="1:7">
      <c r="A1305" s="20">
        <v>1304</v>
      </c>
      <c r="B1305" s="20">
        <v>4813</v>
      </c>
      <c r="C1305" s="21">
        <v>45055</v>
      </c>
      <c r="D1305" s="20">
        <v>696.7</v>
      </c>
      <c r="E1305" s="22" t="s">
        <v>10</v>
      </c>
      <c r="F1305" s="22" t="s">
        <v>11</v>
      </c>
      <c r="G1305" s="22" t="s">
        <v>17</v>
      </c>
    </row>
    <row r="1306" ht="15.15" spans="1:7">
      <c r="A1306" s="20">
        <v>1305</v>
      </c>
      <c r="B1306" s="20">
        <v>5775</v>
      </c>
      <c r="C1306" s="21">
        <v>45178</v>
      </c>
      <c r="D1306" s="20">
        <v>2627.53</v>
      </c>
      <c r="E1306" s="22" t="s">
        <v>10</v>
      </c>
      <c r="F1306" s="22" t="s">
        <v>16</v>
      </c>
      <c r="G1306" s="22" t="s">
        <v>12</v>
      </c>
    </row>
    <row r="1307" ht="15.15" spans="1:7">
      <c r="A1307" s="20">
        <v>1306</v>
      </c>
      <c r="B1307" s="20">
        <v>3606</v>
      </c>
      <c r="C1307" s="21">
        <v>45110</v>
      </c>
      <c r="D1307" s="20">
        <v>1278.7</v>
      </c>
      <c r="E1307" s="22" t="s">
        <v>10</v>
      </c>
      <c r="F1307" s="22" t="s">
        <v>16</v>
      </c>
      <c r="G1307" s="22" t="s">
        <v>15</v>
      </c>
    </row>
    <row r="1308" ht="15.15" spans="1:7">
      <c r="A1308" s="20">
        <v>1307</v>
      </c>
      <c r="B1308" s="20">
        <v>958</v>
      </c>
      <c r="C1308" s="21">
        <v>44986</v>
      </c>
      <c r="D1308" s="20">
        <v>900.38</v>
      </c>
      <c r="E1308" s="22" t="s">
        <v>10</v>
      </c>
      <c r="F1308" s="22" t="s">
        <v>16</v>
      </c>
      <c r="G1308" s="22" t="s">
        <v>15</v>
      </c>
    </row>
    <row r="1309" ht="15.15" spans="1:7">
      <c r="A1309" s="20">
        <v>1308</v>
      </c>
      <c r="B1309" s="20">
        <v>7887</v>
      </c>
      <c r="C1309" s="21">
        <v>45030</v>
      </c>
      <c r="D1309" s="20">
        <v>1246.52</v>
      </c>
      <c r="E1309" s="22" t="s">
        <v>10</v>
      </c>
      <c r="F1309" s="22" t="s">
        <v>13</v>
      </c>
      <c r="G1309" s="22" t="s">
        <v>15</v>
      </c>
    </row>
    <row r="1310" ht="15.15" spans="1:7">
      <c r="A1310" s="20">
        <v>1309</v>
      </c>
      <c r="B1310" s="20">
        <v>663</v>
      </c>
      <c r="C1310" s="21">
        <v>44976</v>
      </c>
      <c r="D1310" s="20">
        <v>1471.63</v>
      </c>
      <c r="E1310" s="22" t="s">
        <v>10</v>
      </c>
      <c r="F1310" s="22" t="s">
        <v>13</v>
      </c>
      <c r="G1310" s="22" t="s">
        <v>15</v>
      </c>
    </row>
    <row r="1311" ht="15.15" spans="1:7">
      <c r="A1311" s="20">
        <v>1310</v>
      </c>
      <c r="B1311" s="20">
        <v>7307</v>
      </c>
      <c r="C1311" s="21">
        <v>44938</v>
      </c>
      <c r="D1311" s="20">
        <v>748.01</v>
      </c>
      <c r="E1311" s="22" t="s">
        <v>10</v>
      </c>
      <c r="F1311" s="22" t="s">
        <v>14</v>
      </c>
      <c r="G1311" s="22" t="s">
        <v>12</v>
      </c>
    </row>
    <row r="1312" ht="15.15" spans="1:7">
      <c r="A1312" s="20">
        <v>1311</v>
      </c>
      <c r="B1312" s="20">
        <v>5410</v>
      </c>
      <c r="C1312" s="21">
        <v>45244</v>
      </c>
      <c r="D1312" s="20">
        <v>3385.24</v>
      </c>
      <c r="E1312" s="22" t="s">
        <v>10</v>
      </c>
      <c r="F1312" s="22" t="s">
        <v>16</v>
      </c>
      <c r="G1312" s="22" t="s">
        <v>20</v>
      </c>
    </row>
    <row r="1313" ht="15.15" spans="1:7">
      <c r="A1313" s="20">
        <v>1312</v>
      </c>
      <c r="B1313" s="20">
        <v>6708</v>
      </c>
      <c r="C1313" s="21">
        <v>45141</v>
      </c>
      <c r="D1313" s="20">
        <v>1646.98</v>
      </c>
      <c r="E1313" s="22" t="s">
        <v>10</v>
      </c>
      <c r="F1313" s="22" t="s">
        <v>18</v>
      </c>
      <c r="G1313" s="22" t="s">
        <v>17</v>
      </c>
    </row>
    <row r="1314" ht="15.15" spans="1:7">
      <c r="A1314" s="20">
        <v>1313</v>
      </c>
      <c r="B1314" s="20">
        <v>509</v>
      </c>
      <c r="C1314" s="21">
        <v>45291</v>
      </c>
      <c r="D1314" s="20">
        <v>2674.84</v>
      </c>
      <c r="E1314" s="22" t="s">
        <v>10</v>
      </c>
      <c r="F1314" s="22" t="s">
        <v>11</v>
      </c>
      <c r="G1314" s="22" t="s">
        <v>17</v>
      </c>
    </row>
    <row r="1315" ht="15.15" spans="1:7">
      <c r="A1315" s="20">
        <v>1314</v>
      </c>
      <c r="B1315" s="20">
        <v>3889</v>
      </c>
      <c r="C1315" s="21">
        <v>45278</v>
      </c>
      <c r="D1315" s="20">
        <v>317.93</v>
      </c>
      <c r="E1315" s="22" t="s">
        <v>21</v>
      </c>
      <c r="F1315" s="22" t="s">
        <v>11</v>
      </c>
      <c r="G1315" s="22" t="s">
        <v>12</v>
      </c>
    </row>
    <row r="1316" ht="15.15" spans="1:7">
      <c r="A1316" s="20">
        <v>1315</v>
      </c>
      <c r="B1316" s="20">
        <v>5878</v>
      </c>
      <c r="C1316" s="21">
        <v>45115</v>
      </c>
      <c r="D1316" s="20">
        <v>422.73</v>
      </c>
      <c r="E1316" s="22" t="s">
        <v>10</v>
      </c>
      <c r="F1316" s="22" t="s">
        <v>13</v>
      </c>
      <c r="G1316" s="22" t="s">
        <v>20</v>
      </c>
    </row>
    <row r="1317" ht="15.15" spans="1:7">
      <c r="A1317" s="20">
        <v>1316</v>
      </c>
      <c r="B1317" s="20">
        <v>3943</v>
      </c>
      <c r="C1317" s="21">
        <v>45264</v>
      </c>
      <c r="D1317" s="20">
        <v>521.84</v>
      </c>
      <c r="E1317" s="22" t="s">
        <v>10</v>
      </c>
      <c r="F1317" s="22" t="s">
        <v>14</v>
      </c>
      <c r="G1317" s="22" t="s">
        <v>12</v>
      </c>
    </row>
    <row r="1318" ht="15.15" spans="1:7">
      <c r="A1318" s="20">
        <v>1317</v>
      </c>
      <c r="B1318" s="20">
        <v>5625</v>
      </c>
      <c r="C1318" s="21">
        <v>44974</v>
      </c>
      <c r="D1318" s="20">
        <v>1021.66</v>
      </c>
      <c r="E1318" s="22" t="s">
        <v>10</v>
      </c>
      <c r="F1318" s="22" t="s">
        <v>16</v>
      </c>
      <c r="G1318" s="22" t="s">
        <v>12</v>
      </c>
    </row>
    <row r="1319" ht="15.15" spans="1:7">
      <c r="A1319" s="20">
        <v>1318</v>
      </c>
      <c r="B1319" s="20">
        <v>2655</v>
      </c>
      <c r="C1319" s="21">
        <v>45234</v>
      </c>
      <c r="D1319" s="20">
        <v>475.16</v>
      </c>
      <c r="E1319" s="22" t="s">
        <v>10</v>
      </c>
      <c r="F1319" s="22" t="s">
        <v>11</v>
      </c>
      <c r="G1319" s="22" t="s">
        <v>15</v>
      </c>
    </row>
    <row r="1320" ht="15.15" spans="1:7">
      <c r="A1320" s="20">
        <v>1319</v>
      </c>
      <c r="B1320" s="20">
        <v>1326</v>
      </c>
      <c r="C1320" s="21">
        <v>45017</v>
      </c>
      <c r="D1320" s="20">
        <v>5033.71</v>
      </c>
      <c r="E1320" s="22" t="s">
        <v>10</v>
      </c>
      <c r="F1320" s="22" t="s">
        <v>16</v>
      </c>
      <c r="G1320" s="22" t="s">
        <v>15</v>
      </c>
    </row>
    <row r="1321" ht="15.15" spans="1:7">
      <c r="A1321" s="20">
        <v>1320</v>
      </c>
      <c r="B1321" s="20">
        <v>2591</v>
      </c>
      <c r="C1321" s="21">
        <v>45063</v>
      </c>
      <c r="D1321" s="20">
        <v>4279.35</v>
      </c>
      <c r="E1321" s="22" t="s">
        <v>10</v>
      </c>
      <c r="F1321" s="22" t="s">
        <v>11</v>
      </c>
      <c r="G1321" s="22" t="s">
        <v>20</v>
      </c>
    </row>
    <row r="1322" ht="15.15" spans="1:7">
      <c r="A1322" s="20">
        <v>1321</v>
      </c>
      <c r="B1322" s="20">
        <v>263</v>
      </c>
      <c r="C1322" s="21">
        <v>45078</v>
      </c>
      <c r="D1322" s="20">
        <v>460.4</v>
      </c>
      <c r="E1322" s="22" t="s">
        <v>10</v>
      </c>
      <c r="F1322" s="22" t="s">
        <v>14</v>
      </c>
      <c r="G1322" s="22" t="s">
        <v>12</v>
      </c>
    </row>
    <row r="1323" ht="15.15" spans="1:7">
      <c r="A1323" s="20">
        <v>1322</v>
      </c>
      <c r="B1323" s="20">
        <v>1634</v>
      </c>
      <c r="C1323" s="21">
        <v>45196</v>
      </c>
      <c r="D1323" s="20">
        <v>1973.67</v>
      </c>
      <c r="E1323" s="22" t="s">
        <v>10</v>
      </c>
      <c r="F1323" s="22" t="s">
        <v>14</v>
      </c>
      <c r="G1323" s="22" t="s">
        <v>20</v>
      </c>
    </row>
    <row r="1324" ht="15.15" spans="1:7">
      <c r="A1324" s="20">
        <v>1323</v>
      </c>
      <c r="B1324" s="20">
        <v>2236</v>
      </c>
      <c r="C1324" s="21">
        <v>45236</v>
      </c>
      <c r="D1324" s="20">
        <v>435.69</v>
      </c>
      <c r="E1324" s="22" t="s">
        <v>10</v>
      </c>
      <c r="F1324" s="22" t="s">
        <v>14</v>
      </c>
      <c r="G1324" s="22" t="s">
        <v>12</v>
      </c>
    </row>
    <row r="1325" ht="15.15" spans="1:7">
      <c r="A1325" s="20">
        <v>1324</v>
      </c>
      <c r="B1325" s="20">
        <v>2339</v>
      </c>
      <c r="C1325" s="21">
        <v>45136</v>
      </c>
      <c r="D1325" s="20">
        <v>1898.73</v>
      </c>
      <c r="E1325" s="22" t="s">
        <v>22</v>
      </c>
      <c r="F1325" s="22" t="s">
        <v>19</v>
      </c>
      <c r="G1325" s="22" t="s">
        <v>15</v>
      </c>
    </row>
    <row r="1326" ht="15.15" spans="1:7">
      <c r="A1326" s="20">
        <v>1325</v>
      </c>
      <c r="B1326" s="20">
        <v>6621</v>
      </c>
      <c r="C1326" s="21">
        <v>45266</v>
      </c>
      <c r="D1326" s="20">
        <v>1448.73</v>
      </c>
      <c r="E1326" s="22" t="s">
        <v>10</v>
      </c>
      <c r="F1326" s="22" t="s">
        <v>16</v>
      </c>
      <c r="G1326" s="22" t="s">
        <v>17</v>
      </c>
    </row>
    <row r="1327" ht="15.15" spans="1:7">
      <c r="A1327" s="20">
        <v>1326</v>
      </c>
      <c r="B1327" s="20">
        <v>7821</v>
      </c>
      <c r="C1327" s="21">
        <v>45080</v>
      </c>
      <c r="D1327" s="20">
        <v>599.12</v>
      </c>
      <c r="E1327" s="22" t="s">
        <v>10</v>
      </c>
      <c r="F1327" s="22" t="s">
        <v>16</v>
      </c>
      <c r="G1327" s="22" t="s">
        <v>12</v>
      </c>
    </row>
    <row r="1328" ht="15.15" spans="1:7">
      <c r="A1328" s="20">
        <v>1327</v>
      </c>
      <c r="B1328" s="20">
        <v>7023</v>
      </c>
      <c r="C1328" s="21">
        <v>45210</v>
      </c>
      <c r="D1328" s="20">
        <v>1552.57</v>
      </c>
      <c r="E1328" s="22" t="s">
        <v>10</v>
      </c>
      <c r="F1328" s="22" t="s">
        <v>19</v>
      </c>
      <c r="G1328" s="22" t="s">
        <v>12</v>
      </c>
    </row>
    <row r="1329" ht="15.15" spans="1:7">
      <c r="A1329" s="20">
        <v>1328</v>
      </c>
      <c r="B1329" s="20">
        <v>6710</v>
      </c>
      <c r="C1329" s="21">
        <v>45268</v>
      </c>
      <c r="D1329" s="20">
        <v>459.12</v>
      </c>
      <c r="E1329" s="22" t="s">
        <v>10</v>
      </c>
      <c r="F1329" s="22" t="s">
        <v>18</v>
      </c>
      <c r="G1329" s="22" t="s">
        <v>20</v>
      </c>
    </row>
    <row r="1330" ht="15.15" spans="1:7">
      <c r="A1330" s="20">
        <v>1329</v>
      </c>
      <c r="B1330" s="20">
        <v>9620</v>
      </c>
      <c r="C1330" s="21">
        <v>45084</v>
      </c>
      <c r="D1330" s="20">
        <v>1524.27</v>
      </c>
      <c r="E1330" s="22" t="s">
        <v>10</v>
      </c>
      <c r="F1330" s="22" t="s">
        <v>11</v>
      </c>
      <c r="G1330" s="22" t="s">
        <v>15</v>
      </c>
    </row>
    <row r="1331" ht="15.15" spans="1:7">
      <c r="A1331" s="20">
        <v>1330</v>
      </c>
      <c r="B1331" s="20">
        <v>7930</v>
      </c>
      <c r="C1331" s="21">
        <v>45287</v>
      </c>
      <c r="D1331" s="20">
        <v>392.24</v>
      </c>
      <c r="E1331" s="22" t="s">
        <v>10</v>
      </c>
      <c r="F1331" s="22" t="s">
        <v>14</v>
      </c>
      <c r="G1331" s="22" t="s">
        <v>12</v>
      </c>
    </row>
    <row r="1332" ht="15.15" spans="1:7">
      <c r="A1332" s="20">
        <v>1331</v>
      </c>
      <c r="B1332" s="20">
        <v>2140</v>
      </c>
      <c r="C1332" s="21">
        <v>44931</v>
      </c>
      <c r="D1332" s="20">
        <v>1505.37</v>
      </c>
      <c r="E1332" s="22" t="s">
        <v>10</v>
      </c>
      <c r="F1332" s="22" t="s">
        <v>11</v>
      </c>
      <c r="G1332" s="22" t="s">
        <v>17</v>
      </c>
    </row>
    <row r="1333" ht="15.15" spans="1:7">
      <c r="A1333" s="20">
        <v>1332</v>
      </c>
      <c r="B1333" s="20">
        <v>2311</v>
      </c>
      <c r="C1333" s="21">
        <v>45257</v>
      </c>
      <c r="D1333" s="20">
        <v>284.14</v>
      </c>
      <c r="E1333" s="22" t="s">
        <v>10</v>
      </c>
      <c r="F1333" s="22" t="s">
        <v>18</v>
      </c>
      <c r="G1333" s="22" t="s">
        <v>20</v>
      </c>
    </row>
    <row r="1334" ht="15.15" spans="1:7">
      <c r="A1334" s="20">
        <v>1333</v>
      </c>
      <c r="B1334" s="20">
        <v>1202</v>
      </c>
      <c r="C1334" s="21">
        <v>44928</v>
      </c>
      <c r="D1334" s="20">
        <v>359.28</v>
      </c>
      <c r="E1334" s="22" t="s">
        <v>10</v>
      </c>
      <c r="F1334" s="22" t="s">
        <v>16</v>
      </c>
      <c r="G1334" s="22" t="s">
        <v>15</v>
      </c>
    </row>
    <row r="1335" ht="15.15" spans="1:7">
      <c r="A1335" s="20">
        <v>1334</v>
      </c>
      <c r="B1335" s="20">
        <v>6957</v>
      </c>
      <c r="C1335" s="21">
        <v>45284</v>
      </c>
      <c r="D1335" s="20">
        <v>395.52</v>
      </c>
      <c r="E1335" s="22" t="s">
        <v>10</v>
      </c>
      <c r="F1335" s="22" t="s">
        <v>11</v>
      </c>
      <c r="G1335" s="22" t="s">
        <v>15</v>
      </c>
    </row>
    <row r="1336" ht="15.15" spans="1:7">
      <c r="A1336" s="20">
        <v>1335</v>
      </c>
      <c r="B1336" s="20">
        <v>9180</v>
      </c>
      <c r="C1336" s="21">
        <v>45196</v>
      </c>
      <c r="D1336" s="20">
        <v>798.94</v>
      </c>
      <c r="E1336" s="22" t="s">
        <v>10</v>
      </c>
      <c r="F1336" s="22" t="s">
        <v>11</v>
      </c>
      <c r="G1336" s="22" t="s">
        <v>12</v>
      </c>
    </row>
    <row r="1337" ht="15.15" spans="1:7">
      <c r="A1337" s="20">
        <v>1336</v>
      </c>
      <c r="B1337" s="20">
        <v>1148</v>
      </c>
      <c r="C1337" s="21">
        <v>45168</v>
      </c>
      <c r="D1337" s="20">
        <v>1407.36</v>
      </c>
      <c r="E1337" s="22" t="s">
        <v>10</v>
      </c>
      <c r="F1337" s="22" t="s">
        <v>16</v>
      </c>
      <c r="G1337" s="22" t="s">
        <v>20</v>
      </c>
    </row>
    <row r="1338" ht="15.15" spans="1:7">
      <c r="A1338" s="20">
        <v>1337</v>
      </c>
      <c r="B1338" s="20">
        <v>9425</v>
      </c>
      <c r="C1338" s="21">
        <v>45187</v>
      </c>
      <c r="D1338" s="20">
        <v>237.38</v>
      </c>
      <c r="E1338" s="22" t="s">
        <v>10</v>
      </c>
      <c r="F1338" s="22" t="s">
        <v>18</v>
      </c>
      <c r="G1338" s="22" t="s">
        <v>20</v>
      </c>
    </row>
    <row r="1339" ht="15.15" spans="1:7">
      <c r="A1339" s="20">
        <v>1338</v>
      </c>
      <c r="B1339" s="20">
        <v>6767</v>
      </c>
      <c r="C1339" s="21">
        <v>44997</v>
      </c>
      <c r="D1339" s="20">
        <v>422.45</v>
      </c>
      <c r="E1339" s="22" t="s">
        <v>10</v>
      </c>
      <c r="F1339" s="22" t="s">
        <v>11</v>
      </c>
      <c r="G1339" s="22" t="s">
        <v>17</v>
      </c>
    </row>
    <row r="1340" ht="15.15" spans="1:7">
      <c r="A1340" s="20">
        <v>1339</v>
      </c>
      <c r="B1340" s="20">
        <v>5828</v>
      </c>
      <c r="C1340" s="21">
        <v>45124</v>
      </c>
      <c r="D1340" s="20">
        <v>2217.24</v>
      </c>
      <c r="E1340" s="22" t="s">
        <v>10</v>
      </c>
      <c r="F1340" s="22" t="s">
        <v>16</v>
      </c>
      <c r="G1340" s="22" t="s">
        <v>20</v>
      </c>
    </row>
    <row r="1341" ht="15.15" spans="1:7">
      <c r="A1341" s="20">
        <v>1340</v>
      </c>
      <c r="B1341" s="20">
        <v>1718</v>
      </c>
      <c r="C1341" s="21">
        <v>45022</v>
      </c>
      <c r="D1341" s="20">
        <v>204.06</v>
      </c>
      <c r="E1341" s="22" t="s">
        <v>10</v>
      </c>
      <c r="F1341" s="22" t="s">
        <v>18</v>
      </c>
      <c r="G1341" s="22" t="s">
        <v>20</v>
      </c>
    </row>
    <row r="1342" ht="15.15" spans="1:7">
      <c r="A1342" s="20">
        <v>1341</v>
      </c>
      <c r="B1342" s="20">
        <v>8288</v>
      </c>
      <c r="C1342" s="21">
        <v>45101</v>
      </c>
      <c r="D1342" s="20">
        <v>5486.65</v>
      </c>
      <c r="E1342" s="22" t="s">
        <v>10</v>
      </c>
      <c r="F1342" s="22" t="s">
        <v>11</v>
      </c>
      <c r="G1342" s="22" t="s">
        <v>15</v>
      </c>
    </row>
    <row r="1343" ht="15.15" spans="1:7">
      <c r="A1343" s="20">
        <v>1342</v>
      </c>
      <c r="B1343" s="20">
        <v>1583</v>
      </c>
      <c r="C1343" s="21">
        <v>44974</v>
      </c>
      <c r="D1343" s="20">
        <v>139.02</v>
      </c>
      <c r="E1343" s="22" t="s">
        <v>10</v>
      </c>
      <c r="F1343" s="22" t="s">
        <v>16</v>
      </c>
      <c r="G1343" s="22" t="s">
        <v>12</v>
      </c>
    </row>
    <row r="1344" ht="15.15" spans="1:7">
      <c r="A1344" s="20">
        <v>1343</v>
      </c>
      <c r="B1344" s="20">
        <v>5375</v>
      </c>
      <c r="C1344" s="21">
        <v>45154</v>
      </c>
      <c r="D1344" s="20">
        <v>759.97</v>
      </c>
      <c r="E1344" s="22" t="s">
        <v>10</v>
      </c>
      <c r="F1344" s="22" t="s">
        <v>11</v>
      </c>
      <c r="G1344" s="22" t="s">
        <v>12</v>
      </c>
    </row>
    <row r="1345" ht="15.15" spans="1:7">
      <c r="A1345" s="20">
        <v>1344</v>
      </c>
      <c r="B1345" s="20">
        <v>5609</v>
      </c>
      <c r="C1345" s="21">
        <v>45031</v>
      </c>
      <c r="D1345" s="20">
        <v>1630.13</v>
      </c>
      <c r="E1345" s="22" t="s">
        <v>10</v>
      </c>
      <c r="F1345" s="22" t="s">
        <v>11</v>
      </c>
      <c r="G1345" s="22" t="s">
        <v>15</v>
      </c>
    </row>
    <row r="1346" ht="15.15" spans="1:7">
      <c r="A1346" s="20">
        <v>1345</v>
      </c>
      <c r="B1346" s="20">
        <v>8078</v>
      </c>
      <c r="C1346" s="21">
        <v>45169</v>
      </c>
      <c r="D1346" s="20">
        <v>209.84</v>
      </c>
      <c r="E1346" s="22" t="s">
        <v>10</v>
      </c>
      <c r="F1346" s="22" t="s">
        <v>16</v>
      </c>
      <c r="G1346" s="22" t="s">
        <v>20</v>
      </c>
    </row>
    <row r="1347" ht="15.15" spans="1:7">
      <c r="A1347" s="20">
        <v>1346</v>
      </c>
      <c r="B1347" s="20">
        <v>258</v>
      </c>
      <c r="C1347" s="21">
        <v>45079</v>
      </c>
      <c r="D1347" s="20">
        <v>1414.25</v>
      </c>
      <c r="E1347" s="22" t="s">
        <v>10</v>
      </c>
      <c r="F1347" s="22" t="s">
        <v>16</v>
      </c>
      <c r="G1347" s="22" t="s">
        <v>15</v>
      </c>
    </row>
    <row r="1348" ht="15.15" spans="1:7">
      <c r="A1348" s="20">
        <v>1347</v>
      </c>
      <c r="B1348" s="20">
        <v>6027</v>
      </c>
      <c r="C1348" s="21">
        <v>45047</v>
      </c>
      <c r="D1348" s="20">
        <v>1636.91</v>
      </c>
      <c r="E1348" s="22" t="s">
        <v>10</v>
      </c>
      <c r="F1348" s="22" t="s">
        <v>14</v>
      </c>
      <c r="G1348" s="22" t="s">
        <v>20</v>
      </c>
    </row>
    <row r="1349" ht="15.15" spans="1:7">
      <c r="A1349" s="20">
        <v>1348</v>
      </c>
      <c r="B1349" s="20">
        <v>1883</v>
      </c>
      <c r="C1349" s="21">
        <v>45175</v>
      </c>
      <c r="D1349" s="20">
        <v>856.57</v>
      </c>
      <c r="E1349" s="22" t="s">
        <v>10</v>
      </c>
      <c r="F1349" s="22" t="s">
        <v>13</v>
      </c>
      <c r="G1349" s="22" t="s">
        <v>12</v>
      </c>
    </row>
    <row r="1350" ht="15.15" spans="1:7">
      <c r="A1350" s="20">
        <v>1349</v>
      </c>
      <c r="B1350" s="20">
        <v>2185</v>
      </c>
      <c r="C1350" s="21">
        <v>45195</v>
      </c>
      <c r="D1350" s="20">
        <v>1443.8</v>
      </c>
      <c r="E1350" s="22" t="s">
        <v>10</v>
      </c>
      <c r="F1350" s="22" t="s">
        <v>11</v>
      </c>
      <c r="G1350" s="22" t="s">
        <v>15</v>
      </c>
    </row>
    <row r="1351" ht="15.15" spans="1:7">
      <c r="A1351" s="20">
        <v>1350</v>
      </c>
      <c r="B1351" s="20">
        <v>1180</v>
      </c>
      <c r="C1351" s="21">
        <v>45200</v>
      </c>
      <c r="D1351" s="20">
        <v>401.39</v>
      </c>
      <c r="E1351" s="22" t="s">
        <v>10</v>
      </c>
      <c r="F1351" s="22" t="s">
        <v>13</v>
      </c>
      <c r="G1351" s="22" t="s">
        <v>17</v>
      </c>
    </row>
    <row r="1352" ht="15.15" spans="1:7">
      <c r="A1352" s="20">
        <v>1351</v>
      </c>
      <c r="B1352" s="20">
        <v>3722</v>
      </c>
      <c r="C1352" s="21">
        <v>45073</v>
      </c>
      <c r="D1352" s="20">
        <v>2815.97</v>
      </c>
      <c r="E1352" s="22" t="s">
        <v>10</v>
      </c>
      <c r="F1352" s="22" t="s">
        <v>13</v>
      </c>
      <c r="G1352" s="22" t="s">
        <v>20</v>
      </c>
    </row>
    <row r="1353" ht="15.15" spans="1:7">
      <c r="A1353" s="20">
        <v>1352</v>
      </c>
      <c r="B1353" s="20">
        <v>1348</v>
      </c>
      <c r="C1353" s="21">
        <v>45266</v>
      </c>
      <c r="D1353" s="20">
        <v>332.65</v>
      </c>
      <c r="E1353" s="22" t="s">
        <v>22</v>
      </c>
      <c r="F1353" s="22" t="s">
        <v>13</v>
      </c>
      <c r="G1353" s="22" t="s">
        <v>17</v>
      </c>
    </row>
    <row r="1354" ht="15.15" spans="1:7">
      <c r="A1354" s="20">
        <v>1353</v>
      </c>
      <c r="B1354" s="20">
        <v>8645</v>
      </c>
      <c r="C1354" s="21">
        <v>45188</v>
      </c>
      <c r="D1354" s="20">
        <v>376.78</v>
      </c>
      <c r="E1354" s="22" t="s">
        <v>10</v>
      </c>
      <c r="F1354" s="22" t="s">
        <v>14</v>
      </c>
      <c r="G1354" s="22" t="s">
        <v>15</v>
      </c>
    </row>
    <row r="1355" ht="15.15" spans="1:7">
      <c r="A1355" s="20">
        <v>1354</v>
      </c>
      <c r="B1355" s="20">
        <v>8666</v>
      </c>
      <c r="C1355" s="21">
        <v>45193</v>
      </c>
      <c r="D1355" s="20">
        <v>3273.82</v>
      </c>
      <c r="E1355" s="22" t="s">
        <v>10</v>
      </c>
      <c r="F1355" s="22" t="s">
        <v>14</v>
      </c>
      <c r="G1355" s="22" t="s">
        <v>20</v>
      </c>
    </row>
    <row r="1356" ht="15.15" spans="1:7">
      <c r="A1356" s="20">
        <v>1355</v>
      </c>
      <c r="B1356" s="20">
        <v>8389</v>
      </c>
      <c r="C1356" s="21">
        <v>45210</v>
      </c>
      <c r="D1356" s="20">
        <v>730.49</v>
      </c>
      <c r="E1356" s="22" t="s">
        <v>10</v>
      </c>
      <c r="F1356" s="22" t="s">
        <v>11</v>
      </c>
      <c r="G1356" s="22" t="s">
        <v>12</v>
      </c>
    </row>
    <row r="1357" ht="15.15" spans="1:7">
      <c r="A1357" s="20">
        <v>1356</v>
      </c>
      <c r="B1357" s="20">
        <v>2165</v>
      </c>
      <c r="C1357" s="21">
        <v>45207</v>
      </c>
      <c r="D1357" s="20">
        <v>331.12</v>
      </c>
      <c r="E1357" s="22" t="s">
        <v>10</v>
      </c>
      <c r="F1357" s="22" t="s">
        <v>18</v>
      </c>
      <c r="G1357" s="22" t="s">
        <v>15</v>
      </c>
    </row>
    <row r="1358" ht="15.15" spans="1:7">
      <c r="A1358" s="20">
        <v>1357</v>
      </c>
      <c r="B1358" s="20">
        <v>1262</v>
      </c>
      <c r="C1358" s="21">
        <v>45213</v>
      </c>
      <c r="D1358" s="20">
        <v>2148.76</v>
      </c>
      <c r="E1358" s="22" t="s">
        <v>10</v>
      </c>
      <c r="F1358" s="22" t="s">
        <v>13</v>
      </c>
      <c r="G1358" s="22" t="s">
        <v>17</v>
      </c>
    </row>
    <row r="1359" ht="15.15" spans="1:7">
      <c r="A1359" s="20">
        <v>1358</v>
      </c>
      <c r="B1359" s="20">
        <v>2680</v>
      </c>
      <c r="C1359" s="21">
        <v>45175</v>
      </c>
      <c r="D1359" s="20">
        <v>2465.21</v>
      </c>
      <c r="E1359" s="22" t="s">
        <v>10</v>
      </c>
      <c r="F1359" s="22" t="s">
        <v>11</v>
      </c>
      <c r="G1359" s="22" t="s">
        <v>12</v>
      </c>
    </row>
    <row r="1360" ht="15.15" spans="1:7">
      <c r="A1360" s="20">
        <v>1359</v>
      </c>
      <c r="B1360" s="20">
        <v>3159</v>
      </c>
      <c r="C1360" s="21">
        <v>44936</v>
      </c>
      <c r="D1360" s="20">
        <v>1205.7</v>
      </c>
      <c r="E1360" s="22" t="s">
        <v>10</v>
      </c>
      <c r="F1360" s="22" t="s">
        <v>13</v>
      </c>
      <c r="G1360" s="22" t="s">
        <v>12</v>
      </c>
    </row>
    <row r="1361" ht="15.15" spans="1:7">
      <c r="A1361" s="20">
        <v>1360</v>
      </c>
      <c r="B1361" s="20">
        <v>866</v>
      </c>
      <c r="C1361" s="21">
        <v>45080</v>
      </c>
      <c r="D1361" s="20">
        <v>468.51</v>
      </c>
      <c r="E1361" s="22" t="s">
        <v>10</v>
      </c>
      <c r="F1361" s="22" t="s">
        <v>14</v>
      </c>
      <c r="G1361" s="22" t="s">
        <v>15</v>
      </c>
    </row>
    <row r="1362" ht="15.15" spans="1:7">
      <c r="A1362" s="20">
        <v>1361</v>
      </c>
      <c r="B1362" s="20">
        <v>8218</v>
      </c>
      <c r="C1362" s="21">
        <v>45130</v>
      </c>
      <c r="D1362" s="20">
        <v>2126.32</v>
      </c>
      <c r="E1362" s="22" t="s">
        <v>10</v>
      </c>
      <c r="F1362" s="22" t="s">
        <v>16</v>
      </c>
      <c r="G1362" s="22" t="s">
        <v>12</v>
      </c>
    </row>
    <row r="1363" ht="15.15" spans="1:7">
      <c r="A1363" s="20">
        <v>1362</v>
      </c>
      <c r="B1363" s="20">
        <v>6319</v>
      </c>
      <c r="C1363" s="21">
        <v>45240</v>
      </c>
      <c r="D1363" s="20">
        <v>274.33</v>
      </c>
      <c r="E1363" s="22" t="s">
        <v>22</v>
      </c>
      <c r="F1363" s="22" t="s">
        <v>14</v>
      </c>
      <c r="G1363" s="22" t="s">
        <v>15</v>
      </c>
    </row>
    <row r="1364" ht="15.15" spans="1:7">
      <c r="A1364" s="20">
        <v>1363</v>
      </c>
      <c r="B1364" s="20">
        <v>2977</v>
      </c>
      <c r="C1364" s="21">
        <v>44973</v>
      </c>
      <c r="D1364" s="20">
        <v>967.34</v>
      </c>
      <c r="E1364" s="22" t="s">
        <v>10</v>
      </c>
      <c r="F1364" s="22" t="s">
        <v>16</v>
      </c>
      <c r="G1364" s="22" t="s">
        <v>17</v>
      </c>
    </row>
    <row r="1365" ht="15.15" spans="1:7">
      <c r="A1365" s="20">
        <v>1364</v>
      </c>
      <c r="B1365" s="20">
        <v>4394</v>
      </c>
      <c r="C1365" s="21">
        <v>45215</v>
      </c>
      <c r="D1365" s="20">
        <v>898.73</v>
      </c>
      <c r="E1365" s="22" t="s">
        <v>10</v>
      </c>
      <c r="F1365" s="22" t="s">
        <v>16</v>
      </c>
      <c r="G1365" s="22" t="s">
        <v>15</v>
      </c>
    </row>
    <row r="1366" ht="15.15" spans="1:7">
      <c r="A1366" s="20">
        <v>1365</v>
      </c>
      <c r="B1366" s="20">
        <v>4133</v>
      </c>
      <c r="C1366" s="21">
        <v>44977</v>
      </c>
      <c r="D1366" s="20">
        <v>792.5</v>
      </c>
      <c r="E1366" s="22" t="s">
        <v>10</v>
      </c>
      <c r="F1366" s="22" t="s">
        <v>13</v>
      </c>
      <c r="G1366" s="22" t="s">
        <v>12</v>
      </c>
    </row>
    <row r="1367" ht="15.15" spans="1:7">
      <c r="A1367" s="20">
        <v>1366</v>
      </c>
      <c r="B1367" s="20">
        <v>218</v>
      </c>
      <c r="C1367" s="21">
        <v>44940</v>
      </c>
      <c r="D1367" s="20">
        <v>3189.33</v>
      </c>
      <c r="E1367" s="22" t="s">
        <v>10</v>
      </c>
      <c r="F1367" s="22" t="s">
        <v>14</v>
      </c>
      <c r="G1367" s="22" t="s">
        <v>17</v>
      </c>
    </row>
    <row r="1368" ht="15.15" spans="1:7">
      <c r="A1368" s="20">
        <v>1367</v>
      </c>
      <c r="B1368" s="20">
        <v>4307</v>
      </c>
      <c r="C1368" s="21">
        <v>45186</v>
      </c>
      <c r="D1368" s="20">
        <v>3614.78</v>
      </c>
      <c r="E1368" s="22" t="s">
        <v>10</v>
      </c>
      <c r="F1368" s="22" t="s">
        <v>14</v>
      </c>
      <c r="G1368" s="22" t="s">
        <v>12</v>
      </c>
    </row>
    <row r="1369" ht="15.15" spans="1:7">
      <c r="A1369" s="20">
        <v>1368</v>
      </c>
      <c r="B1369" s="20">
        <v>8781</v>
      </c>
      <c r="C1369" s="21">
        <v>45001</v>
      </c>
      <c r="D1369" s="20">
        <v>787.25</v>
      </c>
      <c r="E1369" s="22" t="s">
        <v>10</v>
      </c>
      <c r="F1369" s="22" t="s">
        <v>13</v>
      </c>
      <c r="G1369" s="22" t="s">
        <v>17</v>
      </c>
    </row>
    <row r="1370" ht="15.15" spans="1:7">
      <c r="A1370" s="20">
        <v>1369</v>
      </c>
      <c r="B1370" s="20">
        <v>1240</v>
      </c>
      <c r="C1370" s="21">
        <v>45140</v>
      </c>
      <c r="D1370" s="20">
        <v>690.47</v>
      </c>
      <c r="E1370" s="22" t="s">
        <v>10</v>
      </c>
      <c r="F1370" s="22" t="s">
        <v>11</v>
      </c>
      <c r="G1370" s="22" t="s">
        <v>12</v>
      </c>
    </row>
    <row r="1371" ht="15.15" spans="1:7">
      <c r="A1371" s="20">
        <v>1370</v>
      </c>
      <c r="B1371" s="20">
        <v>5396</v>
      </c>
      <c r="C1371" s="21">
        <v>45139</v>
      </c>
      <c r="D1371" s="20">
        <v>4466.36</v>
      </c>
      <c r="E1371" s="22" t="s">
        <v>10</v>
      </c>
      <c r="F1371" s="22" t="s">
        <v>11</v>
      </c>
      <c r="G1371" s="22" t="s">
        <v>17</v>
      </c>
    </row>
    <row r="1372" ht="15.15" spans="1:7">
      <c r="A1372" s="20">
        <v>1371</v>
      </c>
      <c r="B1372" s="20">
        <v>1644</v>
      </c>
      <c r="C1372" s="21">
        <v>45084</v>
      </c>
      <c r="D1372" s="20">
        <v>448.66</v>
      </c>
      <c r="E1372" s="22" t="s">
        <v>10</v>
      </c>
      <c r="F1372" s="22" t="s">
        <v>16</v>
      </c>
      <c r="G1372" s="22" t="s">
        <v>12</v>
      </c>
    </row>
    <row r="1373" ht="15.15" spans="1:7">
      <c r="A1373" s="20">
        <v>1372</v>
      </c>
      <c r="B1373" s="20">
        <v>1319</v>
      </c>
      <c r="C1373" s="21">
        <v>45281</v>
      </c>
      <c r="D1373" s="20">
        <v>2406.47</v>
      </c>
      <c r="E1373" s="22" t="s">
        <v>10</v>
      </c>
      <c r="F1373" s="22" t="s">
        <v>13</v>
      </c>
      <c r="G1373" s="22" t="s">
        <v>20</v>
      </c>
    </row>
    <row r="1374" ht="15.15" spans="1:7">
      <c r="A1374" s="20">
        <v>1373</v>
      </c>
      <c r="B1374" s="20">
        <v>2514</v>
      </c>
      <c r="C1374" s="21">
        <v>45033</v>
      </c>
      <c r="D1374" s="20">
        <v>948.83</v>
      </c>
      <c r="E1374" s="22" t="s">
        <v>10</v>
      </c>
      <c r="F1374" s="22" t="s">
        <v>16</v>
      </c>
      <c r="G1374" s="22" t="s">
        <v>17</v>
      </c>
    </row>
    <row r="1375" ht="15.15" spans="1:7">
      <c r="A1375" s="20">
        <v>1374</v>
      </c>
      <c r="B1375" s="20">
        <v>9314</v>
      </c>
      <c r="C1375" s="21">
        <v>45026</v>
      </c>
      <c r="D1375" s="20">
        <v>851.47</v>
      </c>
      <c r="E1375" s="22" t="s">
        <v>10</v>
      </c>
      <c r="F1375" s="22" t="s">
        <v>18</v>
      </c>
      <c r="G1375" s="22" t="s">
        <v>20</v>
      </c>
    </row>
    <row r="1376" ht="15.15" spans="1:7">
      <c r="A1376" s="20">
        <v>1375</v>
      </c>
      <c r="B1376" s="20">
        <v>2913</v>
      </c>
      <c r="C1376" s="21">
        <v>44973</v>
      </c>
      <c r="D1376" s="20">
        <v>1802.19</v>
      </c>
      <c r="E1376" s="22" t="s">
        <v>10</v>
      </c>
      <c r="F1376" s="22" t="s">
        <v>18</v>
      </c>
      <c r="G1376" s="22" t="s">
        <v>12</v>
      </c>
    </row>
    <row r="1377" ht="15.15" spans="1:7">
      <c r="A1377" s="20">
        <v>1376</v>
      </c>
      <c r="B1377" s="20">
        <v>994</v>
      </c>
      <c r="C1377" s="21">
        <v>44949</v>
      </c>
      <c r="D1377" s="20">
        <v>1530.11</v>
      </c>
      <c r="E1377" s="22" t="s">
        <v>10</v>
      </c>
      <c r="F1377" s="22" t="s">
        <v>18</v>
      </c>
      <c r="G1377" s="22" t="s">
        <v>12</v>
      </c>
    </row>
    <row r="1378" ht="15.15" spans="1:7">
      <c r="A1378" s="20">
        <v>1377</v>
      </c>
      <c r="B1378" s="20">
        <v>8078</v>
      </c>
      <c r="C1378" s="21">
        <v>45117</v>
      </c>
      <c r="D1378" s="20">
        <v>644.55</v>
      </c>
      <c r="E1378" s="22" t="s">
        <v>10</v>
      </c>
      <c r="F1378" s="22" t="s">
        <v>16</v>
      </c>
      <c r="G1378" s="22" t="s">
        <v>15</v>
      </c>
    </row>
    <row r="1379" ht="15.15" spans="1:7">
      <c r="A1379" s="20">
        <v>1378</v>
      </c>
      <c r="B1379" s="20">
        <v>7461</v>
      </c>
      <c r="C1379" s="21">
        <v>45202</v>
      </c>
      <c r="D1379" s="20">
        <v>1116.56</v>
      </c>
      <c r="E1379" s="22" t="s">
        <v>10</v>
      </c>
      <c r="F1379" s="22" t="s">
        <v>18</v>
      </c>
      <c r="G1379" s="22" t="s">
        <v>15</v>
      </c>
    </row>
    <row r="1380" ht="15.15" spans="1:7">
      <c r="A1380" s="20">
        <v>1379</v>
      </c>
      <c r="B1380" s="20">
        <v>5138</v>
      </c>
      <c r="C1380" s="21">
        <v>44978</v>
      </c>
      <c r="D1380" s="20">
        <v>1277.12</v>
      </c>
      <c r="E1380" s="22" t="s">
        <v>10</v>
      </c>
      <c r="F1380" s="22" t="s">
        <v>11</v>
      </c>
      <c r="G1380" s="22" t="s">
        <v>12</v>
      </c>
    </row>
    <row r="1381" ht="15.15" spans="1:7">
      <c r="A1381" s="20">
        <v>1380</v>
      </c>
      <c r="B1381" s="20">
        <v>3500</v>
      </c>
      <c r="C1381" s="21">
        <v>45156</v>
      </c>
      <c r="D1381" s="20">
        <v>2071.53</v>
      </c>
      <c r="E1381" s="22" t="s">
        <v>10</v>
      </c>
      <c r="F1381" s="22" t="s">
        <v>16</v>
      </c>
      <c r="G1381" s="22" t="s">
        <v>15</v>
      </c>
    </row>
    <row r="1382" ht="15.15" spans="1:7">
      <c r="A1382" s="20">
        <v>1381</v>
      </c>
      <c r="B1382" s="20">
        <v>1092</v>
      </c>
      <c r="C1382" s="21">
        <v>45274</v>
      </c>
      <c r="D1382" s="20">
        <v>2284.44</v>
      </c>
      <c r="E1382" s="22" t="s">
        <v>10</v>
      </c>
      <c r="F1382" s="22" t="s">
        <v>14</v>
      </c>
      <c r="G1382" s="22" t="s">
        <v>20</v>
      </c>
    </row>
    <row r="1383" ht="15.15" spans="1:7">
      <c r="A1383" s="20">
        <v>1382</v>
      </c>
      <c r="B1383" s="20">
        <v>8625</v>
      </c>
      <c r="C1383" s="21">
        <v>45179</v>
      </c>
      <c r="D1383" s="20">
        <v>436.2</v>
      </c>
      <c r="E1383" s="22" t="s">
        <v>10</v>
      </c>
      <c r="F1383" s="22" t="s">
        <v>13</v>
      </c>
      <c r="G1383" s="22" t="s">
        <v>15</v>
      </c>
    </row>
    <row r="1384" ht="15.15" spans="1:7">
      <c r="A1384" s="20">
        <v>1383</v>
      </c>
      <c r="B1384" s="20">
        <v>2523</v>
      </c>
      <c r="C1384" s="21">
        <v>45103</v>
      </c>
      <c r="D1384" s="20">
        <v>3925.69</v>
      </c>
      <c r="E1384" s="22" t="s">
        <v>10</v>
      </c>
      <c r="F1384" s="22" t="s">
        <v>11</v>
      </c>
      <c r="G1384" s="22" t="s">
        <v>12</v>
      </c>
    </row>
    <row r="1385" ht="15.15" spans="1:7">
      <c r="A1385" s="20">
        <v>1384</v>
      </c>
      <c r="B1385" s="20">
        <v>6722</v>
      </c>
      <c r="C1385" s="21">
        <v>45102</v>
      </c>
      <c r="D1385" s="20">
        <v>193.8</v>
      </c>
      <c r="E1385" s="22" t="s">
        <v>10</v>
      </c>
      <c r="F1385" s="22" t="s">
        <v>18</v>
      </c>
      <c r="G1385" s="22" t="s">
        <v>20</v>
      </c>
    </row>
    <row r="1386" ht="15.15" spans="1:7">
      <c r="A1386" s="20">
        <v>1385</v>
      </c>
      <c r="B1386" s="20">
        <v>3770</v>
      </c>
      <c r="C1386" s="21">
        <v>45235</v>
      </c>
      <c r="D1386" s="20">
        <v>1825.9</v>
      </c>
      <c r="E1386" s="22" t="s">
        <v>10</v>
      </c>
      <c r="F1386" s="22" t="s">
        <v>13</v>
      </c>
      <c r="G1386" s="22" t="s">
        <v>20</v>
      </c>
    </row>
    <row r="1387" ht="15.15" spans="1:7">
      <c r="A1387" s="20">
        <v>1386</v>
      </c>
      <c r="B1387" s="20">
        <v>5875</v>
      </c>
      <c r="C1387" s="21">
        <v>45201</v>
      </c>
      <c r="D1387" s="20">
        <v>486.42</v>
      </c>
      <c r="E1387" s="22" t="s">
        <v>10</v>
      </c>
      <c r="F1387" s="22" t="s">
        <v>18</v>
      </c>
      <c r="G1387" s="22" t="s">
        <v>12</v>
      </c>
    </row>
    <row r="1388" ht="15.15" spans="1:7">
      <c r="A1388" s="20">
        <v>1387</v>
      </c>
      <c r="B1388" s="20">
        <v>7712</v>
      </c>
      <c r="C1388" s="21">
        <v>45060</v>
      </c>
      <c r="D1388" s="20">
        <v>142.43</v>
      </c>
      <c r="E1388" s="22" t="s">
        <v>10</v>
      </c>
      <c r="F1388" s="22" t="s">
        <v>16</v>
      </c>
      <c r="G1388" s="22" t="s">
        <v>15</v>
      </c>
    </row>
    <row r="1389" ht="15.15" spans="1:7">
      <c r="A1389" s="20">
        <v>1388</v>
      </c>
      <c r="B1389" s="20">
        <v>4979</v>
      </c>
      <c r="C1389" s="21">
        <v>45288</v>
      </c>
      <c r="D1389" s="20">
        <v>200.91</v>
      </c>
      <c r="E1389" s="22" t="s">
        <v>10</v>
      </c>
      <c r="F1389" s="22" t="s">
        <v>13</v>
      </c>
      <c r="G1389" s="22" t="s">
        <v>15</v>
      </c>
    </row>
    <row r="1390" ht="15.15" spans="1:7">
      <c r="A1390" s="20">
        <v>1389</v>
      </c>
      <c r="B1390" s="20">
        <v>7402</v>
      </c>
      <c r="C1390" s="21">
        <v>44938</v>
      </c>
      <c r="D1390" s="20">
        <v>151.46</v>
      </c>
      <c r="E1390" s="22" t="s">
        <v>10</v>
      </c>
      <c r="F1390" s="22" t="s">
        <v>14</v>
      </c>
      <c r="G1390" s="22" t="s">
        <v>12</v>
      </c>
    </row>
    <row r="1391" ht="15.15" spans="1:7">
      <c r="A1391" s="20">
        <v>1390</v>
      </c>
      <c r="B1391" s="20">
        <v>720</v>
      </c>
      <c r="C1391" s="21">
        <v>45205</v>
      </c>
      <c r="D1391" s="20">
        <v>676.07</v>
      </c>
      <c r="E1391" s="22" t="s">
        <v>10</v>
      </c>
      <c r="F1391" s="22" t="s">
        <v>18</v>
      </c>
      <c r="G1391" s="22" t="s">
        <v>15</v>
      </c>
    </row>
    <row r="1392" ht="15.15" spans="1:7">
      <c r="A1392" s="20">
        <v>1391</v>
      </c>
      <c r="B1392" s="20">
        <v>2473</v>
      </c>
      <c r="C1392" s="21">
        <v>45049</v>
      </c>
      <c r="D1392" s="20">
        <v>470.46</v>
      </c>
      <c r="E1392" s="22" t="s">
        <v>10</v>
      </c>
      <c r="F1392" s="22" t="s">
        <v>13</v>
      </c>
      <c r="G1392" s="22" t="s">
        <v>17</v>
      </c>
    </row>
    <row r="1393" ht="15.15" spans="1:7">
      <c r="A1393" s="20">
        <v>1392</v>
      </c>
      <c r="B1393" s="20">
        <v>6054</v>
      </c>
      <c r="C1393" s="21">
        <v>45229</v>
      </c>
      <c r="D1393" s="20">
        <v>217.72</v>
      </c>
      <c r="E1393" s="22" t="s">
        <v>10</v>
      </c>
      <c r="F1393" s="22" t="s">
        <v>16</v>
      </c>
      <c r="G1393" s="22" t="s">
        <v>12</v>
      </c>
    </row>
    <row r="1394" ht="15.15" spans="1:7">
      <c r="A1394" s="20">
        <v>1393</v>
      </c>
      <c r="B1394" s="20">
        <v>1636</v>
      </c>
      <c r="C1394" s="21">
        <v>45224</v>
      </c>
      <c r="D1394" s="20">
        <v>594.28</v>
      </c>
      <c r="E1394" s="22" t="s">
        <v>10</v>
      </c>
      <c r="F1394" s="22" t="s">
        <v>14</v>
      </c>
      <c r="G1394" s="22" t="s">
        <v>12</v>
      </c>
    </row>
    <row r="1395" ht="15.15" spans="1:7">
      <c r="A1395" s="20">
        <v>1394</v>
      </c>
      <c r="B1395" s="20">
        <v>646</v>
      </c>
      <c r="C1395" s="21">
        <v>45242</v>
      </c>
      <c r="D1395" s="20">
        <v>132.49</v>
      </c>
      <c r="E1395" s="22" t="s">
        <v>10</v>
      </c>
      <c r="F1395" s="22" t="s">
        <v>11</v>
      </c>
      <c r="G1395" s="22" t="s">
        <v>12</v>
      </c>
    </row>
    <row r="1396" ht="15.15" spans="1:7">
      <c r="A1396" s="20">
        <v>1395</v>
      </c>
      <c r="B1396" s="20">
        <v>8773</v>
      </c>
      <c r="C1396" s="21">
        <v>45278</v>
      </c>
      <c r="D1396" s="20">
        <v>5642.81</v>
      </c>
      <c r="E1396" s="22" t="s">
        <v>10</v>
      </c>
      <c r="F1396" s="22" t="s">
        <v>13</v>
      </c>
      <c r="G1396" s="22" t="s">
        <v>17</v>
      </c>
    </row>
    <row r="1397" ht="15.15" spans="1:7">
      <c r="A1397" s="20">
        <v>1396</v>
      </c>
      <c r="B1397" s="20">
        <v>3464</v>
      </c>
      <c r="C1397" s="21">
        <v>45245</v>
      </c>
      <c r="D1397" s="20">
        <v>1064.57</v>
      </c>
      <c r="E1397" s="22" t="s">
        <v>22</v>
      </c>
      <c r="F1397" s="22" t="s">
        <v>16</v>
      </c>
      <c r="G1397" s="22" t="s">
        <v>17</v>
      </c>
    </row>
    <row r="1398" ht="15.15" spans="1:7">
      <c r="A1398" s="20">
        <v>1397</v>
      </c>
      <c r="B1398" s="20">
        <v>9202</v>
      </c>
      <c r="C1398" s="21">
        <v>45102</v>
      </c>
      <c r="D1398" s="20">
        <v>260.57</v>
      </c>
      <c r="E1398" s="22" t="s">
        <v>10</v>
      </c>
      <c r="F1398" s="22" t="s">
        <v>13</v>
      </c>
      <c r="G1398" s="22" t="s">
        <v>17</v>
      </c>
    </row>
    <row r="1399" ht="15.15" spans="1:7">
      <c r="A1399" s="20">
        <v>1398</v>
      </c>
      <c r="B1399" s="20">
        <v>7504</v>
      </c>
      <c r="C1399" s="21">
        <v>45240</v>
      </c>
      <c r="D1399" s="20">
        <v>4367.92</v>
      </c>
      <c r="E1399" s="22" t="s">
        <v>10</v>
      </c>
      <c r="F1399" s="22" t="s">
        <v>16</v>
      </c>
      <c r="G1399" s="22" t="s">
        <v>20</v>
      </c>
    </row>
    <row r="1400" ht="15.15" spans="1:7">
      <c r="A1400" s="20">
        <v>1399</v>
      </c>
      <c r="B1400" s="20">
        <v>6443</v>
      </c>
      <c r="C1400" s="21">
        <v>44996</v>
      </c>
      <c r="D1400" s="20">
        <v>2347.46</v>
      </c>
      <c r="E1400" s="22" t="s">
        <v>10</v>
      </c>
      <c r="F1400" s="22" t="s">
        <v>13</v>
      </c>
      <c r="G1400" s="22" t="s">
        <v>20</v>
      </c>
    </row>
    <row r="1401" ht="15.15" spans="1:7">
      <c r="A1401" s="20">
        <v>1400</v>
      </c>
      <c r="B1401" s="20">
        <v>2994</v>
      </c>
      <c r="C1401" s="21">
        <v>45114</v>
      </c>
      <c r="D1401" s="20">
        <v>1038.65</v>
      </c>
      <c r="E1401" s="22" t="s">
        <v>10</v>
      </c>
      <c r="F1401" s="22" t="s">
        <v>16</v>
      </c>
      <c r="G1401" s="22" t="s">
        <v>20</v>
      </c>
    </row>
    <row r="1402" ht="15.15" spans="1:7">
      <c r="A1402" s="20">
        <v>1401</v>
      </c>
      <c r="B1402" s="20">
        <v>3549</v>
      </c>
      <c r="C1402" s="21">
        <v>45024</v>
      </c>
      <c r="D1402" s="20">
        <v>2350.91</v>
      </c>
      <c r="E1402" s="22" t="s">
        <v>10</v>
      </c>
      <c r="F1402" s="22" t="s">
        <v>19</v>
      </c>
      <c r="G1402" s="22" t="s">
        <v>12</v>
      </c>
    </row>
    <row r="1403" ht="15.15" spans="1:7">
      <c r="A1403" s="20">
        <v>1402</v>
      </c>
      <c r="B1403" s="20">
        <v>3808</v>
      </c>
      <c r="C1403" s="21">
        <v>45259</v>
      </c>
      <c r="D1403" s="20">
        <v>1943.24</v>
      </c>
      <c r="E1403" s="22" t="s">
        <v>10</v>
      </c>
      <c r="F1403" s="22" t="s">
        <v>14</v>
      </c>
      <c r="G1403" s="22" t="s">
        <v>12</v>
      </c>
    </row>
    <row r="1404" ht="15.15" spans="1:7">
      <c r="A1404" s="20">
        <v>1403</v>
      </c>
      <c r="B1404" s="20">
        <v>8612</v>
      </c>
      <c r="C1404" s="21">
        <v>45076</v>
      </c>
      <c r="D1404" s="20">
        <v>459.12</v>
      </c>
      <c r="E1404" s="22" t="s">
        <v>10</v>
      </c>
      <c r="F1404" s="22" t="s">
        <v>18</v>
      </c>
      <c r="G1404" s="22" t="s">
        <v>20</v>
      </c>
    </row>
    <row r="1405" ht="15.15" spans="1:7">
      <c r="A1405" s="20">
        <v>1404</v>
      </c>
      <c r="B1405" s="20">
        <v>1000</v>
      </c>
      <c r="C1405" s="21">
        <v>44963</v>
      </c>
      <c r="D1405" s="20">
        <v>1715.2</v>
      </c>
      <c r="E1405" s="22" t="s">
        <v>10</v>
      </c>
      <c r="F1405" s="22" t="s">
        <v>14</v>
      </c>
      <c r="G1405" s="22" t="s">
        <v>17</v>
      </c>
    </row>
    <row r="1406" ht="15.15" spans="1:7">
      <c r="A1406" s="20">
        <v>1405</v>
      </c>
      <c r="B1406" s="20">
        <v>1207</v>
      </c>
      <c r="C1406" s="21">
        <v>45178</v>
      </c>
      <c r="D1406" s="20">
        <v>2274.38</v>
      </c>
      <c r="E1406" s="22" t="s">
        <v>10</v>
      </c>
      <c r="F1406" s="22" t="s">
        <v>18</v>
      </c>
      <c r="G1406" s="22" t="s">
        <v>17</v>
      </c>
    </row>
    <row r="1407" ht="15.15" spans="1:7">
      <c r="A1407" s="20">
        <v>1406</v>
      </c>
      <c r="B1407" s="20">
        <v>5301</v>
      </c>
      <c r="C1407" s="21">
        <v>45250</v>
      </c>
      <c r="D1407" s="20">
        <v>931.48</v>
      </c>
      <c r="E1407" s="22" t="s">
        <v>10</v>
      </c>
      <c r="F1407" s="22" t="s">
        <v>16</v>
      </c>
      <c r="G1407" s="22" t="s">
        <v>12</v>
      </c>
    </row>
    <row r="1408" ht="15.15" spans="1:7">
      <c r="A1408" s="20">
        <v>1407</v>
      </c>
      <c r="B1408" s="20">
        <v>2393</v>
      </c>
      <c r="C1408" s="21">
        <v>44994</v>
      </c>
      <c r="D1408" s="20">
        <v>1663.75</v>
      </c>
      <c r="E1408" s="22" t="s">
        <v>10</v>
      </c>
      <c r="F1408" s="22" t="s">
        <v>18</v>
      </c>
      <c r="G1408" s="22" t="s">
        <v>12</v>
      </c>
    </row>
    <row r="1409" ht="15.15" spans="1:7">
      <c r="A1409" s="20">
        <v>1408</v>
      </c>
      <c r="B1409" s="20">
        <v>6950</v>
      </c>
      <c r="C1409" s="21">
        <v>45067</v>
      </c>
      <c r="D1409" s="20">
        <v>941.19</v>
      </c>
      <c r="E1409" s="22" t="s">
        <v>10</v>
      </c>
      <c r="F1409" s="22" t="s">
        <v>18</v>
      </c>
      <c r="G1409" s="22" t="s">
        <v>12</v>
      </c>
    </row>
    <row r="1410" ht="15.15" spans="1:7">
      <c r="A1410" s="20">
        <v>1409</v>
      </c>
      <c r="B1410" s="20">
        <v>2572</v>
      </c>
      <c r="C1410" s="21">
        <v>45281</v>
      </c>
      <c r="D1410" s="20">
        <v>512.57</v>
      </c>
      <c r="E1410" s="22" t="s">
        <v>10</v>
      </c>
      <c r="F1410" s="22" t="s">
        <v>16</v>
      </c>
      <c r="G1410" s="22" t="s">
        <v>20</v>
      </c>
    </row>
    <row r="1411" ht="15.15" spans="1:7">
      <c r="A1411" s="20">
        <v>1410</v>
      </c>
      <c r="B1411" s="20">
        <v>7569</v>
      </c>
      <c r="C1411" s="21">
        <v>45117</v>
      </c>
      <c r="D1411" s="20">
        <v>1490.74</v>
      </c>
      <c r="E1411" s="22" t="s">
        <v>10</v>
      </c>
      <c r="F1411" s="22" t="s">
        <v>11</v>
      </c>
      <c r="G1411" s="22" t="s">
        <v>12</v>
      </c>
    </row>
    <row r="1412" ht="15.15" spans="1:7">
      <c r="A1412" s="20">
        <v>1411</v>
      </c>
      <c r="B1412" s="20">
        <v>606</v>
      </c>
      <c r="C1412" s="21">
        <v>45290</v>
      </c>
      <c r="D1412" s="20">
        <v>2510.92</v>
      </c>
      <c r="E1412" s="22" t="s">
        <v>10</v>
      </c>
      <c r="F1412" s="22" t="s">
        <v>16</v>
      </c>
      <c r="G1412" s="22" t="s">
        <v>17</v>
      </c>
    </row>
    <row r="1413" ht="15.15" spans="1:7">
      <c r="A1413" s="20">
        <v>1412</v>
      </c>
      <c r="B1413" s="20">
        <v>9239</v>
      </c>
      <c r="C1413" s="21">
        <v>44954</v>
      </c>
      <c r="D1413" s="20">
        <v>4581.93</v>
      </c>
      <c r="E1413" s="22" t="s">
        <v>10</v>
      </c>
      <c r="F1413" s="22" t="s">
        <v>18</v>
      </c>
      <c r="G1413" s="22" t="s">
        <v>20</v>
      </c>
    </row>
    <row r="1414" ht="15.15" spans="1:7">
      <c r="A1414" s="20">
        <v>1413</v>
      </c>
      <c r="B1414" s="20">
        <v>1455</v>
      </c>
      <c r="C1414" s="21">
        <v>45107</v>
      </c>
      <c r="D1414" s="20">
        <v>392.24</v>
      </c>
      <c r="E1414" s="22" t="s">
        <v>10</v>
      </c>
      <c r="F1414" s="22" t="s">
        <v>18</v>
      </c>
      <c r="G1414" s="22" t="s">
        <v>17</v>
      </c>
    </row>
    <row r="1415" ht="15.15" spans="1:7">
      <c r="A1415" s="20">
        <v>1414</v>
      </c>
      <c r="B1415" s="20">
        <v>188</v>
      </c>
      <c r="C1415" s="21">
        <v>44966</v>
      </c>
      <c r="D1415" s="20">
        <v>1071.23</v>
      </c>
      <c r="E1415" s="22" t="s">
        <v>10</v>
      </c>
      <c r="F1415" s="22" t="s">
        <v>11</v>
      </c>
      <c r="G1415" s="22" t="s">
        <v>12</v>
      </c>
    </row>
    <row r="1416" ht="15.15" spans="1:7">
      <c r="A1416" s="20">
        <v>1415</v>
      </c>
      <c r="B1416" s="20">
        <v>9123</v>
      </c>
      <c r="C1416" s="21">
        <v>44965</v>
      </c>
      <c r="D1416" s="20">
        <v>540.78</v>
      </c>
      <c r="E1416" s="22" t="s">
        <v>10</v>
      </c>
      <c r="F1416" s="22" t="s">
        <v>14</v>
      </c>
      <c r="G1416" s="22" t="s">
        <v>15</v>
      </c>
    </row>
    <row r="1417" ht="15.15" spans="1:7">
      <c r="A1417" s="20">
        <v>1416</v>
      </c>
      <c r="B1417" s="20">
        <v>9679</v>
      </c>
      <c r="C1417" s="21">
        <v>45135</v>
      </c>
      <c r="D1417" s="20">
        <v>1093.83</v>
      </c>
      <c r="E1417" s="22" t="s">
        <v>10</v>
      </c>
      <c r="F1417" s="22" t="s">
        <v>16</v>
      </c>
      <c r="G1417" s="22" t="s">
        <v>12</v>
      </c>
    </row>
    <row r="1418" ht="15.15" spans="1:7">
      <c r="A1418" s="20">
        <v>1417</v>
      </c>
      <c r="B1418" s="20">
        <v>6668</v>
      </c>
      <c r="C1418" s="21">
        <v>45191</v>
      </c>
      <c r="D1418" s="20">
        <v>2859.26</v>
      </c>
      <c r="E1418" s="22" t="s">
        <v>10</v>
      </c>
      <c r="F1418" s="22" t="s">
        <v>14</v>
      </c>
      <c r="G1418" s="22" t="s">
        <v>12</v>
      </c>
    </row>
    <row r="1419" ht="15.15" spans="1:7">
      <c r="A1419" s="20">
        <v>1418</v>
      </c>
      <c r="B1419" s="20">
        <v>1661</v>
      </c>
      <c r="C1419" s="21">
        <v>45165</v>
      </c>
      <c r="D1419" s="20">
        <v>1039.97</v>
      </c>
      <c r="E1419" s="22" t="s">
        <v>10</v>
      </c>
      <c r="F1419" s="22" t="s">
        <v>18</v>
      </c>
      <c r="G1419" s="22" t="s">
        <v>15</v>
      </c>
    </row>
    <row r="1420" ht="15.15" spans="1:7">
      <c r="A1420" s="20">
        <v>1419</v>
      </c>
      <c r="B1420" s="20">
        <v>8836</v>
      </c>
      <c r="C1420" s="21">
        <v>45118</v>
      </c>
      <c r="D1420" s="20">
        <v>1489</v>
      </c>
      <c r="E1420" s="22" t="s">
        <v>10</v>
      </c>
      <c r="F1420" s="22" t="s">
        <v>16</v>
      </c>
      <c r="G1420" s="22" t="s">
        <v>17</v>
      </c>
    </row>
    <row r="1421" ht="15.15" spans="1:7">
      <c r="A1421" s="20">
        <v>1420</v>
      </c>
      <c r="B1421" s="20">
        <v>965</v>
      </c>
      <c r="C1421" s="21">
        <v>45233</v>
      </c>
      <c r="D1421" s="20">
        <v>448.66</v>
      </c>
      <c r="E1421" s="22" t="s">
        <v>22</v>
      </c>
      <c r="F1421" s="22" t="s">
        <v>14</v>
      </c>
      <c r="G1421" s="22" t="s">
        <v>17</v>
      </c>
    </row>
    <row r="1422" ht="15.15" spans="1:7">
      <c r="A1422" s="20">
        <v>1421</v>
      </c>
      <c r="B1422" s="20">
        <v>8219</v>
      </c>
      <c r="C1422" s="21">
        <v>44931</v>
      </c>
      <c r="D1422" s="20">
        <v>861.87</v>
      </c>
      <c r="E1422" s="22" t="s">
        <v>10</v>
      </c>
      <c r="F1422" s="22" t="s">
        <v>18</v>
      </c>
      <c r="G1422" s="22" t="s">
        <v>20</v>
      </c>
    </row>
    <row r="1423" ht="15.15" spans="1:7">
      <c r="A1423" s="20">
        <v>1422</v>
      </c>
      <c r="B1423" s="20">
        <v>2040</v>
      </c>
      <c r="C1423" s="21">
        <v>45208</v>
      </c>
      <c r="D1423" s="20">
        <v>154.02</v>
      </c>
      <c r="E1423" s="22" t="s">
        <v>10</v>
      </c>
      <c r="F1423" s="22" t="s">
        <v>18</v>
      </c>
      <c r="G1423" s="22" t="s">
        <v>12</v>
      </c>
    </row>
    <row r="1424" ht="15.15" spans="1:7">
      <c r="A1424" s="20">
        <v>1423</v>
      </c>
      <c r="B1424" s="20">
        <v>6872</v>
      </c>
      <c r="C1424" s="21">
        <v>45170</v>
      </c>
      <c r="D1424" s="20">
        <v>384.32</v>
      </c>
      <c r="E1424" s="22" t="s">
        <v>10</v>
      </c>
      <c r="F1424" s="22" t="s">
        <v>14</v>
      </c>
      <c r="G1424" s="22" t="s">
        <v>20</v>
      </c>
    </row>
    <row r="1425" ht="15.15" spans="1:7">
      <c r="A1425" s="20">
        <v>1424</v>
      </c>
      <c r="B1425" s="20">
        <v>4451</v>
      </c>
      <c r="C1425" s="21">
        <v>44960</v>
      </c>
      <c r="D1425" s="20">
        <v>5007.21</v>
      </c>
      <c r="E1425" s="22" t="s">
        <v>10</v>
      </c>
      <c r="F1425" s="22" t="s">
        <v>14</v>
      </c>
      <c r="G1425" s="22" t="s">
        <v>15</v>
      </c>
    </row>
    <row r="1426" ht="15.15" spans="1:7">
      <c r="A1426" s="20">
        <v>1425</v>
      </c>
      <c r="B1426" s="20">
        <v>7468</v>
      </c>
      <c r="C1426" s="21">
        <v>45110</v>
      </c>
      <c r="D1426" s="20">
        <v>3516.45</v>
      </c>
      <c r="E1426" s="22" t="s">
        <v>10</v>
      </c>
      <c r="F1426" s="22" t="s">
        <v>19</v>
      </c>
      <c r="G1426" s="22" t="s">
        <v>12</v>
      </c>
    </row>
    <row r="1427" ht="15.15" spans="1:7">
      <c r="A1427" s="20">
        <v>1426</v>
      </c>
      <c r="B1427" s="20">
        <v>8566</v>
      </c>
      <c r="C1427" s="21">
        <v>45140</v>
      </c>
      <c r="D1427" s="20">
        <v>132.23</v>
      </c>
      <c r="E1427" s="22" t="s">
        <v>10</v>
      </c>
      <c r="F1427" s="22" t="s">
        <v>13</v>
      </c>
      <c r="G1427" s="22" t="s">
        <v>20</v>
      </c>
    </row>
    <row r="1428" ht="15.15" spans="1:7">
      <c r="A1428" s="20">
        <v>1427</v>
      </c>
      <c r="B1428" s="20">
        <v>4731</v>
      </c>
      <c r="C1428" s="21">
        <v>44999</v>
      </c>
      <c r="D1428" s="20">
        <v>3133.57</v>
      </c>
      <c r="E1428" s="22" t="s">
        <v>10</v>
      </c>
      <c r="F1428" s="22" t="s">
        <v>13</v>
      </c>
      <c r="G1428" s="22" t="s">
        <v>20</v>
      </c>
    </row>
    <row r="1429" ht="15.15" spans="1:7">
      <c r="A1429" s="20">
        <v>1428</v>
      </c>
      <c r="B1429" s="20">
        <v>8560</v>
      </c>
      <c r="C1429" s="21">
        <v>45258</v>
      </c>
      <c r="D1429" s="20">
        <v>240.57</v>
      </c>
      <c r="E1429" s="22" t="s">
        <v>10</v>
      </c>
      <c r="F1429" s="22" t="s">
        <v>18</v>
      </c>
      <c r="G1429" s="22" t="s">
        <v>12</v>
      </c>
    </row>
    <row r="1430" ht="15.15" spans="1:7">
      <c r="A1430" s="20">
        <v>1429</v>
      </c>
      <c r="B1430" s="20">
        <v>5582</v>
      </c>
      <c r="C1430" s="21">
        <v>45154</v>
      </c>
      <c r="D1430" s="20">
        <v>1272.7</v>
      </c>
      <c r="E1430" s="22" t="s">
        <v>10</v>
      </c>
      <c r="F1430" s="22" t="s">
        <v>14</v>
      </c>
      <c r="G1430" s="22" t="s">
        <v>15</v>
      </c>
    </row>
    <row r="1431" ht="15.15" spans="1:7">
      <c r="A1431" s="20">
        <v>1430</v>
      </c>
      <c r="B1431" s="20">
        <v>2279</v>
      </c>
      <c r="C1431" s="21">
        <v>45053</v>
      </c>
      <c r="D1431" s="20">
        <v>138.34</v>
      </c>
      <c r="E1431" s="22" t="s">
        <v>10</v>
      </c>
      <c r="F1431" s="22" t="s">
        <v>18</v>
      </c>
      <c r="G1431" s="22" t="s">
        <v>12</v>
      </c>
    </row>
    <row r="1432" ht="15.15" spans="1:7">
      <c r="A1432" s="20">
        <v>1431</v>
      </c>
      <c r="B1432" s="20">
        <v>2339</v>
      </c>
      <c r="C1432" s="21">
        <v>45026</v>
      </c>
      <c r="D1432" s="20">
        <v>847.53</v>
      </c>
      <c r="E1432" s="22" t="s">
        <v>10</v>
      </c>
      <c r="F1432" s="22" t="s">
        <v>13</v>
      </c>
      <c r="G1432" s="22" t="s">
        <v>20</v>
      </c>
    </row>
    <row r="1433" ht="15.15" spans="1:7">
      <c r="A1433" s="20">
        <v>1432</v>
      </c>
      <c r="B1433" s="20">
        <v>1148</v>
      </c>
      <c r="C1433" s="21">
        <v>45015</v>
      </c>
      <c r="D1433" s="20">
        <v>674.76</v>
      </c>
      <c r="E1433" s="22" t="s">
        <v>10</v>
      </c>
      <c r="F1433" s="22" t="s">
        <v>16</v>
      </c>
      <c r="G1433" s="22" t="s">
        <v>15</v>
      </c>
    </row>
    <row r="1434" ht="15.15" spans="1:7">
      <c r="A1434" s="20">
        <v>1433</v>
      </c>
      <c r="B1434" s="20">
        <v>8543</v>
      </c>
      <c r="C1434" s="21">
        <v>45075</v>
      </c>
      <c r="D1434" s="20">
        <v>914.87</v>
      </c>
      <c r="E1434" s="22" t="s">
        <v>10</v>
      </c>
      <c r="F1434" s="22" t="s">
        <v>16</v>
      </c>
      <c r="G1434" s="22" t="s">
        <v>12</v>
      </c>
    </row>
    <row r="1435" ht="15.15" spans="1:7">
      <c r="A1435" s="20">
        <v>1434</v>
      </c>
      <c r="B1435" s="20">
        <v>8354</v>
      </c>
      <c r="C1435" s="21">
        <v>45181</v>
      </c>
      <c r="D1435" s="20">
        <v>1230.67</v>
      </c>
      <c r="E1435" s="22" t="s">
        <v>10</v>
      </c>
      <c r="F1435" s="22" t="s">
        <v>18</v>
      </c>
      <c r="G1435" s="22" t="s">
        <v>20</v>
      </c>
    </row>
    <row r="1436" ht="15.15" spans="1:7">
      <c r="A1436" s="20">
        <v>1435</v>
      </c>
      <c r="B1436" s="20">
        <v>8642</v>
      </c>
      <c r="C1436" s="21">
        <v>45106</v>
      </c>
      <c r="D1436" s="20">
        <v>3516.68</v>
      </c>
      <c r="E1436" s="22" t="s">
        <v>10</v>
      </c>
      <c r="F1436" s="22" t="s">
        <v>14</v>
      </c>
      <c r="G1436" s="22" t="s">
        <v>15</v>
      </c>
    </row>
    <row r="1437" ht="15.15" spans="1:7">
      <c r="A1437" s="20">
        <v>1436</v>
      </c>
      <c r="B1437" s="20">
        <v>8897</v>
      </c>
      <c r="C1437" s="21">
        <v>44987</v>
      </c>
      <c r="D1437" s="20">
        <v>5705.06</v>
      </c>
      <c r="E1437" s="22" t="s">
        <v>10</v>
      </c>
      <c r="F1437" s="22" t="s">
        <v>13</v>
      </c>
      <c r="G1437" s="22" t="s">
        <v>17</v>
      </c>
    </row>
    <row r="1438" ht="15.15" spans="1:7">
      <c r="A1438" s="20">
        <v>1437</v>
      </c>
      <c r="B1438" s="20">
        <v>8098</v>
      </c>
      <c r="C1438" s="21">
        <v>45142</v>
      </c>
      <c r="D1438" s="20">
        <v>2844.64</v>
      </c>
      <c r="E1438" s="22" t="s">
        <v>10</v>
      </c>
      <c r="F1438" s="22" t="s">
        <v>11</v>
      </c>
      <c r="G1438" s="22" t="s">
        <v>20</v>
      </c>
    </row>
    <row r="1439" ht="15.15" spans="1:7">
      <c r="A1439" s="20">
        <v>1438</v>
      </c>
      <c r="B1439" s="20">
        <v>1062</v>
      </c>
      <c r="C1439" s="21">
        <v>45083</v>
      </c>
      <c r="D1439" s="20">
        <v>1069.1</v>
      </c>
      <c r="E1439" s="22" t="s">
        <v>10</v>
      </c>
      <c r="F1439" s="22" t="s">
        <v>16</v>
      </c>
      <c r="G1439" s="22" t="s">
        <v>15</v>
      </c>
    </row>
    <row r="1440" ht="15.15" spans="1:7">
      <c r="A1440" s="20">
        <v>1439</v>
      </c>
      <c r="B1440" s="20">
        <v>6955</v>
      </c>
      <c r="C1440" s="21">
        <v>45255</v>
      </c>
      <c r="D1440" s="20">
        <v>1008.02</v>
      </c>
      <c r="E1440" s="22" t="s">
        <v>10</v>
      </c>
      <c r="F1440" s="22" t="s">
        <v>13</v>
      </c>
      <c r="G1440" s="22" t="s">
        <v>12</v>
      </c>
    </row>
    <row r="1441" ht="15.15" spans="1:7">
      <c r="A1441" s="20">
        <v>1440</v>
      </c>
      <c r="B1441" s="20">
        <v>6761</v>
      </c>
      <c r="C1441" s="21">
        <v>44963</v>
      </c>
      <c r="D1441" s="20">
        <v>3770.05</v>
      </c>
      <c r="E1441" s="22" t="s">
        <v>10</v>
      </c>
      <c r="F1441" s="22" t="s">
        <v>16</v>
      </c>
      <c r="G1441" s="22" t="s">
        <v>20</v>
      </c>
    </row>
    <row r="1442" ht="15.15" spans="1:7">
      <c r="A1442" s="20">
        <v>1441</v>
      </c>
      <c r="B1442" s="20">
        <v>7385</v>
      </c>
      <c r="C1442" s="21">
        <v>45104</v>
      </c>
      <c r="D1442" s="20">
        <v>1527.31</v>
      </c>
      <c r="E1442" s="22" t="s">
        <v>10</v>
      </c>
      <c r="F1442" s="22" t="s">
        <v>13</v>
      </c>
      <c r="G1442" s="22" t="s">
        <v>17</v>
      </c>
    </row>
    <row r="1443" ht="15.15" spans="1:7">
      <c r="A1443" s="20">
        <v>1442</v>
      </c>
      <c r="B1443" s="20">
        <v>7044</v>
      </c>
      <c r="C1443" s="21">
        <v>45096</v>
      </c>
      <c r="D1443" s="20">
        <v>406.76</v>
      </c>
      <c r="E1443" s="22" t="s">
        <v>10</v>
      </c>
      <c r="F1443" s="22" t="s">
        <v>19</v>
      </c>
      <c r="G1443" s="22" t="s">
        <v>20</v>
      </c>
    </row>
    <row r="1444" ht="15.15" spans="1:7">
      <c r="A1444" s="20">
        <v>1443</v>
      </c>
      <c r="B1444" s="20">
        <v>3970</v>
      </c>
      <c r="C1444" s="21">
        <v>45005</v>
      </c>
      <c r="D1444" s="20">
        <v>395.52</v>
      </c>
      <c r="E1444" s="22" t="s">
        <v>10</v>
      </c>
      <c r="F1444" s="22" t="s">
        <v>11</v>
      </c>
      <c r="G1444" s="22" t="s">
        <v>15</v>
      </c>
    </row>
    <row r="1445" ht="15.15" spans="1:7">
      <c r="A1445" s="20">
        <v>1444</v>
      </c>
      <c r="B1445" s="20">
        <v>6432</v>
      </c>
      <c r="C1445" s="21">
        <v>44941</v>
      </c>
      <c r="D1445" s="20">
        <v>325.76</v>
      </c>
      <c r="E1445" s="22" t="s">
        <v>10</v>
      </c>
      <c r="F1445" s="22" t="s">
        <v>13</v>
      </c>
      <c r="G1445" s="22" t="s">
        <v>15</v>
      </c>
    </row>
    <row r="1446" ht="15.15" spans="1:7">
      <c r="A1446" s="20">
        <v>1445</v>
      </c>
      <c r="B1446" s="20">
        <v>9681</v>
      </c>
      <c r="C1446" s="21">
        <v>44977</v>
      </c>
      <c r="D1446" s="20">
        <v>1104.07</v>
      </c>
      <c r="E1446" s="22" t="s">
        <v>10</v>
      </c>
      <c r="F1446" s="22" t="s">
        <v>13</v>
      </c>
      <c r="G1446" s="22" t="s">
        <v>17</v>
      </c>
    </row>
    <row r="1447" ht="15.15" spans="1:7">
      <c r="A1447" s="20">
        <v>1446</v>
      </c>
      <c r="B1447" s="20">
        <v>546</v>
      </c>
      <c r="C1447" s="21">
        <v>45159</v>
      </c>
      <c r="D1447" s="20">
        <v>496.71</v>
      </c>
      <c r="E1447" s="22" t="s">
        <v>10</v>
      </c>
      <c r="F1447" s="22" t="s">
        <v>11</v>
      </c>
      <c r="G1447" s="22" t="s">
        <v>15</v>
      </c>
    </row>
    <row r="1448" ht="15.15" spans="1:7">
      <c r="A1448" s="20">
        <v>1447</v>
      </c>
      <c r="B1448" s="20">
        <v>4142</v>
      </c>
      <c r="C1448" s="21">
        <v>45021</v>
      </c>
      <c r="D1448" s="20">
        <v>2782.96</v>
      </c>
      <c r="E1448" s="22" t="s">
        <v>10</v>
      </c>
      <c r="F1448" s="22" t="s">
        <v>13</v>
      </c>
      <c r="G1448" s="22" t="s">
        <v>17</v>
      </c>
    </row>
    <row r="1449" ht="15.15" spans="1:7">
      <c r="A1449" s="20">
        <v>1448</v>
      </c>
      <c r="B1449" s="20">
        <v>8100</v>
      </c>
      <c r="C1449" s="21">
        <v>45290</v>
      </c>
      <c r="D1449" s="20">
        <v>1629.76</v>
      </c>
      <c r="E1449" s="22" t="s">
        <v>10</v>
      </c>
      <c r="F1449" s="22" t="s">
        <v>14</v>
      </c>
      <c r="G1449" s="22" t="s">
        <v>15</v>
      </c>
    </row>
    <row r="1450" ht="15.15" spans="1:7">
      <c r="A1450" s="20">
        <v>1449</v>
      </c>
      <c r="B1450" s="20">
        <v>3958</v>
      </c>
      <c r="C1450" s="21">
        <v>45121</v>
      </c>
      <c r="D1450" s="20">
        <v>154.02</v>
      </c>
      <c r="E1450" s="22" t="s">
        <v>10</v>
      </c>
      <c r="F1450" s="22" t="s">
        <v>18</v>
      </c>
      <c r="G1450" s="22" t="s">
        <v>15</v>
      </c>
    </row>
    <row r="1451" ht="15.15" spans="1:7">
      <c r="A1451" s="20">
        <v>1450</v>
      </c>
      <c r="B1451" s="20">
        <v>4031</v>
      </c>
      <c r="C1451" s="21">
        <v>45243</v>
      </c>
      <c r="D1451" s="20">
        <v>209.84</v>
      </c>
      <c r="E1451" s="22" t="s">
        <v>10</v>
      </c>
      <c r="F1451" s="22" t="s">
        <v>18</v>
      </c>
      <c r="G1451" s="22" t="s">
        <v>17</v>
      </c>
    </row>
    <row r="1452" ht="15.15" spans="1:7">
      <c r="A1452" s="20">
        <v>1451</v>
      </c>
      <c r="B1452" s="20">
        <v>731</v>
      </c>
      <c r="C1452" s="21">
        <v>44980</v>
      </c>
      <c r="D1452" s="20">
        <v>1460.76</v>
      </c>
      <c r="E1452" s="22" t="s">
        <v>10</v>
      </c>
      <c r="F1452" s="22" t="s">
        <v>11</v>
      </c>
      <c r="G1452" s="22" t="s">
        <v>15</v>
      </c>
    </row>
    <row r="1453" ht="15.15" spans="1:7">
      <c r="A1453" s="20">
        <v>1452</v>
      </c>
      <c r="B1453" s="20">
        <v>253</v>
      </c>
      <c r="C1453" s="21">
        <v>45148</v>
      </c>
      <c r="D1453" s="20">
        <v>393.48</v>
      </c>
      <c r="E1453" s="22" t="s">
        <v>10</v>
      </c>
      <c r="F1453" s="22" t="s">
        <v>11</v>
      </c>
      <c r="G1453" s="22" t="s">
        <v>15</v>
      </c>
    </row>
    <row r="1454" ht="15.15" spans="1:7">
      <c r="A1454" s="20">
        <v>1453</v>
      </c>
      <c r="B1454" s="20">
        <v>4486</v>
      </c>
      <c r="C1454" s="21">
        <v>45153</v>
      </c>
      <c r="D1454" s="20">
        <v>3687.45</v>
      </c>
      <c r="E1454" s="22" t="s">
        <v>10</v>
      </c>
      <c r="F1454" s="22" t="s">
        <v>13</v>
      </c>
      <c r="G1454" s="22" t="s">
        <v>17</v>
      </c>
    </row>
    <row r="1455" ht="15.15" spans="1:7">
      <c r="A1455" s="20">
        <v>1454</v>
      </c>
      <c r="B1455" s="20">
        <v>2736</v>
      </c>
      <c r="C1455" s="21">
        <v>45124</v>
      </c>
      <c r="D1455" s="20">
        <v>313.65</v>
      </c>
      <c r="E1455" s="22" t="s">
        <v>22</v>
      </c>
      <c r="F1455" s="22" t="s">
        <v>13</v>
      </c>
      <c r="G1455" s="22" t="s">
        <v>17</v>
      </c>
    </row>
    <row r="1456" ht="15.15" spans="1:7">
      <c r="A1456" s="20">
        <v>1455</v>
      </c>
      <c r="B1456" s="20">
        <v>3084</v>
      </c>
      <c r="C1456" s="21">
        <v>45238</v>
      </c>
      <c r="D1456" s="20">
        <v>1156.78</v>
      </c>
      <c r="E1456" s="22" t="s">
        <v>10</v>
      </c>
      <c r="F1456" s="22" t="s">
        <v>16</v>
      </c>
      <c r="G1456" s="22" t="s">
        <v>12</v>
      </c>
    </row>
    <row r="1457" ht="15.15" spans="1:7">
      <c r="A1457" s="20">
        <v>1456</v>
      </c>
      <c r="B1457" s="20">
        <v>6588</v>
      </c>
      <c r="C1457" s="21">
        <v>45127</v>
      </c>
      <c r="D1457" s="20">
        <v>691.55</v>
      </c>
      <c r="E1457" s="22" t="s">
        <v>10</v>
      </c>
      <c r="F1457" s="22" t="s">
        <v>18</v>
      </c>
      <c r="G1457" s="22" t="s">
        <v>12</v>
      </c>
    </row>
    <row r="1458" ht="15.15" spans="1:7">
      <c r="A1458" s="20">
        <v>1457</v>
      </c>
      <c r="B1458" s="20">
        <v>2810</v>
      </c>
      <c r="C1458" s="21">
        <v>45124</v>
      </c>
      <c r="D1458" s="20">
        <v>779.08</v>
      </c>
      <c r="E1458" s="22" t="s">
        <v>10</v>
      </c>
      <c r="F1458" s="22" t="s">
        <v>13</v>
      </c>
      <c r="G1458" s="22" t="s">
        <v>20</v>
      </c>
    </row>
    <row r="1459" ht="15.15" spans="1:7">
      <c r="A1459" s="20">
        <v>1458</v>
      </c>
      <c r="B1459" s="20">
        <v>306</v>
      </c>
      <c r="C1459" s="21">
        <v>45154</v>
      </c>
      <c r="D1459" s="20">
        <v>772.14</v>
      </c>
      <c r="E1459" s="22" t="s">
        <v>10</v>
      </c>
      <c r="F1459" s="22" t="s">
        <v>13</v>
      </c>
      <c r="G1459" s="22" t="s">
        <v>20</v>
      </c>
    </row>
    <row r="1460" ht="15.15" spans="1:7">
      <c r="A1460" s="20">
        <v>1459</v>
      </c>
      <c r="B1460" s="20">
        <v>7827</v>
      </c>
      <c r="C1460" s="21">
        <v>45185</v>
      </c>
      <c r="D1460" s="20">
        <v>745.33</v>
      </c>
      <c r="E1460" s="22" t="s">
        <v>10</v>
      </c>
      <c r="F1460" s="22" t="s">
        <v>11</v>
      </c>
      <c r="G1460" s="22" t="s">
        <v>20</v>
      </c>
    </row>
    <row r="1461" ht="15.15" spans="1:7">
      <c r="A1461" s="20">
        <v>1460</v>
      </c>
      <c r="B1461" s="20">
        <v>2665</v>
      </c>
      <c r="C1461" s="21">
        <v>45259</v>
      </c>
      <c r="D1461" s="20">
        <v>580</v>
      </c>
      <c r="E1461" s="22" t="s">
        <v>10</v>
      </c>
      <c r="F1461" s="22" t="s">
        <v>16</v>
      </c>
      <c r="G1461" s="22" t="s">
        <v>15</v>
      </c>
    </row>
    <row r="1462" ht="15.15" spans="1:7">
      <c r="A1462" s="20">
        <v>1461</v>
      </c>
      <c r="B1462" s="20">
        <v>8063</v>
      </c>
      <c r="C1462" s="21">
        <v>45020</v>
      </c>
      <c r="D1462" s="20">
        <v>5339.5</v>
      </c>
      <c r="E1462" s="22" t="s">
        <v>10</v>
      </c>
      <c r="F1462" s="22" t="s">
        <v>16</v>
      </c>
      <c r="G1462" s="22" t="s">
        <v>17</v>
      </c>
    </row>
    <row r="1463" ht="15.15" spans="1:7">
      <c r="A1463" s="20">
        <v>1462</v>
      </c>
      <c r="B1463" s="20">
        <v>2018</v>
      </c>
      <c r="C1463" s="21">
        <v>45023</v>
      </c>
      <c r="D1463" s="20">
        <v>273.77</v>
      </c>
      <c r="E1463" s="22" t="s">
        <v>10</v>
      </c>
      <c r="F1463" s="22" t="s">
        <v>13</v>
      </c>
      <c r="G1463" s="22" t="s">
        <v>12</v>
      </c>
    </row>
    <row r="1464" ht="15.15" spans="1:7">
      <c r="A1464" s="20">
        <v>1463</v>
      </c>
      <c r="B1464" s="20">
        <v>653</v>
      </c>
      <c r="C1464" s="21">
        <v>45277</v>
      </c>
      <c r="D1464" s="20">
        <v>339.07</v>
      </c>
      <c r="E1464" s="22" t="s">
        <v>10</v>
      </c>
      <c r="F1464" s="22" t="s">
        <v>18</v>
      </c>
      <c r="G1464" s="22" t="s">
        <v>17</v>
      </c>
    </row>
    <row r="1465" ht="15.15" spans="1:7">
      <c r="A1465" s="20">
        <v>1464</v>
      </c>
      <c r="B1465" s="20">
        <v>590</v>
      </c>
      <c r="C1465" s="21">
        <v>45255</v>
      </c>
      <c r="D1465" s="20">
        <v>1504.74</v>
      </c>
      <c r="E1465" s="22" t="s">
        <v>10</v>
      </c>
      <c r="F1465" s="22" t="s">
        <v>14</v>
      </c>
      <c r="G1465" s="22" t="s">
        <v>12</v>
      </c>
    </row>
    <row r="1466" ht="15.15" spans="1:7">
      <c r="A1466" s="20">
        <v>1465</v>
      </c>
      <c r="B1466" s="20">
        <v>1797</v>
      </c>
      <c r="C1466" s="21">
        <v>45062</v>
      </c>
      <c r="D1466" s="20">
        <v>5428.11</v>
      </c>
      <c r="E1466" s="22" t="s">
        <v>10</v>
      </c>
      <c r="F1466" s="22" t="s">
        <v>14</v>
      </c>
      <c r="G1466" s="22" t="s">
        <v>17</v>
      </c>
    </row>
    <row r="1467" ht="15.15" spans="1:7">
      <c r="A1467" s="20">
        <v>1466</v>
      </c>
      <c r="B1467" s="20">
        <v>1056</v>
      </c>
      <c r="C1467" s="21">
        <v>45016</v>
      </c>
      <c r="D1467" s="20">
        <v>683.69</v>
      </c>
      <c r="E1467" s="22" t="s">
        <v>10</v>
      </c>
      <c r="F1467" s="22" t="s">
        <v>16</v>
      </c>
      <c r="G1467" s="22" t="s">
        <v>17</v>
      </c>
    </row>
    <row r="1468" ht="15.15" spans="1:7">
      <c r="A1468" s="20">
        <v>1467</v>
      </c>
      <c r="B1468" s="20">
        <v>2716</v>
      </c>
      <c r="C1468" s="21">
        <v>45047</v>
      </c>
      <c r="D1468" s="20">
        <v>759.97</v>
      </c>
      <c r="E1468" s="22" t="s">
        <v>10</v>
      </c>
      <c r="F1468" s="22" t="s">
        <v>13</v>
      </c>
      <c r="G1468" s="22" t="s">
        <v>12</v>
      </c>
    </row>
    <row r="1469" ht="15.15" spans="1:7">
      <c r="A1469" s="20">
        <v>1468</v>
      </c>
      <c r="B1469" s="20">
        <v>431</v>
      </c>
      <c r="C1469" s="21">
        <v>44943</v>
      </c>
      <c r="D1469" s="20">
        <v>412.43</v>
      </c>
      <c r="E1469" s="22" t="s">
        <v>10</v>
      </c>
      <c r="F1469" s="22" t="s">
        <v>16</v>
      </c>
      <c r="G1469" s="22" t="s">
        <v>12</v>
      </c>
    </row>
    <row r="1470" ht="15.15" spans="1:7">
      <c r="A1470" s="20">
        <v>1469</v>
      </c>
      <c r="B1470" s="20">
        <v>3857</v>
      </c>
      <c r="C1470" s="21">
        <v>45213</v>
      </c>
      <c r="D1470" s="20">
        <v>1707</v>
      </c>
      <c r="E1470" s="22" t="s">
        <v>10</v>
      </c>
      <c r="F1470" s="22" t="s">
        <v>11</v>
      </c>
      <c r="G1470" s="22" t="s">
        <v>17</v>
      </c>
    </row>
    <row r="1471" ht="15.15" spans="1:7">
      <c r="A1471" s="20">
        <v>1470</v>
      </c>
      <c r="B1471" s="20">
        <v>577</v>
      </c>
      <c r="C1471" s="21">
        <v>44957</v>
      </c>
      <c r="D1471" s="20">
        <v>1470.86</v>
      </c>
      <c r="E1471" s="22" t="s">
        <v>10</v>
      </c>
      <c r="F1471" s="22" t="s">
        <v>14</v>
      </c>
      <c r="G1471" s="22" t="s">
        <v>15</v>
      </c>
    </row>
    <row r="1472" ht="15.15" spans="1:7">
      <c r="A1472" s="20">
        <v>1471</v>
      </c>
      <c r="B1472" s="20">
        <v>9997</v>
      </c>
      <c r="C1472" s="21">
        <v>44947</v>
      </c>
      <c r="D1472" s="20">
        <v>3737.94</v>
      </c>
      <c r="E1472" s="22" t="s">
        <v>10</v>
      </c>
      <c r="F1472" s="22" t="s">
        <v>18</v>
      </c>
      <c r="G1472" s="22" t="s">
        <v>12</v>
      </c>
    </row>
    <row r="1473" ht="15.15" spans="1:7">
      <c r="A1473" s="20">
        <v>1472</v>
      </c>
      <c r="B1473" s="20">
        <v>9483</v>
      </c>
      <c r="C1473" s="21">
        <v>44999</v>
      </c>
      <c r="D1473" s="20">
        <v>1025.99</v>
      </c>
      <c r="E1473" s="22" t="s">
        <v>10</v>
      </c>
      <c r="F1473" s="22" t="s">
        <v>16</v>
      </c>
      <c r="G1473" s="22" t="s">
        <v>12</v>
      </c>
    </row>
    <row r="1474" ht="15.15" spans="1:7">
      <c r="A1474" s="20">
        <v>1473</v>
      </c>
      <c r="B1474" s="20">
        <v>1136</v>
      </c>
      <c r="C1474" s="21">
        <v>45235</v>
      </c>
      <c r="D1474" s="20">
        <v>270.86</v>
      </c>
      <c r="E1474" s="22" t="s">
        <v>10</v>
      </c>
      <c r="F1474" s="22" t="s">
        <v>14</v>
      </c>
      <c r="G1474" s="22" t="s">
        <v>17</v>
      </c>
    </row>
    <row r="1475" ht="15.15" spans="1:7">
      <c r="A1475" s="20">
        <v>1474</v>
      </c>
      <c r="B1475" s="20">
        <v>5216</v>
      </c>
      <c r="C1475" s="21">
        <v>45288</v>
      </c>
      <c r="D1475" s="20">
        <v>2686.48</v>
      </c>
      <c r="E1475" s="22" t="s">
        <v>10</v>
      </c>
      <c r="F1475" s="22" t="s">
        <v>16</v>
      </c>
      <c r="G1475" s="22" t="s">
        <v>15</v>
      </c>
    </row>
    <row r="1476" ht="15.15" spans="1:7">
      <c r="A1476" s="20">
        <v>1475</v>
      </c>
      <c r="B1476" s="20">
        <v>6766</v>
      </c>
      <c r="C1476" s="21">
        <v>45133</v>
      </c>
      <c r="D1476" s="20">
        <v>132.23</v>
      </c>
      <c r="E1476" s="22" t="s">
        <v>10</v>
      </c>
      <c r="F1476" s="22" t="s">
        <v>11</v>
      </c>
      <c r="G1476" s="22" t="s">
        <v>20</v>
      </c>
    </row>
    <row r="1477" ht="15.15" spans="1:7">
      <c r="A1477" s="20">
        <v>1476</v>
      </c>
      <c r="B1477" s="20">
        <v>3963</v>
      </c>
      <c r="C1477" s="21">
        <v>45067</v>
      </c>
      <c r="D1477" s="20">
        <v>921.38</v>
      </c>
      <c r="E1477" s="22" t="s">
        <v>10</v>
      </c>
      <c r="F1477" s="22" t="s">
        <v>13</v>
      </c>
      <c r="G1477" s="22" t="s">
        <v>17</v>
      </c>
    </row>
    <row r="1478" ht="15.15" spans="1:7">
      <c r="A1478" s="20">
        <v>1477</v>
      </c>
      <c r="B1478" s="20">
        <v>8982</v>
      </c>
      <c r="C1478" s="21">
        <v>45149</v>
      </c>
      <c r="D1478" s="20">
        <v>1476.06</v>
      </c>
      <c r="E1478" s="22" t="s">
        <v>10</v>
      </c>
      <c r="F1478" s="22" t="s">
        <v>19</v>
      </c>
      <c r="G1478" s="22" t="s">
        <v>15</v>
      </c>
    </row>
    <row r="1479" ht="15.15" spans="1:7">
      <c r="A1479" s="20">
        <v>1478</v>
      </c>
      <c r="B1479" s="20">
        <v>7099</v>
      </c>
      <c r="C1479" s="21">
        <v>45145</v>
      </c>
      <c r="D1479" s="20">
        <v>1311.79</v>
      </c>
      <c r="E1479" s="22" t="s">
        <v>10</v>
      </c>
      <c r="F1479" s="22" t="s">
        <v>16</v>
      </c>
      <c r="G1479" s="22" t="s">
        <v>12</v>
      </c>
    </row>
    <row r="1480" ht="15.15" spans="1:7">
      <c r="A1480" s="20">
        <v>1479</v>
      </c>
      <c r="B1480" s="20">
        <v>6822</v>
      </c>
      <c r="C1480" s="21">
        <v>45048</v>
      </c>
      <c r="D1480" s="20">
        <v>412.02</v>
      </c>
      <c r="E1480" s="22" t="s">
        <v>10</v>
      </c>
      <c r="F1480" s="22" t="s">
        <v>14</v>
      </c>
      <c r="G1480" s="22" t="s">
        <v>20</v>
      </c>
    </row>
    <row r="1481" ht="15.15" spans="1:7">
      <c r="A1481" s="20">
        <v>1480</v>
      </c>
      <c r="B1481" s="20">
        <v>297</v>
      </c>
      <c r="C1481" s="21">
        <v>45085</v>
      </c>
      <c r="D1481" s="20">
        <v>510.44</v>
      </c>
      <c r="E1481" s="22" t="s">
        <v>10</v>
      </c>
      <c r="F1481" s="22" t="s">
        <v>11</v>
      </c>
      <c r="G1481" s="22" t="s">
        <v>20</v>
      </c>
    </row>
    <row r="1482" ht="15.15" spans="1:7">
      <c r="A1482" s="20">
        <v>1481</v>
      </c>
      <c r="B1482" s="20">
        <v>624</v>
      </c>
      <c r="C1482" s="21">
        <v>45208</v>
      </c>
      <c r="D1482" s="20">
        <v>549.91</v>
      </c>
      <c r="E1482" s="22" t="s">
        <v>22</v>
      </c>
      <c r="F1482" s="22" t="s">
        <v>13</v>
      </c>
      <c r="G1482" s="22" t="s">
        <v>12</v>
      </c>
    </row>
    <row r="1483" ht="15.15" spans="1:7">
      <c r="A1483" s="20">
        <v>1482</v>
      </c>
      <c r="B1483" s="20">
        <v>1643</v>
      </c>
      <c r="C1483" s="21">
        <v>45225</v>
      </c>
      <c r="D1483" s="20">
        <v>1505.97</v>
      </c>
      <c r="E1483" s="22" t="s">
        <v>10</v>
      </c>
      <c r="F1483" s="22" t="s">
        <v>18</v>
      </c>
      <c r="G1483" s="22" t="s">
        <v>12</v>
      </c>
    </row>
    <row r="1484" ht="15.15" spans="1:7">
      <c r="A1484" s="20">
        <v>1483</v>
      </c>
      <c r="B1484" s="20">
        <v>8027</v>
      </c>
      <c r="C1484" s="21">
        <v>45159</v>
      </c>
      <c r="D1484" s="20">
        <v>360.81</v>
      </c>
      <c r="E1484" s="22" t="s">
        <v>10</v>
      </c>
      <c r="F1484" s="22" t="s">
        <v>18</v>
      </c>
      <c r="G1484" s="22" t="s">
        <v>17</v>
      </c>
    </row>
    <row r="1485" ht="15.15" spans="1:7">
      <c r="A1485" s="20">
        <v>1484</v>
      </c>
      <c r="B1485" s="20">
        <v>2993</v>
      </c>
      <c r="C1485" s="21">
        <v>45181</v>
      </c>
      <c r="D1485" s="20">
        <v>418.48</v>
      </c>
      <c r="E1485" s="22" t="s">
        <v>10</v>
      </c>
      <c r="F1485" s="22" t="s">
        <v>16</v>
      </c>
      <c r="G1485" s="22" t="s">
        <v>12</v>
      </c>
    </row>
    <row r="1486" ht="15.15" spans="1:7">
      <c r="A1486" s="20">
        <v>1485</v>
      </c>
      <c r="B1486" s="20">
        <v>1962</v>
      </c>
      <c r="C1486" s="21">
        <v>45208</v>
      </c>
      <c r="D1486" s="20">
        <v>744.5</v>
      </c>
      <c r="E1486" s="22" t="s">
        <v>10</v>
      </c>
      <c r="F1486" s="22" t="s">
        <v>11</v>
      </c>
      <c r="G1486" s="22" t="s">
        <v>17</v>
      </c>
    </row>
    <row r="1487" ht="15.15" spans="1:7">
      <c r="A1487" s="20">
        <v>1486</v>
      </c>
      <c r="B1487" s="20">
        <v>2471</v>
      </c>
      <c r="C1487" s="21">
        <v>45277</v>
      </c>
      <c r="D1487" s="20">
        <v>2776.33</v>
      </c>
      <c r="E1487" s="22" t="s">
        <v>10</v>
      </c>
      <c r="F1487" s="22" t="s">
        <v>16</v>
      </c>
      <c r="G1487" s="22" t="s">
        <v>17</v>
      </c>
    </row>
    <row r="1488" ht="15.15" spans="1:7">
      <c r="A1488" s="20">
        <v>1487</v>
      </c>
      <c r="B1488" s="20">
        <v>8951</v>
      </c>
      <c r="C1488" s="21">
        <v>44938</v>
      </c>
      <c r="D1488" s="20">
        <v>1589.99</v>
      </c>
      <c r="E1488" s="22" t="s">
        <v>10</v>
      </c>
      <c r="F1488" s="22" t="s">
        <v>13</v>
      </c>
      <c r="G1488" s="22" t="s">
        <v>12</v>
      </c>
    </row>
    <row r="1489" ht="15.15" spans="1:7">
      <c r="A1489" s="20">
        <v>1488</v>
      </c>
      <c r="B1489" s="20">
        <v>9199</v>
      </c>
      <c r="C1489" s="21">
        <v>45093</v>
      </c>
      <c r="D1489" s="20">
        <v>922.81</v>
      </c>
      <c r="E1489" s="22" t="s">
        <v>10</v>
      </c>
      <c r="F1489" s="22" t="s">
        <v>16</v>
      </c>
      <c r="G1489" s="22" t="s">
        <v>15</v>
      </c>
    </row>
    <row r="1490" ht="15.15" spans="1:7">
      <c r="A1490" s="20">
        <v>1489</v>
      </c>
      <c r="B1490" s="20">
        <v>8466</v>
      </c>
      <c r="C1490" s="21">
        <v>45239</v>
      </c>
      <c r="D1490" s="20">
        <v>656.13</v>
      </c>
      <c r="E1490" s="22" t="s">
        <v>10</v>
      </c>
      <c r="F1490" s="22" t="s">
        <v>16</v>
      </c>
      <c r="G1490" s="22" t="s">
        <v>17</v>
      </c>
    </row>
    <row r="1491" ht="15.15" spans="1:7">
      <c r="A1491" s="20">
        <v>1490</v>
      </c>
      <c r="B1491" s="20">
        <v>4526</v>
      </c>
      <c r="C1491" s="21">
        <v>45050</v>
      </c>
      <c r="D1491" s="20">
        <v>4123.83</v>
      </c>
      <c r="E1491" s="22" t="s">
        <v>10</v>
      </c>
      <c r="F1491" s="22" t="s">
        <v>18</v>
      </c>
      <c r="G1491" s="22" t="s">
        <v>15</v>
      </c>
    </row>
    <row r="1492" ht="15.15" spans="1:7">
      <c r="A1492" s="20">
        <v>1491</v>
      </c>
      <c r="B1492" s="20">
        <v>2243</v>
      </c>
      <c r="C1492" s="21">
        <v>44933</v>
      </c>
      <c r="D1492" s="20">
        <v>719.27</v>
      </c>
      <c r="E1492" s="22" t="s">
        <v>10</v>
      </c>
      <c r="F1492" s="22" t="s">
        <v>16</v>
      </c>
      <c r="G1492" s="22" t="s">
        <v>17</v>
      </c>
    </row>
    <row r="1493" ht="15.15" spans="1:7">
      <c r="A1493" s="20">
        <v>1492</v>
      </c>
      <c r="B1493" s="20">
        <v>7822</v>
      </c>
      <c r="C1493" s="21">
        <v>45146</v>
      </c>
      <c r="D1493" s="20">
        <v>641.4</v>
      </c>
      <c r="E1493" s="22" t="s">
        <v>10</v>
      </c>
      <c r="F1493" s="22" t="s">
        <v>13</v>
      </c>
      <c r="G1493" s="22" t="s">
        <v>15</v>
      </c>
    </row>
    <row r="1494" ht="15.15" spans="1:7">
      <c r="A1494" s="20">
        <v>1493</v>
      </c>
      <c r="B1494" s="20">
        <v>6912</v>
      </c>
      <c r="C1494" s="21">
        <v>45280</v>
      </c>
      <c r="D1494" s="20">
        <v>1195.83</v>
      </c>
      <c r="E1494" s="22" t="s">
        <v>10</v>
      </c>
      <c r="F1494" s="22" t="s">
        <v>11</v>
      </c>
      <c r="G1494" s="22" t="s">
        <v>17</v>
      </c>
    </row>
    <row r="1495" ht="15.15" spans="1:7">
      <c r="A1495" s="20">
        <v>1494</v>
      </c>
      <c r="B1495" s="20">
        <v>3468</v>
      </c>
      <c r="C1495" s="21">
        <v>44976</v>
      </c>
      <c r="D1495" s="20">
        <v>1503.47</v>
      </c>
      <c r="E1495" s="22" t="s">
        <v>10</v>
      </c>
      <c r="F1495" s="22" t="s">
        <v>18</v>
      </c>
      <c r="G1495" s="22" t="s">
        <v>20</v>
      </c>
    </row>
    <row r="1496" ht="15.15" spans="1:7">
      <c r="A1496" s="20">
        <v>1495</v>
      </c>
      <c r="B1496" s="20">
        <v>811</v>
      </c>
      <c r="C1496" s="21">
        <v>45157</v>
      </c>
      <c r="D1496" s="20">
        <v>899.2</v>
      </c>
      <c r="E1496" s="22" t="s">
        <v>10</v>
      </c>
      <c r="F1496" s="22" t="s">
        <v>13</v>
      </c>
      <c r="G1496" s="22" t="s">
        <v>12</v>
      </c>
    </row>
    <row r="1497" ht="15.15" spans="1:7">
      <c r="A1497" s="20">
        <v>1496</v>
      </c>
      <c r="B1497" s="20">
        <v>1360</v>
      </c>
      <c r="C1497" s="21">
        <v>45278</v>
      </c>
      <c r="D1497" s="20">
        <v>3456.3</v>
      </c>
      <c r="E1497" s="22" t="s">
        <v>10</v>
      </c>
      <c r="F1497" s="22" t="s">
        <v>13</v>
      </c>
      <c r="G1497" s="22" t="s">
        <v>20</v>
      </c>
    </row>
    <row r="1498" ht="15.15" spans="1:7">
      <c r="A1498" s="20">
        <v>1497</v>
      </c>
      <c r="B1498" s="20">
        <v>7631</v>
      </c>
      <c r="C1498" s="21">
        <v>45285</v>
      </c>
      <c r="D1498" s="20">
        <v>2420.7</v>
      </c>
      <c r="E1498" s="22" t="s">
        <v>10</v>
      </c>
      <c r="F1498" s="22" t="s">
        <v>13</v>
      </c>
      <c r="G1498" s="22" t="s">
        <v>17</v>
      </c>
    </row>
    <row r="1499" ht="15.15" spans="1:7">
      <c r="A1499" s="20">
        <v>1498</v>
      </c>
      <c r="B1499" s="20">
        <v>4812</v>
      </c>
      <c r="C1499" s="21">
        <v>45097</v>
      </c>
      <c r="D1499" s="20">
        <v>727.31</v>
      </c>
      <c r="E1499" s="22" t="s">
        <v>10</v>
      </c>
      <c r="F1499" s="22" t="s">
        <v>11</v>
      </c>
      <c r="G1499" s="22" t="s">
        <v>12</v>
      </c>
    </row>
    <row r="1500" ht="15.15" spans="1:7">
      <c r="A1500" s="20">
        <v>1499</v>
      </c>
      <c r="B1500" s="20">
        <v>7074</v>
      </c>
      <c r="C1500" s="21">
        <v>45277</v>
      </c>
      <c r="D1500" s="20">
        <v>2834.2</v>
      </c>
      <c r="E1500" s="22" t="s">
        <v>10</v>
      </c>
      <c r="F1500" s="22" t="s">
        <v>18</v>
      </c>
      <c r="G1500" s="22" t="s">
        <v>12</v>
      </c>
    </row>
    <row r="1501" ht="15.15" spans="1:7">
      <c r="A1501" s="20">
        <v>1500</v>
      </c>
      <c r="B1501" s="20">
        <v>6605</v>
      </c>
      <c r="C1501" s="21">
        <v>44992</v>
      </c>
      <c r="D1501" s="20">
        <v>1186.67</v>
      </c>
      <c r="E1501" s="22" t="s">
        <v>10</v>
      </c>
      <c r="F1501" s="22" t="s">
        <v>18</v>
      </c>
      <c r="G1501" s="22" t="s">
        <v>12</v>
      </c>
    </row>
    <row r="1502" ht="15.15" spans="1:7">
      <c r="A1502" s="20">
        <v>1501</v>
      </c>
      <c r="B1502" s="20">
        <v>5056</v>
      </c>
      <c r="C1502" s="21">
        <v>45129</v>
      </c>
      <c r="D1502" s="20">
        <v>1039.65</v>
      </c>
      <c r="E1502" s="22" t="s">
        <v>10</v>
      </c>
      <c r="F1502" s="22" t="s">
        <v>14</v>
      </c>
      <c r="G1502" s="22" t="s">
        <v>15</v>
      </c>
    </row>
    <row r="1503" ht="15.15" spans="1:7">
      <c r="A1503" s="20">
        <v>1502</v>
      </c>
      <c r="B1503" s="20">
        <v>5920</v>
      </c>
      <c r="C1503" s="21">
        <v>44942</v>
      </c>
      <c r="D1503" s="20">
        <v>761.35</v>
      </c>
      <c r="E1503" s="22" t="s">
        <v>10</v>
      </c>
      <c r="F1503" s="22" t="s">
        <v>14</v>
      </c>
      <c r="G1503" s="22" t="s">
        <v>17</v>
      </c>
    </row>
    <row r="1504" ht="15.15" spans="1:7">
      <c r="A1504" s="20">
        <v>1503</v>
      </c>
      <c r="B1504" s="20">
        <v>2667</v>
      </c>
      <c r="C1504" s="21">
        <v>45082</v>
      </c>
      <c r="D1504" s="20">
        <v>1033.01</v>
      </c>
      <c r="E1504" s="22" t="s">
        <v>10</v>
      </c>
      <c r="F1504" s="22" t="s">
        <v>11</v>
      </c>
      <c r="G1504" s="22" t="s">
        <v>20</v>
      </c>
    </row>
    <row r="1505" ht="15.15" spans="1:7">
      <c r="A1505" s="20">
        <v>1504</v>
      </c>
      <c r="B1505" s="20">
        <v>5119</v>
      </c>
      <c r="C1505" s="21">
        <v>45289</v>
      </c>
      <c r="D1505" s="20">
        <v>230.74</v>
      </c>
      <c r="E1505" s="22" t="s">
        <v>10</v>
      </c>
      <c r="F1505" s="22" t="s">
        <v>14</v>
      </c>
      <c r="G1505" s="22" t="s">
        <v>17</v>
      </c>
    </row>
    <row r="1506" ht="15.15" spans="1:7">
      <c r="A1506" s="20">
        <v>1505</v>
      </c>
      <c r="B1506" s="20">
        <v>5184</v>
      </c>
      <c r="C1506" s="21">
        <v>45218</v>
      </c>
      <c r="D1506" s="20">
        <v>524.17</v>
      </c>
      <c r="E1506" s="22" t="s">
        <v>10</v>
      </c>
      <c r="F1506" s="22" t="s">
        <v>19</v>
      </c>
      <c r="G1506" s="22" t="s">
        <v>15</v>
      </c>
    </row>
    <row r="1507" ht="15.15" spans="1:7">
      <c r="A1507" s="20">
        <v>1506</v>
      </c>
      <c r="B1507" s="20">
        <v>2455</v>
      </c>
      <c r="C1507" s="21">
        <v>45103</v>
      </c>
      <c r="D1507" s="20">
        <v>1375.31</v>
      </c>
      <c r="E1507" s="22" t="s">
        <v>10</v>
      </c>
      <c r="F1507" s="22" t="s">
        <v>16</v>
      </c>
      <c r="G1507" s="22" t="s">
        <v>20</v>
      </c>
    </row>
    <row r="1508" ht="15.15" spans="1:7">
      <c r="A1508" s="20">
        <v>1507</v>
      </c>
      <c r="B1508" s="20">
        <v>2950</v>
      </c>
      <c r="C1508" s="21">
        <v>45098</v>
      </c>
      <c r="D1508" s="20">
        <v>394.17</v>
      </c>
      <c r="E1508" s="22" t="s">
        <v>10</v>
      </c>
      <c r="F1508" s="22" t="s">
        <v>14</v>
      </c>
      <c r="G1508" s="22" t="s">
        <v>12</v>
      </c>
    </row>
    <row r="1509" ht="15.15" spans="1:7">
      <c r="A1509" s="20">
        <v>1508</v>
      </c>
      <c r="B1509" s="20">
        <v>8926</v>
      </c>
      <c r="C1509" s="21">
        <v>45222</v>
      </c>
      <c r="D1509" s="20">
        <v>638.38</v>
      </c>
      <c r="E1509" s="22" t="s">
        <v>10</v>
      </c>
      <c r="F1509" s="22" t="s">
        <v>18</v>
      </c>
      <c r="G1509" s="22" t="s">
        <v>12</v>
      </c>
    </row>
    <row r="1510" ht="15.15" spans="1:7">
      <c r="A1510" s="20">
        <v>1509</v>
      </c>
      <c r="B1510" s="20">
        <v>5314</v>
      </c>
      <c r="C1510" s="21">
        <v>45236</v>
      </c>
      <c r="D1510" s="20">
        <v>1800.15</v>
      </c>
      <c r="E1510" s="22" t="s">
        <v>10</v>
      </c>
      <c r="F1510" s="22" t="s">
        <v>18</v>
      </c>
      <c r="G1510" s="22" t="s">
        <v>15</v>
      </c>
    </row>
    <row r="1511" ht="15.15" spans="1:7">
      <c r="A1511" s="20">
        <v>1510</v>
      </c>
      <c r="B1511" s="20">
        <v>934</v>
      </c>
      <c r="C1511" s="21">
        <v>45259</v>
      </c>
      <c r="D1511" s="20">
        <v>756.96</v>
      </c>
      <c r="E1511" s="22" t="s">
        <v>10</v>
      </c>
      <c r="F1511" s="22" t="s">
        <v>13</v>
      </c>
      <c r="G1511" s="22" t="s">
        <v>20</v>
      </c>
    </row>
    <row r="1512" ht="15.15" spans="1:7">
      <c r="A1512" s="20">
        <v>1511</v>
      </c>
      <c r="B1512" s="20">
        <v>508</v>
      </c>
      <c r="C1512" s="21">
        <v>45173</v>
      </c>
      <c r="D1512" s="20">
        <v>449.81</v>
      </c>
      <c r="E1512" s="22" t="s">
        <v>10</v>
      </c>
      <c r="F1512" s="22" t="s">
        <v>13</v>
      </c>
      <c r="G1512" s="22" t="s">
        <v>20</v>
      </c>
    </row>
    <row r="1513" ht="15.15" spans="1:7">
      <c r="A1513" s="20">
        <v>1512</v>
      </c>
      <c r="B1513" s="20">
        <v>53</v>
      </c>
      <c r="C1513" s="21">
        <v>44969</v>
      </c>
      <c r="D1513" s="20">
        <v>1391.58</v>
      </c>
      <c r="E1513" s="22" t="s">
        <v>10</v>
      </c>
      <c r="F1513" s="22" t="s">
        <v>18</v>
      </c>
      <c r="G1513" s="22" t="s">
        <v>15</v>
      </c>
    </row>
    <row r="1514" ht="15.15" spans="1:7">
      <c r="A1514" s="20">
        <v>1513</v>
      </c>
      <c r="B1514" s="20">
        <v>1291</v>
      </c>
      <c r="C1514" s="21">
        <v>44981</v>
      </c>
      <c r="D1514" s="20">
        <v>192.17</v>
      </c>
      <c r="E1514" s="22" t="s">
        <v>10</v>
      </c>
      <c r="F1514" s="22" t="s">
        <v>14</v>
      </c>
      <c r="G1514" s="22" t="s">
        <v>12</v>
      </c>
    </row>
    <row r="1515" ht="15.15" spans="1:7">
      <c r="A1515" s="20">
        <v>1514</v>
      </c>
      <c r="B1515" s="20">
        <v>3128</v>
      </c>
      <c r="C1515" s="21">
        <v>45286</v>
      </c>
      <c r="D1515" s="20">
        <v>1323.51</v>
      </c>
      <c r="E1515" s="22" t="s">
        <v>10</v>
      </c>
      <c r="F1515" s="22" t="s">
        <v>14</v>
      </c>
      <c r="G1515" s="22" t="s">
        <v>15</v>
      </c>
    </row>
    <row r="1516" ht="15.15" spans="1:7">
      <c r="A1516" s="20">
        <v>1515</v>
      </c>
      <c r="B1516" s="20">
        <v>6801</v>
      </c>
      <c r="C1516" s="21">
        <v>45020</v>
      </c>
      <c r="D1516" s="20">
        <v>1385.63</v>
      </c>
      <c r="E1516" s="22" t="s">
        <v>10</v>
      </c>
      <c r="F1516" s="22" t="s">
        <v>11</v>
      </c>
      <c r="G1516" s="22" t="s">
        <v>20</v>
      </c>
    </row>
    <row r="1517" ht="15.15" spans="1:7">
      <c r="A1517" s="20">
        <v>1516</v>
      </c>
      <c r="B1517" s="20">
        <v>7472</v>
      </c>
      <c r="C1517" s="21">
        <v>45290</v>
      </c>
      <c r="D1517" s="20">
        <v>2213.43</v>
      </c>
      <c r="E1517" s="22" t="s">
        <v>10</v>
      </c>
      <c r="F1517" s="22" t="s">
        <v>16</v>
      </c>
      <c r="G1517" s="22" t="s">
        <v>12</v>
      </c>
    </row>
    <row r="1518" ht="15.15" spans="1:7">
      <c r="A1518" s="20">
        <v>1517</v>
      </c>
      <c r="B1518" s="20">
        <v>8097</v>
      </c>
      <c r="C1518" s="21">
        <v>45223</v>
      </c>
      <c r="D1518" s="20">
        <v>2285.26</v>
      </c>
      <c r="E1518" s="22" t="s">
        <v>10</v>
      </c>
      <c r="F1518" s="22" t="s">
        <v>16</v>
      </c>
      <c r="G1518" s="22" t="s">
        <v>15</v>
      </c>
    </row>
    <row r="1519" ht="15.15" spans="1:7">
      <c r="A1519" s="20">
        <v>1518</v>
      </c>
      <c r="B1519" s="20">
        <v>8081</v>
      </c>
      <c r="C1519" s="21">
        <v>45271</v>
      </c>
      <c r="D1519" s="20">
        <v>448.66</v>
      </c>
      <c r="E1519" s="22" t="s">
        <v>10</v>
      </c>
      <c r="F1519" s="22" t="s">
        <v>11</v>
      </c>
      <c r="G1519" s="22" t="s">
        <v>15</v>
      </c>
    </row>
    <row r="1520" ht="15.15" spans="1:7">
      <c r="A1520" s="20">
        <v>1519</v>
      </c>
      <c r="B1520" s="20">
        <v>6165</v>
      </c>
      <c r="C1520" s="21">
        <v>45255</v>
      </c>
      <c r="D1520" s="20">
        <v>208.24</v>
      </c>
      <c r="E1520" s="22" t="s">
        <v>10</v>
      </c>
      <c r="F1520" s="22" t="s">
        <v>14</v>
      </c>
      <c r="G1520" s="22" t="s">
        <v>12</v>
      </c>
    </row>
    <row r="1521" ht="15.15" spans="1:7">
      <c r="A1521" s="20">
        <v>1520</v>
      </c>
      <c r="B1521" s="20">
        <v>6345</v>
      </c>
      <c r="C1521" s="21">
        <v>45200</v>
      </c>
      <c r="D1521" s="20">
        <v>611.7</v>
      </c>
      <c r="E1521" s="22" t="s">
        <v>10</v>
      </c>
      <c r="F1521" s="22" t="s">
        <v>18</v>
      </c>
      <c r="G1521" s="22" t="s">
        <v>12</v>
      </c>
    </row>
    <row r="1522" ht="15.15" spans="1:7">
      <c r="A1522" s="20">
        <v>1521</v>
      </c>
      <c r="B1522" s="20">
        <v>9939</v>
      </c>
      <c r="C1522" s="21">
        <v>45283</v>
      </c>
      <c r="D1522" s="20">
        <v>692.08</v>
      </c>
      <c r="E1522" s="22" t="s">
        <v>10</v>
      </c>
      <c r="F1522" s="22" t="s">
        <v>18</v>
      </c>
      <c r="G1522" s="22" t="s">
        <v>17</v>
      </c>
    </row>
    <row r="1523" ht="15.15" spans="1:7">
      <c r="A1523" s="20">
        <v>1522</v>
      </c>
      <c r="B1523" s="20">
        <v>53</v>
      </c>
      <c r="C1523" s="21">
        <v>45053</v>
      </c>
      <c r="D1523" s="20">
        <v>159.92</v>
      </c>
      <c r="E1523" s="22" t="s">
        <v>10</v>
      </c>
      <c r="F1523" s="22" t="s">
        <v>18</v>
      </c>
      <c r="G1523" s="22" t="s">
        <v>15</v>
      </c>
    </row>
    <row r="1524" ht="15.15" spans="1:7">
      <c r="A1524" s="20">
        <v>1523</v>
      </c>
      <c r="B1524" s="20">
        <v>1710</v>
      </c>
      <c r="C1524" s="21">
        <v>45059</v>
      </c>
      <c r="D1524" s="20">
        <v>594.37</v>
      </c>
      <c r="E1524" s="22" t="s">
        <v>10</v>
      </c>
      <c r="F1524" s="22" t="s">
        <v>18</v>
      </c>
      <c r="G1524" s="22" t="s">
        <v>20</v>
      </c>
    </row>
    <row r="1525" ht="15.15" spans="1:7">
      <c r="A1525" s="20">
        <v>1524</v>
      </c>
      <c r="B1525" s="20">
        <v>3657</v>
      </c>
      <c r="C1525" s="21">
        <v>45192</v>
      </c>
      <c r="D1525" s="20">
        <v>286.74</v>
      </c>
      <c r="E1525" s="22" t="s">
        <v>10</v>
      </c>
      <c r="F1525" s="22" t="s">
        <v>13</v>
      </c>
      <c r="G1525" s="22" t="s">
        <v>12</v>
      </c>
    </row>
    <row r="1526" ht="15.15" spans="1:7">
      <c r="A1526" s="20">
        <v>1525</v>
      </c>
      <c r="B1526" s="20">
        <v>9945</v>
      </c>
      <c r="C1526" s="21">
        <v>45220</v>
      </c>
      <c r="D1526" s="20">
        <v>1891.13</v>
      </c>
      <c r="E1526" s="22" t="s">
        <v>10</v>
      </c>
      <c r="F1526" s="22" t="s">
        <v>13</v>
      </c>
      <c r="G1526" s="22" t="s">
        <v>17</v>
      </c>
    </row>
    <row r="1527" ht="15.15" spans="1:7">
      <c r="A1527" s="20">
        <v>1526</v>
      </c>
      <c r="B1527" s="20">
        <v>305</v>
      </c>
      <c r="C1527" s="21">
        <v>45075</v>
      </c>
      <c r="D1527" s="20">
        <v>319.84</v>
      </c>
      <c r="E1527" s="22" t="s">
        <v>10</v>
      </c>
      <c r="F1527" s="22" t="s">
        <v>13</v>
      </c>
      <c r="G1527" s="22" t="s">
        <v>17</v>
      </c>
    </row>
    <row r="1528" ht="15.15" spans="1:7">
      <c r="A1528" s="20">
        <v>1527</v>
      </c>
      <c r="B1528" s="20">
        <v>1526</v>
      </c>
      <c r="C1528" s="21">
        <v>45237</v>
      </c>
      <c r="D1528" s="20">
        <v>1008.02</v>
      </c>
      <c r="E1528" s="22" t="s">
        <v>10</v>
      </c>
      <c r="F1528" s="22" t="s">
        <v>13</v>
      </c>
      <c r="G1528" s="22" t="s">
        <v>15</v>
      </c>
    </row>
    <row r="1529" ht="15.15" spans="1:7">
      <c r="A1529" s="20">
        <v>1528</v>
      </c>
      <c r="B1529" s="20">
        <v>5547</v>
      </c>
      <c r="C1529" s="21">
        <v>45090</v>
      </c>
      <c r="D1529" s="20">
        <v>2066.61</v>
      </c>
      <c r="E1529" s="22" t="s">
        <v>10</v>
      </c>
      <c r="F1529" s="22" t="s">
        <v>13</v>
      </c>
      <c r="G1529" s="22" t="s">
        <v>20</v>
      </c>
    </row>
    <row r="1530" ht="15.15" spans="1:7">
      <c r="A1530" s="20">
        <v>1529</v>
      </c>
      <c r="B1530" s="20">
        <v>2285</v>
      </c>
      <c r="C1530" s="21">
        <v>45158</v>
      </c>
      <c r="D1530" s="20">
        <v>3658.24</v>
      </c>
      <c r="E1530" s="22" t="s">
        <v>10</v>
      </c>
      <c r="F1530" s="22" t="s">
        <v>11</v>
      </c>
      <c r="G1530" s="22" t="s">
        <v>17</v>
      </c>
    </row>
    <row r="1531" ht="15.15" spans="1:7">
      <c r="A1531" s="20">
        <v>1530</v>
      </c>
      <c r="B1531" s="20">
        <v>8264</v>
      </c>
      <c r="C1531" s="21">
        <v>45029</v>
      </c>
      <c r="D1531" s="20">
        <v>413.05</v>
      </c>
      <c r="E1531" s="22" t="s">
        <v>10</v>
      </c>
      <c r="F1531" s="22" t="s">
        <v>14</v>
      </c>
      <c r="G1531" s="22" t="s">
        <v>20</v>
      </c>
    </row>
    <row r="1532" ht="15.15" spans="1:7">
      <c r="A1532" s="20">
        <v>1531</v>
      </c>
      <c r="B1532" s="20">
        <v>8737</v>
      </c>
      <c r="C1532" s="21">
        <v>45183</v>
      </c>
      <c r="D1532" s="20">
        <v>257.56</v>
      </c>
      <c r="E1532" s="22" t="s">
        <v>10</v>
      </c>
      <c r="F1532" s="22" t="s">
        <v>16</v>
      </c>
      <c r="G1532" s="22" t="s">
        <v>17</v>
      </c>
    </row>
    <row r="1533" ht="15.15" spans="1:7">
      <c r="A1533" s="20">
        <v>1532</v>
      </c>
      <c r="B1533" s="20">
        <v>6825</v>
      </c>
      <c r="C1533" s="21">
        <v>45138</v>
      </c>
      <c r="D1533" s="20">
        <v>325.76</v>
      </c>
      <c r="E1533" s="22" t="s">
        <v>21</v>
      </c>
      <c r="F1533" s="22" t="s">
        <v>13</v>
      </c>
      <c r="G1533" s="22" t="s">
        <v>20</v>
      </c>
    </row>
    <row r="1534" ht="15.15" spans="1:7">
      <c r="A1534" s="20">
        <v>1533</v>
      </c>
      <c r="B1534" s="20">
        <v>4394</v>
      </c>
      <c r="C1534" s="21">
        <v>45169</v>
      </c>
      <c r="D1534" s="20">
        <v>2215.59</v>
      </c>
      <c r="E1534" s="22" t="s">
        <v>10</v>
      </c>
      <c r="F1534" s="22" t="s">
        <v>16</v>
      </c>
      <c r="G1534" s="22" t="s">
        <v>12</v>
      </c>
    </row>
    <row r="1535" ht="15.15" spans="1:7">
      <c r="A1535" s="20">
        <v>1534</v>
      </c>
      <c r="B1535" s="20">
        <v>9637</v>
      </c>
      <c r="C1535" s="21">
        <v>45289</v>
      </c>
      <c r="D1535" s="20">
        <v>780.87</v>
      </c>
      <c r="E1535" s="22" t="s">
        <v>10</v>
      </c>
      <c r="F1535" s="22" t="s">
        <v>16</v>
      </c>
      <c r="G1535" s="22" t="s">
        <v>15</v>
      </c>
    </row>
    <row r="1536" ht="15.15" spans="1:7">
      <c r="A1536" s="20">
        <v>1535</v>
      </c>
      <c r="B1536" s="20">
        <v>685</v>
      </c>
      <c r="C1536" s="21">
        <v>45283</v>
      </c>
      <c r="D1536" s="20">
        <v>170.78</v>
      </c>
      <c r="E1536" s="22" t="s">
        <v>10</v>
      </c>
      <c r="F1536" s="22" t="s">
        <v>18</v>
      </c>
      <c r="G1536" s="22" t="s">
        <v>15</v>
      </c>
    </row>
    <row r="1537" ht="15.15" spans="1:7">
      <c r="A1537" s="20">
        <v>1536</v>
      </c>
      <c r="B1537" s="20">
        <v>9611</v>
      </c>
      <c r="C1537" s="21">
        <v>45249</v>
      </c>
      <c r="D1537" s="20">
        <v>535.5</v>
      </c>
      <c r="E1537" s="22" t="s">
        <v>10</v>
      </c>
      <c r="F1537" s="22" t="s">
        <v>18</v>
      </c>
      <c r="G1537" s="22" t="s">
        <v>12</v>
      </c>
    </row>
    <row r="1538" ht="15.15" spans="1:7">
      <c r="A1538" s="20">
        <v>1537</v>
      </c>
      <c r="B1538" s="20">
        <v>134</v>
      </c>
      <c r="C1538" s="21">
        <v>45128</v>
      </c>
      <c r="D1538" s="20">
        <v>971.78</v>
      </c>
      <c r="E1538" s="22" t="s">
        <v>10</v>
      </c>
      <c r="F1538" s="22" t="s">
        <v>18</v>
      </c>
      <c r="G1538" s="22" t="s">
        <v>17</v>
      </c>
    </row>
    <row r="1539" ht="15.15" spans="1:7">
      <c r="A1539" s="20">
        <v>1538</v>
      </c>
      <c r="B1539" s="20">
        <v>9681</v>
      </c>
      <c r="C1539" s="21">
        <v>44999</v>
      </c>
      <c r="D1539" s="20">
        <v>3999.6</v>
      </c>
      <c r="E1539" s="22" t="s">
        <v>10</v>
      </c>
      <c r="F1539" s="22" t="s">
        <v>13</v>
      </c>
      <c r="G1539" s="22" t="s">
        <v>17</v>
      </c>
    </row>
    <row r="1540" ht="15.15" spans="1:7">
      <c r="A1540" s="20">
        <v>1539</v>
      </c>
      <c r="B1540" s="20">
        <v>6450</v>
      </c>
      <c r="C1540" s="21">
        <v>45162</v>
      </c>
      <c r="D1540" s="20">
        <v>989.04</v>
      </c>
      <c r="E1540" s="22" t="s">
        <v>10</v>
      </c>
      <c r="F1540" s="22" t="s">
        <v>18</v>
      </c>
      <c r="G1540" s="22" t="s">
        <v>12</v>
      </c>
    </row>
    <row r="1541" ht="15.15" spans="1:7">
      <c r="A1541" s="20">
        <v>1540</v>
      </c>
      <c r="B1541" s="20">
        <v>5804</v>
      </c>
      <c r="C1541" s="21">
        <v>45211</v>
      </c>
      <c r="D1541" s="20">
        <v>1685.38</v>
      </c>
      <c r="E1541" s="22" t="s">
        <v>10</v>
      </c>
      <c r="F1541" s="22" t="s">
        <v>11</v>
      </c>
      <c r="G1541" s="22" t="s">
        <v>12</v>
      </c>
    </row>
    <row r="1542" ht="15.15" spans="1:7">
      <c r="A1542" s="20">
        <v>1541</v>
      </c>
      <c r="B1542" s="20">
        <v>3797</v>
      </c>
      <c r="C1542" s="21">
        <v>44962</v>
      </c>
      <c r="D1542" s="20">
        <v>2710.36</v>
      </c>
      <c r="E1542" s="22" t="s">
        <v>10</v>
      </c>
      <c r="F1542" s="22" t="s">
        <v>18</v>
      </c>
      <c r="G1542" s="22" t="s">
        <v>15</v>
      </c>
    </row>
    <row r="1543" ht="15.15" spans="1:7">
      <c r="A1543" s="20">
        <v>1542</v>
      </c>
      <c r="B1543" s="20">
        <v>1005</v>
      </c>
      <c r="C1543" s="21">
        <v>44980</v>
      </c>
      <c r="D1543" s="20">
        <v>2236.57</v>
      </c>
      <c r="E1543" s="22" t="s">
        <v>10</v>
      </c>
      <c r="F1543" s="22" t="s">
        <v>16</v>
      </c>
      <c r="G1543" s="22" t="s">
        <v>20</v>
      </c>
    </row>
    <row r="1544" ht="15.15" spans="1:7">
      <c r="A1544" s="20">
        <v>1543</v>
      </c>
      <c r="B1544" s="20">
        <v>3035</v>
      </c>
      <c r="C1544" s="21">
        <v>45117</v>
      </c>
      <c r="D1544" s="20">
        <v>3145.95</v>
      </c>
      <c r="E1544" s="22" t="s">
        <v>10</v>
      </c>
      <c r="F1544" s="22" t="s">
        <v>18</v>
      </c>
      <c r="G1544" s="22" t="s">
        <v>12</v>
      </c>
    </row>
    <row r="1545" ht="15.15" spans="1:7">
      <c r="A1545" s="20">
        <v>1544</v>
      </c>
      <c r="B1545" s="20">
        <v>4749</v>
      </c>
      <c r="C1545" s="21">
        <v>45094</v>
      </c>
      <c r="D1545" s="20">
        <v>688.95</v>
      </c>
      <c r="E1545" s="22" t="s">
        <v>10</v>
      </c>
      <c r="F1545" s="22" t="s">
        <v>11</v>
      </c>
      <c r="G1545" s="22" t="s">
        <v>15</v>
      </c>
    </row>
    <row r="1546" ht="15.15" spans="1:7">
      <c r="A1546" s="20">
        <v>1545</v>
      </c>
      <c r="B1546" s="20">
        <v>3876</v>
      </c>
      <c r="C1546" s="21">
        <v>45212</v>
      </c>
      <c r="D1546" s="20">
        <v>1417.1</v>
      </c>
      <c r="E1546" s="22" t="s">
        <v>10</v>
      </c>
      <c r="F1546" s="22" t="s">
        <v>18</v>
      </c>
      <c r="G1546" s="22" t="s">
        <v>12</v>
      </c>
    </row>
    <row r="1547" ht="15.15" spans="1:7">
      <c r="A1547" s="20">
        <v>1546</v>
      </c>
      <c r="B1547" s="20">
        <v>6517</v>
      </c>
      <c r="C1547" s="21">
        <v>45206</v>
      </c>
      <c r="D1547" s="20">
        <v>1020.08</v>
      </c>
      <c r="E1547" s="22" t="s">
        <v>21</v>
      </c>
      <c r="F1547" s="22" t="s">
        <v>18</v>
      </c>
      <c r="G1547" s="22" t="s">
        <v>15</v>
      </c>
    </row>
    <row r="1548" ht="15.15" spans="1:7">
      <c r="A1548" s="20">
        <v>1547</v>
      </c>
      <c r="B1548" s="20">
        <v>1192</v>
      </c>
      <c r="C1548" s="21">
        <v>45017</v>
      </c>
      <c r="D1548" s="20">
        <v>643.29</v>
      </c>
      <c r="E1548" s="22" t="s">
        <v>10</v>
      </c>
      <c r="F1548" s="22" t="s">
        <v>13</v>
      </c>
      <c r="G1548" s="22" t="s">
        <v>17</v>
      </c>
    </row>
    <row r="1549" ht="15.15" spans="1:7">
      <c r="A1549" s="20">
        <v>1548</v>
      </c>
      <c r="B1549" s="20">
        <v>8476</v>
      </c>
      <c r="C1549" s="21">
        <v>45031</v>
      </c>
      <c r="D1549" s="20">
        <v>719.93</v>
      </c>
      <c r="E1549" s="22" t="s">
        <v>10</v>
      </c>
      <c r="F1549" s="22" t="s">
        <v>18</v>
      </c>
      <c r="G1549" s="22" t="s">
        <v>17</v>
      </c>
    </row>
    <row r="1550" ht="15.15" spans="1:7">
      <c r="A1550" s="20">
        <v>1549</v>
      </c>
      <c r="B1550" s="20">
        <v>1207</v>
      </c>
      <c r="C1550" s="21">
        <v>45265</v>
      </c>
      <c r="D1550" s="20">
        <v>589.59</v>
      </c>
      <c r="E1550" s="22" t="s">
        <v>10</v>
      </c>
      <c r="F1550" s="22" t="s">
        <v>18</v>
      </c>
      <c r="G1550" s="22" t="s">
        <v>17</v>
      </c>
    </row>
    <row r="1551" ht="15.15" spans="1:7">
      <c r="A1551" s="20">
        <v>1550</v>
      </c>
      <c r="B1551" s="20">
        <v>7355</v>
      </c>
      <c r="C1551" s="21">
        <v>45025</v>
      </c>
      <c r="D1551" s="20">
        <v>160.33</v>
      </c>
      <c r="E1551" s="22" t="s">
        <v>10</v>
      </c>
      <c r="F1551" s="22" t="s">
        <v>13</v>
      </c>
      <c r="G1551" s="22" t="s">
        <v>15</v>
      </c>
    </row>
    <row r="1552" ht="15.15" spans="1:7">
      <c r="A1552" s="20">
        <v>1551</v>
      </c>
      <c r="B1552" s="20">
        <v>1304</v>
      </c>
      <c r="C1552" s="21">
        <v>45275</v>
      </c>
      <c r="D1552" s="20">
        <v>1283.16</v>
      </c>
      <c r="E1552" s="22" t="s">
        <v>10</v>
      </c>
      <c r="F1552" s="22" t="s">
        <v>11</v>
      </c>
      <c r="G1552" s="22" t="s">
        <v>15</v>
      </c>
    </row>
    <row r="1553" ht="15.15" spans="1:7">
      <c r="A1553" s="20">
        <v>1552</v>
      </c>
      <c r="B1553" s="20">
        <v>455</v>
      </c>
      <c r="C1553" s="21">
        <v>45233</v>
      </c>
      <c r="D1553" s="20">
        <v>887.37</v>
      </c>
      <c r="E1553" s="22" t="s">
        <v>10</v>
      </c>
      <c r="F1553" s="22" t="s">
        <v>18</v>
      </c>
      <c r="G1553" s="22" t="s">
        <v>20</v>
      </c>
    </row>
    <row r="1554" ht="15.15" spans="1:7">
      <c r="A1554" s="20">
        <v>1553</v>
      </c>
      <c r="B1554" s="20">
        <v>8675</v>
      </c>
      <c r="C1554" s="21">
        <v>45102</v>
      </c>
      <c r="D1554" s="20">
        <v>1697.04</v>
      </c>
      <c r="E1554" s="22" t="s">
        <v>10</v>
      </c>
      <c r="F1554" s="22" t="s">
        <v>18</v>
      </c>
      <c r="G1554" s="22" t="s">
        <v>20</v>
      </c>
    </row>
    <row r="1555" ht="15.15" spans="1:7">
      <c r="A1555" s="20">
        <v>1554</v>
      </c>
      <c r="B1555" s="20">
        <v>2147</v>
      </c>
      <c r="C1555" s="21">
        <v>45203</v>
      </c>
      <c r="D1555" s="20">
        <v>7424.12</v>
      </c>
      <c r="E1555" s="22" t="s">
        <v>10</v>
      </c>
      <c r="F1555" s="22" t="s">
        <v>11</v>
      </c>
      <c r="G1555" s="22" t="s">
        <v>12</v>
      </c>
    </row>
    <row r="1556" ht="15.15" spans="1:7">
      <c r="A1556" s="20">
        <v>1555</v>
      </c>
      <c r="B1556" s="20">
        <v>9038</v>
      </c>
      <c r="C1556" s="21">
        <v>45064</v>
      </c>
      <c r="D1556" s="20">
        <v>156.65</v>
      </c>
      <c r="E1556" s="22" t="s">
        <v>10</v>
      </c>
      <c r="F1556" s="22" t="s">
        <v>14</v>
      </c>
      <c r="G1556" s="22" t="s">
        <v>15</v>
      </c>
    </row>
    <row r="1557" ht="15.15" spans="1:7">
      <c r="A1557" s="20">
        <v>1556</v>
      </c>
      <c r="B1557" s="20">
        <v>6944</v>
      </c>
      <c r="C1557" s="21">
        <v>45154</v>
      </c>
      <c r="D1557" s="20">
        <v>3238.72</v>
      </c>
      <c r="E1557" s="22" t="s">
        <v>10</v>
      </c>
      <c r="F1557" s="22" t="s">
        <v>18</v>
      </c>
      <c r="G1557" s="22" t="s">
        <v>20</v>
      </c>
    </row>
    <row r="1558" ht="15.15" spans="1:7">
      <c r="A1558" s="20">
        <v>1557</v>
      </c>
      <c r="B1558" s="20">
        <v>242</v>
      </c>
      <c r="C1558" s="21">
        <v>45026</v>
      </c>
      <c r="D1558" s="20">
        <v>2796.08</v>
      </c>
      <c r="E1558" s="22" t="s">
        <v>10</v>
      </c>
      <c r="F1558" s="22" t="s">
        <v>13</v>
      </c>
      <c r="G1558" s="22" t="s">
        <v>12</v>
      </c>
    </row>
    <row r="1559" ht="15.15" spans="1:7">
      <c r="A1559" s="20">
        <v>1558</v>
      </c>
      <c r="B1559" s="20">
        <v>2628</v>
      </c>
      <c r="C1559" s="21">
        <v>44956</v>
      </c>
      <c r="D1559" s="20">
        <v>305.06</v>
      </c>
      <c r="E1559" s="22" t="s">
        <v>10</v>
      </c>
      <c r="F1559" s="22" t="s">
        <v>16</v>
      </c>
      <c r="G1559" s="22" t="s">
        <v>12</v>
      </c>
    </row>
    <row r="1560" ht="15.15" spans="1:7">
      <c r="A1560" s="20">
        <v>1559</v>
      </c>
      <c r="B1560" s="20">
        <v>1988</v>
      </c>
      <c r="C1560" s="21">
        <v>45201</v>
      </c>
      <c r="D1560" s="20">
        <v>912.95</v>
      </c>
      <c r="E1560" s="22" t="s">
        <v>10</v>
      </c>
      <c r="F1560" s="22" t="s">
        <v>14</v>
      </c>
      <c r="G1560" s="22" t="s">
        <v>15</v>
      </c>
    </row>
    <row r="1561" ht="15.15" spans="1:7">
      <c r="A1561" s="20">
        <v>1560</v>
      </c>
      <c r="B1561" s="20">
        <v>7243</v>
      </c>
      <c r="C1561" s="21">
        <v>45082</v>
      </c>
      <c r="D1561" s="20">
        <v>496.71</v>
      </c>
      <c r="E1561" s="22" t="s">
        <v>10</v>
      </c>
      <c r="F1561" s="22" t="s">
        <v>14</v>
      </c>
      <c r="G1561" s="22" t="s">
        <v>12</v>
      </c>
    </row>
    <row r="1562" ht="15.15" spans="1:7">
      <c r="A1562" s="20">
        <v>1561</v>
      </c>
      <c r="B1562" s="20">
        <v>6284</v>
      </c>
      <c r="C1562" s="21">
        <v>45121</v>
      </c>
      <c r="D1562" s="20">
        <v>1159.22</v>
      </c>
      <c r="E1562" s="22" t="s">
        <v>10</v>
      </c>
      <c r="F1562" s="22" t="s">
        <v>16</v>
      </c>
      <c r="G1562" s="22" t="s">
        <v>20</v>
      </c>
    </row>
    <row r="1563" ht="15.15" spans="1:7">
      <c r="A1563" s="20">
        <v>1562</v>
      </c>
      <c r="B1563" s="20">
        <v>23</v>
      </c>
      <c r="C1563" s="21">
        <v>44944</v>
      </c>
      <c r="D1563" s="20">
        <v>3126.04</v>
      </c>
      <c r="E1563" s="22" t="s">
        <v>10</v>
      </c>
      <c r="F1563" s="22" t="s">
        <v>13</v>
      </c>
      <c r="G1563" s="22" t="s">
        <v>17</v>
      </c>
    </row>
    <row r="1564" ht="15.15" spans="1:7">
      <c r="A1564" s="20">
        <v>1563</v>
      </c>
      <c r="B1564" s="20">
        <v>1842</v>
      </c>
      <c r="C1564" s="21">
        <v>45259</v>
      </c>
      <c r="D1564" s="20">
        <v>1195.91</v>
      </c>
      <c r="E1564" s="22" t="s">
        <v>10</v>
      </c>
      <c r="F1564" s="22" t="s">
        <v>16</v>
      </c>
      <c r="G1564" s="22" t="s">
        <v>20</v>
      </c>
    </row>
    <row r="1565" ht="15.15" spans="1:7">
      <c r="A1565" s="20">
        <v>1564</v>
      </c>
      <c r="B1565" s="20">
        <v>4880</v>
      </c>
      <c r="C1565" s="21">
        <v>45051</v>
      </c>
      <c r="D1565" s="20">
        <v>1077.84</v>
      </c>
      <c r="E1565" s="22" t="s">
        <v>10</v>
      </c>
      <c r="F1565" s="22" t="s">
        <v>16</v>
      </c>
      <c r="G1565" s="22" t="s">
        <v>20</v>
      </c>
    </row>
    <row r="1566" ht="15.15" spans="1:7">
      <c r="A1566" s="20">
        <v>1565</v>
      </c>
      <c r="B1566" s="20">
        <v>6463</v>
      </c>
      <c r="C1566" s="21">
        <v>45041</v>
      </c>
      <c r="D1566" s="20">
        <v>1294.72</v>
      </c>
      <c r="E1566" s="22" t="s">
        <v>10</v>
      </c>
      <c r="F1566" s="22" t="s">
        <v>18</v>
      </c>
      <c r="G1566" s="22" t="s">
        <v>12</v>
      </c>
    </row>
    <row r="1567" ht="15.15" spans="1:7">
      <c r="A1567" s="20">
        <v>1566</v>
      </c>
      <c r="B1567" s="20">
        <v>4829</v>
      </c>
      <c r="C1567" s="21">
        <v>45223</v>
      </c>
      <c r="D1567" s="20">
        <v>1777.25</v>
      </c>
      <c r="E1567" s="22" t="s">
        <v>10</v>
      </c>
      <c r="F1567" s="22" t="s">
        <v>13</v>
      </c>
      <c r="G1567" s="22" t="s">
        <v>20</v>
      </c>
    </row>
    <row r="1568" ht="15.15" spans="1:7">
      <c r="A1568" s="20">
        <v>1567</v>
      </c>
      <c r="B1568" s="20">
        <v>1608</v>
      </c>
      <c r="C1568" s="21">
        <v>45038</v>
      </c>
      <c r="D1568" s="20">
        <v>1735.12</v>
      </c>
      <c r="E1568" s="22" t="s">
        <v>10</v>
      </c>
      <c r="F1568" s="22" t="s">
        <v>14</v>
      </c>
      <c r="G1568" s="22" t="s">
        <v>20</v>
      </c>
    </row>
    <row r="1569" ht="15.15" spans="1:7">
      <c r="A1569" s="20">
        <v>1568</v>
      </c>
      <c r="B1569" s="20">
        <v>4797</v>
      </c>
      <c r="C1569" s="21">
        <v>45239</v>
      </c>
      <c r="D1569" s="20">
        <v>949.5</v>
      </c>
      <c r="E1569" s="22" t="s">
        <v>10</v>
      </c>
      <c r="F1569" s="22" t="s">
        <v>16</v>
      </c>
      <c r="G1569" s="22" t="s">
        <v>15</v>
      </c>
    </row>
    <row r="1570" ht="15.15" spans="1:7">
      <c r="A1570" s="20">
        <v>1569</v>
      </c>
      <c r="B1570" s="20">
        <v>1047</v>
      </c>
      <c r="C1570" s="21">
        <v>45254</v>
      </c>
      <c r="D1570" s="20">
        <v>325.76</v>
      </c>
      <c r="E1570" s="22" t="s">
        <v>10</v>
      </c>
      <c r="F1570" s="22" t="s">
        <v>14</v>
      </c>
      <c r="G1570" s="22" t="s">
        <v>20</v>
      </c>
    </row>
    <row r="1571" ht="15.15" spans="1:7">
      <c r="A1571" s="20">
        <v>1570</v>
      </c>
      <c r="B1571" s="20">
        <v>3500</v>
      </c>
      <c r="C1571" s="21">
        <v>45200</v>
      </c>
      <c r="D1571" s="20">
        <v>2722.06</v>
      </c>
      <c r="E1571" s="22" t="s">
        <v>10</v>
      </c>
      <c r="F1571" s="22" t="s">
        <v>16</v>
      </c>
      <c r="G1571" s="22" t="s">
        <v>17</v>
      </c>
    </row>
    <row r="1572" ht="15.15" spans="1:7">
      <c r="A1572" s="20">
        <v>1571</v>
      </c>
      <c r="B1572" s="20">
        <v>9332</v>
      </c>
      <c r="C1572" s="21">
        <v>45246</v>
      </c>
      <c r="D1572" s="20">
        <v>965.83</v>
      </c>
      <c r="E1572" s="22" t="s">
        <v>10</v>
      </c>
      <c r="F1572" s="22" t="s">
        <v>18</v>
      </c>
      <c r="G1572" s="22" t="s">
        <v>12</v>
      </c>
    </row>
    <row r="1573" ht="15.15" spans="1:7">
      <c r="A1573" s="20">
        <v>1572</v>
      </c>
      <c r="B1573" s="20">
        <v>203</v>
      </c>
      <c r="C1573" s="21">
        <v>44948</v>
      </c>
      <c r="D1573" s="20">
        <v>6034.29</v>
      </c>
      <c r="E1573" s="22" t="s">
        <v>10</v>
      </c>
      <c r="F1573" s="22" t="s">
        <v>19</v>
      </c>
      <c r="G1573" s="22" t="s">
        <v>17</v>
      </c>
    </row>
    <row r="1574" ht="15.15" spans="1:7">
      <c r="A1574" s="20">
        <v>1573</v>
      </c>
      <c r="B1574" s="20">
        <v>7040</v>
      </c>
      <c r="C1574" s="21">
        <v>44961</v>
      </c>
      <c r="D1574" s="20">
        <v>349.51</v>
      </c>
      <c r="E1574" s="22" t="s">
        <v>10</v>
      </c>
      <c r="F1574" s="22" t="s">
        <v>16</v>
      </c>
      <c r="G1574" s="22" t="s">
        <v>17</v>
      </c>
    </row>
    <row r="1575" ht="15.15" spans="1:7">
      <c r="A1575" s="20">
        <v>1574</v>
      </c>
      <c r="B1575" s="20">
        <v>9555</v>
      </c>
      <c r="C1575" s="21">
        <v>45258</v>
      </c>
      <c r="D1575" s="20">
        <v>1173.06</v>
      </c>
      <c r="E1575" s="22" t="s">
        <v>10</v>
      </c>
      <c r="F1575" s="22" t="s">
        <v>11</v>
      </c>
      <c r="G1575" s="22" t="s">
        <v>20</v>
      </c>
    </row>
    <row r="1576" ht="15.15" spans="1:7">
      <c r="A1576" s="20">
        <v>1575</v>
      </c>
      <c r="B1576" s="20">
        <v>3659</v>
      </c>
      <c r="C1576" s="21">
        <v>45266</v>
      </c>
      <c r="D1576" s="20">
        <v>2651.18</v>
      </c>
      <c r="E1576" s="22" t="s">
        <v>10</v>
      </c>
      <c r="F1576" s="22" t="s">
        <v>14</v>
      </c>
      <c r="G1576" s="22" t="s">
        <v>20</v>
      </c>
    </row>
    <row r="1577" ht="15.15" spans="1:7">
      <c r="A1577" s="20">
        <v>1576</v>
      </c>
      <c r="B1577" s="20">
        <v>2681</v>
      </c>
      <c r="C1577" s="21">
        <v>45243</v>
      </c>
      <c r="D1577" s="20">
        <v>5865.06</v>
      </c>
      <c r="E1577" s="22" t="s">
        <v>10</v>
      </c>
      <c r="F1577" s="22" t="s">
        <v>13</v>
      </c>
      <c r="G1577" s="22" t="s">
        <v>17</v>
      </c>
    </row>
    <row r="1578" ht="15.15" spans="1:7">
      <c r="A1578" s="20">
        <v>1577</v>
      </c>
      <c r="B1578" s="20">
        <v>741</v>
      </c>
      <c r="C1578" s="21">
        <v>45186</v>
      </c>
      <c r="D1578" s="20">
        <v>2917.76</v>
      </c>
      <c r="E1578" s="22" t="s">
        <v>10</v>
      </c>
      <c r="F1578" s="22" t="s">
        <v>13</v>
      </c>
      <c r="G1578" s="22" t="s">
        <v>15</v>
      </c>
    </row>
    <row r="1579" ht="15.15" spans="1:7">
      <c r="A1579" s="20">
        <v>1578</v>
      </c>
      <c r="B1579" s="20">
        <v>5549</v>
      </c>
      <c r="C1579" s="21">
        <v>45274</v>
      </c>
      <c r="D1579" s="20">
        <v>2583.96</v>
      </c>
      <c r="E1579" s="22" t="s">
        <v>10</v>
      </c>
      <c r="F1579" s="22" t="s">
        <v>18</v>
      </c>
      <c r="G1579" s="22" t="s">
        <v>20</v>
      </c>
    </row>
    <row r="1580" ht="15.15" spans="1:7">
      <c r="A1580" s="20">
        <v>1579</v>
      </c>
      <c r="B1580" s="20">
        <v>5108</v>
      </c>
      <c r="C1580" s="21">
        <v>45164</v>
      </c>
      <c r="D1580" s="20">
        <v>2042.05</v>
      </c>
      <c r="E1580" s="22" t="s">
        <v>10</v>
      </c>
      <c r="F1580" s="22" t="s">
        <v>13</v>
      </c>
      <c r="G1580" s="22" t="s">
        <v>15</v>
      </c>
    </row>
    <row r="1581" ht="15.15" spans="1:7">
      <c r="A1581" s="20">
        <v>1580</v>
      </c>
      <c r="B1581" s="20">
        <v>3583</v>
      </c>
      <c r="C1581" s="21">
        <v>45269</v>
      </c>
      <c r="D1581" s="20">
        <v>400.23</v>
      </c>
      <c r="E1581" s="22" t="s">
        <v>22</v>
      </c>
      <c r="F1581" s="22" t="s">
        <v>18</v>
      </c>
      <c r="G1581" s="22" t="s">
        <v>20</v>
      </c>
    </row>
    <row r="1582" ht="15.15" spans="1:7">
      <c r="A1582" s="20">
        <v>1581</v>
      </c>
      <c r="B1582" s="20">
        <v>1304</v>
      </c>
      <c r="C1582" s="21">
        <v>45137</v>
      </c>
      <c r="D1582" s="20">
        <v>1541.29</v>
      </c>
      <c r="E1582" s="22" t="s">
        <v>10</v>
      </c>
      <c r="F1582" s="22" t="s">
        <v>11</v>
      </c>
      <c r="G1582" s="22" t="s">
        <v>20</v>
      </c>
    </row>
    <row r="1583" ht="15.15" spans="1:7">
      <c r="A1583" s="20">
        <v>1582</v>
      </c>
      <c r="B1583" s="20">
        <v>8691</v>
      </c>
      <c r="C1583" s="21">
        <v>45142</v>
      </c>
      <c r="D1583" s="20">
        <v>4085.13</v>
      </c>
      <c r="E1583" s="22" t="s">
        <v>10</v>
      </c>
      <c r="F1583" s="22" t="s">
        <v>13</v>
      </c>
      <c r="G1583" s="22" t="s">
        <v>12</v>
      </c>
    </row>
    <row r="1584" ht="15.15" spans="1:7">
      <c r="A1584" s="20">
        <v>1583</v>
      </c>
      <c r="B1584" s="20">
        <v>7330</v>
      </c>
      <c r="C1584" s="21">
        <v>45174</v>
      </c>
      <c r="D1584" s="20">
        <v>2262.17</v>
      </c>
      <c r="E1584" s="22" t="s">
        <v>10</v>
      </c>
      <c r="F1584" s="22" t="s">
        <v>11</v>
      </c>
      <c r="G1584" s="22" t="s">
        <v>12</v>
      </c>
    </row>
    <row r="1585" ht="15.15" spans="1:7">
      <c r="A1585" s="20">
        <v>1584</v>
      </c>
      <c r="B1585" s="20">
        <v>546</v>
      </c>
      <c r="C1585" s="21">
        <v>44954</v>
      </c>
      <c r="D1585" s="20">
        <v>1145.71</v>
      </c>
      <c r="E1585" s="22" t="s">
        <v>10</v>
      </c>
      <c r="F1585" s="22" t="s">
        <v>11</v>
      </c>
      <c r="G1585" s="22" t="s">
        <v>20</v>
      </c>
    </row>
    <row r="1586" ht="15.15" spans="1:7">
      <c r="A1586" s="20">
        <v>1585</v>
      </c>
      <c r="B1586" s="20">
        <v>9930</v>
      </c>
      <c r="C1586" s="21">
        <v>45244</v>
      </c>
      <c r="D1586" s="20">
        <v>246.04</v>
      </c>
      <c r="E1586" s="22" t="s">
        <v>22</v>
      </c>
      <c r="F1586" s="22" t="s">
        <v>11</v>
      </c>
      <c r="G1586" s="22" t="s">
        <v>17</v>
      </c>
    </row>
    <row r="1587" ht="15.15" spans="1:7">
      <c r="A1587" s="20">
        <v>1586</v>
      </c>
      <c r="B1587" s="20">
        <v>5341</v>
      </c>
      <c r="C1587" s="21">
        <v>45023</v>
      </c>
      <c r="D1587" s="20">
        <v>1164.58</v>
      </c>
      <c r="E1587" s="22" t="s">
        <v>10</v>
      </c>
      <c r="F1587" s="22" t="s">
        <v>16</v>
      </c>
      <c r="G1587" s="22" t="s">
        <v>15</v>
      </c>
    </row>
    <row r="1588" ht="15.15" spans="1:7">
      <c r="A1588" s="20">
        <v>1587</v>
      </c>
      <c r="B1588" s="20">
        <v>8161</v>
      </c>
      <c r="C1588" s="21">
        <v>45182</v>
      </c>
      <c r="D1588" s="20">
        <v>961.3</v>
      </c>
      <c r="E1588" s="22" t="s">
        <v>10</v>
      </c>
      <c r="F1588" s="22" t="s">
        <v>11</v>
      </c>
      <c r="G1588" s="22" t="s">
        <v>20</v>
      </c>
    </row>
    <row r="1589" ht="15.15" spans="1:7">
      <c r="A1589" s="20">
        <v>1588</v>
      </c>
      <c r="B1589" s="20">
        <v>9893</v>
      </c>
      <c r="C1589" s="21">
        <v>44950</v>
      </c>
      <c r="D1589" s="20">
        <v>1993.79</v>
      </c>
      <c r="E1589" s="22" t="s">
        <v>10</v>
      </c>
      <c r="F1589" s="22" t="s">
        <v>11</v>
      </c>
      <c r="G1589" s="22" t="s">
        <v>20</v>
      </c>
    </row>
    <row r="1590" ht="15.15" spans="1:7">
      <c r="A1590" s="20">
        <v>1589</v>
      </c>
      <c r="B1590" s="20">
        <v>5548</v>
      </c>
      <c r="C1590" s="21">
        <v>45115</v>
      </c>
      <c r="D1590" s="20">
        <v>3418.47</v>
      </c>
      <c r="E1590" s="22" t="s">
        <v>10</v>
      </c>
      <c r="F1590" s="22" t="s">
        <v>14</v>
      </c>
      <c r="G1590" s="22" t="s">
        <v>17</v>
      </c>
    </row>
    <row r="1591" ht="15.15" spans="1:7">
      <c r="A1591" s="20">
        <v>1590</v>
      </c>
      <c r="B1591" s="20">
        <v>8137</v>
      </c>
      <c r="C1591" s="21">
        <v>44930</v>
      </c>
      <c r="D1591" s="20">
        <v>1756.88</v>
      </c>
      <c r="E1591" s="22" t="s">
        <v>10</v>
      </c>
      <c r="F1591" s="22" t="s">
        <v>13</v>
      </c>
      <c r="G1591" s="22" t="s">
        <v>17</v>
      </c>
    </row>
    <row r="1592" ht="15.15" spans="1:7">
      <c r="A1592" s="20">
        <v>1591</v>
      </c>
      <c r="B1592" s="20">
        <v>6898</v>
      </c>
      <c r="C1592" s="21">
        <v>45229</v>
      </c>
      <c r="D1592" s="20">
        <v>284.86</v>
      </c>
      <c r="E1592" s="22" t="s">
        <v>10</v>
      </c>
      <c r="F1592" s="22" t="s">
        <v>13</v>
      </c>
      <c r="G1592" s="22" t="s">
        <v>20</v>
      </c>
    </row>
    <row r="1593" ht="15.15" spans="1:7">
      <c r="A1593" s="20">
        <v>1592</v>
      </c>
      <c r="B1593" s="20">
        <v>3287</v>
      </c>
      <c r="C1593" s="21">
        <v>45272</v>
      </c>
      <c r="D1593" s="20">
        <v>193.8</v>
      </c>
      <c r="E1593" s="22" t="s">
        <v>10</v>
      </c>
      <c r="F1593" s="22" t="s">
        <v>19</v>
      </c>
      <c r="G1593" s="22" t="s">
        <v>15</v>
      </c>
    </row>
    <row r="1594" ht="15.15" spans="1:7">
      <c r="A1594" s="20">
        <v>1593</v>
      </c>
      <c r="B1594" s="20">
        <v>4869</v>
      </c>
      <c r="C1594" s="21">
        <v>45211</v>
      </c>
      <c r="D1594" s="20">
        <v>966.66</v>
      </c>
      <c r="E1594" s="22" t="s">
        <v>10</v>
      </c>
      <c r="F1594" s="22" t="s">
        <v>16</v>
      </c>
      <c r="G1594" s="22" t="s">
        <v>17</v>
      </c>
    </row>
    <row r="1595" ht="15.15" spans="1:7">
      <c r="A1595" s="20">
        <v>1594</v>
      </c>
      <c r="B1595" s="20">
        <v>9091</v>
      </c>
      <c r="C1595" s="21">
        <v>45020</v>
      </c>
      <c r="D1595" s="20">
        <v>14307.03</v>
      </c>
      <c r="E1595" s="22" t="s">
        <v>10</v>
      </c>
      <c r="F1595" s="22" t="s">
        <v>13</v>
      </c>
      <c r="G1595" s="22" t="s">
        <v>17</v>
      </c>
    </row>
    <row r="1596" ht="15.15" spans="1:7">
      <c r="A1596" s="20">
        <v>1595</v>
      </c>
      <c r="B1596" s="20">
        <v>6969</v>
      </c>
      <c r="C1596" s="21">
        <v>45163</v>
      </c>
      <c r="D1596" s="20">
        <v>315.29</v>
      </c>
      <c r="E1596" s="22" t="s">
        <v>10</v>
      </c>
      <c r="F1596" s="22" t="s">
        <v>18</v>
      </c>
      <c r="G1596" s="22" t="s">
        <v>20</v>
      </c>
    </row>
    <row r="1597" ht="15.15" spans="1:7">
      <c r="A1597" s="20">
        <v>1596</v>
      </c>
      <c r="B1597" s="20">
        <v>438</v>
      </c>
      <c r="C1597" s="21">
        <v>45222</v>
      </c>
      <c r="D1597" s="20">
        <v>798.73</v>
      </c>
      <c r="E1597" s="22" t="s">
        <v>10</v>
      </c>
      <c r="F1597" s="22" t="s">
        <v>18</v>
      </c>
      <c r="G1597" s="22" t="s">
        <v>17</v>
      </c>
    </row>
    <row r="1598" ht="15.15" spans="1:7">
      <c r="A1598" s="20">
        <v>1597</v>
      </c>
      <c r="B1598" s="20">
        <v>3172</v>
      </c>
      <c r="C1598" s="21">
        <v>45106</v>
      </c>
      <c r="D1598" s="20">
        <v>1762.69</v>
      </c>
      <c r="E1598" s="22" t="s">
        <v>10</v>
      </c>
      <c r="F1598" s="22" t="s">
        <v>14</v>
      </c>
      <c r="G1598" s="22" t="s">
        <v>20</v>
      </c>
    </row>
    <row r="1599" ht="15.15" spans="1:7">
      <c r="A1599" s="20">
        <v>1598</v>
      </c>
      <c r="B1599" s="20">
        <v>3742</v>
      </c>
      <c r="C1599" s="21">
        <v>45250</v>
      </c>
      <c r="D1599" s="20">
        <v>1907.46</v>
      </c>
      <c r="E1599" s="22" t="s">
        <v>10</v>
      </c>
      <c r="F1599" s="22" t="s">
        <v>13</v>
      </c>
      <c r="G1599" s="22" t="s">
        <v>20</v>
      </c>
    </row>
    <row r="1600" ht="15.15" spans="1:7">
      <c r="A1600" s="20">
        <v>1599</v>
      </c>
      <c r="B1600" s="20">
        <v>646</v>
      </c>
      <c r="C1600" s="21">
        <v>45068</v>
      </c>
      <c r="D1600" s="20">
        <v>318.02</v>
      </c>
      <c r="E1600" s="22" t="s">
        <v>10</v>
      </c>
      <c r="F1600" s="22" t="s">
        <v>11</v>
      </c>
      <c r="G1600" s="22" t="s">
        <v>12</v>
      </c>
    </row>
    <row r="1601" ht="15.15" spans="1:7">
      <c r="A1601" s="20">
        <v>1600</v>
      </c>
      <c r="B1601" s="20">
        <v>8683</v>
      </c>
      <c r="C1601" s="21">
        <v>45157</v>
      </c>
      <c r="D1601" s="20">
        <v>2138.03</v>
      </c>
      <c r="E1601" s="22" t="s">
        <v>10</v>
      </c>
      <c r="F1601" s="22" t="s">
        <v>14</v>
      </c>
      <c r="G1601" s="22" t="s">
        <v>15</v>
      </c>
    </row>
    <row r="1602" ht="15.15" spans="1:7">
      <c r="A1602" s="20">
        <v>1601</v>
      </c>
      <c r="B1602" s="20">
        <v>8098</v>
      </c>
      <c r="C1602" s="21">
        <v>44987</v>
      </c>
      <c r="D1602" s="20">
        <v>1255.51</v>
      </c>
      <c r="E1602" s="22" t="s">
        <v>10</v>
      </c>
      <c r="F1602" s="22" t="s">
        <v>11</v>
      </c>
      <c r="G1602" s="22" t="s">
        <v>20</v>
      </c>
    </row>
    <row r="1603" ht="15.15" spans="1:7">
      <c r="A1603" s="20">
        <v>1602</v>
      </c>
      <c r="B1603" s="20">
        <v>8657</v>
      </c>
      <c r="C1603" s="21">
        <v>45167</v>
      </c>
      <c r="D1603" s="20">
        <v>594.87</v>
      </c>
      <c r="E1603" s="22" t="s">
        <v>10</v>
      </c>
      <c r="F1603" s="22" t="s">
        <v>13</v>
      </c>
      <c r="G1603" s="22" t="s">
        <v>20</v>
      </c>
    </row>
    <row r="1604" ht="15.15" spans="1:7">
      <c r="A1604" s="20">
        <v>1603</v>
      </c>
      <c r="B1604" s="20">
        <v>1528</v>
      </c>
      <c r="C1604" s="21">
        <v>45261</v>
      </c>
      <c r="D1604" s="20">
        <v>156.65</v>
      </c>
      <c r="E1604" s="22" t="s">
        <v>10</v>
      </c>
      <c r="F1604" s="22" t="s">
        <v>18</v>
      </c>
      <c r="G1604" s="22" t="s">
        <v>15</v>
      </c>
    </row>
    <row r="1605" ht="15.15" spans="1:7">
      <c r="A1605" s="20">
        <v>1604</v>
      </c>
      <c r="B1605" s="20">
        <v>5751</v>
      </c>
      <c r="C1605" s="21">
        <v>45145</v>
      </c>
      <c r="D1605" s="20">
        <v>1596.15</v>
      </c>
      <c r="E1605" s="22" t="s">
        <v>10</v>
      </c>
      <c r="F1605" s="22" t="s">
        <v>13</v>
      </c>
      <c r="G1605" s="22" t="s">
        <v>17</v>
      </c>
    </row>
    <row r="1606" ht="15.15" spans="1:7">
      <c r="A1606" s="20">
        <v>1605</v>
      </c>
      <c r="B1606" s="20">
        <v>1739</v>
      </c>
      <c r="C1606" s="21">
        <v>45268</v>
      </c>
      <c r="D1606" s="20">
        <v>414.24</v>
      </c>
      <c r="E1606" s="22" t="s">
        <v>10</v>
      </c>
      <c r="F1606" s="22" t="s">
        <v>13</v>
      </c>
      <c r="G1606" s="22" t="s">
        <v>15</v>
      </c>
    </row>
    <row r="1607" ht="15.15" spans="1:7">
      <c r="A1607" s="20">
        <v>1606</v>
      </c>
      <c r="B1607" s="20">
        <v>1036</v>
      </c>
      <c r="C1607" s="21">
        <v>45117</v>
      </c>
      <c r="D1607" s="20">
        <v>539.1</v>
      </c>
      <c r="E1607" s="22" t="s">
        <v>10</v>
      </c>
      <c r="F1607" s="22" t="s">
        <v>16</v>
      </c>
      <c r="G1607" s="22" t="s">
        <v>20</v>
      </c>
    </row>
    <row r="1608" ht="15.15" spans="1:7">
      <c r="A1608" s="20">
        <v>1607</v>
      </c>
      <c r="B1608" s="20">
        <v>8982</v>
      </c>
      <c r="C1608" s="21">
        <v>45074</v>
      </c>
      <c r="D1608" s="20">
        <v>870.02</v>
      </c>
      <c r="E1608" s="22" t="s">
        <v>10</v>
      </c>
      <c r="F1608" s="22" t="s">
        <v>14</v>
      </c>
      <c r="G1608" s="22" t="s">
        <v>17</v>
      </c>
    </row>
    <row r="1609" ht="15.15" spans="1:7">
      <c r="A1609" s="20">
        <v>1608</v>
      </c>
      <c r="B1609" s="20">
        <v>2505</v>
      </c>
      <c r="C1609" s="21">
        <v>45285</v>
      </c>
      <c r="D1609" s="20">
        <v>818.14</v>
      </c>
      <c r="E1609" s="22" t="s">
        <v>10</v>
      </c>
      <c r="F1609" s="22" t="s">
        <v>13</v>
      </c>
      <c r="G1609" s="22" t="s">
        <v>20</v>
      </c>
    </row>
    <row r="1610" ht="15.15" spans="1:7">
      <c r="A1610" s="20">
        <v>1609</v>
      </c>
      <c r="B1610" s="20">
        <v>6529</v>
      </c>
      <c r="C1610" s="21">
        <v>45078</v>
      </c>
      <c r="D1610" s="20">
        <v>154.16</v>
      </c>
      <c r="E1610" s="22" t="s">
        <v>10</v>
      </c>
      <c r="F1610" s="22" t="s">
        <v>13</v>
      </c>
      <c r="G1610" s="22" t="s">
        <v>12</v>
      </c>
    </row>
    <row r="1611" ht="15.15" spans="1:7">
      <c r="A1611" s="20">
        <v>1610</v>
      </c>
      <c r="B1611" s="20">
        <v>3899</v>
      </c>
      <c r="C1611" s="21">
        <v>45270</v>
      </c>
      <c r="D1611" s="20">
        <v>2050.21</v>
      </c>
      <c r="E1611" s="22" t="s">
        <v>10</v>
      </c>
      <c r="F1611" s="22" t="s">
        <v>16</v>
      </c>
      <c r="G1611" s="22" t="s">
        <v>15</v>
      </c>
    </row>
    <row r="1612" ht="15.15" spans="1:7">
      <c r="A1612" s="20">
        <v>1611</v>
      </c>
      <c r="B1612" s="20">
        <v>3946</v>
      </c>
      <c r="C1612" s="21">
        <v>45014</v>
      </c>
      <c r="D1612" s="20">
        <v>2607.76</v>
      </c>
      <c r="E1612" s="22" t="s">
        <v>10</v>
      </c>
      <c r="F1612" s="22" t="s">
        <v>16</v>
      </c>
      <c r="G1612" s="22" t="s">
        <v>15</v>
      </c>
    </row>
    <row r="1613" ht="15.15" spans="1:7">
      <c r="A1613" s="20">
        <v>1612</v>
      </c>
      <c r="B1613" s="20">
        <v>5840</v>
      </c>
      <c r="C1613" s="21">
        <v>44950</v>
      </c>
      <c r="D1613" s="20">
        <v>1724.21</v>
      </c>
      <c r="E1613" s="22" t="s">
        <v>10</v>
      </c>
      <c r="F1613" s="22" t="s">
        <v>16</v>
      </c>
      <c r="G1613" s="22" t="s">
        <v>15</v>
      </c>
    </row>
    <row r="1614" ht="15.15" spans="1:7">
      <c r="A1614" s="20">
        <v>1613</v>
      </c>
      <c r="B1614" s="20">
        <v>8012</v>
      </c>
      <c r="C1614" s="21">
        <v>44999</v>
      </c>
      <c r="D1614" s="20">
        <v>1917.41</v>
      </c>
      <c r="E1614" s="22" t="s">
        <v>10</v>
      </c>
      <c r="F1614" s="22" t="s">
        <v>16</v>
      </c>
      <c r="G1614" s="22" t="s">
        <v>15</v>
      </c>
    </row>
    <row r="1615" ht="15.15" spans="1:7">
      <c r="A1615" s="20">
        <v>1614</v>
      </c>
      <c r="B1615" s="20">
        <v>4214</v>
      </c>
      <c r="C1615" s="21">
        <v>45072</v>
      </c>
      <c r="D1615" s="20">
        <v>154.02</v>
      </c>
      <c r="E1615" s="22" t="s">
        <v>10</v>
      </c>
      <c r="F1615" s="22" t="s">
        <v>11</v>
      </c>
      <c r="G1615" s="22" t="s">
        <v>17</v>
      </c>
    </row>
    <row r="1616" ht="15.15" spans="1:7">
      <c r="A1616" s="20">
        <v>1615</v>
      </c>
      <c r="B1616" s="20">
        <v>4075</v>
      </c>
      <c r="C1616" s="21">
        <v>45112</v>
      </c>
      <c r="D1616" s="20">
        <v>1022.29</v>
      </c>
      <c r="E1616" s="22" t="s">
        <v>10</v>
      </c>
      <c r="F1616" s="22" t="s">
        <v>16</v>
      </c>
      <c r="G1616" s="22" t="s">
        <v>17</v>
      </c>
    </row>
    <row r="1617" ht="15.15" spans="1:7">
      <c r="A1617" s="20">
        <v>1616</v>
      </c>
      <c r="B1617" s="20">
        <v>7653</v>
      </c>
      <c r="C1617" s="21">
        <v>45286</v>
      </c>
      <c r="D1617" s="20">
        <v>835.27</v>
      </c>
      <c r="E1617" s="22" t="s">
        <v>10</v>
      </c>
      <c r="F1617" s="22" t="s">
        <v>18</v>
      </c>
      <c r="G1617" s="22" t="s">
        <v>17</v>
      </c>
    </row>
    <row r="1618" ht="15.15" spans="1:7">
      <c r="A1618" s="20">
        <v>1617</v>
      </c>
      <c r="B1618" s="20">
        <v>192</v>
      </c>
      <c r="C1618" s="21">
        <v>45050</v>
      </c>
      <c r="D1618" s="20">
        <v>3064.42</v>
      </c>
      <c r="E1618" s="22" t="s">
        <v>10</v>
      </c>
      <c r="F1618" s="22" t="s">
        <v>11</v>
      </c>
      <c r="G1618" s="22" t="s">
        <v>15</v>
      </c>
    </row>
    <row r="1619" ht="15.15" spans="1:7">
      <c r="A1619" s="20">
        <v>1618</v>
      </c>
      <c r="B1619" s="20">
        <v>8108</v>
      </c>
      <c r="C1619" s="21">
        <v>45219</v>
      </c>
      <c r="D1619" s="20">
        <v>390.6</v>
      </c>
      <c r="E1619" s="22" t="s">
        <v>10</v>
      </c>
      <c r="F1619" s="22" t="s">
        <v>18</v>
      </c>
      <c r="G1619" s="22" t="s">
        <v>15</v>
      </c>
    </row>
    <row r="1620" ht="15.15" spans="1:7">
      <c r="A1620" s="20">
        <v>1619</v>
      </c>
      <c r="B1620" s="20">
        <v>9004</v>
      </c>
      <c r="C1620" s="21">
        <v>45022</v>
      </c>
      <c r="D1620" s="20">
        <v>377.64</v>
      </c>
      <c r="E1620" s="22" t="s">
        <v>10</v>
      </c>
      <c r="F1620" s="22" t="s">
        <v>11</v>
      </c>
      <c r="G1620" s="22" t="s">
        <v>12</v>
      </c>
    </row>
    <row r="1621" ht="15.15" spans="1:7">
      <c r="A1621" s="20">
        <v>1620</v>
      </c>
      <c r="B1621" s="20">
        <v>6650</v>
      </c>
      <c r="C1621" s="21">
        <v>45277</v>
      </c>
      <c r="D1621" s="20">
        <v>1581.51</v>
      </c>
      <c r="E1621" s="22" t="s">
        <v>10</v>
      </c>
      <c r="F1621" s="22" t="s">
        <v>19</v>
      </c>
      <c r="G1621" s="22" t="s">
        <v>20</v>
      </c>
    </row>
    <row r="1622" ht="15.15" spans="1:7">
      <c r="A1622" s="20">
        <v>1621</v>
      </c>
      <c r="B1622" s="20">
        <v>8890</v>
      </c>
      <c r="C1622" s="21">
        <v>45152</v>
      </c>
      <c r="D1622" s="20">
        <v>96.07</v>
      </c>
      <c r="E1622" s="22" t="s">
        <v>10</v>
      </c>
      <c r="F1622" s="22" t="s">
        <v>11</v>
      </c>
      <c r="G1622" s="22" t="s">
        <v>15</v>
      </c>
    </row>
    <row r="1623" ht="15.15" spans="1:7">
      <c r="A1623" s="20">
        <v>1622</v>
      </c>
      <c r="B1623" s="20">
        <v>6924</v>
      </c>
      <c r="C1623" s="21">
        <v>45251</v>
      </c>
      <c r="D1623" s="20">
        <v>1862.53</v>
      </c>
      <c r="E1623" s="22" t="s">
        <v>10</v>
      </c>
      <c r="F1623" s="22" t="s">
        <v>13</v>
      </c>
      <c r="G1623" s="22" t="s">
        <v>15</v>
      </c>
    </row>
    <row r="1624" ht="15.15" spans="1:7">
      <c r="A1624" s="20">
        <v>1623</v>
      </c>
      <c r="B1624" s="20">
        <v>3548</v>
      </c>
      <c r="C1624" s="21">
        <v>45179</v>
      </c>
      <c r="D1624" s="20">
        <v>3787.08</v>
      </c>
      <c r="E1624" s="22" t="s">
        <v>10</v>
      </c>
      <c r="F1624" s="22" t="s">
        <v>16</v>
      </c>
      <c r="G1624" s="22" t="s">
        <v>17</v>
      </c>
    </row>
    <row r="1625" ht="15.15" spans="1:7">
      <c r="A1625" s="20">
        <v>1624</v>
      </c>
      <c r="B1625" s="20">
        <v>5376</v>
      </c>
      <c r="C1625" s="21">
        <v>45279</v>
      </c>
      <c r="D1625" s="20">
        <v>1251.39</v>
      </c>
      <c r="E1625" s="22" t="s">
        <v>10</v>
      </c>
      <c r="F1625" s="22" t="s">
        <v>16</v>
      </c>
      <c r="G1625" s="22" t="s">
        <v>15</v>
      </c>
    </row>
    <row r="1626" ht="15.15" spans="1:7">
      <c r="A1626" s="20">
        <v>1625</v>
      </c>
      <c r="B1626" s="20">
        <v>3332</v>
      </c>
      <c r="C1626" s="21">
        <v>45087</v>
      </c>
      <c r="D1626" s="20">
        <v>3554.5</v>
      </c>
      <c r="E1626" s="22" t="s">
        <v>10</v>
      </c>
      <c r="F1626" s="22" t="s">
        <v>18</v>
      </c>
      <c r="G1626" s="22" t="s">
        <v>15</v>
      </c>
    </row>
    <row r="1627" ht="15.15" spans="1:7">
      <c r="A1627" s="20">
        <v>1626</v>
      </c>
      <c r="B1627" s="20">
        <v>7884</v>
      </c>
      <c r="C1627" s="21">
        <v>45242</v>
      </c>
      <c r="D1627" s="20">
        <v>653.59</v>
      </c>
      <c r="E1627" s="22" t="s">
        <v>10</v>
      </c>
      <c r="F1627" s="22" t="s">
        <v>16</v>
      </c>
      <c r="G1627" s="22" t="s">
        <v>20</v>
      </c>
    </row>
    <row r="1628" ht="15.15" spans="1:7">
      <c r="A1628" s="20">
        <v>1627</v>
      </c>
      <c r="B1628" s="20">
        <v>5872</v>
      </c>
      <c r="C1628" s="21">
        <v>45003</v>
      </c>
      <c r="D1628" s="20">
        <v>428.41</v>
      </c>
      <c r="E1628" s="22" t="s">
        <v>10</v>
      </c>
      <c r="F1628" s="22" t="s">
        <v>16</v>
      </c>
      <c r="G1628" s="22" t="s">
        <v>20</v>
      </c>
    </row>
    <row r="1629" ht="15.15" spans="1:7">
      <c r="A1629" s="20">
        <v>1628</v>
      </c>
      <c r="B1629" s="20">
        <v>1866</v>
      </c>
      <c r="C1629" s="21">
        <v>44961</v>
      </c>
      <c r="D1629" s="20">
        <v>188.02</v>
      </c>
      <c r="E1629" s="22" t="s">
        <v>10</v>
      </c>
      <c r="F1629" s="22" t="s">
        <v>18</v>
      </c>
      <c r="G1629" s="22" t="s">
        <v>12</v>
      </c>
    </row>
    <row r="1630" ht="15.15" spans="1:7">
      <c r="A1630" s="20">
        <v>1629</v>
      </c>
      <c r="B1630" s="20">
        <v>6336</v>
      </c>
      <c r="C1630" s="21">
        <v>45163</v>
      </c>
      <c r="D1630" s="20">
        <v>579.6</v>
      </c>
      <c r="E1630" s="22" t="s">
        <v>10</v>
      </c>
      <c r="F1630" s="22" t="s">
        <v>14</v>
      </c>
      <c r="G1630" s="22" t="s">
        <v>12</v>
      </c>
    </row>
    <row r="1631" ht="15.15" spans="1:7">
      <c r="A1631" s="20">
        <v>1630</v>
      </c>
      <c r="B1631" s="20">
        <v>9502</v>
      </c>
      <c r="C1631" s="21">
        <v>45049</v>
      </c>
      <c r="D1631" s="20">
        <v>4256.5</v>
      </c>
      <c r="E1631" s="22" t="s">
        <v>10</v>
      </c>
      <c r="F1631" s="22" t="s">
        <v>14</v>
      </c>
      <c r="G1631" s="22" t="s">
        <v>20</v>
      </c>
    </row>
    <row r="1632" ht="15.15" spans="1:7">
      <c r="A1632" s="20">
        <v>1631</v>
      </c>
      <c r="B1632" s="20">
        <v>461</v>
      </c>
      <c r="C1632" s="21">
        <v>45255</v>
      </c>
      <c r="D1632" s="20">
        <v>2142.94</v>
      </c>
      <c r="E1632" s="22" t="s">
        <v>10</v>
      </c>
      <c r="F1632" s="22" t="s">
        <v>13</v>
      </c>
      <c r="G1632" s="22" t="s">
        <v>17</v>
      </c>
    </row>
    <row r="1633" ht="15.15" spans="1:7">
      <c r="A1633" s="20">
        <v>1632</v>
      </c>
      <c r="B1633" s="20">
        <v>1337</v>
      </c>
      <c r="C1633" s="21">
        <v>44947</v>
      </c>
      <c r="D1633" s="20">
        <v>687.46</v>
      </c>
      <c r="E1633" s="22" t="s">
        <v>10</v>
      </c>
      <c r="F1633" s="22" t="s">
        <v>11</v>
      </c>
      <c r="G1633" s="22" t="s">
        <v>12</v>
      </c>
    </row>
    <row r="1634" ht="15.15" spans="1:7">
      <c r="A1634" s="20">
        <v>1633</v>
      </c>
      <c r="B1634" s="20">
        <v>3678</v>
      </c>
      <c r="C1634" s="21">
        <v>45176</v>
      </c>
      <c r="D1634" s="20">
        <v>773.47</v>
      </c>
      <c r="E1634" s="22" t="s">
        <v>10</v>
      </c>
      <c r="F1634" s="22" t="s">
        <v>11</v>
      </c>
      <c r="G1634" s="22" t="s">
        <v>17</v>
      </c>
    </row>
    <row r="1635" ht="15.15" spans="1:7">
      <c r="A1635" s="20">
        <v>1634</v>
      </c>
      <c r="B1635" s="20">
        <v>8430</v>
      </c>
      <c r="C1635" s="21">
        <v>45272</v>
      </c>
      <c r="D1635" s="20">
        <v>1369.14</v>
      </c>
      <c r="E1635" s="22" t="s">
        <v>10</v>
      </c>
      <c r="F1635" s="22" t="s">
        <v>16</v>
      </c>
      <c r="G1635" s="22" t="s">
        <v>12</v>
      </c>
    </row>
    <row r="1636" ht="15.15" spans="1:7">
      <c r="A1636" s="20">
        <v>1635</v>
      </c>
      <c r="B1636" s="20">
        <v>5454</v>
      </c>
      <c r="C1636" s="21">
        <v>45056</v>
      </c>
      <c r="D1636" s="20">
        <v>548.39</v>
      </c>
      <c r="E1636" s="22" t="s">
        <v>10</v>
      </c>
      <c r="F1636" s="22" t="s">
        <v>14</v>
      </c>
      <c r="G1636" s="22" t="s">
        <v>20</v>
      </c>
    </row>
    <row r="1637" ht="15.15" spans="1:7">
      <c r="A1637" s="20">
        <v>1636</v>
      </c>
      <c r="B1637" s="20">
        <v>5840</v>
      </c>
      <c r="C1637" s="21">
        <v>45239</v>
      </c>
      <c r="D1637" s="20">
        <v>3633.44</v>
      </c>
      <c r="E1637" s="22" t="s">
        <v>22</v>
      </c>
      <c r="F1637" s="22" t="s">
        <v>16</v>
      </c>
      <c r="G1637" s="22" t="s">
        <v>17</v>
      </c>
    </row>
    <row r="1638" ht="15.15" spans="1:7">
      <c r="A1638" s="20">
        <v>1637</v>
      </c>
      <c r="B1638" s="20">
        <v>1094</v>
      </c>
      <c r="C1638" s="21">
        <v>44939</v>
      </c>
      <c r="D1638" s="20">
        <v>661.44</v>
      </c>
      <c r="E1638" s="22" t="s">
        <v>10</v>
      </c>
      <c r="F1638" s="22" t="s">
        <v>18</v>
      </c>
      <c r="G1638" s="22" t="s">
        <v>20</v>
      </c>
    </row>
    <row r="1639" ht="15.15" spans="1:7">
      <c r="A1639" s="20">
        <v>1638</v>
      </c>
      <c r="B1639" s="20">
        <v>8542</v>
      </c>
      <c r="C1639" s="21">
        <v>45218</v>
      </c>
      <c r="D1639" s="20">
        <v>1344.49</v>
      </c>
      <c r="E1639" s="22" t="s">
        <v>21</v>
      </c>
      <c r="F1639" s="22" t="s">
        <v>18</v>
      </c>
      <c r="G1639" s="22" t="s">
        <v>17</v>
      </c>
    </row>
    <row r="1640" ht="15.15" spans="1:7">
      <c r="A1640" s="20">
        <v>1639</v>
      </c>
      <c r="B1640" s="20">
        <v>1655</v>
      </c>
      <c r="C1640" s="21">
        <v>45237</v>
      </c>
      <c r="D1640" s="20">
        <v>1426.01</v>
      </c>
      <c r="E1640" s="22" t="s">
        <v>10</v>
      </c>
      <c r="F1640" s="22" t="s">
        <v>11</v>
      </c>
      <c r="G1640" s="22" t="s">
        <v>15</v>
      </c>
    </row>
    <row r="1641" ht="15.15" spans="1:7">
      <c r="A1641" s="20">
        <v>1640</v>
      </c>
      <c r="B1641" s="20">
        <v>7374</v>
      </c>
      <c r="C1641" s="21">
        <v>45264</v>
      </c>
      <c r="D1641" s="20">
        <v>395.52</v>
      </c>
      <c r="E1641" s="22" t="s">
        <v>10</v>
      </c>
      <c r="F1641" s="22" t="s">
        <v>16</v>
      </c>
      <c r="G1641" s="22" t="s">
        <v>12</v>
      </c>
    </row>
    <row r="1642" ht="15.15" spans="1:7">
      <c r="A1642" s="20">
        <v>1641</v>
      </c>
      <c r="B1642" s="20">
        <v>7047</v>
      </c>
      <c r="C1642" s="21">
        <v>45249</v>
      </c>
      <c r="D1642" s="20">
        <v>1657.67</v>
      </c>
      <c r="E1642" s="22" t="s">
        <v>10</v>
      </c>
      <c r="F1642" s="22" t="s">
        <v>16</v>
      </c>
      <c r="G1642" s="22" t="s">
        <v>12</v>
      </c>
    </row>
    <row r="1643" ht="15.15" spans="1:7">
      <c r="A1643" s="20">
        <v>1642</v>
      </c>
      <c r="B1643" s="20">
        <v>3886</v>
      </c>
      <c r="C1643" s="21">
        <v>45158</v>
      </c>
      <c r="D1643" s="20">
        <v>3753.92</v>
      </c>
      <c r="E1643" s="22" t="s">
        <v>10</v>
      </c>
      <c r="F1643" s="22" t="s">
        <v>19</v>
      </c>
      <c r="G1643" s="22" t="s">
        <v>17</v>
      </c>
    </row>
    <row r="1644" ht="15.15" spans="1:7">
      <c r="A1644" s="20">
        <v>1643</v>
      </c>
      <c r="B1644" s="20">
        <v>4158</v>
      </c>
      <c r="C1644" s="21">
        <v>45259</v>
      </c>
      <c r="D1644" s="20">
        <v>1600.17</v>
      </c>
      <c r="E1644" s="22" t="s">
        <v>10</v>
      </c>
      <c r="F1644" s="22" t="s">
        <v>16</v>
      </c>
      <c r="G1644" s="22" t="s">
        <v>15</v>
      </c>
    </row>
    <row r="1645" ht="15.15" spans="1:7">
      <c r="A1645" s="20">
        <v>1644</v>
      </c>
      <c r="B1645" s="20">
        <v>3974</v>
      </c>
      <c r="C1645" s="21">
        <v>45264</v>
      </c>
      <c r="D1645" s="20">
        <v>1367.51</v>
      </c>
      <c r="E1645" s="22" t="s">
        <v>10</v>
      </c>
      <c r="F1645" s="22" t="s">
        <v>16</v>
      </c>
      <c r="G1645" s="22" t="s">
        <v>12</v>
      </c>
    </row>
    <row r="1646" ht="15.15" spans="1:7">
      <c r="A1646" s="20">
        <v>1645</v>
      </c>
      <c r="B1646" s="20">
        <v>8590</v>
      </c>
      <c r="C1646" s="21">
        <v>45280</v>
      </c>
      <c r="D1646" s="20">
        <v>3541</v>
      </c>
      <c r="E1646" s="22" t="s">
        <v>10</v>
      </c>
      <c r="F1646" s="22" t="s">
        <v>18</v>
      </c>
      <c r="G1646" s="22" t="s">
        <v>17</v>
      </c>
    </row>
    <row r="1647" ht="15.15" spans="1:7">
      <c r="A1647" s="20">
        <v>1646</v>
      </c>
      <c r="B1647" s="20">
        <v>3987</v>
      </c>
      <c r="C1647" s="21">
        <v>45262</v>
      </c>
      <c r="D1647" s="20">
        <v>439.45</v>
      </c>
      <c r="E1647" s="22" t="s">
        <v>10</v>
      </c>
      <c r="F1647" s="22" t="s">
        <v>18</v>
      </c>
      <c r="G1647" s="22" t="s">
        <v>17</v>
      </c>
    </row>
    <row r="1648" ht="15.15" spans="1:7">
      <c r="A1648" s="20">
        <v>1647</v>
      </c>
      <c r="B1648" s="20">
        <v>1592</v>
      </c>
      <c r="C1648" s="21">
        <v>45093</v>
      </c>
      <c r="D1648" s="20">
        <v>818.87</v>
      </c>
      <c r="E1648" s="22" t="s">
        <v>10</v>
      </c>
      <c r="F1648" s="22" t="s">
        <v>13</v>
      </c>
      <c r="G1648" s="22" t="s">
        <v>12</v>
      </c>
    </row>
    <row r="1649" ht="15.15" spans="1:7">
      <c r="A1649" s="20">
        <v>1648</v>
      </c>
      <c r="B1649" s="20">
        <v>7736</v>
      </c>
      <c r="C1649" s="21">
        <v>45061</v>
      </c>
      <c r="D1649" s="20">
        <v>739.73</v>
      </c>
      <c r="E1649" s="22" t="s">
        <v>10</v>
      </c>
      <c r="F1649" s="22" t="s">
        <v>18</v>
      </c>
      <c r="G1649" s="22" t="s">
        <v>17</v>
      </c>
    </row>
    <row r="1650" ht="15.15" spans="1:7">
      <c r="A1650" s="20">
        <v>1649</v>
      </c>
      <c r="B1650" s="20">
        <v>5887</v>
      </c>
      <c r="C1650" s="21">
        <v>44932</v>
      </c>
      <c r="D1650" s="20">
        <v>8178.52</v>
      </c>
      <c r="E1650" s="22" t="s">
        <v>10</v>
      </c>
      <c r="F1650" s="22" t="s">
        <v>13</v>
      </c>
      <c r="G1650" s="22" t="s">
        <v>17</v>
      </c>
    </row>
    <row r="1651" ht="15.15" spans="1:7">
      <c r="A1651" s="20">
        <v>1650</v>
      </c>
      <c r="B1651" s="20">
        <v>8027</v>
      </c>
      <c r="C1651" s="21">
        <v>45245</v>
      </c>
      <c r="D1651" s="20">
        <v>2460.39</v>
      </c>
      <c r="E1651" s="22" t="s">
        <v>10</v>
      </c>
      <c r="F1651" s="22" t="s">
        <v>18</v>
      </c>
      <c r="G1651" s="22" t="s">
        <v>17</v>
      </c>
    </row>
    <row r="1652" ht="15.15" spans="1:7">
      <c r="A1652" s="20">
        <v>1651</v>
      </c>
      <c r="B1652" s="20">
        <v>6756</v>
      </c>
      <c r="C1652" s="21">
        <v>45207</v>
      </c>
      <c r="D1652" s="20">
        <v>299.56</v>
      </c>
      <c r="E1652" s="22" t="s">
        <v>10</v>
      </c>
      <c r="F1652" s="22" t="s">
        <v>16</v>
      </c>
      <c r="G1652" s="22" t="s">
        <v>20</v>
      </c>
    </row>
    <row r="1653" ht="15.15" spans="1:7">
      <c r="A1653" s="20">
        <v>1652</v>
      </c>
      <c r="B1653" s="20">
        <v>4788</v>
      </c>
      <c r="C1653" s="21">
        <v>44958</v>
      </c>
      <c r="D1653" s="20">
        <v>384.99</v>
      </c>
      <c r="E1653" s="22" t="s">
        <v>10</v>
      </c>
      <c r="F1653" s="22" t="s">
        <v>18</v>
      </c>
      <c r="G1653" s="22" t="s">
        <v>17</v>
      </c>
    </row>
    <row r="1654" ht="15.15" spans="1:7">
      <c r="A1654" s="20">
        <v>1653</v>
      </c>
      <c r="B1654" s="20">
        <v>1787</v>
      </c>
      <c r="C1654" s="21">
        <v>45135</v>
      </c>
      <c r="D1654" s="20">
        <v>362.23</v>
      </c>
      <c r="E1654" s="22" t="s">
        <v>10</v>
      </c>
      <c r="F1654" s="22" t="s">
        <v>13</v>
      </c>
      <c r="G1654" s="22" t="s">
        <v>20</v>
      </c>
    </row>
    <row r="1655" ht="15.15" spans="1:7">
      <c r="A1655" s="20">
        <v>1654</v>
      </c>
      <c r="B1655" s="20">
        <v>2189</v>
      </c>
      <c r="C1655" s="21">
        <v>45209</v>
      </c>
      <c r="D1655" s="20">
        <v>1860.2</v>
      </c>
      <c r="E1655" s="22" t="s">
        <v>10</v>
      </c>
      <c r="F1655" s="22" t="s">
        <v>19</v>
      </c>
      <c r="G1655" s="22" t="s">
        <v>20</v>
      </c>
    </row>
    <row r="1656" ht="15.15" spans="1:7">
      <c r="A1656" s="20">
        <v>1655</v>
      </c>
      <c r="B1656" s="20">
        <v>1413</v>
      </c>
      <c r="C1656" s="21">
        <v>45107</v>
      </c>
      <c r="D1656" s="20">
        <v>4143.65</v>
      </c>
      <c r="E1656" s="22" t="s">
        <v>10</v>
      </c>
      <c r="F1656" s="22" t="s">
        <v>11</v>
      </c>
      <c r="G1656" s="22" t="s">
        <v>20</v>
      </c>
    </row>
    <row r="1657" ht="15.15" spans="1:7">
      <c r="A1657" s="20">
        <v>1656</v>
      </c>
      <c r="B1657" s="20">
        <v>6066</v>
      </c>
      <c r="C1657" s="21">
        <v>45236</v>
      </c>
      <c r="D1657" s="20">
        <v>1769.82</v>
      </c>
      <c r="E1657" s="22" t="s">
        <v>10</v>
      </c>
      <c r="F1657" s="22" t="s">
        <v>11</v>
      </c>
      <c r="G1657" s="22" t="s">
        <v>17</v>
      </c>
    </row>
    <row r="1658" ht="15.15" spans="1:7">
      <c r="A1658" s="20">
        <v>1657</v>
      </c>
      <c r="B1658" s="20">
        <v>5630</v>
      </c>
      <c r="C1658" s="21">
        <v>45104</v>
      </c>
      <c r="D1658" s="20">
        <v>1377.24</v>
      </c>
      <c r="E1658" s="22" t="s">
        <v>10</v>
      </c>
      <c r="F1658" s="22" t="s">
        <v>11</v>
      </c>
      <c r="G1658" s="22" t="s">
        <v>15</v>
      </c>
    </row>
    <row r="1659" ht="15.15" spans="1:7">
      <c r="A1659" s="20">
        <v>1658</v>
      </c>
      <c r="B1659" s="20">
        <v>1832</v>
      </c>
      <c r="C1659" s="21">
        <v>45120</v>
      </c>
      <c r="D1659" s="20">
        <v>406.33</v>
      </c>
      <c r="E1659" s="22" t="s">
        <v>10</v>
      </c>
      <c r="F1659" s="22" t="s">
        <v>14</v>
      </c>
      <c r="G1659" s="22" t="s">
        <v>15</v>
      </c>
    </row>
    <row r="1660" ht="15.15" spans="1:7">
      <c r="A1660" s="20">
        <v>1659</v>
      </c>
      <c r="B1660" s="20">
        <v>1784</v>
      </c>
      <c r="C1660" s="21">
        <v>45247</v>
      </c>
      <c r="D1660" s="20">
        <v>4214</v>
      </c>
      <c r="E1660" s="22" t="s">
        <v>10</v>
      </c>
      <c r="F1660" s="22" t="s">
        <v>16</v>
      </c>
      <c r="G1660" s="22" t="s">
        <v>20</v>
      </c>
    </row>
    <row r="1661" ht="15.15" spans="1:7">
      <c r="A1661" s="20">
        <v>1660</v>
      </c>
      <c r="B1661" s="20">
        <v>5924</v>
      </c>
      <c r="C1661" s="21">
        <v>45238</v>
      </c>
      <c r="D1661" s="20">
        <v>1442.08</v>
      </c>
      <c r="E1661" s="22" t="s">
        <v>10</v>
      </c>
      <c r="F1661" s="22" t="s">
        <v>11</v>
      </c>
      <c r="G1661" s="22" t="s">
        <v>15</v>
      </c>
    </row>
    <row r="1662" ht="15.15" spans="1:7">
      <c r="A1662" s="20">
        <v>1661</v>
      </c>
      <c r="B1662" s="20">
        <v>1477</v>
      </c>
      <c r="C1662" s="21">
        <v>44987</v>
      </c>
      <c r="D1662" s="20">
        <v>441.28</v>
      </c>
      <c r="E1662" s="22" t="s">
        <v>10</v>
      </c>
      <c r="F1662" s="22" t="s">
        <v>18</v>
      </c>
      <c r="G1662" s="22" t="s">
        <v>15</v>
      </c>
    </row>
    <row r="1663" ht="15.15" spans="1:7">
      <c r="A1663" s="20">
        <v>1662</v>
      </c>
      <c r="B1663" s="20">
        <v>3640</v>
      </c>
      <c r="C1663" s="21">
        <v>45241</v>
      </c>
      <c r="D1663" s="20">
        <v>198.89</v>
      </c>
      <c r="E1663" s="22" t="s">
        <v>10</v>
      </c>
      <c r="F1663" s="22" t="s">
        <v>13</v>
      </c>
      <c r="G1663" s="22" t="s">
        <v>15</v>
      </c>
    </row>
    <row r="1664" ht="15.15" spans="1:7">
      <c r="A1664" s="20">
        <v>1663</v>
      </c>
      <c r="B1664" s="20">
        <v>6736</v>
      </c>
      <c r="C1664" s="21">
        <v>45188</v>
      </c>
      <c r="D1664" s="20">
        <v>1836.52</v>
      </c>
      <c r="E1664" s="22" t="s">
        <v>10</v>
      </c>
      <c r="F1664" s="22" t="s">
        <v>16</v>
      </c>
      <c r="G1664" s="22" t="s">
        <v>17</v>
      </c>
    </row>
    <row r="1665" ht="15.15" spans="1:7">
      <c r="A1665" s="20">
        <v>1664</v>
      </c>
      <c r="B1665" s="20">
        <v>9882</v>
      </c>
      <c r="C1665" s="21">
        <v>45209</v>
      </c>
      <c r="D1665" s="20">
        <v>1130.24</v>
      </c>
      <c r="E1665" s="22" t="s">
        <v>10</v>
      </c>
      <c r="F1665" s="22" t="s">
        <v>13</v>
      </c>
      <c r="G1665" s="22" t="s">
        <v>20</v>
      </c>
    </row>
    <row r="1666" ht="15.15" spans="1:7">
      <c r="A1666" s="20">
        <v>1665</v>
      </c>
      <c r="B1666" s="20">
        <v>1750</v>
      </c>
      <c r="C1666" s="21">
        <v>45118</v>
      </c>
      <c r="D1666" s="20">
        <v>1378.94</v>
      </c>
      <c r="E1666" s="22" t="s">
        <v>10</v>
      </c>
      <c r="F1666" s="22" t="s">
        <v>13</v>
      </c>
      <c r="G1666" s="22" t="s">
        <v>15</v>
      </c>
    </row>
    <row r="1667" ht="15.15" spans="1:7">
      <c r="A1667" s="20">
        <v>1666</v>
      </c>
      <c r="B1667" s="20">
        <v>88</v>
      </c>
      <c r="C1667" s="21">
        <v>45235</v>
      </c>
      <c r="D1667" s="20">
        <v>164.76</v>
      </c>
      <c r="E1667" s="22" t="s">
        <v>10</v>
      </c>
      <c r="F1667" s="22" t="s">
        <v>14</v>
      </c>
      <c r="G1667" s="22" t="s">
        <v>12</v>
      </c>
    </row>
    <row r="1668" ht="15.15" spans="1:7">
      <c r="A1668" s="20">
        <v>1667</v>
      </c>
      <c r="B1668" s="20">
        <v>2720</v>
      </c>
      <c r="C1668" s="21">
        <v>45191</v>
      </c>
      <c r="D1668" s="20">
        <v>228.45</v>
      </c>
      <c r="E1668" s="22" t="s">
        <v>10</v>
      </c>
      <c r="F1668" s="22" t="s">
        <v>16</v>
      </c>
      <c r="G1668" s="22" t="s">
        <v>12</v>
      </c>
    </row>
    <row r="1669" ht="15.15" spans="1:7">
      <c r="A1669" s="20">
        <v>1668</v>
      </c>
      <c r="B1669" s="20">
        <v>427</v>
      </c>
      <c r="C1669" s="21">
        <v>45058</v>
      </c>
      <c r="D1669" s="20">
        <v>815.03</v>
      </c>
      <c r="E1669" s="22" t="s">
        <v>10</v>
      </c>
      <c r="F1669" s="22" t="s">
        <v>11</v>
      </c>
      <c r="G1669" s="22" t="s">
        <v>20</v>
      </c>
    </row>
    <row r="1670" ht="15.15" spans="1:7">
      <c r="A1670" s="20">
        <v>1669</v>
      </c>
      <c r="B1670" s="20">
        <v>2265</v>
      </c>
      <c r="C1670" s="21">
        <v>44934</v>
      </c>
      <c r="D1670" s="20">
        <v>401.69</v>
      </c>
      <c r="E1670" s="22" t="s">
        <v>10</v>
      </c>
      <c r="F1670" s="22" t="s">
        <v>14</v>
      </c>
      <c r="G1670" s="22" t="s">
        <v>17</v>
      </c>
    </row>
    <row r="1671" ht="15.15" spans="1:7">
      <c r="A1671" s="20">
        <v>1670</v>
      </c>
      <c r="B1671" s="20">
        <v>8144</v>
      </c>
      <c r="C1671" s="21">
        <v>45278</v>
      </c>
      <c r="D1671" s="20">
        <v>100.33</v>
      </c>
      <c r="E1671" s="22" t="s">
        <v>10</v>
      </c>
      <c r="F1671" s="22" t="s">
        <v>14</v>
      </c>
      <c r="G1671" s="22" t="s">
        <v>17</v>
      </c>
    </row>
    <row r="1672" ht="15.15" spans="1:7">
      <c r="A1672" s="20">
        <v>1671</v>
      </c>
      <c r="B1672" s="20">
        <v>2406</v>
      </c>
      <c r="C1672" s="21">
        <v>44947</v>
      </c>
      <c r="D1672" s="20">
        <v>6476.11</v>
      </c>
      <c r="E1672" s="22" t="s">
        <v>10</v>
      </c>
      <c r="F1672" s="22" t="s">
        <v>11</v>
      </c>
      <c r="G1672" s="22" t="s">
        <v>17</v>
      </c>
    </row>
    <row r="1673" ht="15.15" spans="1:7">
      <c r="A1673" s="20">
        <v>1672</v>
      </c>
      <c r="B1673" s="20">
        <v>404</v>
      </c>
      <c r="C1673" s="21">
        <v>45060</v>
      </c>
      <c r="D1673" s="20">
        <v>159.92</v>
      </c>
      <c r="E1673" s="22" t="s">
        <v>10</v>
      </c>
      <c r="F1673" s="22" t="s">
        <v>11</v>
      </c>
      <c r="G1673" s="22" t="s">
        <v>20</v>
      </c>
    </row>
    <row r="1674" ht="15.15" spans="1:7">
      <c r="A1674" s="20">
        <v>1673</v>
      </c>
      <c r="B1674" s="20">
        <v>3740</v>
      </c>
      <c r="C1674" s="21">
        <v>45286</v>
      </c>
      <c r="D1674" s="20">
        <v>661.44</v>
      </c>
      <c r="E1674" s="22" t="s">
        <v>10</v>
      </c>
      <c r="F1674" s="22" t="s">
        <v>18</v>
      </c>
      <c r="G1674" s="22" t="s">
        <v>17</v>
      </c>
    </row>
    <row r="1675" ht="15.15" spans="1:7">
      <c r="A1675" s="20">
        <v>1674</v>
      </c>
      <c r="B1675" s="20">
        <v>5209</v>
      </c>
      <c r="C1675" s="21">
        <v>45274</v>
      </c>
      <c r="D1675" s="20">
        <v>1395.14</v>
      </c>
      <c r="E1675" s="22" t="s">
        <v>10</v>
      </c>
      <c r="F1675" s="22" t="s">
        <v>18</v>
      </c>
      <c r="G1675" s="22" t="s">
        <v>17</v>
      </c>
    </row>
    <row r="1676" ht="15.15" spans="1:7">
      <c r="A1676" s="20">
        <v>1675</v>
      </c>
      <c r="B1676" s="20">
        <v>5221</v>
      </c>
      <c r="C1676" s="21">
        <v>45067</v>
      </c>
      <c r="D1676" s="20">
        <v>618.93</v>
      </c>
      <c r="E1676" s="22" t="s">
        <v>10</v>
      </c>
      <c r="F1676" s="22" t="s">
        <v>13</v>
      </c>
      <c r="G1676" s="22" t="s">
        <v>12</v>
      </c>
    </row>
    <row r="1677" ht="15.15" spans="1:7">
      <c r="A1677" s="20">
        <v>1676</v>
      </c>
      <c r="B1677" s="20">
        <v>7820</v>
      </c>
      <c r="C1677" s="21">
        <v>45030</v>
      </c>
      <c r="D1677" s="20">
        <v>3163.04</v>
      </c>
      <c r="E1677" s="22" t="s">
        <v>10</v>
      </c>
      <c r="F1677" s="22" t="s">
        <v>13</v>
      </c>
      <c r="G1677" s="22" t="s">
        <v>17</v>
      </c>
    </row>
    <row r="1678" ht="15.15" spans="1:7">
      <c r="A1678" s="20">
        <v>1677</v>
      </c>
      <c r="B1678" s="20">
        <v>1941</v>
      </c>
      <c r="C1678" s="21">
        <v>45156</v>
      </c>
      <c r="D1678" s="20">
        <v>226.51</v>
      </c>
      <c r="E1678" s="22" t="s">
        <v>10</v>
      </c>
      <c r="F1678" s="22" t="s">
        <v>14</v>
      </c>
      <c r="G1678" s="22" t="s">
        <v>17</v>
      </c>
    </row>
    <row r="1679" ht="15.15" spans="1:7">
      <c r="A1679" s="20">
        <v>1678</v>
      </c>
      <c r="B1679" s="20">
        <v>1545</v>
      </c>
      <c r="C1679" s="21">
        <v>45229</v>
      </c>
      <c r="D1679" s="20">
        <v>1448.08</v>
      </c>
      <c r="E1679" s="22" t="s">
        <v>10</v>
      </c>
      <c r="F1679" s="22" t="s">
        <v>11</v>
      </c>
      <c r="G1679" s="22" t="s">
        <v>20</v>
      </c>
    </row>
    <row r="1680" ht="15.15" spans="1:7">
      <c r="A1680" s="20">
        <v>1679</v>
      </c>
      <c r="B1680" s="20">
        <v>3266</v>
      </c>
      <c r="C1680" s="21">
        <v>45244</v>
      </c>
      <c r="D1680" s="20">
        <v>1816.14</v>
      </c>
      <c r="E1680" s="22" t="s">
        <v>10</v>
      </c>
      <c r="F1680" s="22" t="s">
        <v>13</v>
      </c>
      <c r="G1680" s="22" t="s">
        <v>20</v>
      </c>
    </row>
    <row r="1681" ht="15.15" spans="1:7">
      <c r="A1681" s="20">
        <v>1680</v>
      </c>
      <c r="B1681" s="20">
        <v>1146</v>
      </c>
      <c r="C1681" s="21">
        <v>45281</v>
      </c>
      <c r="D1681" s="20">
        <v>884.91</v>
      </c>
      <c r="E1681" s="22" t="s">
        <v>10</v>
      </c>
      <c r="F1681" s="22" t="s">
        <v>14</v>
      </c>
      <c r="G1681" s="22" t="s">
        <v>12</v>
      </c>
    </row>
    <row r="1682" ht="15.15" spans="1:7">
      <c r="A1682" s="20">
        <v>1681</v>
      </c>
      <c r="B1682" s="20">
        <v>946</v>
      </c>
      <c r="C1682" s="21">
        <v>45289</v>
      </c>
      <c r="D1682" s="20">
        <v>482.64</v>
      </c>
      <c r="E1682" s="22" t="s">
        <v>10</v>
      </c>
      <c r="F1682" s="22" t="s">
        <v>19</v>
      </c>
      <c r="G1682" s="22" t="s">
        <v>12</v>
      </c>
    </row>
    <row r="1683" ht="15.15" spans="1:7">
      <c r="A1683" s="20">
        <v>1682</v>
      </c>
      <c r="B1683" s="20">
        <v>4630</v>
      </c>
      <c r="C1683" s="21">
        <v>45127</v>
      </c>
      <c r="D1683" s="20">
        <v>400.95</v>
      </c>
      <c r="E1683" s="22" t="s">
        <v>10</v>
      </c>
      <c r="F1683" s="22" t="s">
        <v>18</v>
      </c>
      <c r="G1683" s="22" t="s">
        <v>17</v>
      </c>
    </row>
    <row r="1684" ht="15.15" spans="1:7">
      <c r="A1684" s="20">
        <v>1683</v>
      </c>
      <c r="B1684" s="20">
        <v>4825</v>
      </c>
      <c r="C1684" s="21">
        <v>45248</v>
      </c>
      <c r="D1684" s="20">
        <v>2287.3</v>
      </c>
      <c r="E1684" s="22" t="s">
        <v>10</v>
      </c>
      <c r="F1684" s="22" t="s">
        <v>14</v>
      </c>
      <c r="G1684" s="22" t="s">
        <v>12</v>
      </c>
    </row>
    <row r="1685" ht="15.15" spans="1:7">
      <c r="A1685" s="20">
        <v>1684</v>
      </c>
      <c r="B1685" s="20">
        <v>431</v>
      </c>
      <c r="C1685" s="21">
        <v>45246</v>
      </c>
      <c r="D1685" s="20">
        <v>2780.47</v>
      </c>
      <c r="E1685" s="22" t="s">
        <v>10</v>
      </c>
      <c r="F1685" s="22" t="s">
        <v>16</v>
      </c>
      <c r="G1685" s="22" t="s">
        <v>15</v>
      </c>
    </row>
    <row r="1686" ht="15.15" spans="1:7">
      <c r="A1686" s="20">
        <v>1685</v>
      </c>
      <c r="B1686" s="20">
        <v>2450</v>
      </c>
      <c r="C1686" s="21">
        <v>45247</v>
      </c>
      <c r="D1686" s="20">
        <v>290.79</v>
      </c>
      <c r="E1686" s="22" t="s">
        <v>10</v>
      </c>
      <c r="F1686" s="22" t="s">
        <v>18</v>
      </c>
      <c r="G1686" s="22" t="s">
        <v>20</v>
      </c>
    </row>
    <row r="1687" ht="15.15" spans="1:7">
      <c r="A1687" s="20">
        <v>1686</v>
      </c>
      <c r="B1687" s="20">
        <v>6607</v>
      </c>
      <c r="C1687" s="21">
        <v>44968</v>
      </c>
      <c r="D1687" s="20">
        <v>152.53</v>
      </c>
      <c r="E1687" s="22" t="s">
        <v>10</v>
      </c>
      <c r="F1687" s="22" t="s">
        <v>16</v>
      </c>
      <c r="G1687" s="22" t="s">
        <v>20</v>
      </c>
    </row>
    <row r="1688" ht="15.15" spans="1:7">
      <c r="A1688" s="20">
        <v>1687</v>
      </c>
      <c r="B1688" s="20">
        <v>7592</v>
      </c>
      <c r="C1688" s="21">
        <v>45274</v>
      </c>
      <c r="D1688" s="20">
        <v>3888.27</v>
      </c>
      <c r="E1688" s="22" t="s">
        <v>10</v>
      </c>
      <c r="F1688" s="22" t="s">
        <v>13</v>
      </c>
      <c r="G1688" s="22" t="s">
        <v>17</v>
      </c>
    </row>
    <row r="1689" ht="15.15" spans="1:7">
      <c r="A1689" s="20">
        <v>1688</v>
      </c>
      <c r="B1689" s="20">
        <v>2245</v>
      </c>
      <c r="C1689" s="21">
        <v>45121</v>
      </c>
      <c r="D1689" s="20">
        <v>539.1</v>
      </c>
      <c r="E1689" s="22" t="s">
        <v>10</v>
      </c>
      <c r="F1689" s="22" t="s">
        <v>11</v>
      </c>
      <c r="G1689" s="22" t="s">
        <v>15</v>
      </c>
    </row>
    <row r="1690" ht="15.15" spans="1:7">
      <c r="A1690" s="20">
        <v>1689</v>
      </c>
      <c r="B1690" s="20">
        <v>3136</v>
      </c>
      <c r="C1690" s="21">
        <v>45231</v>
      </c>
      <c r="D1690" s="20">
        <v>427.48</v>
      </c>
      <c r="E1690" s="22" t="s">
        <v>10</v>
      </c>
      <c r="F1690" s="22" t="s">
        <v>11</v>
      </c>
      <c r="G1690" s="22" t="s">
        <v>15</v>
      </c>
    </row>
    <row r="1691" ht="15.15" spans="1:7">
      <c r="A1691" s="20">
        <v>1690</v>
      </c>
      <c r="B1691" s="20">
        <v>8781</v>
      </c>
      <c r="C1691" s="21">
        <v>45148</v>
      </c>
      <c r="D1691" s="20">
        <v>1033.01</v>
      </c>
      <c r="E1691" s="22" t="s">
        <v>10</v>
      </c>
      <c r="F1691" s="22" t="s">
        <v>13</v>
      </c>
      <c r="G1691" s="22" t="s">
        <v>15</v>
      </c>
    </row>
    <row r="1692" ht="15.15" spans="1:7">
      <c r="A1692" s="20">
        <v>1691</v>
      </c>
      <c r="B1692" s="20">
        <v>2144</v>
      </c>
      <c r="C1692" s="21">
        <v>45139</v>
      </c>
      <c r="D1692" s="20">
        <v>1393.08</v>
      </c>
      <c r="E1692" s="22" t="s">
        <v>10</v>
      </c>
      <c r="F1692" s="22" t="s">
        <v>16</v>
      </c>
      <c r="G1692" s="22" t="s">
        <v>12</v>
      </c>
    </row>
    <row r="1693" ht="15.15" spans="1:7">
      <c r="A1693" s="20">
        <v>1692</v>
      </c>
      <c r="B1693" s="20">
        <v>9695</v>
      </c>
      <c r="C1693" s="21">
        <v>44957</v>
      </c>
      <c r="D1693" s="20">
        <v>1354.25</v>
      </c>
      <c r="E1693" s="22" t="s">
        <v>10</v>
      </c>
      <c r="F1693" s="22" t="s">
        <v>16</v>
      </c>
      <c r="G1693" s="22" t="s">
        <v>15</v>
      </c>
    </row>
    <row r="1694" ht="15.15" spans="1:7">
      <c r="A1694" s="20">
        <v>1693</v>
      </c>
      <c r="B1694" s="20">
        <v>4076</v>
      </c>
      <c r="C1694" s="21">
        <v>45080</v>
      </c>
      <c r="D1694" s="20">
        <v>273.77</v>
      </c>
      <c r="E1694" s="22" t="s">
        <v>10</v>
      </c>
      <c r="F1694" s="22" t="s">
        <v>16</v>
      </c>
      <c r="G1694" s="22" t="s">
        <v>15</v>
      </c>
    </row>
    <row r="1695" ht="15.15" spans="1:7">
      <c r="A1695" s="20">
        <v>1694</v>
      </c>
      <c r="B1695" s="20">
        <v>1234</v>
      </c>
      <c r="C1695" s="21">
        <v>45250</v>
      </c>
      <c r="D1695" s="20">
        <v>1604.06</v>
      </c>
      <c r="E1695" s="22" t="s">
        <v>10</v>
      </c>
      <c r="F1695" s="22" t="s">
        <v>14</v>
      </c>
      <c r="G1695" s="22" t="s">
        <v>17</v>
      </c>
    </row>
    <row r="1696" ht="15.15" spans="1:7">
      <c r="A1696" s="20">
        <v>1695</v>
      </c>
      <c r="B1696" s="20">
        <v>287</v>
      </c>
      <c r="C1696" s="21">
        <v>45121</v>
      </c>
      <c r="D1696" s="20">
        <v>1346.21</v>
      </c>
      <c r="E1696" s="22" t="s">
        <v>10</v>
      </c>
      <c r="F1696" s="22" t="s">
        <v>13</v>
      </c>
      <c r="G1696" s="22" t="s">
        <v>20</v>
      </c>
    </row>
    <row r="1697" ht="15.15" spans="1:7">
      <c r="A1697" s="20">
        <v>1696</v>
      </c>
      <c r="B1697" s="20">
        <v>3589</v>
      </c>
      <c r="C1697" s="21">
        <v>45180</v>
      </c>
      <c r="D1697" s="20">
        <v>96.07</v>
      </c>
      <c r="E1697" s="22" t="s">
        <v>10</v>
      </c>
      <c r="F1697" s="22" t="s">
        <v>14</v>
      </c>
      <c r="G1697" s="22" t="s">
        <v>12</v>
      </c>
    </row>
    <row r="1698" ht="15.15" spans="1:7">
      <c r="A1698" s="20">
        <v>1697</v>
      </c>
      <c r="B1698" s="20">
        <v>7825</v>
      </c>
      <c r="C1698" s="21">
        <v>45126</v>
      </c>
      <c r="D1698" s="20">
        <v>6090.99</v>
      </c>
      <c r="E1698" s="22" t="s">
        <v>10</v>
      </c>
      <c r="F1698" s="22" t="s">
        <v>18</v>
      </c>
      <c r="G1698" s="22" t="s">
        <v>12</v>
      </c>
    </row>
    <row r="1699" ht="15.15" spans="1:7">
      <c r="A1699" s="20">
        <v>1698</v>
      </c>
      <c r="B1699" s="20">
        <v>9685</v>
      </c>
      <c r="C1699" s="21">
        <v>45250</v>
      </c>
      <c r="D1699" s="20">
        <v>580.8</v>
      </c>
      <c r="E1699" s="22" t="s">
        <v>10</v>
      </c>
      <c r="F1699" s="22" t="s">
        <v>11</v>
      </c>
      <c r="G1699" s="22" t="s">
        <v>20</v>
      </c>
    </row>
    <row r="1700" ht="15.15" spans="1:7">
      <c r="A1700" s="20">
        <v>1699</v>
      </c>
      <c r="B1700" s="20">
        <v>625</v>
      </c>
      <c r="C1700" s="21">
        <v>45238</v>
      </c>
      <c r="D1700" s="20">
        <v>1374.61</v>
      </c>
      <c r="E1700" s="22" t="s">
        <v>10</v>
      </c>
      <c r="F1700" s="22" t="s">
        <v>18</v>
      </c>
      <c r="G1700" s="22" t="s">
        <v>17</v>
      </c>
    </row>
    <row r="1701" ht="15.15" spans="1:7">
      <c r="A1701" s="20">
        <v>1700</v>
      </c>
      <c r="B1701" s="20">
        <v>8276</v>
      </c>
      <c r="C1701" s="21">
        <v>44978</v>
      </c>
      <c r="D1701" s="20">
        <v>140.76</v>
      </c>
      <c r="E1701" s="22" t="s">
        <v>10</v>
      </c>
      <c r="F1701" s="22" t="s">
        <v>16</v>
      </c>
      <c r="G1701" s="22" t="s">
        <v>20</v>
      </c>
    </row>
    <row r="1702" ht="15.15" spans="1:7">
      <c r="A1702" s="20">
        <v>1701</v>
      </c>
      <c r="B1702" s="20">
        <v>2632</v>
      </c>
      <c r="C1702" s="21">
        <v>45165</v>
      </c>
      <c r="D1702" s="20">
        <v>1500.18</v>
      </c>
      <c r="E1702" s="22" t="s">
        <v>10</v>
      </c>
      <c r="F1702" s="22" t="s">
        <v>14</v>
      </c>
      <c r="G1702" s="22" t="s">
        <v>20</v>
      </c>
    </row>
    <row r="1703" ht="15.15" spans="1:7">
      <c r="A1703" s="20">
        <v>1702</v>
      </c>
      <c r="B1703" s="20">
        <v>1137</v>
      </c>
      <c r="C1703" s="21">
        <v>45099</v>
      </c>
      <c r="D1703" s="20">
        <v>1678.51</v>
      </c>
      <c r="E1703" s="22" t="s">
        <v>10</v>
      </c>
      <c r="F1703" s="22" t="s">
        <v>11</v>
      </c>
      <c r="G1703" s="22" t="s">
        <v>15</v>
      </c>
    </row>
    <row r="1704" ht="15.15" spans="1:7">
      <c r="A1704" s="20">
        <v>1703</v>
      </c>
      <c r="B1704" s="20">
        <v>2600</v>
      </c>
      <c r="C1704" s="21">
        <v>45143</v>
      </c>
      <c r="D1704" s="20">
        <v>339.07</v>
      </c>
      <c r="E1704" s="22" t="s">
        <v>10</v>
      </c>
      <c r="F1704" s="22" t="s">
        <v>13</v>
      </c>
      <c r="G1704" s="22" t="s">
        <v>15</v>
      </c>
    </row>
    <row r="1705" ht="15.15" spans="1:7">
      <c r="A1705" s="20">
        <v>1704</v>
      </c>
      <c r="B1705" s="20">
        <v>6536</v>
      </c>
      <c r="C1705" s="21">
        <v>45039</v>
      </c>
      <c r="D1705" s="20">
        <v>1328.07</v>
      </c>
      <c r="E1705" s="22" t="s">
        <v>10</v>
      </c>
      <c r="F1705" s="22" t="s">
        <v>16</v>
      </c>
      <c r="G1705" s="22" t="s">
        <v>15</v>
      </c>
    </row>
    <row r="1706" ht="15.15" spans="1:7">
      <c r="A1706" s="20">
        <v>1705</v>
      </c>
      <c r="B1706" s="20">
        <v>5759</v>
      </c>
      <c r="C1706" s="21">
        <v>45274</v>
      </c>
      <c r="D1706" s="20">
        <v>539.1</v>
      </c>
      <c r="E1706" s="22" t="s">
        <v>10</v>
      </c>
      <c r="F1706" s="22" t="s">
        <v>16</v>
      </c>
      <c r="G1706" s="22" t="s">
        <v>12</v>
      </c>
    </row>
    <row r="1707" ht="15.15" spans="1:7">
      <c r="A1707" s="20">
        <v>1706</v>
      </c>
      <c r="B1707" s="20">
        <v>7011</v>
      </c>
      <c r="C1707" s="21">
        <v>45061</v>
      </c>
      <c r="D1707" s="20">
        <v>359.28</v>
      </c>
      <c r="E1707" s="22" t="s">
        <v>10</v>
      </c>
      <c r="F1707" s="22" t="s">
        <v>13</v>
      </c>
      <c r="G1707" s="22" t="s">
        <v>15</v>
      </c>
    </row>
    <row r="1708" ht="15.15" spans="1:7">
      <c r="A1708" s="20">
        <v>1707</v>
      </c>
      <c r="B1708" s="20">
        <v>5422</v>
      </c>
      <c r="C1708" s="21">
        <v>44977</v>
      </c>
      <c r="D1708" s="20">
        <v>416.48</v>
      </c>
      <c r="E1708" s="22" t="s">
        <v>10</v>
      </c>
      <c r="F1708" s="22" t="s">
        <v>18</v>
      </c>
      <c r="G1708" s="22" t="s">
        <v>20</v>
      </c>
    </row>
    <row r="1709" ht="15.15" spans="1:7">
      <c r="A1709" s="20">
        <v>1708</v>
      </c>
      <c r="B1709" s="20">
        <v>2839</v>
      </c>
      <c r="C1709" s="21">
        <v>45105</v>
      </c>
      <c r="D1709" s="20">
        <v>2293.7</v>
      </c>
      <c r="E1709" s="22" t="s">
        <v>10</v>
      </c>
      <c r="F1709" s="22" t="s">
        <v>11</v>
      </c>
      <c r="G1709" s="22" t="s">
        <v>12</v>
      </c>
    </row>
    <row r="1710" ht="15.15" spans="1:7">
      <c r="A1710" s="20">
        <v>1709</v>
      </c>
      <c r="B1710" s="20">
        <v>3991</v>
      </c>
      <c r="C1710" s="21">
        <v>44949</v>
      </c>
      <c r="D1710" s="20">
        <v>1579.2</v>
      </c>
      <c r="E1710" s="22" t="s">
        <v>10</v>
      </c>
      <c r="F1710" s="22" t="s">
        <v>18</v>
      </c>
      <c r="G1710" s="22" t="s">
        <v>20</v>
      </c>
    </row>
    <row r="1711" ht="15.15" spans="1:7">
      <c r="A1711" s="20">
        <v>1710</v>
      </c>
      <c r="B1711" s="20">
        <v>3421</v>
      </c>
      <c r="C1711" s="21">
        <v>45110</v>
      </c>
      <c r="D1711" s="20">
        <v>640.44</v>
      </c>
      <c r="E1711" s="22" t="s">
        <v>10</v>
      </c>
      <c r="F1711" s="22" t="s">
        <v>18</v>
      </c>
      <c r="G1711" s="22" t="s">
        <v>15</v>
      </c>
    </row>
    <row r="1712" ht="15.15" spans="1:7">
      <c r="A1712" s="20">
        <v>1711</v>
      </c>
      <c r="B1712" s="20">
        <v>923</v>
      </c>
      <c r="C1712" s="21">
        <v>44995</v>
      </c>
      <c r="D1712" s="20">
        <v>899.2</v>
      </c>
      <c r="E1712" s="22" t="s">
        <v>10</v>
      </c>
      <c r="F1712" s="22" t="s">
        <v>13</v>
      </c>
      <c r="G1712" s="22" t="s">
        <v>20</v>
      </c>
    </row>
    <row r="1713" ht="15.15" spans="1:7">
      <c r="A1713" s="20">
        <v>1712</v>
      </c>
      <c r="B1713" s="20">
        <v>6063</v>
      </c>
      <c r="C1713" s="21">
        <v>45187</v>
      </c>
      <c r="D1713" s="20">
        <v>2964.89</v>
      </c>
      <c r="E1713" s="22" t="s">
        <v>10</v>
      </c>
      <c r="F1713" s="22" t="s">
        <v>11</v>
      </c>
      <c r="G1713" s="22" t="s">
        <v>20</v>
      </c>
    </row>
    <row r="1714" ht="15.15" spans="1:7">
      <c r="A1714" s="20">
        <v>1713</v>
      </c>
      <c r="B1714" s="20">
        <v>9691</v>
      </c>
      <c r="C1714" s="21">
        <v>44962</v>
      </c>
      <c r="D1714" s="20">
        <v>3820.04</v>
      </c>
      <c r="E1714" s="22" t="s">
        <v>10</v>
      </c>
      <c r="F1714" s="22" t="s">
        <v>16</v>
      </c>
      <c r="G1714" s="22" t="s">
        <v>20</v>
      </c>
    </row>
    <row r="1715" ht="15.15" spans="1:7">
      <c r="A1715" s="20">
        <v>1714</v>
      </c>
      <c r="B1715" s="20">
        <v>6688</v>
      </c>
      <c r="C1715" s="21">
        <v>45214</v>
      </c>
      <c r="D1715" s="20">
        <v>142.43</v>
      </c>
      <c r="E1715" s="22" t="s">
        <v>10</v>
      </c>
      <c r="F1715" s="22" t="s">
        <v>14</v>
      </c>
      <c r="G1715" s="22" t="s">
        <v>15</v>
      </c>
    </row>
    <row r="1716" ht="15.15" spans="1:7">
      <c r="A1716" s="20">
        <v>1715</v>
      </c>
      <c r="B1716" s="20">
        <v>950</v>
      </c>
      <c r="C1716" s="21">
        <v>45157</v>
      </c>
      <c r="D1716" s="20">
        <v>1241.21</v>
      </c>
      <c r="E1716" s="22" t="s">
        <v>10</v>
      </c>
      <c r="F1716" s="22" t="s">
        <v>16</v>
      </c>
      <c r="G1716" s="22" t="s">
        <v>15</v>
      </c>
    </row>
    <row r="1717" ht="15.15" spans="1:7">
      <c r="A1717" s="20">
        <v>1716</v>
      </c>
      <c r="B1717" s="20">
        <v>6263</v>
      </c>
      <c r="C1717" s="21">
        <v>45106</v>
      </c>
      <c r="D1717" s="20">
        <v>395.52</v>
      </c>
      <c r="E1717" s="22" t="s">
        <v>10</v>
      </c>
      <c r="F1717" s="22" t="s">
        <v>14</v>
      </c>
      <c r="G1717" s="22" t="s">
        <v>15</v>
      </c>
    </row>
    <row r="1718" ht="15.15" spans="1:7">
      <c r="A1718" s="20">
        <v>1717</v>
      </c>
      <c r="B1718" s="20">
        <v>4622</v>
      </c>
      <c r="C1718" s="21">
        <v>45144</v>
      </c>
      <c r="D1718" s="20">
        <v>140.76</v>
      </c>
      <c r="E1718" s="22" t="s">
        <v>10</v>
      </c>
      <c r="F1718" s="22" t="s">
        <v>13</v>
      </c>
      <c r="G1718" s="22" t="s">
        <v>12</v>
      </c>
    </row>
    <row r="1719" ht="15.15" spans="1:7">
      <c r="A1719" s="20">
        <v>1718</v>
      </c>
      <c r="B1719" s="20">
        <v>2375</v>
      </c>
      <c r="C1719" s="21">
        <v>45288</v>
      </c>
      <c r="D1719" s="20">
        <v>486.42</v>
      </c>
      <c r="E1719" s="22" t="s">
        <v>10</v>
      </c>
      <c r="F1719" s="22" t="s">
        <v>14</v>
      </c>
      <c r="G1719" s="22" t="s">
        <v>12</v>
      </c>
    </row>
    <row r="1720" ht="15.15" spans="1:7">
      <c r="A1720" s="20">
        <v>1719</v>
      </c>
      <c r="B1720" s="20">
        <v>5023</v>
      </c>
      <c r="C1720" s="21">
        <v>45155</v>
      </c>
      <c r="D1720" s="20">
        <v>1435.99</v>
      </c>
      <c r="E1720" s="22" t="s">
        <v>10</v>
      </c>
      <c r="F1720" s="22" t="s">
        <v>18</v>
      </c>
      <c r="G1720" s="22" t="s">
        <v>12</v>
      </c>
    </row>
    <row r="1721" ht="15.15" spans="1:7">
      <c r="A1721" s="20">
        <v>1720</v>
      </c>
      <c r="B1721" s="20">
        <v>4834</v>
      </c>
      <c r="C1721" s="21">
        <v>45043</v>
      </c>
      <c r="D1721" s="20">
        <v>407.73</v>
      </c>
      <c r="E1721" s="22" t="s">
        <v>10</v>
      </c>
      <c r="F1721" s="22" t="s">
        <v>16</v>
      </c>
      <c r="G1721" s="22" t="s">
        <v>12</v>
      </c>
    </row>
    <row r="1722" ht="15.15" spans="1:7">
      <c r="A1722" s="20">
        <v>1721</v>
      </c>
      <c r="B1722" s="20">
        <v>4018</v>
      </c>
      <c r="C1722" s="21">
        <v>44974</v>
      </c>
      <c r="D1722" s="20">
        <v>4293.04</v>
      </c>
      <c r="E1722" s="22" t="s">
        <v>10</v>
      </c>
      <c r="F1722" s="22" t="s">
        <v>18</v>
      </c>
      <c r="G1722" s="22" t="s">
        <v>12</v>
      </c>
    </row>
    <row r="1723" ht="15.15" spans="1:7">
      <c r="A1723" s="20">
        <v>1722</v>
      </c>
      <c r="B1723" s="20">
        <v>7587</v>
      </c>
      <c r="C1723" s="21">
        <v>45210</v>
      </c>
      <c r="D1723" s="20">
        <v>1933.32</v>
      </c>
      <c r="E1723" s="22" t="s">
        <v>10</v>
      </c>
      <c r="F1723" s="22" t="s">
        <v>18</v>
      </c>
      <c r="G1723" s="22" t="s">
        <v>12</v>
      </c>
    </row>
    <row r="1724" ht="15.15" spans="1:7">
      <c r="A1724" s="20">
        <v>1723</v>
      </c>
      <c r="B1724" s="20">
        <v>2276</v>
      </c>
      <c r="C1724" s="21">
        <v>45079</v>
      </c>
      <c r="D1724" s="20">
        <v>901.51</v>
      </c>
      <c r="E1724" s="22" t="s">
        <v>10</v>
      </c>
      <c r="F1724" s="22" t="s">
        <v>18</v>
      </c>
      <c r="G1724" s="22" t="s">
        <v>17</v>
      </c>
    </row>
    <row r="1725" ht="15.15" spans="1:7">
      <c r="A1725" s="20">
        <v>1724</v>
      </c>
      <c r="B1725" s="20">
        <v>6942</v>
      </c>
      <c r="C1725" s="21">
        <v>45284</v>
      </c>
      <c r="D1725" s="20">
        <v>1791.45</v>
      </c>
      <c r="E1725" s="22" t="s">
        <v>10</v>
      </c>
      <c r="F1725" s="22" t="s">
        <v>11</v>
      </c>
      <c r="G1725" s="22" t="s">
        <v>20</v>
      </c>
    </row>
    <row r="1726" ht="15.15" spans="1:7">
      <c r="A1726" s="20">
        <v>1725</v>
      </c>
      <c r="B1726" s="20">
        <v>5673</v>
      </c>
      <c r="C1726" s="21">
        <v>45283</v>
      </c>
      <c r="D1726" s="20">
        <v>1627.17</v>
      </c>
      <c r="E1726" s="22" t="s">
        <v>10</v>
      </c>
      <c r="F1726" s="22" t="s">
        <v>16</v>
      </c>
      <c r="G1726" s="22" t="s">
        <v>15</v>
      </c>
    </row>
    <row r="1727" ht="15.15" spans="1:7">
      <c r="A1727" s="20">
        <v>1726</v>
      </c>
      <c r="B1727" s="20">
        <v>2628</v>
      </c>
      <c r="C1727" s="21">
        <v>45251</v>
      </c>
      <c r="D1727" s="20">
        <v>637.98</v>
      </c>
      <c r="E1727" s="22" t="s">
        <v>10</v>
      </c>
      <c r="F1727" s="22" t="s">
        <v>16</v>
      </c>
      <c r="G1727" s="22" t="s">
        <v>12</v>
      </c>
    </row>
    <row r="1728" ht="15.15" spans="1:7">
      <c r="A1728" s="20">
        <v>1727</v>
      </c>
      <c r="B1728" s="20">
        <v>1682</v>
      </c>
      <c r="C1728" s="21">
        <v>45267</v>
      </c>
      <c r="D1728" s="20">
        <v>352.84</v>
      </c>
      <c r="E1728" s="22" t="s">
        <v>10</v>
      </c>
      <c r="F1728" s="22" t="s">
        <v>16</v>
      </c>
      <c r="G1728" s="22" t="s">
        <v>12</v>
      </c>
    </row>
    <row r="1729" ht="15.15" spans="1:7">
      <c r="A1729" s="20">
        <v>1728</v>
      </c>
      <c r="B1729" s="20">
        <v>6281</v>
      </c>
      <c r="C1729" s="21">
        <v>45001</v>
      </c>
      <c r="D1729" s="20">
        <v>1517.02</v>
      </c>
      <c r="E1729" s="22" t="s">
        <v>10</v>
      </c>
      <c r="F1729" s="22" t="s">
        <v>19</v>
      </c>
      <c r="G1729" s="22" t="s">
        <v>20</v>
      </c>
    </row>
    <row r="1730" ht="15.15" spans="1:7">
      <c r="A1730" s="20">
        <v>1729</v>
      </c>
      <c r="B1730" s="20">
        <v>9106</v>
      </c>
      <c r="C1730" s="21">
        <v>45026</v>
      </c>
      <c r="D1730" s="20">
        <v>2613.9</v>
      </c>
      <c r="E1730" s="22" t="s">
        <v>10</v>
      </c>
      <c r="F1730" s="22" t="s">
        <v>11</v>
      </c>
      <c r="G1730" s="22" t="s">
        <v>17</v>
      </c>
    </row>
    <row r="1731" ht="15.15" spans="1:7">
      <c r="A1731" s="20">
        <v>1730</v>
      </c>
      <c r="B1731" s="20">
        <v>9555</v>
      </c>
      <c r="C1731" s="21">
        <v>45054</v>
      </c>
      <c r="D1731" s="20">
        <v>1521.05</v>
      </c>
      <c r="E1731" s="22" t="s">
        <v>10</v>
      </c>
      <c r="F1731" s="22" t="s">
        <v>11</v>
      </c>
      <c r="G1731" s="22" t="s">
        <v>17</v>
      </c>
    </row>
    <row r="1732" ht="15.15" spans="1:7">
      <c r="A1732" s="20">
        <v>1731</v>
      </c>
      <c r="B1732" s="20">
        <v>6378</v>
      </c>
      <c r="C1732" s="21">
        <v>45265</v>
      </c>
      <c r="D1732" s="20">
        <v>868.7</v>
      </c>
      <c r="E1732" s="22" t="s">
        <v>10</v>
      </c>
      <c r="F1732" s="22" t="s">
        <v>13</v>
      </c>
      <c r="G1732" s="22" t="s">
        <v>17</v>
      </c>
    </row>
    <row r="1733" ht="15.15" spans="1:7">
      <c r="A1733" s="20">
        <v>1732</v>
      </c>
      <c r="B1733" s="20">
        <v>4345</v>
      </c>
      <c r="C1733" s="21">
        <v>45181</v>
      </c>
      <c r="D1733" s="20">
        <v>716.89</v>
      </c>
      <c r="E1733" s="22" t="s">
        <v>10</v>
      </c>
      <c r="F1733" s="22" t="s">
        <v>11</v>
      </c>
      <c r="G1733" s="22" t="s">
        <v>20</v>
      </c>
    </row>
    <row r="1734" ht="15.15" spans="1:7">
      <c r="A1734" s="20">
        <v>1733</v>
      </c>
      <c r="B1734" s="20">
        <v>2300</v>
      </c>
      <c r="C1734" s="21">
        <v>45290</v>
      </c>
      <c r="D1734" s="20">
        <v>1409.82</v>
      </c>
      <c r="E1734" s="22" t="s">
        <v>10</v>
      </c>
      <c r="F1734" s="22" t="s">
        <v>18</v>
      </c>
      <c r="G1734" s="22" t="s">
        <v>12</v>
      </c>
    </row>
    <row r="1735" ht="15.15" spans="1:7">
      <c r="A1735" s="20">
        <v>1734</v>
      </c>
      <c r="B1735" s="20">
        <v>9376</v>
      </c>
      <c r="C1735" s="21">
        <v>45256</v>
      </c>
      <c r="D1735" s="20">
        <v>1412.89</v>
      </c>
      <c r="E1735" s="22" t="s">
        <v>10</v>
      </c>
      <c r="F1735" s="22" t="s">
        <v>18</v>
      </c>
      <c r="G1735" s="22" t="s">
        <v>12</v>
      </c>
    </row>
    <row r="1736" ht="15.15" spans="1:7">
      <c r="A1736" s="20">
        <v>1735</v>
      </c>
      <c r="B1736" s="20">
        <v>7430</v>
      </c>
      <c r="C1736" s="21">
        <v>45159</v>
      </c>
      <c r="D1736" s="20">
        <v>2369.13</v>
      </c>
      <c r="E1736" s="22" t="s">
        <v>10</v>
      </c>
      <c r="F1736" s="22" t="s">
        <v>18</v>
      </c>
      <c r="G1736" s="22" t="s">
        <v>17</v>
      </c>
    </row>
    <row r="1737" ht="15.15" spans="1:7">
      <c r="A1737" s="20">
        <v>1736</v>
      </c>
      <c r="B1737" s="20">
        <v>3534</v>
      </c>
      <c r="C1737" s="21">
        <v>45270</v>
      </c>
      <c r="D1737" s="20">
        <v>313.65</v>
      </c>
      <c r="E1737" s="22" t="s">
        <v>10</v>
      </c>
      <c r="F1737" s="22" t="s">
        <v>13</v>
      </c>
      <c r="G1737" s="22" t="s">
        <v>20</v>
      </c>
    </row>
    <row r="1738" ht="15.15" spans="1:7">
      <c r="A1738" s="20">
        <v>1737</v>
      </c>
      <c r="B1738" s="20">
        <v>7095</v>
      </c>
      <c r="C1738" s="21">
        <v>45109</v>
      </c>
      <c r="D1738" s="20">
        <v>1151.2</v>
      </c>
      <c r="E1738" s="22" t="s">
        <v>10</v>
      </c>
      <c r="F1738" s="22" t="s">
        <v>11</v>
      </c>
      <c r="G1738" s="22" t="s">
        <v>20</v>
      </c>
    </row>
    <row r="1739" ht="15.15" spans="1:7">
      <c r="A1739" s="20">
        <v>1738</v>
      </c>
      <c r="B1739" s="20">
        <v>6174</v>
      </c>
      <c r="C1739" s="21">
        <v>45254</v>
      </c>
      <c r="D1739" s="20">
        <v>1876.13</v>
      </c>
      <c r="E1739" s="22" t="s">
        <v>10</v>
      </c>
      <c r="F1739" s="22" t="s">
        <v>18</v>
      </c>
      <c r="G1739" s="22" t="s">
        <v>20</v>
      </c>
    </row>
    <row r="1740" ht="15.15" spans="1:7">
      <c r="A1740" s="20">
        <v>1739</v>
      </c>
      <c r="B1740" s="20">
        <v>9328</v>
      </c>
      <c r="C1740" s="21">
        <v>45071</v>
      </c>
      <c r="D1740" s="20">
        <v>435.69</v>
      </c>
      <c r="E1740" s="22" t="s">
        <v>10</v>
      </c>
      <c r="F1740" s="22" t="s">
        <v>16</v>
      </c>
      <c r="G1740" s="22" t="s">
        <v>15</v>
      </c>
    </row>
    <row r="1741" ht="15.15" spans="1:7">
      <c r="A1741" s="20">
        <v>1740</v>
      </c>
      <c r="B1741" s="20">
        <v>3947</v>
      </c>
      <c r="C1741" s="21">
        <v>45227</v>
      </c>
      <c r="D1741" s="20">
        <v>262.26</v>
      </c>
      <c r="E1741" s="22" t="s">
        <v>10</v>
      </c>
      <c r="F1741" s="22" t="s">
        <v>19</v>
      </c>
      <c r="G1741" s="22" t="s">
        <v>12</v>
      </c>
    </row>
    <row r="1742" ht="15.15" spans="1:7">
      <c r="A1742" s="20">
        <v>1741</v>
      </c>
      <c r="B1742" s="20">
        <v>3125</v>
      </c>
      <c r="C1742" s="21">
        <v>44984</v>
      </c>
      <c r="D1742" s="20">
        <v>999.53</v>
      </c>
      <c r="E1742" s="22" t="s">
        <v>10</v>
      </c>
      <c r="F1742" s="22" t="s">
        <v>18</v>
      </c>
      <c r="G1742" s="22" t="s">
        <v>17</v>
      </c>
    </row>
    <row r="1743" ht="15.15" spans="1:7">
      <c r="A1743" s="20">
        <v>1742</v>
      </c>
      <c r="B1743" s="20">
        <v>2133</v>
      </c>
      <c r="C1743" s="21">
        <v>45240</v>
      </c>
      <c r="D1743" s="20">
        <v>96.07</v>
      </c>
      <c r="E1743" s="22" t="s">
        <v>10</v>
      </c>
      <c r="F1743" s="22" t="s">
        <v>18</v>
      </c>
      <c r="G1743" s="22" t="s">
        <v>12</v>
      </c>
    </row>
    <row r="1744" ht="15.15" spans="1:7">
      <c r="A1744" s="20">
        <v>1743</v>
      </c>
      <c r="B1744" s="20">
        <v>897</v>
      </c>
      <c r="C1744" s="21">
        <v>45048</v>
      </c>
      <c r="D1744" s="20">
        <v>2981.48</v>
      </c>
      <c r="E1744" s="22" t="s">
        <v>10</v>
      </c>
      <c r="F1744" s="22" t="s">
        <v>11</v>
      </c>
      <c r="G1744" s="22" t="s">
        <v>17</v>
      </c>
    </row>
    <row r="1745" ht="15.15" spans="1:7">
      <c r="A1745" s="20">
        <v>1744</v>
      </c>
      <c r="B1745" s="20">
        <v>7832</v>
      </c>
      <c r="C1745" s="21">
        <v>45291</v>
      </c>
      <c r="D1745" s="20">
        <v>744.76</v>
      </c>
      <c r="E1745" s="22" t="s">
        <v>10</v>
      </c>
      <c r="F1745" s="22" t="s">
        <v>13</v>
      </c>
      <c r="G1745" s="22" t="s">
        <v>20</v>
      </c>
    </row>
    <row r="1746" ht="15.15" spans="1:7">
      <c r="A1746" s="20">
        <v>1745</v>
      </c>
      <c r="B1746" s="20">
        <v>3400</v>
      </c>
      <c r="C1746" s="21">
        <v>45102</v>
      </c>
      <c r="D1746" s="20">
        <v>200.91</v>
      </c>
      <c r="E1746" s="22" t="s">
        <v>10</v>
      </c>
      <c r="F1746" s="22" t="s">
        <v>14</v>
      </c>
      <c r="G1746" s="22" t="s">
        <v>15</v>
      </c>
    </row>
    <row r="1747" ht="15.15" spans="1:7">
      <c r="A1747" s="20">
        <v>1746</v>
      </c>
      <c r="B1747" s="20">
        <v>1027</v>
      </c>
      <c r="C1747" s="21">
        <v>45159</v>
      </c>
      <c r="D1747" s="20">
        <v>196.53</v>
      </c>
      <c r="E1747" s="22" t="s">
        <v>10</v>
      </c>
      <c r="F1747" s="22" t="s">
        <v>18</v>
      </c>
      <c r="G1747" s="22" t="s">
        <v>17</v>
      </c>
    </row>
    <row r="1748" ht="15.15" spans="1:7">
      <c r="A1748" s="20">
        <v>1747</v>
      </c>
      <c r="B1748" s="20">
        <v>4102</v>
      </c>
      <c r="C1748" s="21">
        <v>45279</v>
      </c>
      <c r="D1748" s="20">
        <v>1001.18</v>
      </c>
      <c r="E1748" s="22" t="s">
        <v>10</v>
      </c>
      <c r="F1748" s="22" t="s">
        <v>18</v>
      </c>
      <c r="G1748" s="22" t="s">
        <v>12</v>
      </c>
    </row>
    <row r="1749" ht="15.15" spans="1:7">
      <c r="A1749" s="20">
        <v>1748</v>
      </c>
      <c r="B1749" s="20">
        <v>6744</v>
      </c>
      <c r="C1749" s="21">
        <v>45269</v>
      </c>
      <c r="D1749" s="20">
        <v>1876.51</v>
      </c>
      <c r="E1749" s="22" t="s">
        <v>10</v>
      </c>
      <c r="F1749" s="22" t="s">
        <v>13</v>
      </c>
      <c r="G1749" s="22" t="s">
        <v>17</v>
      </c>
    </row>
    <row r="1750" ht="15.15" spans="1:7">
      <c r="A1750" s="20">
        <v>1749</v>
      </c>
      <c r="B1750" s="20">
        <v>8361</v>
      </c>
      <c r="C1750" s="21">
        <v>45239</v>
      </c>
      <c r="D1750" s="20">
        <v>1792.68</v>
      </c>
      <c r="E1750" s="22" t="s">
        <v>10</v>
      </c>
      <c r="F1750" s="22" t="s">
        <v>13</v>
      </c>
      <c r="G1750" s="22" t="s">
        <v>17</v>
      </c>
    </row>
    <row r="1751" ht="15.15" spans="1:7">
      <c r="A1751" s="20">
        <v>1750</v>
      </c>
      <c r="B1751" s="20">
        <v>3593</v>
      </c>
      <c r="C1751" s="21">
        <v>45287</v>
      </c>
      <c r="D1751" s="20">
        <v>3875.8</v>
      </c>
      <c r="E1751" s="22" t="s">
        <v>10</v>
      </c>
      <c r="F1751" s="22" t="s">
        <v>18</v>
      </c>
      <c r="G1751" s="22" t="s">
        <v>17</v>
      </c>
    </row>
    <row r="1752" ht="15.15" spans="1:7">
      <c r="A1752" s="20">
        <v>1751</v>
      </c>
      <c r="B1752" s="20">
        <v>4193</v>
      </c>
      <c r="C1752" s="21">
        <v>44991</v>
      </c>
      <c r="D1752" s="20">
        <v>2383.12</v>
      </c>
      <c r="E1752" s="22" t="s">
        <v>10</v>
      </c>
      <c r="F1752" s="22" t="s">
        <v>13</v>
      </c>
      <c r="G1752" s="22" t="s">
        <v>17</v>
      </c>
    </row>
    <row r="1753" ht="15.15" spans="1:7">
      <c r="A1753" s="20">
        <v>1752</v>
      </c>
      <c r="B1753" s="20">
        <v>3292</v>
      </c>
      <c r="C1753" s="21">
        <v>44976</v>
      </c>
      <c r="D1753" s="20">
        <v>367.72</v>
      </c>
      <c r="E1753" s="22" t="s">
        <v>10</v>
      </c>
      <c r="F1753" s="22" t="s">
        <v>16</v>
      </c>
      <c r="G1753" s="22" t="s">
        <v>15</v>
      </c>
    </row>
    <row r="1754" ht="15.15" spans="1:7">
      <c r="A1754" s="20">
        <v>1753</v>
      </c>
      <c r="B1754" s="20">
        <v>5255</v>
      </c>
      <c r="C1754" s="21">
        <v>44948</v>
      </c>
      <c r="D1754" s="20">
        <v>3910.72</v>
      </c>
      <c r="E1754" s="22" t="s">
        <v>22</v>
      </c>
      <c r="F1754" s="22" t="s">
        <v>16</v>
      </c>
      <c r="G1754" s="22" t="s">
        <v>20</v>
      </c>
    </row>
    <row r="1755" ht="15.15" spans="1:7">
      <c r="A1755" s="20">
        <v>1754</v>
      </c>
      <c r="B1755" s="20">
        <v>4446</v>
      </c>
      <c r="C1755" s="21">
        <v>45104</v>
      </c>
      <c r="D1755" s="20">
        <v>100.33</v>
      </c>
      <c r="E1755" s="22" t="s">
        <v>10</v>
      </c>
      <c r="F1755" s="22" t="s">
        <v>18</v>
      </c>
      <c r="G1755" s="22" t="s">
        <v>15</v>
      </c>
    </row>
    <row r="1756" ht="15.15" spans="1:7">
      <c r="A1756" s="20">
        <v>1755</v>
      </c>
      <c r="B1756" s="20">
        <v>122</v>
      </c>
      <c r="C1756" s="21">
        <v>45132</v>
      </c>
      <c r="D1756" s="20">
        <v>325.76</v>
      </c>
      <c r="E1756" s="22" t="s">
        <v>10</v>
      </c>
      <c r="F1756" s="22" t="s">
        <v>13</v>
      </c>
      <c r="G1756" s="22" t="s">
        <v>12</v>
      </c>
    </row>
    <row r="1757" ht="15.15" spans="1:7">
      <c r="A1757" s="20">
        <v>1756</v>
      </c>
      <c r="B1757" s="20">
        <v>4684</v>
      </c>
      <c r="C1757" s="21">
        <v>45129</v>
      </c>
      <c r="D1757" s="20">
        <v>240.57</v>
      </c>
      <c r="E1757" s="22" t="s">
        <v>10</v>
      </c>
      <c r="F1757" s="22" t="s">
        <v>13</v>
      </c>
      <c r="G1757" s="22" t="s">
        <v>17</v>
      </c>
    </row>
    <row r="1758" ht="15.15" spans="1:7">
      <c r="A1758" s="20">
        <v>1757</v>
      </c>
      <c r="B1758" s="20">
        <v>4368</v>
      </c>
      <c r="C1758" s="21">
        <v>45165</v>
      </c>
      <c r="D1758" s="20">
        <v>132.23</v>
      </c>
      <c r="E1758" s="22" t="s">
        <v>10</v>
      </c>
      <c r="F1758" s="22" t="s">
        <v>11</v>
      </c>
      <c r="G1758" s="22" t="s">
        <v>12</v>
      </c>
    </row>
    <row r="1759" ht="15.15" spans="1:7">
      <c r="A1759" s="20">
        <v>1758</v>
      </c>
      <c r="B1759" s="20">
        <v>4019</v>
      </c>
      <c r="C1759" s="21">
        <v>45031</v>
      </c>
      <c r="D1759" s="20">
        <v>30.63</v>
      </c>
      <c r="E1759" s="22" t="s">
        <v>10</v>
      </c>
      <c r="F1759" s="22" t="s">
        <v>18</v>
      </c>
      <c r="G1759" s="22" t="s">
        <v>20</v>
      </c>
    </row>
    <row r="1760" ht="15.15" spans="1:7">
      <c r="A1760" s="20">
        <v>1759</v>
      </c>
      <c r="B1760" s="20">
        <v>4366</v>
      </c>
      <c r="C1760" s="21">
        <v>45125</v>
      </c>
      <c r="D1760" s="20">
        <v>449.81</v>
      </c>
      <c r="E1760" s="22" t="s">
        <v>10</v>
      </c>
      <c r="F1760" s="22" t="s">
        <v>18</v>
      </c>
      <c r="G1760" s="22" t="s">
        <v>12</v>
      </c>
    </row>
    <row r="1761" ht="15.15" spans="1:7">
      <c r="A1761" s="20">
        <v>1760</v>
      </c>
      <c r="B1761" s="20">
        <v>61</v>
      </c>
      <c r="C1761" s="21">
        <v>44933</v>
      </c>
      <c r="D1761" s="20">
        <v>493.21</v>
      </c>
      <c r="E1761" s="22" t="s">
        <v>10</v>
      </c>
      <c r="F1761" s="22" t="s">
        <v>14</v>
      </c>
      <c r="G1761" s="22" t="s">
        <v>15</v>
      </c>
    </row>
    <row r="1762" ht="15.15" spans="1:7">
      <c r="A1762" s="20">
        <v>1761</v>
      </c>
      <c r="B1762" s="20">
        <v>2505</v>
      </c>
      <c r="C1762" s="21">
        <v>45021</v>
      </c>
      <c r="D1762" s="20">
        <v>1011.02</v>
      </c>
      <c r="E1762" s="22" t="s">
        <v>21</v>
      </c>
      <c r="F1762" s="22" t="s">
        <v>13</v>
      </c>
      <c r="G1762" s="22" t="s">
        <v>17</v>
      </c>
    </row>
    <row r="1763" ht="15.15" spans="1:7">
      <c r="A1763" s="20">
        <v>1762</v>
      </c>
      <c r="B1763" s="20">
        <v>6906</v>
      </c>
      <c r="C1763" s="21">
        <v>45207</v>
      </c>
      <c r="D1763" s="20">
        <v>2082.59</v>
      </c>
      <c r="E1763" s="22" t="s">
        <v>10</v>
      </c>
      <c r="F1763" s="22" t="s">
        <v>16</v>
      </c>
      <c r="G1763" s="22" t="s">
        <v>20</v>
      </c>
    </row>
    <row r="1764" ht="15.15" spans="1:7">
      <c r="A1764" s="20">
        <v>1763</v>
      </c>
      <c r="B1764" s="20">
        <v>179</v>
      </c>
      <c r="C1764" s="21">
        <v>44949</v>
      </c>
      <c r="D1764" s="20">
        <v>3531.61</v>
      </c>
      <c r="E1764" s="22" t="s">
        <v>10</v>
      </c>
      <c r="F1764" s="22" t="s">
        <v>13</v>
      </c>
      <c r="G1764" s="22" t="s">
        <v>17</v>
      </c>
    </row>
    <row r="1765" ht="15.15" spans="1:7">
      <c r="A1765" s="20">
        <v>1764</v>
      </c>
      <c r="B1765" s="20">
        <v>7520</v>
      </c>
      <c r="C1765" s="21">
        <v>45202</v>
      </c>
      <c r="D1765" s="20">
        <v>192.14</v>
      </c>
      <c r="E1765" s="22" t="s">
        <v>10</v>
      </c>
      <c r="F1765" s="22" t="s">
        <v>19</v>
      </c>
      <c r="G1765" s="22" t="s">
        <v>15</v>
      </c>
    </row>
    <row r="1766" ht="15.15" spans="1:7">
      <c r="A1766" s="20">
        <v>1765</v>
      </c>
      <c r="B1766" s="20">
        <v>4676</v>
      </c>
      <c r="C1766" s="21">
        <v>45065</v>
      </c>
      <c r="D1766" s="20">
        <v>1930.21</v>
      </c>
      <c r="E1766" s="22" t="s">
        <v>22</v>
      </c>
      <c r="F1766" s="22" t="s">
        <v>18</v>
      </c>
      <c r="G1766" s="22" t="s">
        <v>15</v>
      </c>
    </row>
    <row r="1767" ht="15.15" spans="1:7">
      <c r="A1767" s="20">
        <v>1766</v>
      </c>
      <c r="B1767" s="20">
        <v>6002</v>
      </c>
      <c r="C1767" s="21">
        <v>45195</v>
      </c>
      <c r="D1767" s="20">
        <v>1637.45</v>
      </c>
      <c r="E1767" s="22" t="s">
        <v>10</v>
      </c>
      <c r="F1767" s="22" t="s">
        <v>14</v>
      </c>
      <c r="G1767" s="22" t="s">
        <v>12</v>
      </c>
    </row>
    <row r="1768" ht="15.15" spans="1:7">
      <c r="A1768" s="20">
        <v>1767</v>
      </c>
      <c r="B1768" s="20">
        <v>5257</v>
      </c>
      <c r="C1768" s="21">
        <v>45249</v>
      </c>
      <c r="D1768" s="20">
        <v>3842.93</v>
      </c>
      <c r="E1768" s="22" t="s">
        <v>10</v>
      </c>
      <c r="F1768" s="22" t="s">
        <v>11</v>
      </c>
      <c r="G1768" s="22" t="s">
        <v>15</v>
      </c>
    </row>
    <row r="1769" ht="15.15" spans="1:7">
      <c r="A1769" s="20">
        <v>1768</v>
      </c>
      <c r="B1769" s="20">
        <v>1128</v>
      </c>
      <c r="C1769" s="21">
        <v>45084</v>
      </c>
      <c r="D1769" s="20">
        <v>2456.45</v>
      </c>
      <c r="E1769" s="22" t="s">
        <v>10</v>
      </c>
      <c r="F1769" s="22" t="s">
        <v>14</v>
      </c>
      <c r="G1769" s="22" t="s">
        <v>20</v>
      </c>
    </row>
    <row r="1770" ht="15.15" spans="1:7">
      <c r="A1770" s="20">
        <v>1769</v>
      </c>
      <c r="B1770" s="20">
        <v>4938</v>
      </c>
      <c r="C1770" s="21">
        <v>45237</v>
      </c>
      <c r="D1770" s="20">
        <v>1995.72</v>
      </c>
      <c r="E1770" s="22" t="s">
        <v>10</v>
      </c>
      <c r="F1770" s="22" t="s">
        <v>18</v>
      </c>
      <c r="G1770" s="22" t="s">
        <v>20</v>
      </c>
    </row>
    <row r="1771" ht="15.15" spans="1:7">
      <c r="A1771" s="20">
        <v>1770</v>
      </c>
      <c r="B1771" s="20">
        <v>3272</v>
      </c>
      <c r="C1771" s="21">
        <v>45289</v>
      </c>
      <c r="D1771" s="20">
        <v>376.78</v>
      </c>
      <c r="E1771" s="22" t="s">
        <v>10</v>
      </c>
      <c r="F1771" s="22" t="s">
        <v>18</v>
      </c>
      <c r="G1771" s="22" t="s">
        <v>17</v>
      </c>
    </row>
    <row r="1772" ht="15.15" spans="1:7">
      <c r="A1772" s="20">
        <v>1771</v>
      </c>
      <c r="B1772" s="20">
        <v>3449</v>
      </c>
      <c r="C1772" s="21">
        <v>45020</v>
      </c>
      <c r="D1772" s="20">
        <v>748.01</v>
      </c>
      <c r="E1772" s="22" t="s">
        <v>10</v>
      </c>
      <c r="F1772" s="22" t="s">
        <v>11</v>
      </c>
      <c r="G1772" s="22" t="s">
        <v>12</v>
      </c>
    </row>
    <row r="1773" ht="15.15" spans="1:7">
      <c r="A1773" s="20">
        <v>1772</v>
      </c>
      <c r="B1773" s="20">
        <v>587</v>
      </c>
      <c r="C1773" s="21">
        <v>45023</v>
      </c>
      <c r="D1773" s="20">
        <v>1008.02</v>
      </c>
      <c r="E1773" s="22" t="s">
        <v>22</v>
      </c>
      <c r="F1773" s="22" t="s">
        <v>14</v>
      </c>
      <c r="G1773" s="22" t="s">
        <v>15</v>
      </c>
    </row>
    <row r="1774" ht="15.15" spans="1:7">
      <c r="A1774" s="20">
        <v>1773</v>
      </c>
      <c r="B1774" s="20">
        <v>4021</v>
      </c>
      <c r="C1774" s="21">
        <v>45195</v>
      </c>
      <c r="D1774" s="20">
        <v>290.79</v>
      </c>
      <c r="E1774" s="22" t="s">
        <v>10</v>
      </c>
      <c r="F1774" s="22" t="s">
        <v>16</v>
      </c>
      <c r="G1774" s="22" t="s">
        <v>20</v>
      </c>
    </row>
    <row r="1775" ht="15.15" spans="1:7">
      <c r="A1775" s="20">
        <v>1774</v>
      </c>
      <c r="B1775" s="20">
        <v>551</v>
      </c>
      <c r="C1775" s="21">
        <v>45011</v>
      </c>
      <c r="D1775" s="20">
        <v>173.7</v>
      </c>
      <c r="E1775" s="22" t="s">
        <v>10</v>
      </c>
      <c r="F1775" s="22" t="s">
        <v>11</v>
      </c>
      <c r="G1775" s="22" t="s">
        <v>17</v>
      </c>
    </row>
    <row r="1776" ht="15.15" spans="1:7">
      <c r="A1776" s="20">
        <v>1775</v>
      </c>
      <c r="B1776" s="20">
        <v>7492</v>
      </c>
      <c r="C1776" s="21">
        <v>45167</v>
      </c>
      <c r="D1776" s="20">
        <v>345.63</v>
      </c>
      <c r="E1776" s="22" t="s">
        <v>10</v>
      </c>
      <c r="F1776" s="22" t="s">
        <v>13</v>
      </c>
      <c r="G1776" s="22" t="s">
        <v>15</v>
      </c>
    </row>
    <row r="1777" ht="15.15" spans="1:7">
      <c r="A1777" s="20">
        <v>1776</v>
      </c>
      <c r="B1777" s="20">
        <v>4111</v>
      </c>
      <c r="C1777" s="21">
        <v>45272</v>
      </c>
      <c r="D1777" s="20">
        <v>816.58</v>
      </c>
      <c r="E1777" s="22" t="s">
        <v>10</v>
      </c>
      <c r="F1777" s="22" t="s">
        <v>16</v>
      </c>
      <c r="G1777" s="22" t="s">
        <v>20</v>
      </c>
    </row>
    <row r="1778" ht="15.15" spans="1:7">
      <c r="A1778" s="20">
        <v>1777</v>
      </c>
      <c r="B1778" s="20">
        <v>4461</v>
      </c>
      <c r="C1778" s="21">
        <v>44929</v>
      </c>
      <c r="D1778" s="20">
        <v>2876.22</v>
      </c>
      <c r="E1778" s="22" t="s">
        <v>10</v>
      </c>
      <c r="F1778" s="22" t="s">
        <v>16</v>
      </c>
      <c r="G1778" s="22" t="s">
        <v>15</v>
      </c>
    </row>
    <row r="1779" ht="15.15" spans="1:7">
      <c r="A1779" s="20">
        <v>1778</v>
      </c>
      <c r="B1779" s="20">
        <v>3621</v>
      </c>
      <c r="C1779" s="21">
        <v>45080</v>
      </c>
      <c r="D1779" s="20">
        <v>1897.69</v>
      </c>
      <c r="E1779" s="22" t="s">
        <v>10</v>
      </c>
      <c r="F1779" s="22" t="s">
        <v>18</v>
      </c>
      <c r="G1779" s="22" t="s">
        <v>15</v>
      </c>
    </row>
    <row r="1780" ht="15.15" spans="1:7">
      <c r="A1780" s="20">
        <v>1779</v>
      </c>
      <c r="B1780" s="20">
        <v>6502</v>
      </c>
      <c r="C1780" s="21">
        <v>45165</v>
      </c>
      <c r="D1780" s="20">
        <v>1242.57</v>
      </c>
      <c r="E1780" s="22" t="s">
        <v>10</v>
      </c>
      <c r="F1780" s="22" t="s">
        <v>18</v>
      </c>
      <c r="G1780" s="22" t="s">
        <v>15</v>
      </c>
    </row>
    <row r="1781" ht="15.15" spans="1:7">
      <c r="A1781" s="20">
        <v>1780</v>
      </c>
      <c r="B1781" s="20">
        <v>3705</v>
      </c>
      <c r="C1781" s="21">
        <v>45025</v>
      </c>
      <c r="D1781" s="20">
        <v>1767.37</v>
      </c>
      <c r="E1781" s="22" t="s">
        <v>10</v>
      </c>
      <c r="F1781" s="22" t="s">
        <v>13</v>
      </c>
      <c r="G1781" s="22" t="s">
        <v>12</v>
      </c>
    </row>
    <row r="1782" ht="15.15" spans="1:7">
      <c r="A1782" s="20">
        <v>1781</v>
      </c>
      <c r="B1782" s="20">
        <v>2682</v>
      </c>
      <c r="C1782" s="21">
        <v>45256</v>
      </c>
      <c r="D1782" s="20">
        <v>782.4</v>
      </c>
      <c r="E1782" s="22" t="s">
        <v>10</v>
      </c>
      <c r="F1782" s="22" t="s">
        <v>16</v>
      </c>
      <c r="G1782" s="22" t="s">
        <v>15</v>
      </c>
    </row>
    <row r="1783" ht="15.15" spans="1:7">
      <c r="A1783" s="20">
        <v>1782</v>
      </c>
      <c r="B1783" s="20">
        <v>7360</v>
      </c>
      <c r="C1783" s="21">
        <v>45029</v>
      </c>
      <c r="D1783" s="20">
        <v>1173.78</v>
      </c>
      <c r="E1783" s="22" t="s">
        <v>10</v>
      </c>
      <c r="F1783" s="22" t="s">
        <v>13</v>
      </c>
      <c r="G1783" s="22" t="s">
        <v>12</v>
      </c>
    </row>
    <row r="1784" ht="15.15" spans="1:7">
      <c r="A1784" s="20">
        <v>1783</v>
      </c>
      <c r="B1784" s="20">
        <v>1475</v>
      </c>
      <c r="C1784" s="21">
        <v>45013</v>
      </c>
      <c r="D1784" s="20">
        <v>8254.52</v>
      </c>
      <c r="E1784" s="22" t="s">
        <v>10</v>
      </c>
      <c r="F1784" s="22" t="s">
        <v>16</v>
      </c>
      <c r="G1784" s="22" t="s">
        <v>15</v>
      </c>
    </row>
    <row r="1785" ht="15.15" spans="1:7">
      <c r="A1785" s="20">
        <v>1784</v>
      </c>
      <c r="B1785" s="20">
        <v>9069</v>
      </c>
      <c r="C1785" s="21">
        <v>45164</v>
      </c>
      <c r="D1785" s="20">
        <v>436.2</v>
      </c>
      <c r="E1785" s="22" t="s">
        <v>10</v>
      </c>
      <c r="F1785" s="22" t="s">
        <v>16</v>
      </c>
      <c r="G1785" s="22" t="s">
        <v>20</v>
      </c>
    </row>
    <row r="1786" ht="15.15" spans="1:7">
      <c r="A1786" s="20">
        <v>1785</v>
      </c>
      <c r="B1786" s="20">
        <v>3921</v>
      </c>
      <c r="C1786" s="21">
        <v>45205</v>
      </c>
      <c r="D1786" s="20">
        <v>1268.68</v>
      </c>
      <c r="E1786" s="22" t="s">
        <v>10</v>
      </c>
      <c r="F1786" s="22" t="s">
        <v>16</v>
      </c>
      <c r="G1786" s="22" t="s">
        <v>12</v>
      </c>
    </row>
    <row r="1787" ht="15.15" spans="1:7">
      <c r="A1787" s="20">
        <v>1786</v>
      </c>
      <c r="B1787" s="20">
        <v>9107</v>
      </c>
      <c r="C1787" s="21">
        <v>45240</v>
      </c>
      <c r="D1787" s="20">
        <v>1008.02</v>
      </c>
      <c r="E1787" s="22" t="s">
        <v>10</v>
      </c>
      <c r="F1787" s="22" t="s">
        <v>18</v>
      </c>
      <c r="G1787" s="22" t="s">
        <v>20</v>
      </c>
    </row>
    <row r="1788" ht="15.15" spans="1:7">
      <c r="A1788" s="20">
        <v>1787</v>
      </c>
      <c r="B1788" s="20">
        <v>3420</v>
      </c>
      <c r="C1788" s="21">
        <v>45072</v>
      </c>
      <c r="D1788" s="20">
        <v>2704.53</v>
      </c>
      <c r="E1788" s="22" t="s">
        <v>10</v>
      </c>
      <c r="F1788" s="22" t="s">
        <v>14</v>
      </c>
      <c r="G1788" s="22" t="s">
        <v>12</v>
      </c>
    </row>
    <row r="1789" ht="15.15" spans="1:7">
      <c r="A1789" s="20">
        <v>1788</v>
      </c>
      <c r="B1789" s="20">
        <v>7424</v>
      </c>
      <c r="C1789" s="21">
        <v>44971</v>
      </c>
      <c r="D1789" s="20">
        <v>276.68</v>
      </c>
      <c r="E1789" s="22" t="s">
        <v>10</v>
      </c>
      <c r="F1789" s="22" t="s">
        <v>11</v>
      </c>
      <c r="G1789" s="22" t="s">
        <v>15</v>
      </c>
    </row>
    <row r="1790" ht="15.15" spans="1:7">
      <c r="A1790" s="20">
        <v>1789</v>
      </c>
      <c r="B1790" s="20">
        <v>182</v>
      </c>
      <c r="C1790" s="21">
        <v>45257</v>
      </c>
      <c r="D1790" s="20">
        <v>745.67</v>
      </c>
      <c r="E1790" s="22" t="s">
        <v>10</v>
      </c>
      <c r="F1790" s="22" t="s">
        <v>11</v>
      </c>
      <c r="G1790" s="22" t="s">
        <v>17</v>
      </c>
    </row>
    <row r="1791" ht="15.15" spans="1:7">
      <c r="A1791" s="20">
        <v>1790</v>
      </c>
      <c r="B1791" s="20">
        <v>4966</v>
      </c>
      <c r="C1791" s="21">
        <v>45018</v>
      </c>
      <c r="D1791" s="20">
        <v>152.53</v>
      </c>
      <c r="E1791" s="22" t="s">
        <v>10</v>
      </c>
      <c r="F1791" s="22" t="s">
        <v>16</v>
      </c>
      <c r="G1791" s="22" t="s">
        <v>20</v>
      </c>
    </row>
    <row r="1792" ht="15.15" spans="1:7">
      <c r="A1792" s="20">
        <v>1791</v>
      </c>
      <c r="B1792" s="20">
        <v>4608</v>
      </c>
      <c r="C1792" s="21">
        <v>45258</v>
      </c>
      <c r="D1792" s="20">
        <v>1570.63</v>
      </c>
      <c r="E1792" s="22" t="s">
        <v>10</v>
      </c>
      <c r="F1792" s="22" t="s">
        <v>11</v>
      </c>
      <c r="G1792" s="22" t="s">
        <v>15</v>
      </c>
    </row>
    <row r="1793" ht="15.15" spans="1:7">
      <c r="A1793" s="20">
        <v>1792</v>
      </c>
      <c r="B1793" s="20">
        <v>7440</v>
      </c>
      <c r="C1793" s="21">
        <v>45265</v>
      </c>
      <c r="D1793" s="20">
        <v>237.29</v>
      </c>
      <c r="E1793" s="22" t="s">
        <v>10</v>
      </c>
      <c r="F1793" s="22" t="s">
        <v>14</v>
      </c>
      <c r="G1793" s="22" t="s">
        <v>20</v>
      </c>
    </row>
    <row r="1794" ht="15.15" spans="1:7">
      <c r="A1794" s="20">
        <v>1793</v>
      </c>
      <c r="B1794" s="20">
        <v>9337</v>
      </c>
      <c r="C1794" s="21">
        <v>45250</v>
      </c>
      <c r="D1794" s="20">
        <v>1427.9</v>
      </c>
      <c r="E1794" s="22" t="s">
        <v>10</v>
      </c>
      <c r="F1794" s="22" t="s">
        <v>14</v>
      </c>
      <c r="G1794" s="22" t="s">
        <v>17</v>
      </c>
    </row>
    <row r="1795" ht="15.15" spans="1:7">
      <c r="A1795" s="20">
        <v>1794</v>
      </c>
      <c r="B1795" s="20">
        <v>8684</v>
      </c>
      <c r="C1795" s="21">
        <v>44981</v>
      </c>
      <c r="D1795" s="20">
        <v>219.69</v>
      </c>
      <c r="E1795" s="22" t="s">
        <v>10</v>
      </c>
      <c r="F1795" s="22" t="s">
        <v>16</v>
      </c>
      <c r="G1795" s="22" t="s">
        <v>17</v>
      </c>
    </row>
    <row r="1796" ht="15.15" spans="1:7">
      <c r="A1796" s="20">
        <v>1795</v>
      </c>
      <c r="B1796" s="20">
        <v>8810</v>
      </c>
      <c r="C1796" s="21">
        <v>45265</v>
      </c>
      <c r="D1796" s="20">
        <v>459.12</v>
      </c>
      <c r="E1796" s="22" t="s">
        <v>10</v>
      </c>
      <c r="F1796" s="22" t="s">
        <v>13</v>
      </c>
      <c r="G1796" s="22" t="s">
        <v>20</v>
      </c>
    </row>
    <row r="1797" ht="15.15" spans="1:7">
      <c r="A1797" s="20">
        <v>1796</v>
      </c>
      <c r="B1797" s="20">
        <v>6881</v>
      </c>
      <c r="C1797" s="21">
        <v>44967</v>
      </c>
      <c r="D1797" s="20">
        <v>406.33</v>
      </c>
      <c r="E1797" s="22" t="s">
        <v>10</v>
      </c>
      <c r="F1797" s="22" t="s">
        <v>14</v>
      </c>
      <c r="G1797" s="22" t="s">
        <v>20</v>
      </c>
    </row>
    <row r="1798" ht="15.15" spans="1:7">
      <c r="A1798" s="20">
        <v>1797</v>
      </c>
      <c r="B1798" s="20">
        <v>1850</v>
      </c>
      <c r="C1798" s="21">
        <v>45276</v>
      </c>
      <c r="D1798" s="20">
        <v>406.33</v>
      </c>
      <c r="E1798" s="22" t="s">
        <v>10</v>
      </c>
      <c r="F1798" s="22" t="s">
        <v>11</v>
      </c>
      <c r="G1798" s="22" t="s">
        <v>17</v>
      </c>
    </row>
    <row r="1799" ht="15.15" spans="1:7">
      <c r="A1799" s="20">
        <v>1798</v>
      </c>
      <c r="B1799" s="20">
        <v>9437</v>
      </c>
      <c r="C1799" s="21">
        <v>45267</v>
      </c>
      <c r="D1799" s="20">
        <v>232.17</v>
      </c>
      <c r="E1799" s="22" t="s">
        <v>10</v>
      </c>
      <c r="F1799" s="22" t="s">
        <v>18</v>
      </c>
      <c r="G1799" s="22" t="s">
        <v>17</v>
      </c>
    </row>
    <row r="1800" ht="15.15" spans="1:7">
      <c r="A1800" s="20">
        <v>1799</v>
      </c>
      <c r="B1800" s="20">
        <v>2191</v>
      </c>
      <c r="C1800" s="21">
        <v>45020</v>
      </c>
      <c r="D1800" s="20">
        <v>1123.65</v>
      </c>
      <c r="E1800" s="22" t="s">
        <v>10</v>
      </c>
      <c r="F1800" s="22" t="s">
        <v>11</v>
      </c>
      <c r="G1800" s="22" t="s">
        <v>17</v>
      </c>
    </row>
    <row r="1801" ht="15.15" spans="1:7">
      <c r="A1801" s="20">
        <v>1800</v>
      </c>
      <c r="B1801" s="20">
        <v>9768</v>
      </c>
      <c r="C1801" s="21">
        <v>45281</v>
      </c>
      <c r="D1801" s="20">
        <v>1400.3</v>
      </c>
      <c r="E1801" s="22" t="s">
        <v>10</v>
      </c>
      <c r="F1801" s="22" t="s">
        <v>18</v>
      </c>
      <c r="G1801" s="22" t="s">
        <v>17</v>
      </c>
    </row>
    <row r="1802" ht="15.15" spans="1:7">
      <c r="A1802" s="20">
        <v>1801</v>
      </c>
      <c r="B1802" s="20">
        <v>1786</v>
      </c>
      <c r="C1802" s="21">
        <v>45250</v>
      </c>
      <c r="D1802" s="20">
        <v>749.34</v>
      </c>
      <c r="E1802" s="22" t="s">
        <v>10</v>
      </c>
      <c r="F1802" s="22" t="s">
        <v>14</v>
      </c>
      <c r="G1802" s="22" t="s">
        <v>12</v>
      </c>
    </row>
    <row r="1803" ht="15.15" spans="1:7">
      <c r="A1803" s="20">
        <v>1802</v>
      </c>
      <c r="B1803" s="20">
        <v>7693</v>
      </c>
      <c r="C1803" s="21">
        <v>45021</v>
      </c>
      <c r="D1803" s="20">
        <v>361.97</v>
      </c>
      <c r="E1803" s="22" t="s">
        <v>10</v>
      </c>
      <c r="F1803" s="22" t="s">
        <v>16</v>
      </c>
      <c r="G1803" s="22" t="s">
        <v>12</v>
      </c>
    </row>
    <row r="1804" ht="15.15" spans="1:7">
      <c r="A1804" s="20">
        <v>1803</v>
      </c>
      <c r="B1804" s="20">
        <v>6506</v>
      </c>
      <c r="C1804" s="21">
        <v>45258</v>
      </c>
      <c r="D1804" s="20">
        <v>545.46</v>
      </c>
      <c r="E1804" s="22" t="s">
        <v>10</v>
      </c>
      <c r="F1804" s="22" t="s">
        <v>14</v>
      </c>
      <c r="G1804" s="22" t="s">
        <v>17</v>
      </c>
    </row>
    <row r="1805" ht="15.15" spans="1:7">
      <c r="A1805" s="20">
        <v>1804</v>
      </c>
      <c r="B1805" s="20">
        <v>9710</v>
      </c>
      <c r="C1805" s="21">
        <v>45027</v>
      </c>
      <c r="D1805" s="20">
        <v>327.51</v>
      </c>
      <c r="E1805" s="22" t="s">
        <v>10</v>
      </c>
      <c r="F1805" s="22" t="s">
        <v>14</v>
      </c>
      <c r="G1805" s="22" t="s">
        <v>20</v>
      </c>
    </row>
    <row r="1806" ht="15.15" spans="1:7">
      <c r="A1806" s="20">
        <v>1805</v>
      </c>
      <c r="B1806" s="20">
        <v>4874</v>
      </c>
      <c r="C1806" s="21">
        <v>45089</v>
      </c>
      <c r="D1806" s="20">
        <v>1271.12</v>
      </c>
      <c r="E1806" s="22" t="s">
        <v>10</v>
      </c>
      <c r="F1806" s="22" t="s">
        <v>14</v>
      </c>
      <c r="G1806" s="22" t="s">
        <v>20</v>
      </c>
    </row>
    <row r="1807" ht="15.15" spans="1:7">
      <c r="A1807" s="20">
        <v>1806</v>
      </c>
      <c r="B1807" s="20">
        <v>6483</v>
      </c>
      <c r="C1807" s="21">
        <v>44972</v>
      </c>
      <c r="D1807" s="20">
        <v>96.07</v>
      </c>
      <c r="E1807" s="22" t="s">
        <v>10</v>
      </c>
      <c r="F1807" s="22" t="s">
        <v>16</v>
      </c>
      <c r="G1807" s="22" t="s">
        <v>20</v>
      </c>
    </row>
    <row r="1808" ht="15.15" spans="1:7">
      <c r="A1808" s="20">
        <v>1807</v>
      </c>
      <c r="B1808" s="20">
        <v>2758</v>
      </c>
      <c r="C1808" s="21">
        <v>45099</v>
      </c>
      <c r="D1808" s="20">
        <v>1824.03</v>
      </c>
      <c r="E1808" s="22" t="s">
        <v>10</v>
      </c>
      <c r="F1808" s="22" t="s">
        <v>18</v>
      </c>
      <c r="G1808" s="22" t="s">
        <v>15</v>
      </c>
    </row>
    <row r="1809" ht="15.15" spans="1:7">
      <c r="A1809" s="20">
        <v>1808</v>
      </c>
      <c r="B1809" s="20">
        <v>5946</v>
      </c>
      <c r="C1809" s="21">
        <v>45161</v>
      </c>
      <c r="D1809" s="20">
        <v>260.61</v>
      </c>
      <c r="E1809" s="22" t="s">
        <v>10</v>
      </c>
      <c r="F1809" s="22" t="s">
        <v>16</v>
      </c>
      <c r="G1809" s="22" t="s">
        <v>17</v>
      </c>
    </row>
    <row r="1810" ht="15.15" spans="1:7">
      <c r="A1810" s="20">
        <v>1809</v>
      </c>
      <c r="B1810" s="20">
        <v>2422</v>
      </c>
      <c r="C1810" s="21">
        <v>45066</v>
      </c>
      <c r="D1810" s="20">
        <v>1479.17</v>
      </c>
      <c r="E1810" s="22" t="s">
        <v>10</v>
      </c>
      <c r="F1810" s="22" t="s">
        <v>11</v>
      </c>
      <c r="G1810" s="22" t="s">
        <v>15</v>
      </c>
    </row>
    <row r="1811" ht="15.15" spans="1:7">
      <c r="A1811" s="20">
        <v>1810</v>
      </c>
      <c r="B1811" s="20">
        <v>8742</v>
      </c>
      <c r="C1811" s="21">
        <v>45060</v>
      </c>
      <c r="D1811" s="20">
        <v>1294.99</v>
      </c>
      <c r="E1811" s="22" t="s">
        <v>10</v>
      </c>
      <c r="F1811" s="22" t="s">
        <v>16</v>
      </c>
      <c r="G1811" s="22" t="s">
        <v>15</v>
      </c>
    </row>
    <row r="1812" ht="15.15" spans="1:7">
      <c r="A1812" s="20">
        <v>1811</v>
      </c>
      <c r="B1812" s="20">
        <v>1528</v>
      </c>
      <c r="C1812" s="21">
        <v>44998</v>
      </c>
      <c r="D1812" s="20">
        <v>569.07</v>
      </c>
      <c r="E1812" s="22" t="s">
        <v>10</v>
      </c>
      <c r="F1812" s="22" t="s">
        <v>18</v>
      </c>
      <c r="G1812" s="22" t="s">
        <v>17</v>
      </c>
    </row>
    <row r="1813" ht="15.15" spans="1:7">
      <c r="A1813" s="20">
        <v>1812</v>
      </c>
      <c r="B1813" s="20">
        <v>6568</v>
      </c>
      <c r="C1813" s="21">
        <v>45096</v>
      </c>
      <c r="D1813" s="20">
        <v>821.67</v>
      </c>
      <c r="E1813" s="22" t="s">
        <v>10</v>
      </c>
      <c r="F1813" s="22" t="s">
        <v>18</v>
      </c>
      <c r="G1813" s="22" t="s">
        <v>15</v>
      </c>
    </row>
    <row r="1814" ht="15.15" spans="1:7">
      <c r="A1814" s="20">
        <v>1813</v>
      </c>
      <c r="B1814" s="20">
        <v>2444</v>
      </c>
      <c r="C1814" s="21">
        <v>45072</v>
      </c>
      <c r="D1814" s="20">
        <v>1407.42</v>
      </c>
      <c r="E1814" s="22" t="s">
        <v>10</v>
      </c>
      <c r="F1814" s="22" t="s">
        <v>18</v>
      </c>
      <c r="G1814" s="22" t="s">
        <v>12</v>
      </c>
    </row>
    <row r="1815" ht="15.15" spans="1:7">
      <c r="A1815" s="20">
        <v>1814</v>
      </c>
      <c r="B1815" s="20">
        <v>3480</v>
      </c>
      <c r="C1815" s="21">
        <v>45138</v>
      </c>
      <c r="D1815" s="20">
        <v>489.66</v>
      </c>
      <c r="E1815" s="22" t="s">
        <v>10</v>
      </c>
      <c r="F1815" s="22" t="s">
        <v>11</v>
      </c>
      <c r="G1815" s="22" t="s">
        <v>17</v>
      </c>
    </row>
    <row r="1816" ht="15.15" spans="1:7">
      <c r="A1816" s="20">
        <v>1815</v>
      </c>
      <c r="B1816" s="20">
        <v>8345</v>
      </c>
      <c r="C1816" s="21">
        <v>45271</v>
      </c>
      <c r="D1816" s="20">
        <v>301.8</v>
      </c>
      <c r="E1816" s="22" t="s">
        <v>10</v>
      </c>
      <c r="F1816" s="22" t="s">
        <v>13</v>
      </c>
      <c r="G1816" s="22" t="s">
        <v>17</v>
      </c>
    </row>
    <row r="1817" ht="15.15" spans="1:7">
      <c r="A1817" s="20">
        <v>1816</v>
      </c>
      <c r="B1817" s="20">
        <v>2880</v>
      </c>
      <c r="C1817" s="21">
        <v>44995</v>
      </c>
      <c r="D1817" s="20">
        <v>2365.24</v>
      </c>
      <c r="E1817" s="22" t="s">
        <v>10</v>
      </c>
      <c r="F1817" s="22" t="s">
        <v>13</v>
      </c>
      <c r="G1817" s="22" t="s">
        <v>20</v>
      </c>
    </row>
    <row r="1818" ht="15.15" spans="1:7">
      <c r="A1818" s="20">
        <v>1817</v>
      </c>
      <c r="B1818" s="20">
        <v>4111</v>
      </c>
      <c r="C1818" s="21">
        <v>45243</v>
      </c>
      <c r="D1818" s="20">
        <v>1204.48</v>
      </c>
      <c r="E1818" s="22" t="s">
        <v>10</v>
      </c>
      <c r="F1818" s="22" t="s">
        <v>16</v>
      </c>
      <c r="G1818" s="22" t="s">
        <v>20</v>
      </c>
    </row>
    <row r="1819" ht="15.15" spans="1:7">
      <c r="A1819" s="20">
        <v>1818</v>
      </c>
      <c r="B1819" s="20">
        <v>1177</v>
      </c>
      <c r="C1819" s="21">
        <v>45067</v>
      </c>
      <c r="D1819" s="20">
        <v>1520.26</v>
      </c>
      <c r="E1819" s="22" t="s">
        <v>10</v>
      </c>
      <c r="F1819" s="22" t="s">
        <v>19</v>
      </c>
      <c r="G1819" s="22" t="s">
        <v>17</v>
      </c>
    </row>
    <row r="1820" ht="15.15" spans="1:7">
      <c r="A1820" s="20">
        <v>1819</v>
      </c>
      <c r="B1820" s="20">
        <v>5369</v>
      </c>
      <c r="C1820" s="21">
        <v>45099</v>
      </c>
      <c r="D1820" s="20">
        <v>3508.63</v>
      </c>
      <c r="E1820" s="22" t="s">
        <v>10</v>
      </c>
      <c r="F1820" s="22" t="s">
        <v>18</v>
      </c>
      <c r="G1820" s="22" t="s">
        <v>15</v>
      </c>
    </row>
    <row r="1821" ht="15.15" spans="1:7">
      <c r="A1821" s="20">
        <v>1820</v>
      </c>
      <c r="B1821" s="20">
        <v>9397</v>
      </c>
      <c r="C1821" s="21">
        <v>45001</v>
      </c>
      <c r="D1821" s="20">
        <v>1008.02</v>
      </c>
      <c r="E1821" s="22" t="s">
        <v>10</v>
      </c>
      <c r="F1821" s="22" t="s">
        <v>16</v>
      </c>
      <c r="G1821" s="22" t="s">
        <v>20</v>
      </c>
    </row>
    <row r="1822" ht="15.15" spans="1:7">
      <c r="A1822" s="20">
        <v>1821</v>
      </c>
      <c r="B1822" s="20">
        <v>1433</v>
      </c>
      <c r="C1822" s="21">
        <v>45185</v>
      </c>
      <c r="D1822" s="20">
        <v>768.53</v>
      </c>
      <c r="E1822" s="22" t="s">
        <v>10</v>
      </c>
      <c r="F1822" s="22" t="s">
        <v>11</v>
      </c>
      <c r="G1822" s="22" t="s">
        <v>15</v>
      </c>
    </row>
    <row r="1823" ht="15.15" spans="1:7">
      <c r="A1823" s="20">
        <v>1822</v>
      </c>
      <c r="B1823" s="20">
        <v>8657</v>
      </c>
      <c r="C1823" s="21">
        <v>45260</v>
      </c>
      <c r="D1823" s="20">
        <v>816.93</v>
      </c>
      <c r="E1823" s="22" t="s">
        <v>10</v>
      </c>
      <c r="F1823" s="22" t="s">
        <v>13</v>
      </c>
      <c r="G1823" s="22" t="s">
        <v>20</v>
      </c>
    </row>
    <row r="1824" ht="15.15" spans="1:7">
      <c r="A1824" s="20">
        <v>1823</v>
      </c>
      <c r="B1824" s="20">
        <v>7897</v>
      </c>
      <c r="C1824" s="21">
        <v>45203</v>
      </c>
      <c r="D1824" s="20">
        <v>1153.5</v>
      </c>
      <c r="E1824" s="22" t="s">
        <v>10</v>
      </c>
      <c r="F1824" s="22" t="s">
        <v>18</v>
      </c>
      <c r="G1824" s="22" t="s">
        <v>17</v>
      </c>
    </row>
    <row r="1825" ht="15.15" spans="1:7">
      <c r="A1825" s="20">
        <v>1824</v>
      </c>
      <c r="B1825" s="20">
        <v>5034</v>
      </c>
      <c r="C1825" s="21">
        <v>45132</v>
      </c>
      <c r="D1825" s="20">
        <v>1971.34</v>
      </c>
      <c r="E1825" s="22" t="s">
        <v>10</v>
      </c>
      <c r="F1825" s="22" t="s">
        <v>14</v>
      </c>
      <c r="G1825" s="22" t="s">
        <v>17</v>
      </c>
    </row>
    <row r="1826" ht="15.15" spans="1:7">
      <c r="A1826" s="20">
        <v>1825</v>
      </c>
      <c r="B1826" s="20">
        <v>8505</v>
      </c>
      <c r="C1826" s="21">
        <v>45215</v>
      </c>
      <c r="D1826" s="20">
        <v>1948.98</v>
      </c>
      <c r="E1826" s="22" t="s">
        <v>10</v>
      </c>
      <c r="F1826" s="22" t="s">
        <v>18</v>
      </c>
      <c r="G1826" s="22" t="s">
        <v>17</v>
      </c>
    </row>
    <row r="1827" ht="15.15" spans="1:7">
      <c r="A1827" s="20">
        <v>1826</v>
      </c>
      <c r="B1827" s="20">
        <v>7798</v>
      </c>
      <c r="C1827" s="21">
        <v>45193</v>
      </c>
      <c r="D1827" s="20">
        <v>960.68</v>
      </c>
      <c r="E1827" s="22" t="s">
        <v>10</v>
      </c>
      <c r="F1827" s="22" t="s">
        <v>13</v>
      </c>
      <c r="G1827" s="22" t="s">
        <v>17</v>
      </c>
    </row>
    <row r="1828" ht="15.15" spans="1:7">
      <c r="A1828" s="20">
        <v>1827</v>
      </c>
      <c r="B1828" s="20">
        <v>5511</v>
      </c>
      <c r="C1828" s="21">
        <v>45132</v>
      </c>
      <c r="D1828" s="20">
        <v>1226.48</v>
      </c>
      <c r="E1828" s="22" t="s">
        <v>10</v>
      </c>
      <c r="F1828" s="22" t="s">
        <v>14</v>
      </c>
      <c r="G1828" s="22" t="s">
        <v>20</v>
      </c>
    </row>
    <row r="1829" ht="15.15" spans="1:7">
      <c r="A1829" s="20">
        <v>1828</v>
      </c>
      <c r="B1829" s="20">
        <v>9982</v>
      </c>
      <c r="C1829" s="21">
        <v>45188</v>
      </c>
      <c r="D1829" s="20">
        <v>2363.52</v>
      </c>
      <c r="E1829" s="22" t="s">
        <v>10</v>
      </c>
      <c r="F1829" s="22" t="s">
        <v>14</v>
      </c>
      <c r="G1829" s="22" t="s">
        <v>15</v>
      </c>
    </row>
    <row r="1830" ht="15.15" spans="1:7">
      <c r="A1830" s="20">
        <v>1829</v>
      </c>
      <c r="B1830" s="20">
        <v>6284</v>
      </c>
      <c r="C1830" s="21">
        <v>44963</v>
      </c>
      <c r="D1830" s="20">
        <v>1490.74</v>
      </c>
      <c r="E1830" s="22" t="s">
        <v>10</v>
      </c>
      <c r="F1830" s="22" t="s">
        <v>16</v>
      </c>
      <c r="G1830" s="22" t="s">
        <v>20</v>
      </c>
    </row>
    <row r="1831" ht="15.15" spans="1:7">
      <c r="A1831" s="20">
        <v>1830</v>
      </c>
      <c r="B1831" s="20">
        <v>6283</v>
      </c>
      <c r="C1831" s="21">
        <v>45209</v>
      </c>
      <c r="D1831" s="20">
        <v>862.98</v>
      </c>
      <c r="E1831" s="22" t="s">
        <v>10</v>
      </c>
      <c r="F1831" s="22" t="s">
        <v>16</v>
      </c>
      <c r="G1831" s="22" t="s">
        <v>17</v>
      </c>
    </row>
    <row r="1832" ht="15.15" spans="1:7">
      <c r="A1832" s="20">
        <v>1831</v>
      </c>
      <c r="B1832" s="20">
        <v>7220</v>
      </c>
      <c r="C1832" s="21">
        <v>45117</v>
      </c>
      <c r="D1832" s="20">
        <v>219.69</v>
      </c>
      <c r="E1832" s="22" t="s">
        <v>10</v>
      </c>
      <c r="F1832" s="22" t="s">
        <v>16</v>
      </c>
      <c r="G1832" s="22" t="s">
        <v>17</v>
      </c>
    </row>
    <row r="1833" ht="15.15" spans="1:7">
      <c r="A1833" s="20">
        <v>1832</v>
      </c>
      <c r="B1833" s="20">
        <v>7343</v>
      </c>
      <c r="C1833" s="21">
        <v>45039</v>
      </c>
      <c r="D1833" s="20">
        <v>2250.09</v>
      </c>
      <c r="E1833" s="22" t="s">
        <v>10</v>
      </c>
      <c r="F1833" s="22" t="s">
        <v>14</v>
      </c>
      <c r="G1833" s="22" t="s">
        <v>20</v>
      </c>
    </row>
    <row r="1834" ht="15.15" spans="1:7">
      <c r="A1834" s="20">
        <v>1833</v>
      </c>
      <c r="B1834" s="20">
        <v>3385</v>
      </c>
      <c r="C1834" s="21">
        <v>45143</v>
      </c>
      <c r="D1834" s="20">
        <v>1590.84</v>
      </c>
      <c r="E1834" s="22" t="s">
        <v>10</v>
      </c>
      <c r="F1834" s="22" t="s">
        <v>14</v>
      </c>
      <c r="G1834" s="22" t="s">
        <v>12</v>
      </c>
    </row>
    <row r="1835" ht="15.15" spans="1:7">
      <c r="A1835" s="20">
        <v>1834</v>
      </c>
      <c r="B1835" s="20">
        <v>7102</v>
      </c>
      <c r="C1835" s="21">
        <v>44965</v>
      </c>
      <c r="D1835" s="20">
        <v>1095.62</v>
      </c>
      <c r="E1835" s="22" t="s">
        <v>22</v>
      </c>
      <c r="F1835" s="22" t="s">
        <v>16</v>
      </c>
      <c r="G1835" s="22" t="s">
        <v>15</v>
      </c>
    </row>
    <row r="1836" ht="15.15" spans="1:7">
      <c r="A1836" s="20">
        <v>1835</v>
      </c>
      <c r="B1836" s="20">
        <v>5743</v>
      </c>
      <c r="C1836" s="21">
        <v>44930</v>
      </c>
      <c r="D1836" s="20">
        <v>1745.7</v>
      </c>
      <c r="E1836" s="22" t="s">
        <v>10</v>
      </c>
      <c r="F1836" s="22" t="s">
        <v>14</v>
      </c>
      <c r="G1836" s="22" t="s">
        <v>17</v>
      </c>
    </row>
    <row r="1837" ht="15.15" spans="1:7">
      <c r="A1837" s="20">
        <v>1836</v>
      </c>
      <c r="B1837" s="20">
        <v>9268</v>
      </c>
      <c r="C1837" s="21">
        <v>45086</v>
      </c>
      <c r="D1837" s="20">
        <v>1129.1</v>
      </c>
      <c r="E1837" s="22" t="s">
        <v>10</v>
      </c>
      <c r="F1837" s="22" t="s">
        <v>13</v>
      </c>
      <c r="G1837" s="22" t="s">
        <v>15</v>
      </c>
    </row>
    <row r="1838" ht="15.15" spans="1:7">
      <c r="A1838" s="20">
        <v>1837</v>
      </c>
      <c r="B1838" s="20">
        <v>1983</v>
      </c>
      <c r="C1838" s="21">
        <v>45287</v>
      </c>
      <c r="D1838" s="20">
        <v>1019.24</v>
      </c>
      <c r="E1838" s="22" t="s">
        <v>10</v>
      </c>
      <c r="F1838" s="22" t="s">
        <v>18</v>
      </c>
      <c r="G1838" s="22" t="s">
        <v>12</v>
      </c>
    </row>
    <row r="1839" ht="15.15" spans="1:7">
      <c r="A1839" s="20">
        <v>1838</v>
      </c>
      <c r="B1839" s="20">
        <v>6831</v>
      </c>
      <c r="C1839" s="21">
        <v>45112</v>
      </c>
      <c r="D1839" s="20">
        <v>912.95</v>
      </c>
      <c r="E1839" s="22" t="s">
        <v>22</v>
      </c>
      <c r="F1839" s="22" t="s">
        <v>16</v>
      </c>
      <c r="G1839" s="22" t="s">
        <v>15</v>
      </c>
    </row>
    <row r="1840" ht="15.15" spans="1:7">
      <c r="A1840" s="20">
        <v>1839</v>
      </c>
      <c r="B1840" s="20">
        <v>8713</v>
      </c>
      <c r="C1840" s="21">
        <v>45054</v>
      </c>
      <c r="D1840" s="20">
        <v>529.04</v>
      </c>
      <c r="E1840" s="22" t="s">
        <v>10</v>
      </c>
      <c r="F1840" s="22" t="s">
        <v>11</v>
      </c>
      <c r="G1840" s="22" t="s">
        <v>15</v>
      </c>
    </row>
    <row r="1841" ht="15.15" spans="1:7">
      <c r="A1841" s="20">
        <v>1840</v>
      </c>
      <c r="B1841" s="20">
        <v>7849</v>
      </c>
      <c r="C1841" s="21">
        <v>45010</v>
      </c>
      <c r="D1841" s="20">
        <v>140.76</v>
      </c>
      <c r="E1841" s="22" t="s">
        <v>10</v>
      </c>
      <c r="F1841" s="22" t="s">
        <v>18</v>
      </c>
      <c r="G1841" s="22" t="s">
        <v>12</v>
      </c>
    </row>
    <row r="1842" ht="15.15" spans="1:7">
      <c r="A1842" s="20">
        <v>1841</v>
      </c>
      <c r="B1842" s="20">
        <v>7074</v>
      </c>
      <c r="C1842" s="21">
        <v>44955</v>
      </c>
      <c r="D1842" s="20">
        <v>1323.28</v>
      </c>
      <c r="E1842" s="22" t="s">
        <v>10</v>
      </c>
      <c r="F1842" s="22" t="s">
        <v>18</v>
      </c>
      <c r="G1842" s="22" t="s">
        <v>17</v>
      </c>
    </row>
    <row r="1843" ht="15.15" spans="1:7">
      <c r="A1843" s="20">
        <v>1842</v>
      </c>
      <c r="B1843" s="20">
        <v>8227</v>
      </c>
      <c r="C1843" s="21">
        <v>44971</v>
      </c>
      <c r="D1843" s="20">
        <v>2837.73</v>
      </c>
      <c r="E1843" s="22" t="s">
        <v>22</v>
      </c>
      <c r="F1843" s="22" t="s">
        <v>18</v>
      </c>
      <c r="G1843" s="22" t="s">
        <v>12</v>
      </c>
    </row>
    <row r="1844" ht="15.15" spans="1:7">
      <c r="A1844" s="20">
        <v>1843</v>
      </c>
      <c r="B1844" s="20">
        <v>6063</v>
      </c>
      <c r="C1844" s="21">
        <v>45166</v>
      </c>
      <c r="D1844" s="20">
        <v>1599.55</v>
      </c>
      <c r="E1844" s="22" t="s">
        <v>10</v>
      </c>
      <c r="F1844" s="22" t="s">
        <v>11</v>
      </c>
      <c r="G1844" s="22" t="s">
        <v>17</v>
      </c>
    </row>
    <row r="1845" ht="15.15" spans="1:7">
      <c r="A1845" s="20">
        <v>1844</v>
      </c>
      <c r="B1845" s="20">
        <v>8571</v>
      </c>
      <c r="C1845" s="21">
        <v>45035</v>
      </c>
      <c r="D1845" s="20">
        <v>2082.4</v>
      </c>
      <c r="E1845" s="22" t="s">
        <v>10</v>
      </c>
      <c r="F1845" s="22" t="s">
        <v>14</v>
      </c>
      <c r="G1845" s="22" t="s">
        <v>15</v>
      </c>
    </row>
    <row r="1846" ht="15.15" spans="1:7">
      <c r="A1846" s="20">
        <v>1845</v>
      </c>
      <c r="B1846" s="20">
        <v>8678</v>
      </c>
      <c r="C1846" s="21">
        <v>44969</v>
      </c>
      <c r="D1846" s="20">
        <v>872.4</v>
      </c>
      <c r="E1846" s="22" t="s">
        <v>10</v>
      </c>
      <c r="F1846" s="22" t="s">
        <v>16</v>
      </c>
      <c r="G1846" s="22" t="s">
        <v>15</v>
      </c>
    </row>
    <row r="1847" ht="15.15" spans="1:7">
      <c r="A1847" s="20">
        <v>1846</v>
      </c>
      <c r="B1847" s="20">
        <v>6261</v>
      </c>
      <c r="C1847" s="21">
        <v>44985</v>
      </c>
      <c r="D1847" s="20">
        <v>1778.43</v>
      </c>
      <c r="E1847" s="22" t="s">
        <v>10</v>
      </c>
      <c r="F1847" s="22" t="s">
        <v>13</v>
      </c>
      <c r="G1847" s="22" t="s">
        <v>15</v>
      </c>
    </row>
    <row r="1848" ht="15.15" spans="1:7">
      <c r="A1848" s="20">
        <v>1847</v>
      </c>
      <c r="B1848" s="20">
        <v>9432</v>
      </c>
      <c r="C1848" s="21">
        <v>45106</v>
      </c>
      <c r="D1848" s="20">
        <v>4168.84</v>
      </c>
      <c r="E1848" s="22" t="s">
        <v>10</v>
      </c>
      <c r="F1848" s="22" t="s">
        <v>11</v>
      </c>
      <c r="G1848" s="22" t="s">
        <v>17</v>
      </c>
    </row>
    <row r="1849" ht="15.15" spans="1:7">
      <c r="A1849" s="20">
        <v>1848</v>
      </c>
      <c r="B1849" s="20">
        <v>626</v>
      </c>
      <c r="C1849" s="21">
        <v>45230</v>
      </c>
      <c r="D1849" s="20">
        <v>475.02</v>
      </c>
      <c r="E1849" s="22" t="s">
        <v>22</v>
      </c>
      <c r="F1849" s="22" t="s">
        <v>18</v>
      </c>
      <c r="G1849" s="22" t="s">
        <v>12</v>
      </c>
    </row>
    <row r="1850" ht="15.15" spans="1:7">
      <c r="A1850" s="20">
        <v>1849</v>
      </c>
      <c r="B1850" s="20">
        <v>6397</v>
      </c>
      <c r="C1850" s="21">
        <v>45009</v>
      </c>
      <c r="D1850" s="20">
        <v>44.16</v>
      </c>
      <c r="E1850" s="22" t="s">
        <v>10</v>
      </c>
      <c r="F1850" s="22" t="s">
        <v>11</v>
      </c>
      <c r="G1850" s="22" t="s">
        <v>20</v>
      </c>
    </row>
    <row r="1851" ht="15.15" spans="1:7">
      <c r="A1851" s="20">
        <v>1850</v>
      </c>
      <c r="B1851" s="20">
        <v>8116</v>
      </c>
      <c r="C1851" s="21">
        <v>45274</v>
      </c>
      <c r="D1851" s="20">
        <v>599.34</v>
      </c>
      <c r="E1851" s="22" t="s">
        <v>10</v>
      </c>
      <c r="F1851" s="22" t="s">
        <v>16</v>
      </c>
      <c r="G1851" s="22" t="s">
        <v>15</v>
      </c>
    </row>
    <row r="1852" ht="15.15" spans="1:7">
      <c r="A1852" s="20">
        <v>1851</v>
      </c>
      <c r="B1852" s="20">
        <v>3005</v>
      </c>
      <c r="C1852" s="21">
        <v>45197</v>
      </c>
      <c r="D1852" s="20">
        <v>1475.9</v>
      </c>
      <c r="E1852" s="22" t="s">
        <v>10</v>
      </c>
      <c r="F1852" s="22" t="s">
        <v>13</v>
      </c>
      <c r="G1852" s="22" t="s">
        <v>17</v>
      </c>
    </row>
    <row r="1853" ht="15.15" spans="1:7">
      <c r="A1853" s="20">
        <v>1852</v>
      </c>
      <c r="B1853" s="20">
        <v>6078</v>
      </c>
      <c r="C1853" s="21">
        <v>45223</v>
      </c>
      <c r="D1853" s="20">
        <v>912.95</v>
      </c>
      <c r="E1853" s="22" t="s">
        <v>10</v>
      </c>
      <c r="F1853" s="22" t="s">
        <v>13</v>
      </c>
      <c r="G1853" s="22" t="s">
        <v>12</v>
      </c>
    </row>
    <row r="1854" ht="15.15" spans="1:7">
      <c r="A1854" s="20">
        <v>1853</v>
      </c>
      <c r="B1854" s="20">
        <v>2375</v>
      </c>
      <c r="C1854" s="21">
        <v>45149</v>
      </c>
      <c r="D1854" s="20">
        <v>1384.18</v>
      </c>
      <c r="E1854" s="22" t="s">
        <v>10</v>
      </c>
      <c r="F1854" s="22" t="s">
        <v>14</v>
      </c>
      <c r="G1854" s="22" t="s">
        <v>12</v>
      </c>
    </row>
    <row r="1855" ht="15.15" spans="1:7">
      <c r="A1855" s="20">
        <v>1854</v>
      </c>
      <c r="B1855" s="20">
        <v>7039</v>
      </c>
      <c r="C1855" s="21">
        <v>44955</v>
      </c>
      <c r="D1855" s="20">
        <v>759.97</v>
      </c>
      <c r="E1855" s="22" t="s">
        <v>10</v>
      </c>
      <c r="F1855" s="22" t="s">
        <v>18</v>
      </c>
      <c r="G1855" s="22" t="s">
        <v>20</v>
      </c>
    </row>
    <row r="1856" ht="15.15" spans="1:7">
      <c r="A1856" s="20">
        <v>1855</v>
      </c>
      <c r="B1856" s="20">
        <v>4102</v>
      </c>
      <c r="C1856" s="21">
        <v>45041</v>
      </c>
      <c r="D1856" s="20">
        <v>1421.38</v>
      </c>
      <c r="E1856" s="22" t="s">
        <v>10</v>
      </c>
      <c r="F1856" s="22" t="s">
        <v>18</v>
      </c>
      <c r="G1856" s="22" t="s">
        <v>15</v>
      </c>
    </row>
    <row r="1857" ht="15.15" spans="1:7">
      <c r="A1857" s="20">
        <v>1856</v>
      </c>
      <c r="B1857" s="20">
        <v>6646</v>
      </c>
      <c r="C1857" s="21">
        <v>45214</v>
      </c>
      <c r="D1857" s="20">
        <v>1225.75</v>
      </c>
      <c r="E1857" s="22" t="s">
        <v>10</v>
      </c>
      <c r="F1857" s="22" t="s">
        <v>14</v>
      </c>
      <c r="G1857" s="22" t="s">
        <v>17</v>
      </c>
    </row>
    <row r="1858" ht="15.15" spans="1:7">
      <c r="A1858" s="20">
        <v>1857</v>
      </c>
      <c r="B1858" s="20">
        <v>5366</v>
      </c>
      <c r="C1858" s="21">
        <v>45169</v>
      </c>
      <c r="D1858" s="20">
        <v>3360.71</v>
      </c>
      <c r="E1858" s="22" t="s">
        <v>10</v>
      </c>
      <c r="F1858" s="22" t="s">
        <v>16</v>
      </c>
      <c r="G1858" s="22" t="s">
        <v>20</v>
      </c>
    </row>
    <row r="1859" ht="15.15" spans="1:7">
      <c r="A1859" s="20">
        <v>1858</v>
      </c>
      <c r="B1859" s="20">
        <v>5546</v>
      </c>
      <c r="C1859" s="21">
        <v>45012</v>
      </c>
      <c r="D1859" s="20">
        <v>2635.46</v>
      </c>
      <c r="E1859" s="22" t="s">
        <v>10</v>
      </c>
      <c r="F1859" s="22" t="s">
        <v>13</v>
      </c>
      <c r="G1859" s="22" t="s">
        <v>20</v>
      </c>
    </row>
    <row r="1860" ht="15.15" spans="1:7">
      <c r="A1860" s="20">
        <v>1859</v>
      </c>
      <c r="B1860" s="20">
        <v>9139</v>
      </c>
      <c r="C1860" s="21">
        <v>45254</v>
      </c>
      <c r="D1860" s="20">
        <v>485.89</v>
      </c>
      <c r="E1860" s="22" t="s">
        <v>10</v>
      </c>
      <c r="F1860" s="22" t="s">
        <v>16</v>
      </c>
      <c r="G1860" s="22" t="s">
        <v>17</v>
      </c>
    </row>
    <row r="1861" ht="15.15" spans="1:7">
      <c r="A1861" s="20">
        <v>1860</v>
      </c>
      <c r="B1861" s="20">
        <v>6215</v>
      </c>
      <c r="C1861" s="21">
        <v>45162</v>
      </c>
      <c r="D1861" s="20">
        <v>3119.03</v>
      </c>
      <c r="E1861" s="22" t="s">
        <v>10</v>
      </c>
      <c r="F1861" s="22" t="s">
        <v>18</v>
      </c>
      <c r="G1861" s="22" t="s">
        <v>15</v>
      </c>
    </row>
    <row r="1862" ht="15.15" spans="1:7">
      <c r="A1862" s="20">
        <v>1861</v>
      </c>
      <c r="B1862" s="20">
        <v>1044</v>
      </c>
      <c r="C1862" s="21">
        <v>45009</v>
      </c>
      <c r="D1862" s="20">
        <v>2126.55</v>
      </c>
      <c r="E1862" s="22" t="s">
        <v>10</v>
      </c>
      <c r="F1862" s="22" t="s">
        <v>18</v>
      </c>
      <c r="G1862" s="22" t="s">
        <v>15</v>
      </c>
    </row>
    <row r="1863" ht="15.15" spans="1:7">
      <c r="A1863" s="20">
        <v>1862</v>
      </c>
      <c r="B1863" s="20">
        <v>5914</v>
      </c>
      <c r="C1863" s="21">
        <v>45127</v>
      </c>
      <c r="D1863" s="20">
        <v>413.12</v>
      </c>
      <c r="E1863" s="22" t="s">
        <v>10</v>
      </c>
      <c r="F1863" s="22" t="s">
        <v>16</v>
      </c>
      <c r="G1863" s="22" t="s">
        <v>17</v>
      </c>
    </row>
    <row r="1864" ht="15.15" spans="1:7">
      <c r="A1864" s="20">
        <v>1863</v>
      </c>
      <c r="B1864" s="20">
        <v>3468</v>
      </c>
      <c r="C1864" s="21">
        <v>44999</v>
      </c>
      <c r="D1864" s="20">
        <v>4817.56</v>
      </c>
      <c r="E1864" s="22" t="s">
        <v>10</v>
      </c>
      <c r="F1864" s="22" t="s">
        <v>18</v>
      </c>
      <c r="G1864" s="22" t="s">
        <v>12</v>
      </c>
    </row>
    <row r="1865" ht="15.15" spans="1:7">
      <c r="A1865" s="20">
        <v>1864</v>
      </c>
      <c r="B1865" s="20">
        <v>7722</v>
      </c>
      <c r="C1865" s="21">
        <v>45036</v>
      </c>
      <c r="D1865" s="20">
        <v>1695.09</v>
      </c>
      <c r="E1865" s="22" t="s">
        <v>10</v>
      </c>
      <c r="F1865" s="22" t="s">
        <v>11</v>
      </c>
      <c r="G1865" s="22" t="s">
        <v>20</v>
      </c>
    </row>
    <row r="1866" ht="15.15" spans="1:7">
      <c r="A1866" s="20">
        <v>1865</v>
      </c>
      <c r="B1866" s="20">
        <v>4313</v>
      </c>
      <c r="C1866" s="21">
        <v>45046</v>
      </c>
      <c r="D1866" s="20">
        <v>2407.82</v>
      </c>
      <c r="E1866" s="22" t="s">
        <v>10</v>
      </c>
      <c r="F1866" s="22" t="s">
        <v>18</v>
      </c>
      <c r="G1866" s="22" t="s">
        <v>17</v>
      </c>
    </row>
    <row r="1867" ht="15.15" spans="1:7">
      <c r="A1867" s="20">
        <v>1866</v>
      </c>
      <c r="B1867" s="20">
        <v>3678</v>
      </c>
      <c r="C1867" s="21">
        <v>45003</v>
      </c>
      <c r="D1867" s="20">
        <v>380.2</v>
      </c>
      <c r="E1867" s="22" t="s">
        <v>10</v>
      </c>
      <c r="F1867" s="22" t="s">
        <v>11</v>
      </c>
      <c r="G1867" s="22" t="s">
        <v>17</v>
      </c>
    </row>
    <row r="1868" ht="15.15" spans="1:7">
      <c r="A1868" s="20">
        <v>1867</v>
      </c>
      <c r="B1868" s="20">
        <v>4794</v>
      </c>
      <c r="C1868" s="21">
        <v>45281</v>
      </c>
      <c r="D1868" s="20">
        <v>1582.85</v>
      </c>
      <c r="E1868" s="22" t="s">
        <v>10</v>
      </c>
      <c r="F1868" s="22" t="s">
        <v>18</v>
      </c>
      <c r="G1868" s="22" t="s">
        <v>17</v>
      </c>
    </row>
    <row r="1869" ht="15.15" spans="1:7">
      <c r="A1869" s="20">
        <v>1868</v>
      </c>
      <c r="B1869" s="20">
        <v>3916</v>
      </c>
      <c r="C1869" s="21">
        <v>44962</v>
      </c>
      <c r="D1869" s="20">
        <v>3139.22</v>
      </c>
      <c r="E1869" s="22" t="s">
        <v>10</v>
      </c>
      <c r="F1869" s="22" t="s">
        <v>13</v>
      </c>
      <c r="G1869" s="22" t="s">
        <v>20</v>
      </c>
    </row>
    <row r="1870" ht="15.15" spans="1:7">
      <c r="A1870" s="20">
        <v>1869</v>
      </c>
      <c r="B1870" s="20">
        <v>6425</v>
      </c>
      <c r="C1870" s="21">
        <v>45024</v>
      </c>
      <c r="D1870" s="20">
        <v>1261.18</v>
      </c>
      <c r="E1870" s="22" t="s">
        <v>10</v>
      </c>
      <c r="F1870" s="22" t="s">
        <v>14</v>
      </c>
      <c r="G1870" s="22" t="s">
        <v>17</v>
      </c>
    </row>
    <row r="1871" ht="15.15" spans="1:7">
      <c r="A1871" s="20">
        <v>1870</v>
      </c>
      <c r="B1871" s="20">
        <v>2857</v>
      </c>
      <c r="C1871" s="21">
        <v>45119</v>
      </c>
      <c r="D1871" s="20">
        <v>1986.82</v>
      </c>
      <c r="E1871" s="22" t="s">
        <v>10</v>
      </c>
      <c r="F1871" s="22" t="s">
        <v>14</v>
      </c>
      <c r="G1871" s="22" t="s">
        <v>12</v>
      </c>
    </row>
    <row r="1872" ht="15.15" spans="1:7">
      <c r="A1872" s="20">
        <v>1871</v>
      </c>
      <c r="B1872" s="20">
        <v>5591</v>
      </c>
      <c r="C1872" s="21">
        <v>45284</v>
      </c>
      <c r="D1872" s="20">
        <v>140.76</v>
      </c>
      <c r="E1872" s="22" t="s">
        <v>10</v>
      </c>
      <c r="F1872" s="22" t="s">
        <v>16</v>
      </c>
      <c r="G1872" s="22" t="s">
        <v>15</v>
      </c>
    </row>
    <row r="1873" ht="15.15" spans="1:7">
      <c r="A1873" s="20">
        <v>1872</v>
      </c>
      <c r="B1873" s="20">
        <v>4626</v>
      </c>
      <c r="C1873" s="21">
        <v>45169</v>
      </c>
      <c r="D1873" s="20">
        <v>1356.79</v>
      </c>
      <c r="E1873" s="22" t="s">
        <v>10</v>
      </c>
      <c r="F1873" s="22" t="s">
        <v>13</v>
      </c>
      <c r="G1873" s="22" t="s">
        <v>20</v>
      </c>
    </row>
    <row r="1874" ht="15.15" spans="1:7">
      <c r="A1874" s="20">
        <v>1873</v>
      </c>
      <c r="B1874" s="20">
        <v>3367</v>
      </c>
      <c r="C1874" s="21">
        <v>45140</v>
      </c>
      <c r="D1874" s="20">
        <v>1763.16</v>
      </c>
      <c r="E1874" s="22" t="s">
        <v>10</v>
      </c>
      <c r="F1874" s="22" t="s">
        <v>11</v>
      </c>
      <c r="G1874" s="22" t="s">
        <v>12</v>
      </c>
    </row>
    <row r="1875" ht="15.15" spans="1:7">
      <c r="A1875" s="20">
        <v>1874</v>
      </c>
      <c r="B1875" s="20">
        <v>5771</v>
      </c>
      <c r="C1875" s="21">
        <v>45290</v>
      </c>
      <c r="D1875" s="20">
        <v>100.33</v>
      </c>
      <c r="E1875" s="22" t="s">
        <v>10</v>
      </c>
      <c r="F1875" s="22" t="s">
        <v>14</v>
      </c>
      <c r="G1875" s="22" t="s">
        <v>15</v>
      </c>
    </row>
    <row r="1876" ht="15.15" spans="1:7">
      <c r="A1876" s="20">
        <v>1875</v>
      </c>
      <c r="B1876" s="20">
        <v>7099</v>
      </c>
      <c r="C1876" s="21">
        <v>45257</v>
      </c>
      <c r="D1876" s="20">
        <v>1105.31</v>
      </c>
      <c r="E1876" s="22" t="s">
        <v>10</v>
      </c>
      <c r="F1876" s="22" t="s">
        <v>16</v>
      </c>
      <c r="G1876" s="22" t="s">
        <v>17</v>
      </c>
    </row>
    <row r="1877" ht="15.15" spans="1:7">
      <c r="A1877" s="20">
        <v>1876</v>
      </c>
      <c r="B1877" s="20">
        <v>3407</v>
      </c>
      <c r="C1877" s="21">
        <v>45217</v>
      </c>
      <c r="D1877" s="20">
        <v>300.98</v>
      </c>
      <c r="E1877" s="22" t="s">
        <v>10</v>
      </c>
      <c r="F1877" s="22" t="s">
        <v>11</v>
      </c>
      <c r="G1877" s="22" t="s">
        <v>20</v>
      </c>
    </row>
    <row r="1878" ht="15.15" spans="1:7">
      <c r="A1878" s="20">
        <v>1877</v>
      </c>
      <c r="B1878" s="20">
        <v>7490</v>
      </c>
      <c r="C1878" s="21">
        <v>45239</v>
      </c>
      <c r="D1878" s="20">
        <v>381.76</v>
      </c>
      <c r="E1878" s="22" t="s">
        <v>10</v>
      </c>
      <c r="F1878" s="22" t="s">
        <v>14</v>
      </c>
      <c r="G1878" s="22" t="s">
        <v>15</v>
      </c>
    </row>
    <row r="1879" ht="15.15" spans="1:7">
      <c r="A1879" s="20">
        <v>1878</v>
      </c>
      <c r="B1879" s="20">
        <v>8092</v>
      </c>
      <c r="C1879" s="21">
        <v>45287</v>
      </c>
      <c r="D1879" s="20">
        <v>485.49</v>
      </c>
      <c r="E1879" s="22" t="s">
        <v>10</v>
      </c>
      <c r="F1879" s="22" t="s">
        <v>14</v>
      </c>
      <c r="G1879" s="22" t="s">
        <v>15</v>
      </c>
    </row>
    <row r="1880" ht="15.15" spans="1:7">
      <c r="A1880" s="20">
        <v>1879</v>
      </c>
      <c r="B1880" s="20">
        <v>6609</v>
      </c>
      <c r="C1880" s="21">
        <v>45283</v>
      </c>
      <c r="D1880" s="20">
        <v>1755.87</v>
      </c>
      <c r="E1880" s="22" t="s">
        <v>10</v>
      </c>
      <c r="F1880" s="22" t="s">
        <v>16</v>
      </c>
      <c r="G1880" s="22" t="s">
        <v>15</v>
      </c>
    </row>
    <row r="1881" ht="15.15" spans="1:7">
      <c r="A1881" s="20">
        <v>1880</v>
      </c>
      <c r="B1881" s="20">
        <v>4668</v>
      </c>
      <c r="C1881" s="21">
        <v>45231</v>
      </c>
      <c r="D1881" s="20">
        <v>265.95</v>
      </c>
      <c r="E1881" s="22" t="s">
        <v>10</v>
      </c>
      <c r="F1881" s="22" t="s">
        <v>14</v>
      </c>
      <c r="G1881" s="22" t="s">
        <v>12</v>
      </c>
    </row>
    <row r="1882" ht="15.15" spans="1:7">
      <c r="A1882" s="20">
        <v>1881</v>
      </c>
      <c r="B1882" s="20">
        <v>2634</v>
      </c>
      <c r="C1882" s="21">
        <v>45140</v>
      </c>
      <c r="D1882" s="20">
        <v>610.39</v>
      </c>
      <c r="E1882" s="22" t="s">
        <v>10</v>
      </c>
      <c r="F1882" s="22" t="s">
        <v>16</v>
      </c>
      <c r="G1882" s="22" t="s">
        <v>12</v>
      </c>
    </row>
    <row r="1883" ht="15.15" spans="1:7">
      <c r="A1883" s="20">
        <v>1882</v>
      </c>
      <c r="B1883" s="20">
        <v>5617</v>
      </c>
      <c r="C1883" s="21">
        <v>44956</v>
      </c>
      <c r="D1883" s="20">
        <v>965.83</v>
      </c>
      <c r="E1883" s="22" t="s">
        <v>10</v>
      </c>
      <c r="F1883" s="22" t="s">
        <v>13</v>
      </c>
      <c r="G1883" s="22" t="s">
        <v>20</v>
      </c>
    </row>
    <row r="1884" ht="15.15" spans="1:7">
      <c r="A1884" s="20">
        <v>1883</v>
      </c>
      <c r="B1884" s="20">
        <v>5036</v>
      </c>
      <c r="C1884" s="21">
        <v>44945</v>
      </c>
      <c r="D1884" s="20">
        <v>2122.9</v>
      </c>
      <c r="E1884" s="22" t="s">
        <v>10</v>
      </c>
      <c r="F1884" s="22" t="s">
        <v>13</v>
      </c>
      <c r="G1884" s="22" t="s">
        <v>15</v>
      </c>
    </row>
    <row r="1885" ht="15.15" spans="1:7">
      <c r="A1885" s="20">
        <v>1884</v>
      </c>
      <c r="B1885" s="20">
        <v>3130</v>
      </c>
      <c r="C1885" s="21">
        <v>45193</v>
      </c>
      <c r="D1885" s="20">
        <v>120.27</v>
      </c>
      <c r="E1885" s="22" t="s">
        <v>10</v>
      </c>
      <c r="F1885" s="22" t="s">
        <v>13</v>
      </c>
      <c r="G1885" s="22" t="s">
        <v>17</v>
      </c>
    </row>
    <row r="1886" ht="15.15" spans="1:7">
      <c r="A1886" s="20">
        <v>1885</v>
      </c>
      <c r="B1886" s="20">
        <v>4445</v>
      </c>
      <c r="C1886" s="21">
        <v>45127</v>
      </c>
      <c r="D1886" s="20">
        <v>2420.53</v>
      </c>
      <c r="E1886" s="22" t="s">
        <v>10</v>
      </c>
      <c r="F1886" s="22" t="s">
        <v>14</v>
      </c>
      <c r="G1886" s="22" t="s">
        <v>20</v>
      </c>
    </row>
    <row r="1887" ht="15.15" spans="1:7">
      <c r="A1887" s="20">
        <v>1886</v>
      </c>
      <c r="B1887" s="20">
        <v>8428</v>
      </c>
      <c r="C1887" s="21">
        <v>45240</v>
      </c>
      <c r="D1887" s="20">
        <v>2011.96</v>
      </c>
      <c r="E1887" s="22" t="s">
        <v>10</v>
      </c>
      <c r="F1887" s="22" t="s">
        <v>18</v>
      </c>
      <c r="G1887" s="22" t="s">
        <v>20</v>
      </c>
    </row>
    <row r="1888" ht="15.15" spans="1:7">
      <c r="A1888" s="20">
        <v>1887</v>
      </c>
      <c r="B1888" s="20">
        <v>8759</v>
      </c>
      <c r="C1888" s="21">
        <v>45096</v>
      </c>
      <c r="D1888" s="20">
        <v>30.63</v>
      </c>
      <c r="E1888" s="22" t="s">
        <v>10</v>
      </c>
      <c r="F1888" s="22" t="s">
        <v>16</v>
      </c>
      <c r="G1888" s="22" t="s">
        <v>15</v>
      </c>
    </row>
    <row r="1889" ht="15.15" spans="1:7">
      <c r="A1889" s="20">
        <v>1888</v>
      </c>
      <c r="B1889" s="20">
        <v>8520</v>
      </c>
      <c r="C1889" s="21">
        <v>45250</v>
      </c>
      <c r="D1889" s="20">
        <v>2722.8</v>
      </c>
      <c r="E1889" s="22" t="s">
        <v>10</v>
      </c>
      <c r="F1889" s="22" t="s">
        <v>18</v>
      </c>
      <c r="G1889" s="22" t="s">
        <v>20</v>
      </c>
    </row>
    <row r="1890" ht="15.15" spans="1:7">
      <c r="A1890" s="20">
        <v>1889</v>
      </c>
      <c r="B1890" s="20">
        <v>8532</v>
      </c>
      <c r="C1890" s="21">
        <v>45003</v>
      </c>
      <c r="D1890" s="20">
        <v>1052.58</v>
      </c>
      <c r="E1890" s="22" t="s">
        <v>10</v>
      </c>
      <c r="F1890" s="22" t="s">
        <v>18</v>
      </c>
      <c r="G1890" s="22" t="s">
        <v>17</v>
      </c>
    </row>
    <row r="1891" ht="15.15" spans="1:7">
      <c r="A1891" s="20">
        <v>1890</v>
      </c>
      <c r="B1891" s="20">
        <v>6112</v>
      </c>
      <c r="C1891" s="21">
        <v>45122</v>
      </c>
      <c r="D1891" s="20">
        <v>1072.43</v>
      </c>
      <c r="E1891" s="22" t="s">
        <v>10</v>
      </c>
      <c r="F1891" s="22" t="s">
        <v>16</v>
      </c>
      <c r="G1891" s="22" t="s">
        <v>17</v>
      </c>
    </row>
    <row r="1892" ht="15.15" spans="1:7">
      <c r="A1892" s="20">
        <v>1891</v>
      </c>
      <c r="B1892" s="20">
        <v>1376</v>
      </c>
      <c r="C1892" s="21">
        <v>45031</v>
      </c>
      <c r="D1892" s="20">
        <v>914.09</v>
      </c>
      <c r="E1892" s="22" t="s">
        <v>10</v>
      </c>
      <c r="F1892" s="22" t="s">
        <v>11</v>
      </c>
      <c r="G1892" s="22" t="s">
        <v>20</v>
      </c>
    </row>
    <row r="1893" ht="15.15" spans="1:7">
      <c r="A1893" s="20">
        <v>1892</v>
      </c>
      <c r="B1893" s="20">
        <v>2636</v>
      </c>
      <c r="C1893" s="21">
        <v>44939</v>
      </c>
      <c r="D1893" s="20">
        <v>242.48</v>
      </c>
      <c r="E1893" s="22" t="s">
        <v>10</v>
      </c>
      <c r="F1893" s="22" t="s">
        <v>11</v>
      </c>
      <c r="G1893" s="22" t="s">
        <v>17</v>
      </c>
    </row>
    <row r="1894" ht="15.15" spans="1:7">
      <c r="A1894" s="20">
        <v>1893</v>
      </c>
      <c r="B1894" s="20">
        <v>1448</v>
      </c>
      <c r="C1894" s="21">
        <v>45042</v>
      </c>
      <c r="D1894" s="20">
        <v>4580.38</v>
      </c>
      <c r="E1894" s="22" t="s">
        <v>10</v>
      </c>
      <c r="F1894" s="22" t="s">
        <v>11</v>
      </c>
      <c r="G1894" s="22" t="s">
        <v>12</v>
      </c>
    </row>
    <row r="1895" ht="15.15" spans="1:7">
      <c r="A1895" s="20">
        <v>1894</v>
      </c>
      <c r="B1895" s="20">
        <v>7528</v>
      </c>
      <c r="C1895" s="21">
        <v>45033</v>
      </c>
      <c r="D1895" s="20">
        <v>5941.23</v>
      </c>
      <c r="E1895" s="22" t="s">
        <v>10</v>
      </c>
      <c r="F1895" s="22" t="s">
        <v>13</v>
      </c>
      <c r="G1895" s="22" t="s">
        <v>17</v>
      </c>
    </row>
    <row r="1896" ht="15.15" spans="1:7">
      <c r="A1896" s="20">
        <v>1895</v>
      </c>
      <c r="B1896" s="20">
        <v>7145</v>
      </c>
      <c r="C1896" s="21">
        <v>45021</v>
      </c>
      <c r="D1896" s="20">
        <v>2625.68</v>
      </c>
      <c r="E1896" s="22" t="s">
        <v>10</v>
      </c>
      <c r="F1896" s="22" t="s">
        <v>11</v>
      </c>
      <c r="G1896" s="22" t="s">
        <v>20</v>
      </c>
    </row>
    <row r="1897" ht="15.15" spans="1:7">
      <c r="A1897" s="20">
        <v>1896</v>
      </c>
      <c r="B1897" s="20">
        <v>9162</v>
      </c>
      <c r="C1897" s="21">
        <v>45046</v>
      </c>
      <c r="D1897" s="20">
        <v>339.07</v>
      </c>
      <c r="E1897" s="22" t="s">
        <v>10</v>
      </c>
      <c r="F1897" s="22" t="s">
        <v>16</v>
      </c>
      <c r="G1897" s="22" t="s">
        <v>20</v>
      </c>
    </row>
    <row r="1898" ht="15.15" spans="1:7">
      <c r="A1898" s="20">
        <v>1897</v>
      </c>
      <c r="B1898" s="20">
        <v>4017</v>
      </c>
      <c r="C1898" s="21">
        <v>45171</v>
      </c>
      <c r="D1898" s="20">
        <v>329.06</v>
      </c>
      <c r="E1898" s="22" t="s">
        <v>22</v>
      </c>
      <c r="F1898" s="22" t="s">
        <v>13</v>
      </c>
      <c r="G1898" s="22" t="s">
        <v>12</v>
      </c>
    </row>
    <row r="1899" ht="15.15" spans="1:7">
      <c r="A1899" s="20">
        <v>1898</v>
      </c>
      <c r="B1899" s="20">
        <v>9688</v>
      </c>
      <c r="C1899" s="21">
        <v>45042</v>
      </c>
      <c r="D1899" s="20">
        <v>1865.09</v>
      </c>
      <c r="E1899" s="22" t="s">
        <v>10</v>
      </c>
      <c r="F1899" s="22" t="s">
        <v>13</v>
      </c>
      <c r="G1899" s="22" t="s">
        <v>15</v>
      </c>
    </row>
    <row r="1900" ht="15.15" spans="1:7">
      <c r="A1900" s="20">
        <v>1899</v>
      </c>
      <c r="B1900" s="20">
        <v>7492</v>
      </c>
      <c r="C1900" s="21">
        <v>44943</v>
      </c>
      <c r="D1900" s="20">
        <v>1786.37</v>
      </c>
      <c r="E1900" s="22" t="s">
        <v>10</v>
      </c>
      <c r="F1900" s="22" t="s">
        <v>13</v>
      </c>
      <c r="G1900" s="22" t="s">
        <v>15</v>
      </c>
    </row>
    <row r="1901" ht="15.15" spans="1:7">
      <c r="A1901" s="20">
        <v>1900</v>
      </c>
      <c r="B1901" s="20">
        <v>6228</v>
      </c>
      <c r="C1901" s="21">
        <v>44953</v>
      </c>
      <c r="D1901" s="20">
        <v>1434.4</v>
      </c>
      <c r="E1901" s="22" t="s">
        <v>10</v>
      </c>
      <c r="F1901" s="22" t="s">
        <v>13</v>
      </c>
      <c r="G1901" s="22" t="s">
        <v>20</v>
      </c>
    </row>
    <row r="1902" ht="15.15" spans="1:7">
      <c r="A1902" s="20">
        <v>1901</v>
      </c>
      <c r="B1902" s="20">
        <v>1028</v>
      </c>
      <c r="C1902" s="21">
        <v>45037</v>
      </c>
      <c r="D1902" s="20">
        <v>401.69</v>
      </c>
      <c r="E1902" s="22" t="s">
        <v>10</v>
      </c>
      <c r="F1902" s="22" t="s">
        <v>13</v>
      </c>
      <c r="G1902" s="22" t="s">
        <v>15</v>
      </c>
    </row>
    <row r="1903" ht="15.15" spans="1:7">
      <c r="A1903" s="20">
        <v>1902</v>
      </c>
      <c r="B1903" s="20">
        <v>514</v>
      </c>
      <c r="C1903" s="21">
        <v>45156</v>
      </c>
      <c r="D1903" s="20">
        <v>500.88</v>
      </c>
      <c r="E1903" s="22" t="s">
        <v>10</v>
      </c>
      <c r="F1903" s="22" t="s">
        <v>16</v>
      </c>
      <c r="G1903" s="22" t="s">
        <v>20</v>
      </c>
    </row>
    <row r="1904" ht="15.15" spans="1:7">
      <c r="A1904" s="20">
        <v>1903</v>
      </c>
      <c r="B1904" s="20">
        <v>8474</v>
      </c>
      <c r="C1904" s="21">
        <v>45245</v>
      </c>
      <c r="D1904" s="20">
        <v>207.19</v>
      </c>
      <c r="E1904" s="22" t="s">
        <v>10</v>
      </c>
      <c r="F1904" s="22" t="s">
        <v>14</v>
      </c>
      <c r="G1904" s="22" t="s">
        <v>15</v>
      </c>
    </row>
    <row r="1905" ht="15.15" spans="1:7">
      <c r="A1905" s="20">
        <v>1904</v>
      </c>
      <c r="B1905" s="20">
        <v>2878</v>
      </c>
      <c r="C1905" s="21">
        <v>45057</v>
      </c>
      <c r="D1905" s="20">
        <v>439.45</v>
      </c>
      <c r="E1905" s="22" t="s">
        <v>10</v>
      </c>
      <c r="F1905" s="22" t="s">
        <v>13</v>
      </c>
      <c r="G1905" s="22" t="s">
        <v>15</v>
      </c>
    </row>
    <row r="1906" ht="15.15" spans="1:7">
      <c r="A1906" s="20">
        <v>1905</v>
      </c>
      <c r="B1906" s="20">
        <v>8692</v>
      </c>
      <c r="C1906" s="21">
        <v>45277</v>
      </c>
      <c r="D1906" s="20">
        <v>363.07</v>
      </c>
      <c r="E1906" s="22" t="s">
        <v>10</v>
      </c>
      <c r="F1906" s="22" t="s">
        <v>16</v>
      </c>
      <c r="G1906" s="22" t="s">
        <v>17</v>
      </c>
    </row>
    <row r="1907" ht="15.15" spans="1:7">
      <c r="A1907" s="20">
        <v>1906</v>
      </c>
      <c r="B1907" s="20">
        <v>5513</v>
      </c>
      <c r="C1907" s="21">
        <v>45289</v>
      </c>
      <c r="D1907" s="20">
        <v>986.42</v>
      </c>
      <c r="E1907" s="22" t="s">
        <v>10</v>
      </c>
      <c r="F1907" s="22" t="s">
        <v>11</v>
      </c>
      <c r="G1907" s="22" t="s">
        <v>12</v>
      </c>
    </row>
    <row r="1908" ht="15.15" spans="1:7">
      <c r="A1908" s="20">
        <v>1907</v>
      </c>
      <c r="B1908" s="20">
        <v>4694</v>
      </c>
      <c r="C1908" s="21">
        <v>44984</v>
      </c>
      <c r="D1908" s="20">
        <v>296.31</v>
      </c>
      <c r="E1908" s="22" t="s">
        <v>10</v>
      </c>
      <c r="F1908" s="22" t="s">
        <v>13</v>
      </c>
      <c r="G1908" s="22" t="s">
        <v>15</v>
      </c>
    </row>
    <row r="1909" ht="15.15" spans="1:7">
      <c r="A1909" s="20">
        <v>1908</v>
      </c>
      <c r="B1909" s="20">
        <v>8116</v>
      </c>
      <c r="C1909" s="21">
        <v>45288</v>
      </c>
      <c r="D1909" s="20">
        <v>1752.5</v>
      </c>
      <c r="E1909" s="22" t="s">
        <v>10</v>
      </c>
      <c r="F1909" s="22" t="s">
        <v>16</v>
      </c>
      <c r="G1909" s="22" t="s">
        <v>17</v>
      </c>
    </row>
    <row r="1910" ht="15.15" spans="1:7">
      <c r="A1910" s="20">
        <v>1909</v>
      </c>
      <c r="B1910" s="20">
        <v>155</v>
      </c>
      <c r="C1910" s="21">
        <v>45157</v>
      </c>
      <c r="D1910" s="20">
        <v>508.62</v>
      </c>
      <c r="E1910" s="22" t="s">
        <v>10</v>
      </c>
      <c r="F1910" s="22" t="s">
        <v>13</v>
      </c>
      <c r="G1910" s="22" t="s">
        <v>15</v>
      </c>
    </row>
    <row r="1911" ht="15.15" spans="1:7">
      <c r="A1911" s="20">
        <v>1910</v>
      </c>
      <c r="B1911" s="20">
        <v>4362</v>
      </c>
      <c r="C1911" s="21">
        <v>45268</v>
      </c>
      <c r="D1911" s="20">
        <v>1599.62</v>
      </c>
      <c r="E1911" s="22" t="s">
        <v>10</v>
      </c>
      <c r="F1911" s="22" t="s">
        <v>13</v>
      </c>
      <c r="G1911" s="22" t="s">
        <v>17</v>
      </c>
    </row>
    <row r="1912" ht="15.15" spans="1:7">
      <c r="A1912" s="20">
        <v>1911</v>
      </c>
      <c r="B1912" s="20">
        <v>1897</v>
      </c>
      <c r="C1912" s="21">
        <v>44969</v>
      </c>
      <c r="D1912" s="20">
        <v>1342.99</v>
      </c>
      <c r="E1912" s="22" t="s">
        <v>10</v>
      </c>
      <c r="F1912" s="22" t="s">
        <v>14</v>
      </c>
      <c r="G1912" s="22" t="s">
        <v>12</v>
      </c>
    </row>
    <row r="1913" ht="15.15" spans="1:7">
      <c r="A1913" s="20">
        <v>1912</v>
      </c>
      <c r="B1913" s="20">
        <v>6483</v>
      </c>
      <c r="C1913" s="21">
        <v>45136</v>
      </c>
      <c r="D1913" s="20">
        <v>319.22</v>
      </c>
      <c r="E1913" s="22" t="s">
        <v>10</v>
      </c>
      <c r="F1913" s="22" t="s">
        <v>16</v>
      </c>
      <c r="G1913" s="22" t="s">
        <v>20</v>
      </c>
    </row>
    <row r="1914" ht="15.15" spans="1:7">
      <c r="A1914" s="20">
        <v>1913</v>
      </c>
      <c r="B1914" s="20">
        <v>2184</v>
      </c>
      <c r="C1914" s="21">
        <v>45188</v>
      </c>
      <c r="D1914" s="20">
        <v>3059.86</v>
      </c>
      <c r="E1914" s="22" t="s">
        <v>10</v>
      </c>
      <c r="F1914" s="22" t="s">
        <v>11</v>
      </c>
      <c r="G1914" s="22" t="s">
        <v>17</v>
      </c>
    </row>
    <row r="1915" ht="15.15" spans="1:7">
      <c r="A1915" s="20">
        <v>1914</v>
      </c>
      <c r="B1915" s="20">
        <v>3087</v>
      </c>
      <c r="C1915" s="21">
        <v>44942</v>
      </c>
      <c r="D1915" s="20">
        <v>2198.22</v>
      </c>
      <c r="E1915" s="22" t="s">
        <v>10</v>
      </c>
      <c r="F1915" s="22" t="s">
        <v>18</v>
      </c>
      <c r="G1915" s="22" t="s">
        <v>20</v>
      </c>
    </row>
    <row r="1916" ht="15.15" spans="1:7">
      <c r="A1916" s="20">
        <v>1915</v>
      </c>
      <c r="B1916" s="20">
        <v>4961</v>
      </c>
      <c r="C1916" s="21">
        <v>44950</v>
      </c>
      <c r="D1916" s="20">
        <v>3310.91</v>
      </c>
      <c r="E1916" s="22" t="s">
        <v>10</v>
      </c>
      <c r="F1916" s="22" t="s">
        <v>16</v>
      </c>
      <c r="G1916" s="22" t="s">
        <v>20</v>
      </c>
    </row>
    <row r="1917" ht="15.15" spans="1:7">
      <c r="A1917" s="20">
        <v>1916</v>
      </c>
      <c r="B1917" s="20">
        <v>9010</v>
      </c>
      <c r="C1917" s="21">
        <v>45254</v>
      </c>
      <c r="D1917" s="20">
        <v>2912.38</v>
      </c>
      <c r="E1917" s="22" t="s">
        <v>10</v>
      </c>
      <c r="F1917" s="22" t="s">
        <v>13</v>
      </c>
      <c r="G1917" s="22" t="s">
        <v>20</v>
      </c>
    </row>
    <row r="1918" ht="15.15" spans="1:7">
      <c r="A1918" s="20">
        <v>1917</v>
      </c>
      <c r="B1918" s="20">
        <v>3602</v>
      </c>
      <c r="C1918" s="21">
        <v>45053</v>
      </c>
      <c r="D1918" s="20">
        <v>1527.99</v>
      </c>
      <c r="E1918" s="22" t="s">
        <v>10</v>
      </c>
      <c r="F1918" s="22" t="s">
        <v>14</v>
      </c>
      <c r="G1918" s="22" t="s">
        <v>12</v>
      </c>
    </row>
    <row r="1919" ht="15.15" spans="1:7">
      <c r="A1919" s="20">
        <v>1918</v>
      </c>
      <c r="B1919" s="20">
        <v>5426</v>
      </c>
      <c r="C1919" s="21">
        <v>45026</v>
      </c>
      <c r="D1919" s="20">
        <v>936.09</v>
      </c>
      <c r="E1919" s="22" t="s">
        <v>10</v>
      </c>
      <c r="F1919" s="22" t="s">
        <v>11</v>
      </c>
      <c r="G1919" s="22" t="s">
        <v>15</v>
      </c>
    </row>
    <row r="1920" ht="15.15" spans="1:7">
      <c r="A1920" s="20">
        <v>1919</v>
      </c>
      <c r="B1920" s="20">
        <v>4954</v>
      </c>
      <c r="C1920" s="21">
        <v>45209</v>
      </c>
      <c r="D1920" s="20">
        <v>665.4</v>
      </c>
      <c r="E1920" s="22" t="s">
        <v>10</v>
      </c>
      <c r="F1920" s="22" t="s">
        <v>11</v>
      </c>
      <c r="G1920" s="22" t="s">
        <v>20</v>
      </c>
    </row>
    <row r="1921" ht="15.15" spans="1:7">
      <c r="A1921" s="20">
        <v>1920</v>
      </c>
      <c r="B1921" s="20">
        <v>641</v>
      </c>
      <c r="C1921" s="21">
        <v>44968</v>
      </c>
      <c r="D1921" s="20">
        <v>339.07</v>
      </c>
      <c r="E1921" s="22" t="s">
        <v>10</v>
      </c>
      <c r="F1921" s="22" t="s">
        <v>14</v>
      </c>
      <c r="G1921" s="22" t="s">
        <v>17</v>
      </c>
    </row>
    <row r="1922" ht="15.15" spans="1:7">
      <c r="A1922" s="20">
        <v>1921</v>
      </c>
      <c r="B1922" s="20">
        <v>5199</v>
      </c>
      <c r="C1922" s="21">
        <v>45012</v>
      </c>
      <c r="D1922" s="20">
        <v>2469.3</v>
      </c>
      <c r="E1922" s="22" t="s">
        <v>10</v>
      </c>
      <c r="F1922" s="22" t="s">
        <v>11</v>
      </c>
      <c r="G1922" s="22" t="s">
        <v>17</v>
      </c>
    </row>
    <row r="1923" ht="15.15" spans="1:7">
      <c r="A1923" s="20">
        <v>1922</v>
      </c>
      <c r="B1923" s="20">
        <v>2816</v>
      </c>
      <c r="C1923" s="21">
        <v>45053</v>
      </c>
      <c r="D1923" s="20">
        <v>2772.37</v>
      </c>
      <c r="E1923" s="22" t="s">
        <v>10</v>
      </c>
      <c r="F1923" s="22" t="s">
        <v>14</v>
      </c>
      <c r="G1923" s="22" t="s">
        <v>15</v>
      </c>
    </row>
    <row r="1924" ht="15.15" spans="1:7">
      <c r="A1924" s="20">
        <v>1923</v>
      </c>
      <c r="B1924" s="20">
        <v>1211</v>
      </c>
      <c r="C1924" s="21">
        <v>45048</v>
      </c>
      <c r="D1924" s="20">
        <v>607.3</v>
      </c>
      <c r="E1924" s="22" t="s">
        <v>10</v>
      </c>
      <c r="F1924" s="22" t="s">
        <v>16</v>
      </c>
      <c r="G1924" s="22" t="s">
        <v>20</v>
      </c>
    </row>
    <row r="1925" ht="15.15" spans="1:7">
      <c r="A1925" s="20">
        <v>1924</v>
      </c>
      <c r="B1925" s="20">
        <v>9528</v>
      </c>
      <c r="C1925" s="21">
        <v>44950</v>
      </c>
      <c r="D1925" s="20">
        <v>1062.48</v>
      </c>
      <c r="E1925" s="22" t="s">
        <v>10</v>
      </c>
      <c r="F1925" s="22" t="s">
        <v>11</v>
      </c>
      <c r="G1925" s="22" t="s">
        <v>12</v>
      </c>
    </row>
    <row r="1926" ht="15.15" spans="1:7">
      <c r="A1926" s="20">
        <v>1925</v>
      </c>
      <c r="B1926" s="20">
        <v>456</v>
      </c>
      <c r="C1926" s="21">
        <v>44980</v>
      </c>
      <c r="D1926" s="20">
        <v>266.31</v>
      </c>
      <c r="E1926" s="22" t="s">
        <v>10</v>
      </c>
      <c r="F1926" s="22" t="s">
        <v>16</v>
      </c>
      <c r="G1926" s="22" t="s">
        <v>17</v>
      </c>
    </row>
    <row r="1927" ht="15.15" spans="1:7">
      <c r="A1927" s="20">
        <v>1926</v>
      </c>
      <c r="B1927" s="20">
        <v>9604</v>
      </c>
      <c r="C1927" s="21">
        <v>45032</v>
      </c>
      <c r="D1927" s="20">
        <v>1576.62</v>
      </c>
      <c r="E1927" s="22" t="s">
        <v>10</v>
      </c>
      <c r="F1927" s="22" t="s">
        <v>18</v>
      </c>
      <c r="G1927" s="22" t="s">
        <v>17</v>
      </c>
    </row>
    <row r="1928" ht="15.15" spans="1:7">
      <c r="A1928" s="20">
        <v>1927</v>
      </c>
      <c r="B1928" s="20">
        <v>9833</v>
      </c>
      <c r="C1928" s="21">
        <v>45120</v>
      </c>
      <c r="D1928" s="20">
        <v>1332.57</v>
      </c>
      <c r="E1928" s="22" t="s">
        <v>10</v>
      </c>
      <c r="F1928" s="22" t="s">
        <v>13</v>
      </c>
      <c r="G1928" s="22" t="s">
        <v>17</v>
      </c>
    </row>
    <row r="1929" ht="15.15" spans="1:7">
      <c r="A1929" s="20">
        <v>1928</v>
      </c>
      <c r="B1929" s="20">
        <v>5389</v>
      </c>
      <c r="C1929" s="21">
        <v>45030</v>
      </c>
      <c r="D1929" s="20">
        <v>1016.46</v>
      </c>
      <c r="E1929" s="22" t="s">
        <v>10</v>
      </c>
      <c r="F1929" s="22" t="s">
        <v>16</v>
      </c>
      <c r="G1929" s="22" t="s">
        <v>15</v>
      </c>
    </row>
    <row r="1930" ht="15.15" spans="1:7">
      <c r="A1930" s="20">
        <v>1929</v>
      </c>
      <c r="B1930" s="20">
        <v>1974</v>
      </c>
      <c r="C1930" s="21">
        <v>45246</v>
      </c>
      <c r="D1930" s="20">
        <v>575.58</v>
      </c>
      <c r="E1930" s="22" t="s">
        <v>10</v>
      </c>
      <c r="F1930" s="22" t="s">
        <v>13</v>
      </c>
      <c r="G1930" s="22" t="s">
        <v>15</v>
      </c>
    </row>
    <row r="1931" ht="15.15" spans="1:7">
      <c r="A1931" s="20">
        <v>1930</v>
      </c>
      <c r="B1931" s="20">
        <v>6876</v>
      </c>
      <c r="C1931" s="21">
        <v>45209</v>
      </c>
      <c r="D1931" s="20">
        <v>395.52</v>
      </c>
      <c r="E1931" s="22" t="s">
        <v>10</v>
      </c>
      <c r="F1931" s="22" t="s">
        <v>18</v>
      </c>
      <c r="G1931" s="22" t="s">
        <v>20</v>
      </c>
    </row>
    <row r="1932" ht="15.15" spans="1:7">
      <c r="A1932" s="20">
        <v>1931</v>
      </c>
      <c r="B1932" s="20">
        <v>956</v>
      </c>
      <c r="C1932" s="21">
        <v>45077</v>
      </c>
      <c r="D1932" s="20">
        <v>623.27</v>
      </c>
      <c r="E1932" s="22" t="s">
        <v>10</v>
      </c>
      <c r="F1932" s="22" t="s">
        <v>11</v>
      </c>
      <c r="G1932" s="22" t="s">
        <v>15</v>
      </c>
    </row>
    <row r="1933" ht="15.15" spans="1:7">
      <c r="A1933" s="20">
        <v>1932</v>
      </c>
      <c r="B1933" s="20">
        <v>3263</v>
      </c>
      <c r="C1933" s="21">
        <v>45284</v>
      </c>
      <c r="D1933" s="20">
        <v>612.93</v>
      </c>
      <c r="E1933" s="22" t="s">
        <v>10</v>
      </c>
      <c r="F1933" s="22" t="s">
        <v>11</v>
      </c>
      <c r="G1933" s="22" t="s">
        <v>15</v>
      </c>
    </row>
    <row r="1934" ht="15.15" spans="1:7">
      <c r="A1934" s="20">
        <v>1933</v>
      </c>
      <c r="B1934" s="20">
        <v>3351</v>
      </c>
      <c r="C1934" s="21">
        <v>45173</v>
      </c>
      <c r="D1934" s="20">
        <v>579.6</v>
      </c>
      <c r="E1934" s="22" t="s">
        <v>10</v>
      </c>
      <c r="F1934" s="22" t="s">
        <v>13</v>
      </c>
      <c r="G1934" s="22" t="s">
        <v>20</v>
      </c>
    </row>
    <row r="1935" ht="15.15" spans="1:7">
      <c r="A1935" s="20">
        <v>1934</v>
      </c>
      <c r="B1935" s="20">
        <v>5344</v>
      </c>
      <c r="C1935" s="21">
        <v>45085</v>
      </c>
      <c r="D1935" s="20">
        <v>1638.88</v>
      </c>
      <c r="E1935" s="22" t="s">
        <v>10</v>
      </c>
      <c r="F1935" s="22" t="s">
        <v>18</v>
      </c>
      <c r="G1935" s="22" t="s">
        <v>17</v>
      </c>
    </row>
    <row r="1936" ht="15.15" spans="1:7">
      <c r="A1936" s="20">
        <v>1935</v>
      </c>
      <c r="B1936" s="20">
        <v>6242</v>
      </c>
      <c r="C1936" s="21">
        <v>45176</v>
      </c>
      <c r="D1936" s="20">
        <v>2708.37</v>
      </c>
      <c r="E1936" s="22" t="s">
        <v>10</v>
      </c>
      <c r="F1936" s="22" t="s">
        <v>16</v>
      </c>
      <c r="G1936" s="22" t="s">
        <v>20</v>
      </c>
    </row>
    <row r="1937" ht="15.15" spans="1:7">
      <c r="A1937" s="20">
        <v>1936</v>
      </c>
      <c r="B1937" s="20">
        <v>5108</v>
      </c>
      <c r="C1937" s="21">
        <v>44982</v>
      </c>
      <c r="D1937" s="20">
        <v>1797.61</v>
      </c>
      <c r="E1937" s="22" t="s">
        <v>10</v>
      </c>
      <c r="F1937" s="22" t="s">
        <v>13</v>
      </c>
      <c r="G1937" s="22" t="s">
        <v>17</v>
      </c>
    </row>
    <row r="1938" ht="15.15" spans="1:7">
      <c r="A1938" s="20">
        <v>1937</v>
      </c>
      <c r="B1938" s="20">
        <v>1842</v>
      </c>
      <c r="C1938" s="21">
        <v>45073</v>
      </c>
      <c r="D1938" s="20">
        <v>456.9</v>
      </c>
      <c r="E1938" s="22" t="s">
        <v>10</v>
      </c>
      <c r="F1938" s="22" t="s">
        <v>16</v>
      </c>
      <c r="G1938" s="22" t="s">
        <v>20</v>
      </c>
    </row>
    <row r="1939" ht="15.15" spans="1:7">
      <c r="A1939" s="20">
        <v>1938</v>
      </c>
      <c r="B1939" s="20">
        <v>9928</v>
      </c>
      <c r="C1939" s="21">
        <v>44931</v>
      </c>
      <c r="D1939" s="20">
        <v>1745.47</v>
      </c>
      <c r="E1939" s="22" t="s">
        <v>10</v>
      </c>
      <c r="F1939" s="22" t="s">
        <v>18</v>
      </c>
      <c r="G1939" s="22" t="s">
        <v>20</v>
      </c>
    </row>
    <row r="1940" ht="15.15" spans="1:7">
      <c r="A1940" s="20">
        <v>1939</v>
      </c>
      <c r="B1940" s="20">
        <v>8345</v>
      </c>
      <c r="C1940" s="21">
        <v>45104</v>
      </c>
      <c r="D1940" s="20">
        <v>315.29</v>
      </c>
      <c r="E1940" s="22" t="s">
        <v>10</v>
      </c>
      <c r="F1940" s="22" t="s">
        <v>13</v>
      </c>
      <c r="G1940" s="22" t="s">
        <v>17</v>
      </c>
    </row>
    <row r="1941" ht="15.15" spans="1:7">
      <c r="A1941" s="20">
        <v>1940</v>
      </c>
      <c r="B1941" s="20">
        <v>4084</v>
      </c>
      <c r="C1941" s="21">
        <v>45287</v>
      </c>
      <c r="D1941" s="20">
        <v>79.14</v>
      </c>
      <c r="E1941" s="22" t="s">
        <v>10</v>
      </c>
      <c r="F1941" s="22" t="s">
        <v>11</v>
      </c>
      <c r="G1941" s="22" t="s">
        <v>20</v>
      </c>
    </row>
    <row r="1942" ht="15.15" spans="1:7">
      <c r="A1942" s="20">
        <v>1941</v>
      </c>
      <c r="B1942" s="20">
        <v>4484</v>
      </c>
      <c r="C1942" s="21">
        <v>45089</v>
      </c>
      <c r="D1942" s="20">
        <v>2689.21</v>
      </c>
      <c r="E1942" s="22" t="s">
        <v>10</v>
      </c>
      <c r="F1942" s="22" t="s">
        <v>14</v>
      </c>
      <c r="G1942" s="22" t="s">
        <v>17</v>
      </c>
    </row>
    <row r="1943" ht="15.15" spans="1:7">
      <c r="A1943" s="20">
        <v>1942</v>
      </c>
      <c r="B1943" s="20">
        <v>6854</v>
      </c>
      <c r="C1943" s="21">
        <v>45071</v>
      </c>
      <c r="D1943" s="20">
        <v>968.43</v>
      </c>
      <c r="E1943" s="22" t="s">
        <v>10</v>
      </c>
      <c r="F1943" s="22" t="s">
        <v>16</v>
      </c>
      <c r="G1943" s="22" t="s">
        <v>17</v>
      </c>
    </row>
    <row r="1944" ht="15.15" spans="1:7">
      <c r="A1944" s="20">
        <v>1943</v>
      </c>
      <c r="B1944" s="20">
        <v>3547</v>
      </c>
      <c r="C1944" s="21">
        <v>45267</v>
      </c>
      <c r="D1944" s="20">
        <v>280.61</v>
      </c>
      <c r="E1944" s="22" t="s">
        <v>10</v>
      </c>
      <c r="F1944" s="22" t="s">
        <v>16</v>
      </c>
      <c r="G1944" s="22" t="s">
        <v>12</v>
      </c>
    </row>
    <row r="1945" ht="15.15" spans="1:7">
      <c r="A1945" s="20">
        <v>1944</v>
      </c>
      <c r="B1945" s="20">
        <v>5644</v>
      </c>
      <c r="C1945" s="21">
        <v>45093</v>
      </c>
      <c r="D1945" s="20">
        <v>1257.96</v>
      </c>
      <c r="E1945" s="22" t="s">
        <v>10</v>
      </c>
      <c r="F1945" s="22" t="s">
        <v>18</v>
      </c>
      <c r="G1945" s="22" t="s">
        <v>12</v>
      </c>
    </row>
    <row r="1946" ht="15.15" spans="1:7">
      <c r="A1946" s="20">
        <v>1945</v>
      </c>
      <c r="B1946" s="20">
        <v>5817</v>
      </c>
      <c r="C1946" s="21">
        <v>45164</v>
      </c>
      <c r="D1946" s="20">
        <v>601.22</v>
      </c>
      <c r="E1946" s="22" t="s">
        <v>10</v>
      </c>
      <c r="F1946" s="22" t="s">
        <v>11</v>
      </c>
      <c r="G1946" s="22" t="s">
        <v>15</v>
      </c>
    </row>
    <row r="1947" ht="15.15" spans="1:7">
      <c r="A1947" s="20">
        <v>1946</v>
      </c>
      <c r="B1947" s="20">
        <v>2684</v>
      </c>
      <c r="C1947" s="21">
        <v>45128</v>
      </c>
      <c r="D1947" s="20">
        <v>361.97</v>
      </c>
      <c r="E1947" s="22" t="s">
        <v>10</v>
      </c>
      <c r="F1947" s="22" t="s">
        <v>13</v>
      </c>
      <c r="G1947" s="22" t="s">
        <v>20</v>
      </c>
    </row>
    <row r="1948" ht="15.15" spans="1:7">
      <c r="A1948" s="20">
        <v>1947</v>
      </c>
      <c r="B1948" s="20">
        <v>3510</v>
      </c>
      <c r="C1948" s="21">
        <v>44963</v>
      </c>
      <c r="D1948" s="20">
        <v>442.69</v>
      </c>
      <c r="E1948" s="22" t="s">
        <v>10</v>
      </c>
      <c r="F1948" s="22" t="s">
        <v>16</v>
      </c>
      <c r="G1948" s="22" t="s">
        <v>17</v>
      </c>
    </row>
    <row r="1949" ht="15.15" spans="1:7">
      <c r="A1949" s="20">
        <v>1948</v>
      </c>
      <c r="B1949" s="20">
        <v>8838</v>
      </c>
      <c r="C1949" s="21">
        <v>45207</v>
      </c>
      <c r="D1949" s="20">
        <v>388.33</v>
      </c>
      <c r="E1949" s="22" t="s">
        <v>10</v>
      </c>
      <c r="F1949" s="22" t="s">
        <v>11</v>
      </c>
      <c r="G1949" s="22" t="s">
        <v>15</v>
      </c>
    </row>
    <row r="1950" ht="15.15" spans="1:7">
      <c r="A1950" s="20">
        <v>1949</v>
      </c>
      <c r="B1950" s="20">
        <v>6921</v>
      </c>
      <c r="C1950" s="21">
        <v>45026</v>
      </c>
      <c r="D1950" s="20">
        <v>797.76</v>
      </c>
      <c r="E1950" s="22" t="s">
        <v>10</v>
      </c>
      <c r="F1950" s="22" t="s">
        <v>16</v>
      </c>
      <c r="G1950" s="22" t="s">
        <v>17</v>
      </c>
    </row>
    <row r="1951" ht="15.15" spans="1:7">
      <c r="A1951" s="20">
        <v>1950</v>
      </c>
      <c r="B1951" s="20">
        <v>3050</v>
      </c>
      <c r="C1951" s="21">
        <v>45286</v>
      </c>
      <c r="D1951" s="20">
        <v>208.24</v>
      </c>
      <c r="E1951" s="22" t="s">
        <v>10</v>
      </c>
      <c r="F1951" s="22" t="s">
        <v>11</v>
      </c>
      <c r="G1951" s="22" t="s">
        <v>12</v>
      </c>
    </row>
    <row r="1952" ht="15.15" spans="1:7">
      <c r="A1952" s="20">
        <v>1951</v>
      </c>
      <c r="B1952" s="20">
        <v>6193</v>
      </c>
      <c r="C1952" s="21">
        <v>45161</v>
      </c>
      <c r="D1952" s="20">
        <v>200.91</v>
      </c>
      <c r="E1952" s="22" t="s">
        <v>10</v>
      </c>
      <c r="F1952" s="22" t="s">
        <v>16</v>
      </c>
      <c r="G1952" s="22" t="s">
        <v>15</v>
      </c>
    </row>
    <row r="1953" ht="15.15" spans="1:7">
      <c r="A1953" s="20">
        <v>1952</v>
      </c>
      <c r="B1953" s="20">
        <v>1434</v>
      </c>
      <c r="C1953" s="21">
        <v>45227</v>
      </c>
      <c r="D1953" s="20">
        <v>442.69</v>
      </c>
      <c r="E1953" s="22" t="s">
        <v>10</v>
      </c>
      <c r="F1953" s="22" t="s">
        <v>16</v>
      </c>
      <c r="G1953" s="22" t="s">
        <v>17</v>
      </c>
    </row>
    <row r="1954" ht="15.15" spans="1:7">
      <c r="A1954" s="20">
        <v>1953</v>
      </c>
      <c r="B1954" s="20">
        <v>1988</v>
      </c>
      <c r="C1954" s="21">
        <v>44946</v>
      </c>
      <c r="D1954" s="20">
        <v>2892.52</v>
      </c>
      <c r="E1954" s="22" t="s">
        <v>10</v>
      </c>
      <c r="F1954" s="22" t="s">
        <v>14</v>
      </c>
      <c r="G1954" s="22" t="s">
        <v>20</v>
      </c>
    </row>
    <row r="1955" ht="15.15" spans="1:7">
      <c r="A1955" s="20">
        <v>1954</v>
      </c>
      <c r="B1955" s="20">
        <v>9176</v>
      </c>
      <c r="C1955" s="21">
        <v>45270</v>
      </c>
      <c r="D1955" s="20">
        <v>509.83</v>
      </c>
      <c r="E1955" s="22" t="s">
        <v>10</v>
      </c>
      <c r="F1955" s="22" t="s">
        <v>11</v>
      </c>
      <c r="G1955" s="22" t="s">
        <v>20</v>
      </c>
    </row>
    <row r="1956" ht="15.15" spans="1:7">
      <c r="A1956" s="20">
        <v>1955</v>
      </c>
      <c r="B1956" s="20">
        <v>8989</v>
      </c>
      <c r="C1956" s="21">
        <v>45286</v>
      </c>
      <c r="D1956" s="20">
        <v>578.97</v>
      </c>
      <c r="E1956" s="22" t="s">
        <v>10</v>
      </c>
      <c r="F1956" s="22" t="s">
        <v>16</v>
      </c>
      <c r="G1956" s="22" t="s">
        <v>20</v>
      </c>
    </row>
    <row r="1957" ht="15.15" spans="1:7">
      <c r="A1957" s="20">
        <v>1956</v>
      </c>
      <c r="B1957" s="20">
        <v>3736</v>
      </c>
      <c r="C1957" s="21">
        <v>45265</v>
      </c>
      <c r="D1957" s="20">
        <v>284.14</v>
      </c>
      <c r="E1957" s="22" t="s">
        <v>10</v>
      </c>
      <c r="F1957" s="22" t="s">
        <v>11</v>
      </c>
      <c r="G1957" s="22" t="s">
        <v>17</v>
      </c>
    </row>
    <row r="1958" ht="15.15" spans="1:7">
      <c r="A1958" s="20">
        <v>1957</v>
      </c>
      <c r="B1958" s="20">
        <v>2796</v>
      </c>
      <c r="C1958" s="21">
        <v>45280</v>
      </c>
      <c r="D1958" s="20">
        <v>318.02</v>
      </c>
      <c r="E1958" s="22" t="s">
        <v>10</v>
      </c>
      <c r="F1958" s="22" t="s">
        <v>13</v>
      </c>
      <c r="G1958" s="22" t="s">
        <v>20</v>
      </c>
    </row>
    <row r="1959" ht="15.15" spans="1:7">
      <c r="A1959" s="20">
        <v>1958</v>
      </c>
      <c r="B1959" s="20">
        <v>5467</v>
      </c>
      <c r="C1959" s="21">
        <v>45101</v>
      </c>
      <c r="D1959" s="20">
        <v>4232.68</v>
      </c>
      <c r="E1959" s="22" t="s">
        <v>10</v>
      </c>
      <c r="F1959" s="22" t="s">
        <v>14</v>
      </c>
      <c r="G1959" s="22" t="s">
        <v>15</v>
      </c>
    </row>
    <row r="1960" ht="15.15" spans="1:7">
      <c r="A1960" s="20">
        <v>1959</v>
      </c>
      <c r="B1960" s="20">
        <v>3515</v>
      </c>
      <c r="C1960" s="21">
        <v>45223</v>
      </c>
      <c r="D1960" s="20">
        <v>1329.67</v>
      </c>
      <c r="E1960" s="22" t="s">
        <v>10</v>
      </c>
      <c r="F1960" s="22" t="s">
        <v>13</v>
      </c>
      <c r="G1960" s="22" t="s">
        <v>15</v>
      </c>
    </row>
    <row r="1961" ht="15.15" spans="1:7">
      <c r="A1961" s="20">
        <v>1960</v>
      </c>
      <c r="B1961" s="20">
        <v>7391</v>
      </c>
      <c r="C1961" s="21">
        <v>45190</v>
      </c>
      <c r="D1961" s="20">
        <v>1354.13</v>
      </c>
      <c r="E1961" s="22" t="s">
        <v>10</v>
      </c>
      <c r="F1961" s="22" t="s">
        <v>14</v>
      </c>
      <c r="G1961" s="22" t="s">
        <v>12</v>
      </c>
    </row>
    <row r="1962" ht="15.15" spans="1:7">
      <c r="A1962" s="20">
        <v>1961</v>
      </c>
      <c r="B1962" s="20">
        <v>7488</v>
      </c>
      <c r="C1962" s="21">
        <v>44985</v>
      </c>
      <c r="D1962" s="20">
        <v>2478.72</v>
      </c>
      <c r="E1962" s="22" t="s">
        <v>10</v>
      </c>
      <c r="F1962" s="22" t="s">
        <v>18</v>
      </c>
      <c r="G1962" s="22" t="s">
        <v>15</v>
      </c>
    </row>
    <row r="1963" ht="15.15" spans="1:7">
      <c r="A1963" s="20">
        <v>1962</v>
      </c>
      <c r="B1963" s="20">
        <v>2574</v>
      </c>
      <c r="C1963" s="21">
        <v>45145</v>
      </c>
      <c r="D1963" s="20">
        <v>2572.7</v>
      </c>
      <c r="E1963" s="22" t="s">
        <v>10</v>
      </c>
      <c r="F1963" s="22" t="s">
        <v>11</v>
      </c>
      <c r="G1963" s="22" t="s">
        <v>17</v>
      </c>
    </row>
    <row r="1964" ht="15.15" spans="1:7">
      <c r="A1964" s="20">
        <v>1963</v>
      </c>
      <c r="B1964" s="20">
        <v>7337</v>
      </c>
      <c r="C1964" s="21">
        <v>45210</v>
      </c>
      <c r="D1964" s="20">
        <v>151.46</v>
      </c>
      <c r="E1964" s="22" t="s">
        <v>10</v>
      </c>
      <c r="F1964" s="22" t="s">
        <v>11</v>
      </c>
      <c r="G1964" s="22" t="s">
        <v>20</v>
      </c>
    </row>
    <row r="1965" ht="15.15" spans="1:7">
      <c r="A1965" s="20">
        <v>1964</v>
      </c>
      <c r="B1965" s="20">
        <v>9569</v>
      </c>
      <c r="C1965" s="21">
        <v>44964</v>
      </c>
      <c r="D1965" s="20">
        <v>966.66</v>
      </c>
      <c r="E1965" s="22" t="s">
        <v>10</v>
      </c>
      <c r="F1965" s="22" t="s">
        <v>16</v>
      </c>
      <c r="G1965" s="22" t="s">
        <v>12</v>
      </c>
    </row>
    <row r="1966" ht="15.15" spans="1:7">
      <c r="A1966" s="20">
        <v>1965</v>
      </c>
      <c r="B1966" s="20">
        <v>7540</v>
      </c>
      <c r="C1966" s="21">
        <v>45237</v>
      </c>
      <c r="D1966" s="20">
        <v>1819.94</v>
      </c>
      <c r="E1966" s="22" t="s">
        <v>10</v>
      </c>
      <c r="F1966" s="22" t="s">
        <v>16</v>
      </c>
      <c r="G1966" s="22" t="s">
        <v>20</v>
      </c>
    </row>
    <row r="1967" ht="15.15" spans="1:7">
      <c r="A1967" s="20">
        <v>1966</v>
      </c>
      <c r="B1967" s="20">
        <v>9899</v>
      </c>
      <c r="C1967" s="21">
        <v>44970</v>
      </c>
      <c r="D1967" s="20">
        <v>2343.25</v>
      </c>
      <c r="E1967" s="22" t="s">
        <v>10</v>
      </c>
      <c r="F1967" s="22" t="s">
        <v>18</v>
      </c>
      <c r="G1967" s="22" t="s">
        <v>15</v>
      </c>
    </row>
    <row r="1968" ht="15.15" spans="1:7">
      <c r="A1968" s="20">
        <v>1967</v>
      </c>
      <c r="B1968" s="20">
        <v>378</v>
      </c>
      <c r="C1968" s="21">
        <v>45183</v>
      </c>
      <c r="D1968" s="20">
        <v>1146.85</v>
      </c>
      <c r="E1968" s="22" t="s">
        <v>10</v>
      </c>
      <c r="F1968" s="22" t="s">
        <v>18</v>
      </c>
      <c r="G1968" s="22" t="s">
        <v>20</v>
      </c>
    </row>
    <row r="1969" ht="15.15" spans="1:7">
      <c r="A1969" s="20">
        <v>1968</v>
      </c>
      <c r="B1969" s="20">
        <v>9956</v>
      </c>
      <c r="C1969" s="21">
        <v>45160</v>
      </c>
      <c r="D1969" s="20">
        <v>1388.8</v>
      </c>
      <c r="E1969" s="22" t="s">
        <v>10</v>
      </c>
      <c r="F1969" s="22" t="s">
        <v>16</v>
      </c>
      <c r="G1969" s="22" t="s">
        <v>17</v>
      </c>
    </row>
    <row r="1970" ht="15.15" spans="1:7">
      <c r="A1970" s="20">
        <v>1969</v>
      </c>
      <c r="B1970" s="20">
        <v>3602</v>
      </c>
      <c r="C1970" s="21">
        <v>45239</v>
      </c>
      <c r="D1970" s="20">
        <v>2734.14</v>
      </c>
      <c r="E1970" s="22" t="s">
        <v>10</v>
      </c>
      <c r="F1970" s="22" t="s">
        <v>14</v>
      </c>
      <c r="G1970" s="22" t="s">
        <v>12</v>
      </c>
    </row>
    <row r="1971" ht="15.15" spans="1:7">
      <c r="A1971" s="20">
        <v>1970</v>
      </c>
      <c r="B1971" s="20">
        <v>3567</v>
      </c>
      <c r="C1971" s="21">
        <v>45239</v>
      </c>
      <c r="D1971" s="20">
        <v>1064.65</v>
      </c>
      <c r="E1971" s="22" t="s">
        <v>10</v>
      </c>
      <c r="F1971" s="22" t="s">
        <v>14</v>
      </c>
      <c r="G1971" s="22" t="s">
        <v>17</v>
      </c>
    </row>
    <row r="1972" ht="15.15" spans="1:7">
      <c r="A1972" s="20">
        <v>1971</v>
      </c>
      <c r="B1972" s="20">
        <v>5485</v>
      </c>
      <c r="C1972" s="21">
        <v>45235</v>
      </c>
      <c r="D1972" s="20">
        <v>290.79</v>
      </c>
      <c r="E1972" s="22" t="s">
        <v>10</v>
      </c>
      <c r="F1972" s="22" t="s">
        <v>16</v>
      </c>
      <c r="G1972" s="22" t="s">
        <v>17</v>
      </c>
    </row>
    <row r="1973" ht="15.15" spans="1:7">
      <c r="A1973" s="20">
        <v>1972</v>
      </c>
      <c r="B1973" s="20">
        <v>2265</v>
      </c>
      <c r="C1973" s="21">
        <v>45149</v>
      </c>
      <c r="D1973" s="20">
        <v>447.91</v>
      </c>
      <c r="E1973" s="22" t="s">
        <v>22</v>
      </c>
      <c r="F1973" s="22" t="s">
        <v>14</v>
      </c>
      <c r="G1973" s="22" t="s">
        <v>17</v>
      </c>
    </row>
    <row r="1974" ht="15.15" spans="1:7">
      <c r="A1974" s="20">
        <v>1973</v>
      </c>
      <c r="B1974" s="20">
        <v>8622</v>
      </c>
      <c r="C1974" s="21">
        <v>45281</v>
      </c>
      <c r="D1974" s="20">
        <v>242.22</v>
      </c>
      <c r="E1974" s="22" t="s">
        <v>10</v>
      </c>
      <c r="F1974" s="22" t="s">
        <v>13</v>
      </c>
      <c r="G1974" s="22" t="s">
        <v>12</v>
      </c>
    </row>
    <row r="1975" ht="15.15" spans="1:7">
      <c r="A1975" s="20">
        <v>1974</v>
      </c>
      <c r="B1975" s="20">
        <v>5825</v>
      </c>
      <c r="C1975" s="21">
        <v>45207</v>
      </c>
      <c r="D1975" s="20">
        <v>2241.12</v>
      </c>
      <c r="E1975" s="22" t="s">
        <v>10</v>
      </c>
      <c r="F1975" s="22" t="s">
        <v>14</v>
      </c>
      <c r="G1975" s="22" t="s">
        <v>15</v>
      </c>
    </row>
    <row r="1976" ht="15.15" spans="1:7">
      <c r="A1976" s="20">
        <v>1975</v>
      </c>
      <c r="B1976" s="20">
        <v>9158</v>
      </c>
      <c r="C1976" s="21">
        <v>45192</v>
      </c>
      <c r="D1976" s="20">
        <v>157.92</v>
      </c>
      <c r="E1976" s="22" t="s">
        <v>10</v>
      </c>
      <c r="F1976" s="22" t="s">
        <v>16</v>
      </c>
      <c r="G1976" s="22" t="s">
        <v>20</v>
      </c>
    </row>
    <row r="1977" ht="15.15" spans="1:7">
      <c r="A1977" s="20">
        <v>1976</v>
      </c>
      <c r="B1977" s="20">
        <v>2754</v>
      </c>
      <c r="C1977" s="21">
        <v>45159</v>
      </c>
      <c r="D1977" s="20">
        <v>198.89</v>
      </c>
      <c r="E1977" s="22" t="s">
        <v>10</v>
      </c>
      <c r="F1977" s="22" t="s">
        <v>18</v>
      </c>
      <c r="G1977" s="22" t="s">
        <v>20</v>
      </c>
    </row>
    <row r="1978" ht="15.15" spans="1:7">
      <c r="A1978" s="20">
        <v>1977</v>
      </c>
      <c r="B1978" s="20">
        <v>1116</v>
      </c>
      <c r="C1978" s="21">
        <v>45228</v>
      </c>
      <c r="D1978" s="20">
        <v>1758.17</v>
      </c>
      <c r="E1978" s="22" t="s">
        <v>10</v>
      </c>
      <c r="F1978" s="22" t="s">
        <v>18</v>
      </c>
      <c r="G1978" s="22" t="s">
        <v>12</v>
      </c>
    </row>
    <row r="1979" ht="15.15" spans="1:7">
      <c r="A1979" s="20">
        <v>1978</v>
      </c>
      <c r="B1979" s="20">
        <v>4808</v>
      </c>
      <c r="C1979" s="21">
        <v>44964</v>
      </c>
      <c r="D1979" s="20">
        <v>496.71</v>
      </c>
      <c r="E1979" s="22" t="s">
        <v>10</v>
      </c>
      <c r="F1979" s="22" t="s">
        <v>18</v>
      </c>
      <c r="G1979" s="22" t="s">
        <v>15</v>
      </c>
    </row>
    <row r="1980" ht="15.15" spans="1:7">
      <c r="A1980" s="20">
        <v>1979</v>
      </c>
      <c r="B1980" s="20">
        <v>3458</v>
      </c>
      <c r="C1980" s="21">
        <v>44997</v>
      </c>
      <c r="D1980" s="20">
        <v>1548.28</v>
      </c>
      <c r="E1980" s="22" t="s">
        <v>10</v>
      </c>
      <c r="F1980" s="22" t="s">
        <v>18</v>
      </c>
      <c r="G1980" s="22" t="s">
        <v>15</v>
      </c>
    </row>
    <row r="1981" ht="15.15" spans="1:7">
      <c r="A1981" s="20">
        <v>1980</v>
      </c>
      <c r="B1981" s="20">
        <v>9246</v>
      </c>
      <c r="C1981" s="21">
        <v>44937</v>
      </c>
      <c r="D1981" s="20">
        <v>366.31</v>
      </c>
      <c r="E1981" s="22" t="s">
        <v>10</v>
      </c>
      <c r="F1981" s="22" t="s">
        <v>11</v>
      </c>
      <c r="G1981" s="22" t="s">
        <v>12</v>
      </c>
    </row>
    <row r="1982" ht="15.15" spans="1:7">
      <c r="A1982" s="20">
        <v>1981</v>
      </c>
      <c r="B1982" s="20">
        <v>3010</v>
      </c>
      <c r="C1982" s="21">
        <v>45025</v>
      </c>
      <c r="D1982" s="20">
        <v>1816.58</v>
      </c>
      <c r="E1982" s="22" t="s">
        <v>10</v>
      </c>
      <c r="F1982" s="22" t="s">
        <v>14</v>
      </c>
      <c r="G1982" s="22" t="s">
        <v>12</v>
      </c>
    </row>
    <row r="1983" ht="15.15" spans="1:7">
      <c r="A1983" s="20">
        <v>1982</v>
      </c>
      <c r="B1983" s="20">
        <v>2087</v>
      </c>
      <c r="C1983" s="21">
        <v>45193</v>
      </c>
      <c r="D1983" s="20">
        <v>834.44</v>
      </c>
      <c r="E1983" s="22" t="s">
        <v>10</v>
      </c>
      <c r="F1983" s="22" t="s">
        <v>13</v>
      </c>
      <c r="G1983" s="22" t="s">
        <v>12</v>
      </c>
    </row>
    <row r="1984" ht="15.15" spans="1:7">
      <c r="A1984" s="20">
        <v>1983</v>
      </c>
      <c r="B1984" s="20">
        <v>6263</v>
      </c>
      <c r="C1984" s="21">
        <v>44940</v>
      </c>
      <c r="D1984" s="20">
        <v>141.98</v>
      </c>
      <c r="E1984" s="22" t="s">
        <v>10</v>
      </c>
      <c r="F1984" s="22" t="s">
        <v>14</v>
      </c>
      <c r="G1984" s="22" t="s">
        <v>17</v>
      </c>
    </row>
    <row r="1985" ht="15.15" spans="1:7">
      <c r="A1985" s="20">
        <v>1984</v>
      </c>
      <c r="B1985" s="20">
        <v>6825</v>
      </c>
      <c r="C1985" s="21">
        <v>44968</v>
      </c>
      <c r="D1985" s="20">
        <v>2359.11</v>
      </c>
      <c r="E1985" s="22" t="s">
        <v>10</v>
      </c>
      <c r="F1985" s="22" t="s">
        <v>13</v>
      </c>
      <c r="G1985" s="22" t="s">
        <v>17</v>
      </c>
    </row>
    <row r="1986" ht="15.15" spans="1:7">
      <c r="A1986" s="20">
        <v>1985</v>
      </c>
      <c r="B1986" s="20">
        <v>7193</v>
      </c>
      <c r="C1986" s="21">
        <v>45238</v>
      </c>
      <c r="D1986" s="20">
        <v>2438.69</v>
      </c>
      <c r="E1986" s="22" t="s">
        <v>10</v>
      </c>
      <c r="F1986" s="22" t="s">
        <v>13</v>
      </c>
      <c r="G1986" s="22" t="s">
        <v>12</v>
      </c>
    </row>
    <row r="1987" ht="15.15" spans="1:7">
      <c r="A1987" s="20">
        <v>1986</v>
      </c>
      <c r="B1987" s="20">
        <v>8137</v>
      </c>
      <c r="C1987" s="21">
        <v>45036</v>
      </c>
      <c r="D1987" s="20">
        <v>1645.17</v>
      </c>
      <c r="E1987" s="22" t="s">
        <v>10</v>
      </c>
      <c r="F1987" s="22" t="s">
        <v>13</v>
      </c>
      <c r="G1987" s="22" t="s">
        <v>12</v>
      </c>
    </row>
    <row r="1988" ht="15.15" spans="1:7">
      <c r="A1988" s="20">
        <v>1987</v>
      </c>
      <c r="B1988" s="20">
        <v>7633</v>
      </c>
      <c r="C1988" s="21">
        <v>45166</v>
      </c>
      <c r="D1988" s="20">
        <v>1008.02</v>
      </c>
      <c r="E1988" s="22" t="s">
        <v>10</v>
      </c>
      <c r="F1988" s="22" t="s">
        <v>16</v>
      </c>
      <c r="G1988" s="22" t="s">
        <v>20</v>
      </c>
    </row>
    <row r="1989" ht="15.15" spans="1:7">
      <c r="A1989" s="20">
        <v>1988</v>
      </c>
      <c r="B1989" s="20">
        <v>6066</v>
      </c>
      <c r="C1989" s="21">
        <v>45191</v>
      </c>
      <c r="D1989" s="20">
        <v>1686.95</v>
      </c>
      <c r="E1989" s="22" t="s">
        <v>10</v>
      </c>
      <c r="F1989" s="22" t="s">
        <v>11</v>
      </c>
      <c r="G1989" s="22" t="s">
        <v>12</v>
      </c>
    </row>
    <row r="1990" ht="15.15" spans="1:7">
      <c r="A1990" s="20">
        <v>1989</v>
      </c>
      <c r="B1990" s="20">
        <v>3264</v>
      </c>
      <c r="C1990" s="21">
        <v>44986</v>
      </c>
      <c r="D1990" s="20">
        <v>2014.92</v>
      </c>
      <c r="E1990" s="22" t="s">
        <v>10</v>
      </c>
      <c r="F1990" s="22" t="s">
        <v>18</v>
      </c>
      <c r="G1990" s="22" t="s">
        <v>20</v>
      </c>
    </row>
    <row r="1991" ht="15.15" spans="1:7">
      <c r="A1991" s="20">
        <v>1990</v>
      </c>
      <c r="B1991" s="20">
        <v>9180</v>
      </c>
      <c r="C1991" s="21">
        <v>45181</v>
      </c>
      <c r="D1991" s="20">
        <v>720.56</v>
      </c>
      <c r="E1991" s="22" t="s">
        <v>10</v>
      </c>
      <c r="F1991" s="22" t="s">
        <v>11</v>
      </c>
      <c r="G1991" s="22" t="s">
        <v>17</v>
      </c>
    </row>
    <row r="1992" ht="15.15" spans="1:7">
      <c r="A1992" s="20">
        <v>1991</v>
      </c>
      <c r="B1992" s="20">
        <v>6141</v>
      </c>
      <c r="C1992" s="21">
        <v>44947</v>
      </c>
      <c r="D1992" s="20">
        <v>208.24</v>
      </c>
      <c r="E1992" s="22" t="s">
        <v>10</v>
      </c>
      <c r="F1992" s="22" t="s">
        <v>16</v>
      </c>
      <c r="G1992" s="22" t="s">
        <v>17</v>
      </c>
    </row>
    <row r="1993" ht="15.15" spans="1:7">
      <c r="A1993" s="20">
        <v>1992</v>
      </c>
      <c r="B1993" s="20">
        <v>5027</v>
      </c>
      <c r="C1993" s="21">
        <v>45227</v>
      </c>
      <c r="D1993" s="20">
        <v>999.98</v>
      </c>
      <c r="E1993" s="22" t="s">
        <v>10</v>
      </c>
      <c r="F1993" s="22" t="s">
        <v>18</v>
      </c>
      <c r="G1993" s="22" t="s">
        <v>20</v>
      </c>
    </row>
    <row r="1994" ht="15.15" spans="1:7">
      <c r="A1994" s="20">
        <v>1993</v>
      </c>
      <c r="B1994" s="20">
        <v>6201</v>
      </c>
      <c r="C1994" s="21">
        <v>44974</v>
      </c>
      <c r="D1994" s="20">
        <v>1633.37</v>
      </c>
      <c r="E1994" s="22" t="s">
        <v>10</v>
      </c>
      <c r="F1994" s="22" t="s">
        <v>14</v>
      </c>
      <c r="G1994" s="22" t="s">
        <v>20</v>
      </c>
    </row>
    <row r="1995" ht="15.15" spans="1:7">
      <c r="A1995" s="20">
        <v>1994</v>
      </c>
      <c r="B1995" s="20">
        <v>1206</v>
      </c>
      <c r="C1995" s="21">
        <v>45033</v>
      </c>
      <c r="D1995" s="20">
        <v>2644.06</v>
      </c>
      <c r="E1995" s="22" t="s">
        <v>10</v>
      </c>
      <c r="F1995" s="22" t="s">
        <v>13</v>
      </c>
      <c r="G1995" s="22" t="s">
        <v>20</v>
      </c>
    </row>
    <row r="1996" ht="15.15" spans="1:7">
      <c r="A1996" s="20">
        <v>1995</v>
      </c>
      <c r="B1996" s="20">
        <v>4461</v>
      </c>
      <c r="C1996" s="21">
        <v>45226</v>
      </c>
      <c r="D1996" s="20">
        <v>623.26</v>
      </c>
      <c r="E1996" s="22" t="s">
        <v>10</v>
      </c>
      <c r="F1996" s="22" t="s">
        <v>16</v>
      </c>
      <c r="G1996" s="22" t="s">
        <v>20</v>
      </c>
    </row>
    <row r="1997" ht="15.15" spans="1:7">
      <c r="A1997" s="20">
        <v>1996</v>
      </c>
      <c r="B1997" s="20">
        <v>532</v>
      </c>
      <c r="C1997" s="21">
        <v>45038</v>
      </c>
      <c r="D1997" s="20">
        <v>3054.62</v>
      </c>
      <c r="E1997" s="22" t="s">
        <v>10</v>
      </c>
      <c r="F1997" s="22" t="s">
        <v>14</v>
      </c>
      <c r="G1997" s="22" t="s">
        <v>15</v>
      </c>
    </row>
    <row r="1998" ht="15.15" spans="1:7">
      <c r="A1998" s="20">
        <v>1997</v>
      </c>
      <c r="B1998" s="20">
        <v>2184</v>
      </c>
      <c r="C1998" s="21">
        <v>45242</v>
      </c>
      <c r="D1998" s="20">
        <v>442.69</v>
      </c>
      <c r="E1998" s="22" t="s">
        <v>10</v>
      </c>
      <c r="F1998" s="22" t="s">
        <v>11</v>
      </c>
      <c r="G1998" s="22" t="s">
        <v>20</v>
      </c>
    </row>
    <row r="1999" ht="15.15" spans="1:7">
      <c r="A1999" s="20">
        <v>1998</v>
      </c>
      <c r="B1999" s="20">
        <v>9673</v>
      </c>
      <c r="C1999" s="21">
        <v>45117</v>
      </c>
      <c r="D1999" s="20">
        <v>587.71</v>
      </c>
      <c r="E1999" s="22" t="s">
        <v>10</v>
      </c>
      <c r="F1999" s="22" t="s">
        <v>14</v>
      </c>
      <c r="G1999" s="22" t="s">
        <v>17</v>
      </c>
    </row>
    <row r="2000" ht="15.15" spans="1:7">
      <c r="A2000" s="20">
        <v>1999</v>
      </c>
      <c r="B2000" s="20">
        <v>3848</v>
      </c>
      <c r="C2000" s="21">
        <v>45006</v>
      </c>
      <c r="D2000" s="20">
        <v>837.94</v>
      </c>
      <c r="E2000" s="22" t="s">
        <v>10</v>
      </c>
      <c r="F2000" s="22" t="s">
        <v>18</v>
      </c>
      <c r="G2000" s="22" t="s">
        <v>15</v>
      </c>
    </row>
    <row r="2001" ht="15.15" spans="1:7">
      <c r="A2001" s="20">
        <v>2000</v>
      </c>
      <c r="B2001" s="20">
        <v>4869</v>
      </c>
      <c r="C2001" s="21">
        <v>45119</v>
      </c>
      <c r="D2001" s="20">
        <v>821.31</v>
      </c>
      <c r="E2001" s="22" t="s">
        <v>10</v>
      </c>
      <c r="F2001" s="22" t="s">
        <v>16</v>
      </c>
      <c r="G2001" s="22" t="s">
        <v>17</v>
      </c>
    </row>
    <row r="2002" ht="15.15" spans="1:7">
      <c r="A2002" s="20">
        <v>2001</v>
      </c>
      <c r="B2002" s="20">
        <v>2445</v>
      </c>
      <c r="C2002" s="21">
        <v>45025</v>
      </c>
      <c r="D2002" s="20">
        <v>442.69</v>
      </c>
      <c r="E2002" s="22" t="s">
        <v>10</v>
      </c>
      <c r="F2002" s="22" t="s">
        <v>16</v>
      </c>
      <c r="G2002" s="22" t="s">
        <v>17</v>
      </c>
    </row>
    <row r="2003" ht="15.15" spans="1:7">
      <c r="A2003" s="20">
        <v>2002</v>
      </c>
      <c r="B2003" s="20">
        <v>3919</v>
      </c>
      <c r="C2003" s="21">
        <v>44991</v>
      </c>
      <c r="D2003" s="20">
        <v>100.33</v>
      </c>
      <c r="E2003" s="22" t="s">
        <v>10</v>
      </c>
      <c r="F2003" s="22" t="s">
        <v>11</v>
      </c>
      <c r="G2003" s="22" t="s">
        <v>12</v>
      </c>
    </row>
    <row r="2004" ht="15.15" spans="1:7">
      <c r="A2004" s="20">
        <v>2003</v>
      </c>
      <c r="B2004" s="20">
        <v>3995</v>
      </c>
      <c r="C2004" s="21">
        <v>45278</v>
      </c>
      <c r="D2004" s="20">
        <v>1354.25</v>
      </c>
      <c r="E2004" s="22" t="s">
        <v>10</v>
      </c>
      <c r="F2004" s="22" t="s">
        <v>18</v>
      </c>
      <c r="G2004" s="22" t="s">
        <v>17</v>
      </c>
    </row>
    <row r="2005" ht="15.15" spans="1:7">
      <c r="A2005" s="20">
        <v>2004</v>
      </c>
      <c r="B2005" s="20">
        <v>344</v>
      </c>
      <c r="C2005" s="21">
        <v>45216</v>
      </c>
      <c r="D2005" s="20">
        <v>587.83</v>
      </c>
      <c r="E2005" s="22" t="s">
        <v>10</v>
      </c>
      <c r="F2005" s="22" t="s">
        <v>14</v>
      </c>
      <c r="G2005" s="22" t="s">
        <v>20</v>
      </c>
    </row>
    <row r="2006" ht="15.15" spans="1:7">
      <c r="A2006" s="20">
        <v>2005</v>
      </c>
      <c r="B2006" s="20">
        <v>1435</v>
      </c>
      <c r="C2006" s="21">
        <v>45150</v>
      </c>
      <c r="D2006" s="20">
        <v>1523.8</v>
      </c>
      <c r="E2006" s="22" t="s">
        <v>10</v>
      </c>
      <c r="F2006" s="22" t="s">
        <v>11</v>
      </c>
      <c r="G2006" s="22" t="s">
        <v>20</v>
      </c>
    </row>
    <row r="2007" ht="15.15" spans="1:7">
      <c r="A2007" s="20">
        <v>2006</v>
      </c>
      <c r="B2007" s="20">
        <v>1312</v>
      </c>
      <c r="C2007" s="21">
        <v>45051</v>
      </c>
      <c r="D2007" s="20">
        <v>126.67</v>
      </c>
      <c r="E2007" s="22" t="s">
        <v>10</v>
      </c>
      <c r="F2007" s="22" t="s">
        <v>13</v>
      </c>
      <c r="G2007" s="22" t="s">
        <v>17</v>
      </c>
    </row>
    <row r="2008" ht="15.15" spans="1:7">
      <c r="A2008" s="20">
        <v>2007</v>
      </c>
      <c r="B2008" s="20">
        <v>9551</v>
      </c>
      <c r="C2008" s="21">
        <v>45251</v>
      </c>
      <c r="D2008" s="20">
        <v>868.94</v>
      </c>
      <c r="E2008" s="22" t="s">
        <v>10</v>
      </c>
      <c r="F2008" s="22" t="s">
        <v>13</v>
      </c>
      <c r="G2008" s="22" t="s">
        <v>17</v>
      </c>
    </row>
    <row r="2009" ht="15.15" spans="1:7">
      <c r="A2009" s="20">
        <v>2008</v>
      </c>
      <c r="B2009" s="20">
        <v>599</v>
      </c>
      <c r="C2009" s="21">
        <v>45137</v>
      </c>
      <c r="D2009" s="20">
        <v>1255.3</v>
      </c>
      <c r="E2009" s="22" t="s">
        <v>10</v>
      </c>
      <c r="F2009" s="22" t="s">
        <v>13</v>
      </c>
      <c r="G2009" s="22" t="s">
        <v>15</v>
      </c>
    </row>
    <row r="2010" ht="15.15" spans="1:7">
      <c r="A2010" s="20">
        <v>2009</v>
      </c>
      <c r="B2010" s="20">
        <v>447</v>
      </c>
      <c r="C2010" s="21">
        <v>45132</v>
      </c>
      <c r="D2010" s="20">
        <v>2905.29</v>
      </c>
      <c r="E2010" s="22" t="s">
        <v>10</v>
      </c>
      <c r="F2010" s="22" t="s">
        <v>14</v>
      </c>
      <c r="G2010" s="22" t="s">
        <v>12</v>
      </c>
    </row>
    <row r="2011" ht="15.15" spans="1:7">
      <c r="A2011" s="20">
        <v>2010</v>
      </c>
      <c r="B2011" s="20">
        <v>59</v>
      </c>
      <c r="C2011" s="21">
        <v>45268</v>
      </c>
      <c r="D2011" s="20">
        <v>2087.9</v>
      </c>
      <c r="E2011" s="22" t="s">
        <v>10</v>
      </c>
      <c r="F2011" s="22" t="s">
        <v>16</v>
      </c>
      <c r="G2011" s="22" t="s">
        <v>20</v>
      </c>
    </row>
    <row r="2012" ht="15.15" spans="1:7">
      <c r="A2012" s="20">
        <v>2011</v>
      </c>
      <c r="B2012" s="20">
        <v>8551</v>
      </c>
      <c r="C2012" s="21">
        <v>45274</v>
      </c>
      <c r="D2012" s="20">
        <v>1259.36</v>
      </c>
      <c r="E2012" s="22" t="s">
        <v>10</v>
      </c>
      <c r="F2012" s="22" t="s">
        <v>18</v>
      </c>
      <c r="G2012" s="22" t="s">
        <v>20</v>
      </c>
    </row>
    <row r="2013" ht="15.15" spans="1:7">
      <c r="A2013" s="20">
        <v>2012</v>
      </c>
      <c r="B2013" s="20">
        <v>2243</v>
      </c>
      <c r="C2013" s="21">
        <v>45034</v>
      </c>
      <c r="D2013" s="20">
        <v>1061.55</v>
      </c>
      <c r="E2013" s="22" t="s">
        <v>10</v>
      </c>
      <c r="F2013" s="22" t="s">
        <v>16</v>
      </c>
      <c r="G2013" s="22" t="s">
        <v>17</v>
      </c>
    </row>
    <row r="2014" ht="15.15" spans="1:7">
      <c r="A2014" s="20">
        <v>2013</v>
      </c>
      <c r="B2014" s="20">
        <v>2679</v>
      </c>
      <c r="C2014" s="21">
        <v>44958</v>
      </c>
      <c r="D2014" s="20">
        <v>256.17</v>
      </c>
      <c r="E2014" s="22" t="s">
        <v>10</v>
      </c>
      <c r="F2014" s="22" t="s">
        <v>13</v>
      </c>
      <c r="G2014" s="22" t="s">
        <v>15</v>
      </c>
    </row>
    <row r="2015" ht="15.15" spans="1:7">
      <c r="A2015" s="20">
        <v>2014</v>
      </c>
      <c r="B2015" s="20">
        <v>9138</v>
      </c>
      <c r="C2015" s="21">
        <v>45157</v>
      </c>
      <c r="D2015" s="20">
        <v>771.02</v>
      </c>
      <c r="E2015" s="22" t="s">
        <v>10</v>
      </c>
      <c r="F2015" s="22" t="s">
        <v>16</v>
      </c>
      <c r="G2015" s="22" t="s">
        <v>15</v>
      </c>
    </row>
    <row r="2016" ht="15.15" spans="1:7">
      <c r="A2016" s="20">
        <v>2015</v>
      </c>
      <c r="B2016" s="20">
        <v>9959</v>
      </c>
      <c r="C2016" s="21">
        <v>44927</v>
      </c>
      <c r="D2016" s="20">
        <v>240.54</v>
      </c>
      <c r="E2016" s="22" t="s">
        <v>10</v>
      </c>
      <c r="F2016" s="22" t="s">
        <v>13</v>
      </c>
      <c r="G2016" s="22" t="s">
        <v>17</v>
      </c>
    </row>
    <row r="2017" ht="15.15" spans="1:7">
      <c r="A2017" s="20">
        <v>2016</v>
      </c>
      <c r="B2017" s="20">
        <v>2628</v>
      </c>
      <c r="C2017" s="21">
        <v>44960</v>
      </c>
      <c r="D2017" s="20">
        <v>1705.71</v>
      </c>
      <c r="E2017" s="22" t="s">
        <v>10</v>
      </c>
      <c r="F2017" s="22" t="s">
        <v>16</v>
      </c>
      <c r="G2017" s="22" t="s">
        <v>12</v>
      </c>
    </row>
    <row r="2018" ht="15.15" spans="1:7">
      <c r="A2018" s="20">
        <v>2017</v>
      </c>
      <c r="B2018" s="20">
        <v>8789</v>
      </c>
      <c r="C2018" s="21">
        <v>45150</v>
      </c>
      <c r="D2018" s="20">
        <v>141.33</v>
      </c>
      <c r="E2018" s="22" t="s">
        <v>10</v>
      </c>
      <c r="F2018" s="22" t="s">
        <v>11</v>
      </c>
      <c r="G2018" s="22" t="s">
        <v>12</v>
      </c>
    </row>
    <row r="2019" ht="15.15" spans="1:7">
      <c r="A2019" s="20">
        <v>2018</v>
      </c>
      <c r="B2019" s="20">
        <v>1508</v>
      </c>
      <c r="C2019" s="21">
        <v>45252</v>
      </c>
      <c r="D2019" s="20">
        <v>1359.06</v>
      </c>
      <c r="E2019" s="22" t="s">
        <v>10</v>
      </c>
      <c r="F2019" s="22" t="s">
        <v>11</v>
      </c>
      <c r="G2019" s="22" t="s">
        <v>15</v>
      </c>
    </row>
    <row r="2020" ht="15.15" spans="1:7">
      <c r="A2020" s="20">
        <v>2019</v>
      </c>
      <c r="B2020" s="20">
        <v>6006</v>
      </c>
      <c r="C2020" s="21">
        <v>45117</v>
      </c>
      <c r="D2020" s="20">
        <v>154.28</v>
      </c>
      <c r="E2020" s="22" t="s">
        <v>10</v>
      </c>
      <c r="F2020" s="22" t="s">
        <v>13</v>
      </c>
      <c r="G2020" s="22" t="s">
        <v>12</v>
      </c>
    </row>
    <row r="2021" ht="15.15" spans="1:7">
      <c r="A2021" s="20">
        <v>2020</v>
      </c>
      <c r="B2021" s="20">
        <v>3304</v>
      </c>
      <c r="C2021" s="21">
        <v>45059</v>
      </c>
      <c r="D2021" s="20">
        <v>304.87</v>
      </c>
      <c r="E2021" s="22" t="s">
        <v>10</v>
      </c>
      <c r="F2021" s="22" t="s">
        <v>14</v>
      </c>
      <c r="G2021" s="22" t="s">
        <v>12</v>
      </c>
    </row>
    <row r="2022" ht="15.15" spans="1:7">
      <c r="A2022" s="20">
        <v>2021</v>
      </c>
      <c r="B2022" s="20">
        <v>7197</v>
      </c>
      <c r="C2022" s="21">
        <v>45034</v>
      </c>
      <c r="D2022" s="20">
        <v>644.55</v>
      </c>
      <c r="E2022" s="22" t="s">
        <v>10</v>
      </c>
      <c r="F2022" s="22" t="s">
        <v>16</v>
      </c>
      <c r="G2022" s="22" t="s">
        <v>17</v>
      </c>
    </row>
    <row r="2023" ht="15.15" spans="1:7">
      <c r="A2023" s="20">
        <v>2022</v>
      </c>
      <c r="B2023" s="20">
        <v>3030</v>
      </c>
      <c r="C2023" s="21">
        <v>45151</v>
      </c>
      <c r="D2023" s="20">
        <v>899.54</v>
      </c>
      <c r="E2023" s="22" t="s">
        <v>10</v>
      </c>
      <c r="F2023" s="22" t="s">
        <v>18</v>
      </c>
      <c r="G2023" s="22" t="s">
        <v>20</v>
      </c>
    </row>
    <row r="2024" ht="15.15" spans="1:7">
      <c r="A2024" s="20">
        <v>2023</v>
      </c>
      <c r="B2024" s="20">
        <v>3517</v>
      </c>
      <c r="C2024" s="21">
        <v>44957</v>
      </c>
      <c r="D2024" s="20">
        <v>193.8</v>
      </c>
      <c r="E2024" s="22" t="s">
        <v>10</v>
      </c>
      <c r="F2024" s="22" t="s">
        <v>14</v>
      </c>
      <c r="G2024" s="22" t="s">
        <v>15</v>
      </c>
    </row>
    <row r="2025" ht="15.15" spans="1:7">
      <c r="A2025" s="20">
        <v>2024</v>
      </c>
      <c r="B2025" s="20">
        <v>8385</v>
      </c>
      <c r="C2025" s="21">
        <v>45170</v>
      </c>
      <c r="D2025" s="20">
        <v>187.47</v>
      </c>
      <c r="E2025" s="22" t="s">
        <v>10</v>
      </c>
      <c r="F2025" s="22" t="s">
        <v>14</v>
      </c>
      <c r="G2025" s="22" t="s">
        <v>15</v>
      </c>
    </row>
    <row r="2026" ht="15.15" spans="1:7">
      <c r="A2026" s="20">
        <v>2025</v>
      </c>
      <c r="B2026" s="20">
        <v>9482</v>
      </c>
      <c r="C2026" s="21">
        <v>45221</v>
      </c>
      <c r="D2026" s="20">
        <v>176.74</v>
      </c>
      <c r="E2026" s="22" t="s">
        <v>10</v>
      </c>
      <c r="F2026" s="22" t="s">
        <v>11</v>
      </c>
      <c r="G2026" s="22" t="s">
        <v>15</v>
      </c>
    </row>
    <row r="2027" ht="15.15" spans="1:7">
      <c r="A2027" s="20">
        <v>2026</v>
      </c>
      <c r="B2027" s="20">
        <v>3357</v>
      </c>
      <c r="C2027" s="21">
        <v>45247</v>
      </c>
      <c r="D2027" s="20">
        <v>2639.3</v>
      </c>
      <c r="E2027" s="22" t="s">
        <v>10</v>
      </c>
      <c r="F2027" s="22" t="s">
        <v>14</v>
      </c>
      <c r="G2027" s="22" t="s">
        <v>12</v>
      </c>
    </row>
    <row r="2028" ht="15.15" spans="1:7">
      <c r="A2028" s="20">
        <v>2027</v>
      </c>
      <c r="B2028" s="20">
        <v>9146</v>
      </c>
      <c r="C2028" s="21">
        <v>45284</v>
      </c>
      <c r="D2028" s="20">
        <v>3633.44</v>
      </c>
      <c r="E2028" s="22" t="s">
        <v>10</v>
      </c>
      <c r="F2028" s="22" t="s">
        <v>14</v>
      </c>
      <c r="G2028" s="22" t="s">
        <v>17</v>
      </c>
    </row>
    <row r="2029" ht="15.15" spans="1:7">
      <c r="A2029" s="20">
        <v>2028</v>
      </c>
      <c r="B2029" s="20">
        <v>129</v>
      </c>
      <c r="C2029" s="21">
        <v>44965</v>
      </c>
      <c r="D2029" s="20">
        <v>1885.77</v>
      </c>
      <c r="E2029" s="22" t="s">
        <v>10</v>
      </c>
      <c r="F2029" s="22" t="s">
        <v>18</v>
      </c>
      <c r="G2029" s="22" t="s">
        <v>17</v>
      </c>
    </row>
    <row r="2030" ht="15.15" spans="1:7">
      <c r="A2030" s="20">
        <v>2029</v>
      </c>
      <c r="B2030" s="20">
        <v>5936</v>
      </c>
      <c r="C2030" s="21">
        <v>45154</v>
      </c>
      <c r="D2030" s="20">
        <v>395.17</v>
      </c>
      <c r="E2030" s="22" t="s">
        <v>10</v>
      </c>
      <c r="F2030" s="22" t="s">
        <v>18</v>
      </c>
      <c r="G2030" s="22" t="s">
        <v>12</v>
      </c>
    </row>
    <row r="2031" ht="15.15" spans="1:7">
      <c r="A2031" s="20">
        <v>2030</v>
      </c>
      <c r="B2031" s="20">
        <v>7403</v>
      </c>
      <c r="C2031" s="21">
        <v>45260</v>
      </c>
      <c r="D2031" s="20">
        <v>401.69</v>
      </c>
      <c r="E2031" s="22" t="s">
        <v>10</v>
      </c>
      <c r="F2031" s="22" t="s">
        <v>18</v>
      </c>
      <c r="G2031" s="22" t="s">
        <v>15</v>
      </c>
    </row>
    <row r="2032" ht="15.15" spans="1:7">
      <c r="A2032" s="20">
        <v>2031</v>
      </c>
      <c r="B2032" s="20">
        <v>2041</v>
      </c>
      <c r="C2032" s="21">
        <v>45229</v>
      </c>
      <c r="D2032" s="20">
        <v>719.27</v>
      </c>
      <c r="E2032" s="22" t="s">
        <v>10</v>
      </c>
      <c r="F2032" s="22" t="s">
        <v>14</v>
      </c>
      <c r="G2032" s="22" t="s">
        <v>15</v>
      </c>
    </row>
    <row r="2033" ht="15.15" spans="1:7">
      <c r="A2033" s="20">
        <v>2032</v>
      </c>
      <c r="B2033" s="20">
        <v>9349</v>
      </c>
      <c r="C2033" s="21">
        <v>45056</v>
      </c>
      <c r="D2033" s="20">
        <v>270.86</v>
      </c>
      <c r="E2033" s="22" t="s">
        <v>10</v>
      </c>
      <c r="F2033" s="22" t="s">
        <v>16</v>
      </c>
      <c r="G2033" s="22" t="s">
        <v>17</v>
      </c>
    </row>
    <row r="2034" ht="15.15" spans="1:7">
      <c r="A2034" s="20">
        <v>2033</v>
      </c>
      <c r="B2034" s="20">
        <v>2641</v>
      </c>
      <c r="C2034" s="21">
        <v>45257</v>
      </c>
      <c r="D2034" s="20">
        <v>1112.54</v>
      </c>
      <c r="E2034" s="22" t="s">
        <v>10</v>
      </c>
      <c r="F2034" s="22" t="s">
        <v>18</v>
      </c>
      <c r="G2034" s="22" t="s">
        <v>17</v>
      </c>
    </row>
    <row r="2035" ht="15.15" spans="1:7">
      <c r="A2035" s="20">
        <v>2034</v>
      </c>
      <c r="B2035" s="20">
        <v>4917</v>
      </c>
      <c r="C2035" s="21">
        <v>45024</v>
      </c>
      <c r="D2035" s="20">
        <v>630.92</v>
      </c>
      <c r="E2035" s="22" t="s">
        <v>10</v>
      </c>
      <c r="F2035" s="22" t="s">
        <v>11</v>
      </c>
      <c r="G2035" s="22" t="s">
        <v>20</v>
      </c>
    </row>
    <row r="2036" ht="15.15" spans="1:7">
      <c r="A2036" s="20">
        <v>2035</v>
      </c>
      <c r="B2036" s="20">
        <v>9304</v>
      </c>
      <c r="C2036" s="21">
        <v>45205</v>
      </c>
      <c r="D2036" s="20">
        <v>476.28</v>
      </c>
      <c r="E2036" s="22" t="s">
        <v>10</v>
      </c>
      <c r="F2036" s="22" t="s">
        <v>16</v>
      </c>
      <c r="G2036" s="22" t="s">
        <v>15</v>
      </c>
    </row>
    <row r="2037" ht="15.15" spans="1:7">
      <c r="A2037" s="20">
        <v>2036</v>
      </c>
      <c r="B2037" s="20">
        <v>7656</v>
      </c>
      <c r="C2037" s="21">
        <v>45257</v>
      </c>
      <c r="D2037" s="20">
        <v>2089.6</v>
      </c>
      <c r="E2037" s="22" t="s">
        <v>10</v>
      </c>
      <c r="F2037" s="22" t="s">
        <v>18</v>
      </c>
      <c r="G2037" s="22" t="s">
        <v>17</v>
      </c>
    </row>
    <row r="2038" ht="15.15" spans="1:7">
      <c r="A2038" s="20">
        <v>2037</v>
      </c>
      <c r="B2038" s="20">
        <v>4368</v>
      </c>
      <c r="C2038" s="21">
        <v>45220</v>
      </c>
      <c r="D2038" s="20">
        <v>439.45</v>
      </c>
      <c r="E2038" s="22" t="s">
        <v>10</v>
      </c>
      <c r="F2038" s="22" t="s">
        <v>11</v>
      </c>
      <c r="G2038" s="22" t="s">
        <v>12</v>
      </c>
    </row>
    <row r="2039" ht="15.15" spans="1:7">
      <c r="A2039" s="20">
        <v>2038</v>
      </c>
      <c r="B2039" s="20">
        <v>8286</v>
      </c>
      <c r="C2039" s="21">
        <v>45043</v>
      </c>
      <c r="D2039" s="20">
        <v>2258.35</v>
      </c>
      <c r="E2039" s="22" t="s">
        <v>21</v>
      </c>
      <c r="F2039" s="22" t="s">
        <v>16</v>
      </c>
      <c r="G2039" s="22" t="s">
        <v>12</v>
      </c>
    </row>
    <row r="2040" ht="15.15" spans="1:7">
      <c r="A2040" s="20">
        <v>2039</v>
      </c>
      <c r="B2040" s="20">
        <v>4363</v>
      </c>
      <c r="C2040" s="21">
        <v>45163</v>
      </c>
      <c r="D2040" s="20">
        <v>659.93</v>
      </c>
      <c r="E2040" s="22" t="s">
        <v>10</v>
      </c>
      <c r="F2040" s="22" t="s">
        <v>11</v>
      </c>
      <c r="G2040" s="22" t="s">
        <v>20</v>
      </c>
    </row>
    <row r="2041" ht="15.15" spans="1:7">
      <c r="A2041" s="20">
        <v>2040</v>
      </c>
      <c r="B2041" s="20">
        <v>7030</v>
      </c>
      <c r="C2041" s="21">
        <v>45160</v>
      </c>
      <c r="D2041" s="20">
        <v>2462.65</v>
      </c>
      <c r="E2041" s="22" t="s">
        <v>10</v>
      </c>
      <c r="F2041" s="22" t="s">
        <v>11</v>
      </c>
      <c r="G2041" s="22" t="s">
        <v>12</v>
      </c>
    </row>
    <row r="2042" ht="15.15" spans="1:7">
      <c r="A2042" s="20">
        <v>2041</v>
      </c>
      <c r="B2042" s="20">
        <v>8989</v>
      </c>
      <c r="C2042" s="21">
        <v>45159</v>
      </c>
      <c r="D2042" s="20">
        <v>798.93</v>
      </c>
      <c r="E2042" s="22" t="s">
        <v>10</v>
      </c>
      <c r="F2042" s="22" t="s">
        <v>16</v>
      </c>
      <c r="G2042" s="22" t="s">
        <v>15</v>
      </c>
    </row>
    <row r="2043" ht="15.15" spans="1:7">
      <c r="A2043" s="20">
        <v>2042</v>
      </c>
      <c r="B2043" s="20">
        <v>6766</v>
      </c>
      <c r="C2043" s="21">
        <v>45253</v>
      </c>
      <c r="D2043" s="20">
        <v>154.28</v>
      </c>
      <c r="E2043" s="22" t="s">
        <v>10</v>
      </c>
      <c r="F2043" s="22" t="s">
        <v>11</v>
      </c>
      <c r="G2043" s="22" t="s">
        <v>20</v>
      </c>
    </row>
    <row r="2044" ht="15.15" spans="1:7">
      <c r="A2044" s="20">
        <v>2043</v>
      </c>
      <c r="B2044" s="20">
        <v>3617</v>
      </c>
      <c r="C2044" s="21">
        <v>44960</v>
      </c>
      <c r="D2044" s="20">
        <v>1636.91</v>
      </c>
      <c r="E2044" s="22" t="s">
        <v>10</v>
      </c>
      <c r="F2044" s="22" t="s">
        <v>14</v>
      </c>
      <c r="G2044" s="22" t="s">
        <v>20</v>
      </c>
    </row>
    <row r="2045" ht="15.15" spans="1:7">
      <c r="A2045" s="20">
        <v>2044</v>
      </c>
      <c r="B2045" s="20">
        <v>843</v>
      </c>
      <c r="C2045" s="21">
        <v>45184</v>
      </c>
      <c r="D2045" s="20">
        <v>1553.15</v>
      </c>
      <c r="E2045" s="22" t="s">
        <v>10</v>
      </c>
      <c r="F2045" s="22" t="s">
        <v>16</v>
      </c>
      <c r="G2045" s="22" t="s">
        <v>15</v>
      </c>
    </row>
    <row r="2046" ht="15.15" spans="1:7">
      <c r="A2046" s="20">
        <v>2045</v>
      </c>
      <c r="B2046" s="20">
        <v>7091</v>
      </c>
      <c r="C2046" s="21">
        <v>45042</v>
      </c>
      <c r="D2046" s="20">
        <v>735.27</v>
      </c>
      <c r="E2046" s="22" t="s">
        <v>10</v>
      </c>
      <c r="F2046" s="22" t="s">
        <v>16</v>
      </c>
      <c r="G2046" s="22" t="s">
        <v>20</v>
      </c>
    </row>
    <row r="2047" ht="15.15" spans="1:7">
      <c r="A2047" s="20">
        <v>2046</v>
      </c>
      <c r="B2047" s="20">
        <v>6648</v>
      </c>
      <c r="C2047" s="21">
        <v>44957</v>
      </c>
      <c r="D2047" s="20">
        <v>1153.5</v>
      </c>
      <c r="E2047" s="22" t="s">
        <v>10</v>
      </c>
      <c r="F2047" s="22" t="s">
        <v>18</v>
      </c>
      <c r="G2047" s="22" t="s">
        <v>17</v>
      </c>
    </row>
    <row r="2048" ht="15.15" spans="1:7">
      <c r="A2048" s="20">
        <v>2047</v>
      </c>
      <c r="B2048" s="20">
        <v>4493</v>
      </c>
      <c r="C2048" s="21">
        <v>45210</v>
      </c>
      <c r="D2048" s="20">
        <v>1922.11</v>
      </c>
      <c r="E2048" s="22" t="s">
        <v>10</v>
      </c>
      <c r="F2048" s="22" t="s">
        <v>19</v>
      </c>
      <c r="G2048" s="22" t="s">
        <v>15</v>
      </c>
    </row>
    <row r="2049" ht="15.15" spans="1:7">
      <c r="A2049" s="20">
        <v>2048</v>
      </c>
      <c r="B2049" s="20">
        <v>8030</v>
      </c>
      <c r="C2049" s="21">
        <v>44963</v>
      </c>
      <c r="D2049" s="20">
        <v>4910.67</v>
      </c>
      <c r="E2049" s="22" t="s">
        <v>10</v>
      </c>
      <c r="F2049" s="22" t="s">
        <v>11</v>
      </c>
      <c r="G2049" s="22" t="s">
        <v>12</v>
      </c>
    </row>
    <row r="2050" ht="15.15" spans="1:7">
      <c r="A2050" s="20">
        <v>2049</v>
      </c>
      <c r="B2050" s="20">
        <v>4291</v>
      </c>
      <c r="C2050" s="21">
        <v>45256</v>
      </c>
      <c r="D2050" s="20">
        <v>157.92</v>
      </c>
      <c r="E2050" s="22" t="s">
        <v>10</v>
      </c>
      <c r="F2050" s="22" t="s">
        <v>11</v>
      </c>
      <c r="G2050" s="22" t="s">
        <v>12</v>
      </c>
    </row>
    <row r="2051" ht="15.15" spans="1:7">
      <c r="A2051" s="20">
        <v>2050</v>
      </c>
      <c r="B2051" s="20">
        <v>6670</v>
      </c>
      <c r="C2051" s="21">
        <v>44964</v>
      </c>
      <c r="D2051" s="20">
        <v>266.31</v>
      </c>
      <c r="E2051" s="22" t="s">
        <v>10</v>
      </c>
      <c r="F2051" s="22" t="s">
        <v>16</v>
      </c>
      <c r="G2051" s="22" t="s">
        <v>20</v>
      </c>
    </row>
    <row r="2052" ht="15.15" spans="1:7">
      <c r="A2052" s="20">
        <v>2051</v>
      </c>
      <c r="B2052" s="20">
        <v>7903</v>
      </c>
      <c r="C2052" s="21">
        <v>45152</v>
      </c>
      <c r="D2052" s="20">
        <v>985.59</v>
      </c>
      <c r="E2052" s="22" t="s">
        <v>10</v>
      </c>
      <c r="F2052" s="22" t="s">
        <v>16</v>
      </c>
      <c r="G2052" s="22" t="s">
        <v>17</v>
      </c>
    </row>
    <row r="2053" ht="15.15" spans="1:7">
      <c r="A2053" s="20">
        <v>2052</v>
      </c>
      <c r="B2053" s="20">
        <v>6744</v>
      </c>
      <c r="C2053" s="21">
        <v>44927</v>
      </c>
      <c r="D2053" s="20">
        <v>3486.72</v>
      </c>
      <c r="E2053" s="22" t="s">
        <v>10</v>
      </c>
      <c r="F2053" s="22" t="s">
        <v>13</v>
      </c>
      <c r="G2053" s="22" t="s">
        <v>12</v>
      </c>
    </row>
    <row r="2054" ht="15.15" spans="1:7">
      <c r="A2054" s="20">
        <v>2053</v>
      </c>
      <c r="B2054" s="20">
        <v>9268</v>
      </c>
      <c r="C2054" s="21">
        <v>45048</v>
      </c>
      <c r="D2054" s="20">
        <v>1520.3</v>
      </c>
      <c r="E2054" s="22" t="s">
        <v>10</v>
      </c>
      <c r="F2054" s="22" t="s">
        <v>13</v>
      </c>
      <c r="G2054" s="22" t="s">
        <v>15</v>
      </c>
    </row>
    <row r="2055" ht="15.15" spans="1:7">
      <c r="A2055" s="20">
        <v>2054</v>
      </c>
      <c r="B2055" s="20">
        <v>3517</v>
      </c>
      <c r="C2055" s="21">
        <v>44959</v>
      </c>
      <c r="D2055" s="20">
        <v>159.92</v>
      </c>
      <c r="E2055" s="22" t="s">
        <v>10</v>
      </c>
      <c r="F2055" s="22" t="s">
        <v>14</v>
      </c>
      <c r="G2055" s="22" t="s">
        <v>17</v>
      </c>
    </row>
    <row r="2056" ht="15.15" spans="1:7">
      <c r="A2056" s="20">
        <v>2055</v>
      </c>
      <c r="B2056" s="20">
        <v>1119</v>
      </c>
      <c r="C2056" s="21">
        <v>45274</v>
      </c>
      <c r="D2056" s="20">
        <v>200.91</v>
      </c>
      <c r="E2056" s="22" t="s">
        <v>10</v>
      </c>
      <c r="F2056" s="22" t="s">
        <v>13</v>
      </c>
      <c r="G2056" s="22" t="s">
        <v>12</v>
      </c>
    </row>
    <row r="2057" ht="15.15" spans="1:7">
      <c r="A2057" s="20">
        <v>2056</v>
      </c>
      <c r="B2057" s="20">
        <v>958</v>
      </c>
      <c r="C2057" s="21">
        <v>45245</v>
      </c>
      <c r="D2057" s="20">
        <v>2022.37</v>
      </c>
      <c r="E2057" s="22" t="s">
        <v>10</v>
      </c>
      <c r="F2057" s="22" t="s">
        <v>16</v>
      </c>
      <c r="G2057" s="22" t="s">
        <v>12</v>
      </c>
    </row>
    <row r="2058" ht="15.15" spans="1:7">
      <c r="A2058" s="20">
        <v>2057</v>
      </c>
      <c r="B2058" s="20">
        <v>8759</v>
      </c>
      <c r="C2058" s="21">
        <v>45264</v>
      </c>
      <c r="D2058" s="20">
        <v>1995.72</v>
      </c>
      <c r="E2058" s="22" t="s">
        <v>10</v>
      </c>
      <c r="F2058" s="22" t="s">
        <v>16</v>
      </c>
      <c r="G2058" s="22" t="s">
        <v>12</v>
      </c>
    </row>
    <row r="2059" ht="15.15" spans="1:7">
      <c r="A2059" s="20">
        <v>2058</v>
      </c>
      <c r="B2059" s="20">
        <v>4638</v>
      </c>
      <c r="C2059" s="21">
        <v>45233</v>
      </c>
      <c r="D2059" s="20">
        <v>2386.28</v>
      </c>
      <c r="E2059" s="22" t="s">
        <v>10</v>
      </c>
      <c r="F2059" s="22" t="s">
        <v>11</v>
      </c>
      <c r="G2059" s="22" t="s">
        <v>20</v>
      </c>
    </row>
    <row r="2060" ht="15.15" spans="1:7">
      <c r="A2060" s="20">
        <v>2059</v>
      </c>
      <c r="B2060" s="20">
        <v>4340</v>
      </c>
      <c r="C2060" s="21">
        <v>45055</v>
      </c>
      <c r="D2060" s="20">
        <v>1126.52</v>
      </c>
      <c r="E2060" s="22" t="s">
        <v>10</v>
      </c>
      <c r="F2060" s="22" t="s">
        <v>11</v>
      </c>
      <c r="G2060" s="22" t="s">
        <v>12</v>
      </c>
    </row>
    <row r="2061" ht="15.15" spans="1:7">
      <c r="A2061" s="20">
        <v>2060</v>
      </c>
      <c r="B2061" s="20">
        <v>3740</v>
      </c>
      <c r="C2061" s="21">
        <v>45254</v>
      </c>
      <c r="D2061" s="20">
        <v>1009.92</v>
      </c>
      <c r="E2061" s="22" t="s">
        <v>10</v>
      </c>
      <c r="F2061" s="22" t="s">
        <v>18</v>
      </c>
      <c r="G2061" s="22" t="s">
        <v>12</v>
      </c>
    </row>
    <row r="2062" ht="15.15" spans="1:7">
      <c r="A2062" s="20">
        <v>2061</v>
      </c>
      <c r="B2062" s="20">
        <v>3284</v>
      </c>
      <c r="C2062" s="21">
        <v>45060</v>
      </c>
      <c r="D2062" s="20">
        <v>1161.8</v>
      </c>
      <c r="E2062" s="22" t="s">
        <v>10</v>
      </c>
      <c r="F2062" s="22" t="s">
        <v>11</v>
      </c>
      <c r="G2062" s="22" t="s">
        <v>12</v>
      </c>
    </row>
    <row r="2063" ht="15.15" spans="1:7">
      <c r="A2063" s="20">
        <v>2062</v>
      </c>
      <c r="B2063" s="20">
        <v>8738</v>
      </c>
      <c r="C2063" s="21">
        <v>45037</v>
      </c>
      <c r="D2063" s="20">
        <v>626.59</v>
      </c>
      <c r="E2063" s="22" t="s">
        <v>21</v>
      </c>
      <c r="F2063" s="22" t="s">
        <v>16</v>
      </c>
      <c r="G2063" s="22" t="s">
        <v>17</v>
      </c>
    </row>
    <row r="2064" ht="15.15" spans="1:7">
      <c r="A2064" s="20">
        <v>2063</v>
      </c>
      <c r="B2064" s="20">
        <v>3336</v>
      </c>
      <c r="C2064" s="21">
        <v>45045</v>
      </c>
      <c r="D2064" s="20">
        <v>2127.63</v>
      </c>
      <c r="E2064" s="22" t="s">
        <v>10</v>
      </c>
      <c r="F2064" s="22" t="s">
        <v>18</v>
      </c>
      <c r="G2064" s="22" t="s">
        <v>12</v>
      </c>
    </row>
    <row r="2065" ht="15.15" spans="1:7">
      <c r="A2065" s="20">
        <v>2064</v>
      </c>
      <c r="B2065" s="20">
        <v>8476</v>
      </c>
      <c r="C2065" s="21">
        <v>44989</v>
      </c>
      <c r="D2065" s="20">
        <v>4031.93</v>
      </c>
      <c r="E2065" s="22" t="s">
        <v>10</v>
      </c>
      <c r="F2065" s="22" t="s">
        <v>18</v>
      </c>
      <c r="G2065" s="22" t="s">
        <v>20</v>
      </c>
    </row>
    <row r="2066" ht="15.15" spans="1:7">
      <c r="A2066" s="20">
        <v>2065</v>
      </c>
      <c r="B2066" s="20">
        <v>6497</v>
      </c>
      <c r="C2066" s="21">
        <v>45051</v>
      </c>
      <c r="D2066" s="20">
        <v>594.37</v>
      </c>
      <c r="E2066" s="22" t="s">
        <v>10</v>
      </c>
      <c r="F2066" s="22" t="s">
        <v>14</v>
      </c>
      <c r="G2066" s="22" t="s">
        <v>12</v>
      </c>
    </row>
    <row r="2067" ht="15.15" spans="1:7">
      <c r="A2067" s="20">
        <v>2066</v>
      </c>
      <c r="B2067" s="20">
        <v>6034</v>
      </c>
      <c r="C2067" s="21">
        <v>44993</v>
      </c>
      <c r="D2067" s="20">
        <v>414.24</v>
      </c>
      <c r="E2067" s="22" t="s">
        <v>10</v>
      </c>
      <c r="F2067" s="22" t="s">
        <v>11</v>
      </c>
      <c r="G2067" s="22" t="s">
        <v>12</v>
      </c>
    </row>
    <row r="2068" ht="15.15" spans="1:7">
      <c r="A2068" s="20">
        <v>2067</v>
      </c>
      <c r="B2068" s="20">
        <v>6514</v>
      </c>
      <c r="C2068" s="21">
        <v>45072</v>
      </c>
      <c r="D2068" s="20">
        <v>867.64</v>
      </c>
      <c r="E2068" s="22" t="s">
        <v>10</v>
      </c>
      <c r="F2068" s="22" t="s">
        <v>14</v>
      </c>
      <c r="G2068" s="22" t="s">
        <v>15</v>
      </c>
    </row>
    <row r="2069" ht="15.15" spans="1:7">
      <c r="A2069" s="20">
        <v>2068</v>
      </c>
      <c r="B2069" s="20">
        <v>6170</v>
      </c>
      <c r="C2069" s="21">
        <v>45098</v>
      </c>
      <c r="D2069" s="20">
        <v>600.15</v>
      </c>
      <c r="E2069" s="22" t="s">
        <v>10</v>
      </c>
      <c r="F2069" s="22" t="s">
        <v>16</v>
      </c>
      <c r="G2069" s="22" t="s">
        <v>17</v>
      </c>
    </row>
    <row r="2070" ht="15.15" spans="1:7">
      <c r="A2070" s="20">
        <v>2069</v>
      </c>
      <c r="B2070" s="20">
        <v>15</v>
      </c>
      <c r="C2070" s="21">
        <v>45162</v>
      </c>
      <c r="D2070" s="20">
        <v>193.6</v>
      </c>
      <c r="E2070" s="22" t="s">
        <v>10</v>
      </c>
      <c r="F2070" s="22" t="s">
        <v>18</v>
      </c>
      <c r="G2070" s="22" t="s">
        <v>15</v>
      </c>
    </row>
    <row r="2071" ht="15.15" spans="1:7">
      <c r="A2071" s="20">
        <v>2070</v>
      </c>
      <c r="B2071" s="20">
        <v>5056</v>
      </c>
      <c r="C2071" s="21">
        <v>45181</v>
      </c>
      <c r="D2071" s="20">
        <v>325.76</v>
      </c>
      <c r="E2071" s="22" t="s">
        <v>10</v>
      </c>
      <c r="F2071" s="22" t="s">
        <v>14</v>
      </c>
      <c r="G2071" s="22" t="s">
        <v>15</v>
      </c>
    </row>
    <row r="2072" ht="15.15" spans="1:7">
      <c r="A2072" s="20">
        <v>2071</v>
      </c>
      <c r="B2072" s="20">
        <v>1829</v>
      </c>
      <c r="C2072" s="21">
        <v>45069</v>
      </c>
      <c r="D2072" s="20">
        <v>254.46</v>
      </c>
      <c r="E2072" s="22" t="s">
        <v>10</v>
      </c>
      <c r="F2072" s="22" t="s">
        <v>11</v>
      </c>
      <c r="G2072" s="22" t="s">
        <v>15</v>
      </c>
    </row>
    <row r="2073" ht="15.15" spans="1:7">
      <c r="A2073" s="20">
        <v>2072</v>
      </c>
      <c r="B2073" s="20">
        <v>1893</v>
      </c>
      <c r="C2073" s="21">
        <v>45198</v>
      </c>
      <c r="D2073" s="20">
        <v>256.68</v>
      </c>
      <c r="E2073" s="22" t="s">
        <v>10</v>
      </c>
      <c r="F2073" s="22" t="s">
        <v>14</v>
      </c>
      <c r="G2073" s="22" t="s">
        <v>17</v>
      </c>
    </row>
    <row r="2074" ht="15.15" spans="1:7">
      <c r="A2074" s="20">
        <v>2073</v>
      </c>
      <c r="B2074" s="20">
        <v>4676</v>
      </c>
      <c r="C2074" s="21">
        <v>45206</v>
      </c>
      <c r="D2074" s="20">
        <v>2540.35</v>
      </c>
      <c r="E2074" s="22" t="s">
        <v>10</v>
      </c>
      <c r="F2074" s="22" t="s">
        <v>18</v>
      </c>
      <c r="G2074" s="22" t="s">
        <v>17</v>
      </c>
    </row>
    <row r="2075" ht="15.15" spans="1:7">
      <c r="A2075" s="20">
        <v>2074</v>
      </c>
      <c r="B2075" s="20">
        <v>4032</v>
      </c>
      <c r="C2075" s="21">
        <v>45178</v>
      </c>
      <c r="D2075" s="20">
        <v>1251.14</v>
      </c>
      <c r="E2075" s="22" t="s">
        <v>10</v>
      </c>
      <c r="F2075" s="22" t="s">
        <v>11</v>
      </c>
      <c r="G2075" s="22" t="s">
        <v>15</v>
      </c>
    </row>
    <row r="2076" ht="15.15" spans="1:7">
      <c r="A2076" s="20">
        <v>2075</v>
      </c>
      <c r="B2076" s="20">
        <v>7726</v>
      </c>
      <c r="C2076" s="21">
        <v>45010</v>
      </c>
      <c r="D2076" s="20">
        <v>786.98</v>
      </c>
      <c r="E2076" s="22" t="s">
        <v>10</v>
      </c>
      <c r="F2076" s="22" t="s">
        <v>11</v>
      </c>
      <c r="G2076" s="22" t="s">
        <v>17</v>
      </c>
    </row>
    <row r="2077" ht="15.15" spans="1:7">
      <c r="A2077" s="20">
        <v>2076</v>
      </c>
      <c r="B2077" s="20">
        <v>1666</v>
      </c>
      <c r="C2077" s="21">
        <v>45045</v>
      </c>
      <c r="D2077" s="20">
        <v>691.55</v>
      </c>
      <c r="E2077" s="22" t="s">
        <v>10</v>
      </c>
      <c r="F2077" s="22" t="s">
        <v>14</v>
      </c>
      <c r="G2077" s="22" t="s">
        <v>12</v>
      </c>
    </row>
    <row r="2078" ht="15.15" spans="1:7">
      <c r="A2078" s="20">
        <v>2077</v>
      </c>
      <c r="B2078" s="20">
        <v>2608</v>
      </c>
      <c r="C2078" s="21">
        <v>45126</v>
      </c>
      <c r="D2078" s="20">
        <v>1629.76</v>
      </c>
      <c r="E2078" s="22" t="s">
        <v>10</v>
      </c>
      <c r="F2078" s="22" t="s">
        <v>13</v>
      </c>
      <c r="G2078" s="22" t="s">
        <v>15</v>
      </c>
    </row>
    <row r="2079" ht="15.15" spans="1:7">
      <c r="A2079" s="20">
        <v>2078</v>
      </c>
      <c r="B2079" s="20">
        <v>122</v>
      </c>
      <c r="C2079" s="21">
        <v>45126</v>
      </c>
      <c r="D2079" s="20">
        <v>513.36</v>
      </c>
      <c r="E2079" s="22" t="s">
        <v>10</v>
      </c>
      <c r="F2079" s="22" t="s">
        <v>13</v>
      </c>
      <c r="G2079" s="22" t="s">
        <v>15</v>
      </c>
    </row>
    <row r="2080" ht="15.15" spans="1:7">
      <c r="A2080" s="20">
        <v>2079</v>
      </c>
      <c r="B2080" s="20">
        <v>7241</v>
      </c>
      <c r="C2080" s="21">
        <v>45102</v>
      </c>
      <c r="D2080" s="20">
        <v>151.46</v>
      </c>
      <c r="E2080" s="22" t="s">
        <v>10</v>
      </c>
      <c r="F2080" s="22" t="s">
        <v>11</v>
      </c>
      <c r="G2080" s="22" t="s">
        <v>15</v>
      </c>
    </row>
    <row r="2081" ht="15.15" spans="1:7">
      <c r="A2081" s="20">
        <v>2080</v>
      </c>
      <c r="B2081" s="20">
        <v>7047</v>
      </c>
      <c r="C2081" s="21">
        <v>45263</v>
      </c>
      <c r="D2081" s="20">
        <v>274.33</v>
      </c>
      <c r="E2081" s="22" t="s">
        <v>10</v>
      </c>
      <c r="F2081" s="22" t="s">
        <v>16</v>
      </c>
      <c r="G2081" s="22" t="s">
        <v>17</v>
      </c>
    </row>
    <row r="2082" ht="15.15" spans="1:7">
      <c r="A2082" s="20">
        <v>2081</v>
      </c>
      <c r="B2082" s="20">
        <v>8341</v>
      </c>
      <c r="C2082" s="21">
        <v>45118</v>
      </c>
      <c r="D2082" s="20">
        <v>1128.91</v>
      </c>
      <c r="E2082" s="22" t="s">
        <v>10</v>
      </c>
      <c r="F2082" s="22" t="s">
        <v>13</v>
      </c>
      <c r="G2082" s="22" t="s">
        <v>20</v>
      </c>
    </row>
    <row r="2083" ht="15.15" spans="1:7">
      <c r="A2083" s="20">
        <v>2082</v>
      </c>
      <c r="B2083" s="20">
        <v>5375</v>
      </c>
      <c r="C2083" s="21">
        <v>45048</v>
      </c>
      <c r="D2083" s="20">
        <v>602.61</v>
      </c>
      <c r="E2083" s="22" t="s">
        <v>10</v>
      </c>
      <c r="F2083" s="22" t="s">
        <v>11</v>
      </c>
      <c r="G2083" s="22" t="s">
        <v>15</v>
      </c>
    </row>
    <row r="2084" ht="15.15" spans="1:7">
      <c r="A2084" s="20">
        <v>2083</v>
      </c>
      <c r="B2084" s="20">
        <v>7305</v>
      </c>
      <c r="C2084" s="21">
        <v>45178</v>
      </c>
      <c r="D2084" s="20">
        <v>549.91</v>
      </c>
      <c r="E2084" s="22" t="s">
        <v>10</v>
      </c>
      <c r="F2084" s="22" t="s">
        <v>14</v>
      </c>
      <c r="G2084" s="22" t="s">
        <v>20</v>
      </c>
    </row>
    <row r="2085" ht="15.15" spans="1:7">
      <c r="A2085" s="20">
        <v>2084</v>
      </c>
      <c r="B2085" s="20">
        <v>96</v>
      </c>
      <c r="C2085" s="21">
        <v>44960</v>
      </c>
      <c r="D2085" s="20">
        <v>361.25</v>
      </c>
      <c r="E2085" s="22" t="s">
        <v>10</v>
      </c>
      <c r="F2085" s="22" t="s">
        <v>18</v>
      </c>
      <c r="G2085" s="22" t="s">
        <v>20</v>
      </c>
    </row>
    <row r="2086" ht="15.15" spans="1:7">
      <c r="A2086" s="20">
        <v>2085</v>
      </c>
      <c r="B2086" s="20">
        <v>7957</v>
      </c>
      <c r="C2086" s="21">
        <v>45213</v>
      </c>
      <c r="D2086" s="20">
        <v>805.16</v>
      </c>
      <c r="E2086" s="22" t="s">
        <v>10</v>
      </c>
      <c r="F2086" s="22" t="s">
        <v>14</v>
      </c>
      <c r="G2086" s="22" t="s">
        <v>15</v>
      </c>
    </row>
    <row r="2087" ht="15.15" spans="1:7">
      <c r="A2087" s="20">
        <v>2086</v>
      </c>
      <c r="B2087" s="20">
        <v>9906</v>
      </c>
      <c r="C2087" s="21">
        <v>45093</v>
      </c>
      <c r="D2087" s="20">
        <v>187.89</v>
      </c>
      <c r="E2087" s="22" t="s">
        <v>10</v>
      </c>
      <c r="F2087" s="22" t="s">
        <v>11</v>
      </c>
      <c r="G2087" s="22" t="s">
        <v>20</v>
      </c>
    </row>
    <row r="2088" ht="15.15" spans="1:7">
      <c r="A2088" s="20">
        <v>2087</v>
      </c>
      <c r="B2088" s="20">
        <v>6319</v>
      </c>
      <c r="C2088" s="21">
        <v>45272</v>
      </c>
      <c r="D2088" s="20">
        <v>783.34</v>
      </c>
      <c r="E2088" s="22" t="s">
        <v>10</v>
      </c>
      <c r="F2088" s="22" t="s">
        <v>14</v>
      </c>
      <c r="G2088" s="22" t="s">
        <v>12</v>
      </c>
    </row>
    <row r="2089" ht="15.15" spans="1:7">
      <c r="A2089" s="20">
        <v>2088</v>
      </c>
      <c r="B2089" s="20">
        <v>8215</v>
      </c>
      <c r="C2089" s="21">
        <v>45125</v>
      </c>
      <c r="D2089" s="20">
        <v>367.89</v>
      </c>
      <c r="E2089" s="22" t="s">
        <v>10</v>
      </c>
      <c r="F2089" s="22" t="s">
        <v>13</v>
      </c>
      <c r="G2089" s="22" t="s">
        <v>17</v>
      </c>
    </row>
    <row r="2090" ht="15.15" spans="1:7">
      <c r="A2090" s="20">
        <v>2089</v>
      </c>
      <c r="B2090" s="20">
        <v>5259</v>
      </c>
      <c r="C2090" s="21">
        <v>45291</v>
      </c>
      <c r="D2090" s="20">
        <v>1188.16</v>
      </c>
      <c r="E2090" s="22" t="s">
        <v>10</v>
      </c>
      <c r="F2090" s="22" t="s">
        <v>16</v>
      </c>
      <c r="G2090" s="22" t="s">
        <v>15</v>
      </c>
    </row>
    <row r="2091" ht="15.15" spans="1:7">
      <c r="A2091" s="20">
        <v>2090</v>
      </c>
      <c r="B2091" s="20">
        <v>6800</v>
      </c>
      <c r="C2091" s="21">
        <v>45277</v>
      </c>
      <c r="D2091" s="20">
        <v>870.87</v>
      </c>
      <c r="E2091" s="22" t="s">
        <v>21</v>
      </c>
      <c r="F2091" s="22" t="s">
        <v>14</v>
      </c>
      <c r="G2091" s="22" t="s">
        <v>12</v>
      </c>
    </row>
    <row r="2092" ht="15.15" spans="1:7">
      <c r="A2092" s="20">
        <v>2091</v>
      </c>
      <c r="B2092" s="20">
        <v>123</v>
      </c>
      <c r="C2092" s="21">
        <v>45031</v>
      </c>
      <c r="D2092" s="20">
        <v>691.55</v>
      </c>
      <c r="E2092" s="22" t="s">
        <v>10</v>
      </c>
      <c r="F2092" s="22" t="s">
        <v>14</v>
      </c>
      <c r="G2092" s="22" t="s">
        <v>17</v>
      </c>
    </row>
    <row r="2093" ht="15.15" spans="1:7">
      <c r="A2093" s="20">
        <v>2092</v>
      </c>
      <c r="B2093" s="20">
        <v>1222</v>
      </c>
      <c r="C2093" s="21">
        <v>45028</v>
      </c>
      <c r="D2093" s="20">
        <v>2119.13</v>
      </c>
      <c r="E2093" s="22" t="s">
        <v>10</v>
      </c>
      <c r="F2093" s="22" t="s">
        <v>18</v>
      </c>
      <c r="G2093" s="22" t="s">
        <v>12</v>
      </c>
    </row>
    <row r="2094" ht="15.15" spans="1:7">
      <c r="A2094" s="20">
        <v>2093</v>
      </c>
      <c r="B2094" s="20">
        <v>2303</v>
      </c>
      <c r="C2094" s="21">
        <v>45247</v>
      </c>
      <c r="D2094" s="20">
        <v>2986.72</v>
      </c>
      <c r="E2094" s="22" t="s">
        <v>10</v>
      </c>
      <c r="F2094" s="22" t="s">
        <v>13</v>
      </c>
      <c r="G2094" s="22" t="s">
        <v>12</v>
      </c>
    </row>
    <row r="2095" ht="15.15" spans="1:7">
      <c r="A2095" s="20">
        <v>2094</v>
      </c>
      <c r="B2095" s="20">
        <v>1088</v>
      </c>
      <c r="C2095" s="21">
        <v>45193</v>
      </c>
      <c r="D2095" s="20">
        <v>1307.64</v>
      </c>
      <c r="E2095" s="22" t="s">
        <v>10</v>
      </c>
      <c r="F2095" s="22" t="s">
        <v>14</v>
      </c>
      <c r="G2095" s="22" t="s">
        <v>12</v>
      </c>
    </row>
    <row r="2096" ht="15.15" spans="1:7">
      <c r="A2096" s="20">
        <v>2095</v>
      </c>
      <c r="B2096" s="20">
        <v>3136</v>
      </c>
      <c r="C2096" s="21">
        <v>45219</v>
      </c>
      <c r="D2096" s="20">
        <v>1652.34</v>
      </c>
      <c r="E2096" s="22" t="s">
        <v>10</v>
      </c>
      <c r="F2096" s="22" t="s">
        <v>11</v>
      </c>
      <c r="G2096" s="22" t="s">
        <v>20</v>
      </c>
    </row>
    <row r="2097" ht="15.15" spans="1:7">
      <c r="A2097" s="20">
        <v>2096</v>
      </c>
      <c r="B2097" s="20">
        <v>8385</v>
      </c>
      <c r="C2097" s="21">
        <v>45186</v>
      </c>
      <c r="D2097" s="20">
        <v>1355.44</v>
      </c>
      <c r="E2097" s="22" t="s">
        <v>22</v>
      </c>
      <c r="F2097" s="22" t="s">
        <v>14</v>
      </c>
      <c r="G2097" s="22" t="s">
        <v>15</v>
      </c>
    </row>
    <row r="2098" ht="15.15" spans="1:7">
      <c r="A2098" s="20">
        <v>2097</v>
      </c>
      <c r="B2098" s="20">
        <v>3585</v>
      </c>
      <c r="C2098" s="21">
        <v>45131</v>
      </c>
      <c r="D2098" s="20">
        <v>2605.34</v>
      </c>
      <c r="E2098" s="22" t="s">
        <v>10</v>
      </c>
      <c r="F2098" s="22" t="s">
        <v>16</v>
      </c>
      <c r="G2098" s="22" t="s">
        <v>15</v>
      </c>
    </row>
    <row r="2099" ht="15.15" spans="1:7">
      <c r="A2099" s="20">
        <v>2098</v>
      </c>
      <c r="B2099" s="20">
        <v>2915</v>
      </c>
      <c r="C2099" s="21">
        <v>45040</v>
      </c>
      <c r="D2099" s="20">
        <v>152.53</v>
      </c>
      <c r="E2099" s="22" t="s">
        <v>10</v>
      </c>
      <c r="F2099" s="22" t="s">
        <v>16</v>
      </c>
      <c r="G2099" s="22" t="s">
        <v>15</v>
      </c>
    </row>
    <row r="2100" ht="15.15" spans="1:7">
      <c r="A2100" s="20">
        <v>2099</v>
      </c>
      <c r="B2100" s="20">
        <v>1605</v>
      </c>
      <c r="C2100" s="21">
        <v>45265</v>
      </c>
      <c r="D2100" s="20">
        <v>661.44</v>
      </c>
      <c r="E2100" s="22" t="s">
        <v>10</v>
      </c>
      <c r="F2100" s="22" t="s">
        <v>13</v>
      </c>
      <c r="G2100" s="22" t="s">
        <v>17</v>
      </c>
    </row>
    <row r="2101" ht="15.15" spans="1:7">
      <c r="A2101" s="20">
        <v>2100</v>
      </c>
      <c r="B2101" s="20">
        <v>4017</v>
      </c>
      <c r="C2101" s="21">
        <v>45090</v>
      </c>
      <c r="D2101" s="20">
        <v>992.01</v>
      </c>
      <c r="E2101" s="22" t="s">
        <v>10</v>
      </c>
      <c r="F2101" s="22" t="s">
        <v>13</v>
      </c>
      <c r="G2101" s="22" t="s">
        <v>12</v>
      </c>
    </row>
    <row r="2102" ht="15.15" spans="1:7">
      <c r="A2102" s="20">
        <v>2101</v>
      </c>
      <c r="B2102" s="20">
        <v>9661</v>
      </c>
      <c r="C2102" s="21">
        <v>44977</v>
      </c>
      <c r="D2102" s="20">
        <v>1111.97</v>
      </c>
      <c r="E2102" s="22" t="s">
        <v>10</v>
      </c>
      <c r="F2102" s="22" t="s">
        <v>11</v>
      </c>
      <c r="G2102" s="22" t="s">
        <v>17</v>
      </c>
    </row>
    <row r="2103" ht="15.15" spans="1:7">
      <c r="A2103" s="20">
        <v>2102</v>
      </c>
      <c r="B2103" s="20">
        <v>8196</v>
      </c>
      <c r="C2103" s="21">
        <v>44959</v>
      </c>
      <c r="D2103" s="20">
        <v>780.2</v>
      </c>
      <c r="E2103" s="22" t="s">
        <v>10</v>
      </c>
      <c r="F2103" s="22" t="s">
        <v>13</v>
      </c>
      <c r="G2103" s="22" t="s">
        <v>17</v>
      </c>
    </row>
    <row r="2104" ht="15.15" spans="1:7">
      <c r="A2104" s="20">
        <v>2103</v>
      </c>
      <c r="B2104" s="20">
        <v>6983</v>
      </c>
      <c r="C2104" s="21">
        <v>45195</v>
      </c>
      <c r="D2104" s="20">
        <v>96.07</v>
      </c>
      <c r="E2104" s="22" t="s">
        <v>10</v>
      </c>
      <c r="F2104" s="22" t="s">
        <v>13</v>
      </c>
      <c r="G2104" s="22" t="s">
        <v>15</v>
      </c>
    </row>
    <row r="2105" ht="15.15" spans="1:7">
      <c r="A2105" s="20">
        <v>2104</v>
      </c>
      <c r="B2105" s="20">
        <v>3931</v>
      </c>
      <c r="C2105" s="21">
        <v>45264</v>
      </c>
      <c r="D2105" s="20">
        <v>826.6</v>
      </c>
      <c r="E2105" s="22" t="s">
        <v>10</v>
      </c>
      <c r="F2105" s="22" t="s">
        <v>18</v>
      </c>
      <c r="G2105" s="22" t="s">
        <v>17</v>
      </c>
    </row>
    <row r="2106" ht="15.15" spans="1:7">
      <c r="A2106" s="20">
        <v>2105</v>
      </c>
      <c r="B2106" s="20">
        <v>2424</v>
      </c>
      <c r="C2106" s="21">
        <v>45259</v>
      </c>
      <c r="D2106" s="20">
        <v>2387.53</v>
      </c>
      <c r="E2106" s="22" t="s">
        <v>10</v>
      </c>
      <c r="F2106" s="22" t="s">
        <v>11</v>
      </c>
      <c r="G2106" s="22" t="s">
        <v>12</v>
      </c>
    </row>
    <row r="2107" ht="15.15" spans="1:7">
      <c r="A2107" s="20">
        <v>2106</v>
      </c>
      <c r="B2107" s="20">
        <v>6106</v>
      </c>
      <c r="C2107" s="21">
        <v>45059</v>
      </c>
      <c r="D2107" s="20">
        <v>1547.95</v>
      </c>
      <c r="E2107" s="22" t="s">
        <v>10</v>
      </c>
      <c r="F2107" s="22" t="s">
        <v>18</v>
      </c>
      <c r="G2107" s="22" t="s">
        <v>20</v>
      </c>
    </row>
    <row r="2108" ht="15.15" spans="1:7">
      <c r="A2108" s="20">
        <v>2107</v>
      </c>
      <c r="B2108" s="20">
        <v>2314</v>
      </c>
      <c r="C2108" s="21">
        <v>45275</v>
      </c>
      <c r="D2108" s="20">
        <v>1176.57</v>
      </c>
      <c r="E2108" s="22" t="s">
        <v>10</v>
      </c>
      <c r="F2108" s="22" t="s">
        <v>16</v>
      </c>
      <c r="G2108" s="22" t="s">
        <v>20</v>
      </c>
    </row>
    <row r="2109" ht="15.15" spans="1:7">
      <c r="A2109" s="20">
        <v>2108</v>
      </c>
      <c r="B2109" s="20">
        <v>3505</v>
      </c>
      <c r="C2109" s="21">
        <v>45283</v>
      </c>
      <c r="D2109" s="20">
        <v>164.76</v>
      </c>
      <c r="E2109" s="22" t="s">
        <v>10</v>
      </c>
      <c r="F2109" s="22" t="s">
        <v>16</v>
      </c>
      <c r="G2109" s="22" t="s">
        <v>17</v>
      </c>
    </row>
    <row r="2110" ht="15.15" spans="1:7">
      <c r="A2110" s="20">
        <v>2109</v>
      </c>
      <c r="B2110" s="20">
        <v>7063</v>
      </c>
      <c r="C2110" s="21">
        <v>45169</v>
      </c>
      <c r="D2110" s="20">
        <v>394.17</v>
      </c>
      <c r="E2110" s="22" t="s">
        <v>10</v>
      </c>
      <c r="F2110" s="22" t="s">
        <v>13</v>
      </c>
      <c r="G2110" s="22" t="s">
        <v>15</v>
      </c>
    </row>
    <row r="2111" ht="15.15" spans="1:7">
      <c r="A2111" s="20">
        <v>2110</v>
      </c>
      <c r="B2111" s="20">
        <v>716</v>
      </c>
      <c r="C2111" s="21">
        <v>45242</v>
      </c>
      <c r="D2111" s="20">
        <v>716.89</v>
      </c>
      <c r="E2111" s="22" t="s">
        <v>10</v>
      </c>
      <c r="F2111" s="22" t="s">
        <v>11</v>
      </c>
      <c r="G2111" s="22" t="s">
        <v>12</v>
      </c>
    </row>
    <row r="2112" ht="15.15" spans="1:7">
      <c r="A2112" s="20">
        <v>2111</v>
      </c>
      <c r="B2112" s="20">
        <v>2971</v>
      </c>
      <c r="C2112" s="21">
        <v>44974</v>
      </c>
      <c r="D2112" s="20">
        <v>638.1</v>
      </c>
      <c r="E2112" s="22" t="s">
        <v>10</v>
      </c>
      <c r="F2112" s="22" t="s">
        <v>14</v>
      </c>
      <c r="G2112" s="22" t="s">
        <v>15</v>
      </c>
    </row>
    <row r="2113" ht="15.15" spans="1:7">
      <c r="A2113" s="20">
        <v>2112</v>
      </c>
      <c r="B2113" s="20">
        <v>6392</v>
      </c>
      <c r="C2113" s="21">
        <v>45221</v>
      </c>
      <c r="D2113" s="20">
        <v>548.39</v>
      </c>
      <c r="E2113" s="22" t="s">
        <v>10</v>
      </c>
      <c r="F2113" s="22" t="s">
        <v>13</v>
      </c>
      <c r="G2113" s="22" t="s">
        <v>20</v>
      </c>
    </row>
    <row r="2114" ht="15.15" spans="1:7">
      <c r="A2114" s="20">
        <v>2113</v>
      </c>
      <c r="B2114" s="20">
        <v>3783</v>
      </c>
      <c r="C2114" s="21">
        <v>45095</v>
      </c>
      <c r="D2114" s="20">
        <v>3122.7</v>
      </c>
      <c r="E2114" s="22" t="s">
        <v>10</v>
      </c>
      <c r="F2114" s="22" t="s">
        <v>19</v>
      </c>
      <c r="G2114" s="22" t="s">
        <v>17</v>
      </c>
    </row>
    <row r="2115" ht="15.15" spans="1:7">
      <c r="A2115" s="20">
        <v>2114</v>
      </c>
      <c r="B2115" s="20">
        <v>9409</v>
      </c>
      <c r="C2115" s="21">
        <v>45283</v>
      </c>
      <c r="D2115" s="20">
        <v>3270.3</v>
      </c>
      <c r="E2115" s="22" t="s">
        <v>10</v>
      </c>
      <c r="F2115" s="22" t="s">
        <v>18</v>
      </c>
      <c r="G2115" s="22" t="s">
        <v>20</v>
      </c>
    </row>
    <row r="2116" ht="15.15" spans="1:7">
      <c r="A2116" s="20">
        <v>2115</v>
      </c>
      <c r="B2116" s="20">
        <v>4901</v>
      </c>
      <c r="C2116" s="21">
        <v>45291</v>
      </c>
      <c r="D2116" s="20">
        <v>651.52</v>
      </c>
      <c r="E2116" s="22" t="s">
        <v>10</v>
      </c>
      <c r="F2116" s="22" t="s">
        <v>18</v>
      </c>
      <c r="G2116" s="22" t="s">
        <v>20</v>
      </c>
    </row>
    <row r="2117" ht="15.15" spans="1:7">
      <c r="A2117" s="20">
        <v>2116</v>
      </c>
      <c r="B2117" s="20">
        <v>657</v>
      </c>
      <c r="C2117" s="21">
        <v>45290</v>
      </c>
      <c r="D2117" s="20">
        <v>1629.76</v>
      </c>
      <c r="E2117" s="22" t="s">
        <v>10</v>
      </c>
      <c r="F2117" s="22" t="s">
        <v>11</v>
      </c>
      <c r="G2117" s="22" t="s">
        <v>12</v>
      </c>
    </row>
    <row r="2118" ht="15.15" spans="1:7">
      <c r="A2118" s="20">
        <v>2117</v>
      </c>
      <c r="B2118" s="20">
        <v>2238</v>
      </c>
      <c r="C2118" s="21">
        <v>45133</v>
      </c>
      <c r="D2118" s="20">
        <v>959.7</v>
      </c>
      <c r="E2118" s="22" t="s">
        <v>10</v>
      </c>
      <c r="F2118" s="22" t="s">
        <v>16</v>
      </c>
      <c r="G2118" s="22" t="s">
        <v>17</v>
      </c>
    </row>
    <row r="2119" ht="15.15" spans="1:7">
      <c r="A2119" s="20">
        <v>2118</v>
      </c>
      <c r="B2119" s="20">
        <v>1919</v>
      </c>
      <c r="C2119" s="21">
        <v>45172</v>
      </c>
      <c r="D2119" s="20">
        <v>98.14</v>
      </c>
      <c r="E2119" s="22" t="s">
        <v>10</v>
      </c>
      <c r="F2119" s="22" t="s">
        <v>13</v>
      </c>
      <c r="G2119" s="22" t="s">
        <v>17</v>
      </c>
    </row>
    <row r="2120" ht="15.15" spans="1:7">
      <c r="A2120" s="20">
        <v>2119</v>
      </c>
      <c r="B2120" s="20">
        <v>2998</v>
      </c>
      <c r="C2120" s="21">
        <v>45271</v>
      </c>
      <c r="D2120" s="20">
        <v>579.6</v>
      </c>
      <c r="E2120" s="22" t="s">
        <v>10</v>
      </c>
      <c r="F2120" s="22" t="s">
        <v>18</v>
      </c>
      <c r="G2120" s="22" t="s">
        <v>20</v>
      </c>
    </row>
    <row r="2121" ht="15.15" spans="1:7">
      <c r="A2121" s="20">
        <v>2120</v>
      </c>
      <c r="B2121" s="20">
        <v>2049</v>
      </c>
      <c r="C2121" s="21">
        <v>44952</v>
      </c>
      <c r="D2121" s="20">
        <v>413.05</v>
      </c>
      <c r="E2121" s="22" t="s">
        <v>10</v>
      </c>
      <c r="F2121" s="22" t="s">
        <v>18</v>
      </c>
      <c r="G2121" s="22" t="s">
        <v>15</v>
      </c>
    </row>
    <row r="2122" ht="15.15" spans="1:7">
      <c r="A2122" s="20">
        <v>2121</v>
      </c>
      <c r="B2122" s="20">
        <v>2332</v>
      </c>
      <c r="C2122" s="21">
        <v>45238</v>
      </c>
      <c r="D2122" s="20">
        <v>2108.38</v>
      </c>
      <c r="E2122" s="22" t="s">
        <v>10</v>
      </c>
      <c r="F2122" s="22" t="s">
        <v>14</v>
      </c>
      <c r="G2122" s="22" t="s">
        <v>20</v>
      </c>
    </row>
    <row r="2123" ht="15.15" spans="1:7">
      <c r="A2123" s="20">
        <v>2122</v>
      </c>
      <c r="B2123" s="20">
        <v>3183</v>
      </c>
      <c r="C2123" s="21">
        <v>45243</v>
      </c>
      <c r="D2123" s="20">
        <v>351.18</v>
      </c>
      <c r="E2123" s="22" t="s">
        <v>10</v>
      </c>
      <c r="F2123" s="22" t="s">
        <v>18</v>
      </c>
      <c r="G2123" s="22" t="s">
        <v>12</v>
      </c>
    </row>
    <row r="2124" ht="15.15" spans="1:7">
      <c r="A2124" s="20">
        <v>2123</v>
      </c>
      <c r="B2124" s="20">
        <v>5957</v>
      </c>
      <c r="C2124" s="21">
        <v>44980</v>
      </c>
      <c r="D2124" s="20">
        <v>2495.06</v>
      </c>
      <c r="E2124" s="22" t="s">
        <v>10</v>
      </c>
      <c r="F2124" s="22" t="s">
        <v>13</v>
      </c>
      <c r="G2124" s="22" t="s">
        <v>15</v>
      </c>
    </row>
    <row r="2125" ht="15.15" spans="1:7">
      <c r="A2125" s="20">
        <v>2124</v>
      </c>
      <c r="B2125" s="20">
        <v>4313</v>
      </c>
      <c r="C2125" s="21">
        <v>44940</v>
      </c>
      <c r="D2125" s="20">
        <v>2183.26</v>
      </c>
      <c r="E2125" s="22" t="s">
        <v>10</v>
      </c>
      <c r="F2125" s="22" t="s">
        <v>18</v>
      </c>
      <c r="G2125" s="22" t="s">
        <v>12</v>
      </c>
    </row>
    <row r="2126" ht="15.15" spans="1:7">
      <c r="A2126" s="20">
        <v>2125</v>
      </c>
      <c r="B2126" s="20">
        <v>1445</v>
      </c>
      <c r="C2126" s="21">
        <v>44998</v>
      </c>
      <c r="D2126" s="20">
        <v>615.45</v>
      </c>
      <c r="E2126" s="22" t="s">
        <v>10</v>
      </c>
      <c r="F2126" s="22" t="s">
        <v>11</v>
      </c>
      <c r="G2126" s="22" t="s">
        <v>15</v>
      </c>
    </row>
    <row r="2127" ht="15.15" spans="1:7">
      <c r="A2127" s="20">
        <v>2126</v>
      </c>
      <c r="B2127" s="20">
        <v>3924</v>
      </c>
      <c r="C2127" s="21">
        <v>45279</v>
      </c>
      <c r="D2127" s="20">
        <v>2253.04</v>
      </c>
      <c r="E2127" s="22" t="s">
        <v>10</v>
      </c>
      <c r="F2127" s="22" t="s">
        <v>13</v>
      </c>
      <c r="G2127" s="22" t="s">
        <v>15</v>
      </c>
    </row>
    <row r="2128" ht="15.15" spans="1:7">
      <c r="A2128" s="20">
        <v>2127</v>
      </c>
      <c r="B2128" s="20">
        <v>5759</v>
      </c>
      <c r="C2128" s="21">
        <v>45124</v>
      </c>
      <c r="D2128" s="20">
        <v>4400.63</v>
      </c>
      <c r="E2128" s="22" t="s">
        <v>10</v>
      </c>
      <c r="F2128" s="22" t="s">
        <v>19</v>
      </c>
      <c r="G2128" s="22" t="s">
        <v>17</v>
      </c>
    </row>
    <row r="2129" ht="15.15" spans="1:7">
      <c r="A2129" s="20">
        <v>2128</v>
      </c>
      <c r="B2129" s="20">
        <v>2056</v>
      </c>
      <c r="C2129" s="21">
        <v>44980</v>
      </c>
      <c r="D2129" s="20">
        <v>257.17</v>
      </c>
      <c r="E2129" s="22" t="s">
        <v>10</v>
      </c>
      <c r="F2129" s="22" t="s">
        <v>13</v>
      </c>
      <c r="G2129" s="22" t="s">
        <v>15</v>
      </c>
    </row>
    <row r="2130" ht="15.15" spans="1:7">
      <c r="A2130" s="20">
        <v>2129</v>
      </c>
      <c r="B2130" s="20">
        <v>7439</v>
      </c>
      <c r="C2130" s="21">
        <v>45274</v>
      </c>
      <c r="D2130" s="20">
        <v>1200.08</v>
      </c>
      <c r="E2130" s="22" t="s">
        <v>10</v>
      </c>
      <c r="F2130" s="22" t="s">
        <v>11</v>
      </c>
      <c r="G2130" s="22" t="s">
        <v>12</v>
      </c>
    </row>
    <row r="2131" ht="15.15" spans="1:7">
      <c r="A2131" s="20">
        <v>2130</v>
      </c>
      <c r="B2131" s="20">
        <v>5310</v>
      </c>
      <c r="C2131" s="21">
        <v>44966</v>
      </c>
      <c r="D2131" s="20">
        <v>2931.46</v>
      </c>
      <c r="E2131" s="22" t="s">
        <v>10</v>
      </c>
      <c r="F2131" s="22" t="s">
        <v>14</v>
      </c>
      <c r="G2131" s="22" t="s">
        <v>17</v>
      </c>
    </row>
    <row r="2132" ht="15.15" spans="1:7">
      <c r="A2132" s="20">
        <v>2131</v>
      </c>
      <c r="B2132" s="20">
        <v>182</v>
      </c>
      <c r="C2132" s="21">
        <v>45139</v>
      </c>
      <c r="D2132" s="20">
        <v>5140.26</v>
      </c>
      <c r="E2132" s="22" t="s">
        <v>10</v>
      </c>
      <c r="F2132" s="22" t="s">
        <v>11</v>
      </c>
      <c r="G2132" s="22" t="s">
        <v>17</v>
      </c>
    </row>
    <row r="2133" ht="15.15" spans="1:7">
      <c r="A2133" s="20">
        <v>2132</v>
      </c>
      <c r="B2133" s="20">
        <v>7292</v>
      </c>
      <c r="C2133" s="21">
        <v>44985</v>
      </c>
      <c r="D2133" s="20">
        <v>1791.4</v>
      </c>
      <c r="E2133" s="22" t="s">
        <v>10</v>
      </c>
      <c r="F2133" s="22" t="s">
        <v>11</v>
      </c>
      <c r="G2133" s="22" t="s">
        <v>20</v>
      </c>
    </row>
    <row r="2134" ht="15.15" spans="1:7">
      <c r="A2134" s="20">
        <v>2133</v>
      </c>
      <c r="B2134" s="20">
        <v>5360</v>
      </c>
      <c r="C2134" s="21">
        <v>44943</v>
      </c>
      <c r="D2134" s="20">
        <v>503.99</v>
      </c>
      <c r="E2134" s="22" t="s">
        <v>10</v>
      </c>
      <c r="F2134" s="22" t="s">
        <v>18</v>
      </c>
      <c r="G2134" s="22" t="s">
        <v>15</v>
      </c>
    </row>
    <row r="2135" ht="15.15" spans="1:7">
      <c r="A2135" s="20">
        <v>2134</v>
      </c>
      <c r="B2135" s="20">
        <v>5771</v>
      </c>
      <c r="C2135" s="21">
        <v>45061</v>
      </c>
      <c r="D2135" s="20">
        <v>1126.59</v>
      </c>
      <c r="E2135" s="22" t="s">
        <v>10</v>
      </c>
      <c r="F2135" s="22" t="s">
        <v>14</v>
      </c>
      <c r="G2135" s="22" t="s">
        <v>15</v>
      </c>
    </row>
    <row r="2136" ht="15.15" spans="1:7">
      <c r="A2136" s="20">
        <v>2135</v>
      </c>
      <c r="B2136" s="20">
        <v>7101</v>
      </c>
      <c r="C2136" s="21">
        <v>45061</v>
      </c>
      <c r="D2136" s="20">
        <v>1836.14</v>
      </c>
      <c r="E2136" s="22" t="s">
        <v>10</v>
      </c>
      <c r="F2136" s="22" t="s">
        <v>16</v>
      </c>
      <c r="G2136" s="22" t="s">
        <v>20</v>
      </c>
    </row>
    <row r="2137" ht="15.15" spans="1:7">
      <c r="A2137" s="20">
        <v>2136</v>
      </c>
      <c r="B2137" s="20">
        <v>6880</v>
      </c>
      <c r="C2137" s="21">
        <v>45058</v>
      </c>
      <c r="D2137" s="20">
        <v>226.13</v>
      </c>
      <c r="E2137" s="22" t="s">
        <v>10</v>
      </c>
      <c r="F2137" s="22" t="s">
        <v>18</v>
      </c>
      <c r="G2137" s="22" t="s">
        <v>17</v>
      </c>
    </row>
    <row r="2138" ht="15.15" spans="1:7">
      <c r="A2138" s="20">
        <v>2137</v>
      </c>
      <c r="B2138" s="20">
        <v>987</v>
      </c>
      <c r="C2138" s="21">
        <v>44955</v>
      </c>
      <c r="D2138" s="20">
        <v>911.3</v>
      </c>
      <c r="E2138" s="22" t="s">
        <v>10</v>
      </c>
      <c r="F2138" s="22" t="s">
        <v>11</v>
      </c>
      <c r="G2138" s="22" t="s">
        <v>15</v>
      </c>
    </row>
    <row r="2139" ht="15.15" spans="1:7">
      <c r="A2139" s="20">
        <v>2138</v>
      </c>
      <c r="B2139" s="20">
        <v>8072</v>
      </c>
      <c r="C2139" s="21">
        <v>45282</v>
      </c>
      <c r="D2139" s="20">
        <v>1165.58</v>
      </c>
      <c r="E2139" s="22" t="s">
        <v>10</v>
      </c>
      <c r="F2139" s="22" t="s">
        <v>13</v>
      </c>
      <c r="G2139" s="22" t="s">
        <v>15</v>
      </c>
    </row>
    <row r="2140" ht="15.15" spans="1:7">
      <c r="A2140" s="20">
        <v>2139</v>
      </c>
      <c r="B2140" s="20">
        <v>1798</v>
      </c>
      <c r="C2140" s="21">
        <v>45282</v>
      </c>
      <c r="D2140" s="20">
        <v>3440.9</v>
      </c>
      <c r="E2140" s="22" t="s">
        <v>10</v>
      </c>
      <c r="F2140" s="22" t="s">
        <v>14</v>
      </c>
      <c r="G2140" s="22" t="s">
        <v>17</v>
      </c>
    </row>
    <row r="2141" ht="15.15" spans="1:7">
      <c r="A2141" s="20">
        <v>2140</v>
      </c>
      <c r="B2141" s="20">
        <v>6318</v>
      </c>
      <c r="C2141" s="21">
        <v>45231</v>
      </c>
      <c r="D2141" s="20">
        <v>1736.91</v>
      </c>
      <c r="E2141" s="22" t="s">
        <v>10</v>
      </c>
      <c r="F2141" s="22" t="s">
        <v>16</v>
      </c>
      <c r="G2141" s="22" t="s">
        <v>15</v>
      </c>
    </row>
    <row r="2142" ht="15.15" spans="1:7">
      <c r="A2142" s="20">
        <v>2141</v>
      </c>
      <c r="B2142" s="20">
        <v>8173</v>
      </c>
      <c r="C2142" s="21">
        <v>45195</v>
      </c>
      <c r="D2142" s="20">
        <v>2524.2</v>
      </c>
      <c r="E2142" s="22" t="s">
        <v>10</v>
      </c>
      <c r="F2142" s="22" t="s">
        <v>13</v>
      </c>
      <c r="G2142" s="22" t="s">
        <v>15</v>
      </c>
    </row>
    <row r="2143" ht="15.15" spans="1:7">
      <c r="A2143" s="20">
        <v>2142</v>
      </c>
      <c r="B2143" s="20">
        <v>9494</v>
      </c>
      <c r="C2143" s="21">
        <v>44990</v>
      </c>
      <c r="D2143" s="20">
        <v>1128.91</v>
      </c>
      <c r="E2143" s="22" t="s">
        <v>10</v>
      </c>
      <c r="F2143" s="22" t="s">
        <v>11</v>
      </c>
      <c r="G2143" s="22" t="s">
        <v>17</v>
      </c>
    </row>
    <row r="2144" ht="15.15" spans="1:7">
      <c r="A2144" s="20">
        <v>2143</v>
      </c>
      <c r="B2144" s="20">
        <v>4688</v>
      </c>
      <c r="C2144" s="21">
        <v>45135</v>
      </c>
      <c r="D2144" s="20">
        <v>1226.53</v>
      </c>
      <c r="E2144" s="22" t="s">
        <v>10</v>
      </c>
      <c r="F2144" s="22" t="s">
        <v>13</v>
      </c>
      <c r="G2144" s="22" t="s">
        <v>15</v>
      </c>
    </row>
    <row r="2145" ht="15.15" spans="1:7">
      <c r="A2145" s="20">
        <v>2144</v>
      </c>
      <c r="B2145" s="20">
        <v>2812</v>
      </c>
      <c r="C2145" s="21">
        <v>45013</v>
      </c>
      <c r="D2145" s="20">
        <v>560.68</v>
      </c>
      <c r="E2145" s="22" t="s">
        <v>10</v>
      </c>
      <c r="F2145" s="22" t="s">
        <v>14</v>
      </c>
      <c r="G2145" s="22" t="s">
        <v>20</v>
      </c>
    </row>
    <row r="2146" ht="15.15" spans="1:7">
      <c r="A2146" s="20">
        <v>2145</v>
      </c>
      <c r="B2146" s="20">
        <v>3529</v>
      </c>
      <c r="C2146" s="21">
        <v>44960</v>
      </c>
      <c r="D2146" s="20">
        <v>1276.2</v>
      </c>
      <c r="E2146" s="22" t="s">
        <v>10</v>
      </c>
      <c r="F2146" s="22" t="s">
        <v>16</v>
      </c>
      <c r="G2146" s="22" t="s">
        <v>17</v>
      </c>
    </row>
    <row r="2147" ht="15.15" spans="1:7">
      <c r="A2147" s="20">
        <v>2146</v>
      </c>
      <c r="B2147" s="20">
        <v>5360</v>
      </c>
      <c r="C2147" s="21">
        <v>45059</v>
      </c>
      <c r="D2147" s="20">
        <v>329.52</v>
      </c>
      <c r="E2147" s="22" t="s">
        <v>10</v>
      </c>
      <c r="F2147" s="22" t="s">
        <v>18</v>
      </c>
      <c r="G2147" s="22" t="s">
        <v>15</v>
      </c>
    </row>
    <row r="2148" ht="15.15" spans="1:7">
      <c r="A2148" s="20">
        <v>2147</v>
      </c>
      <c r="B2148" s="20">
        <v>7790</v>
      </c>
      <c r="C2148" s="21">
        <v>45264</v>
      </c>
      <c r="D2148" s="20">
        <v>415.09</v>
      </c>
      <c r="E2148" s="22" t="s">
        <v>10</v>
      </c>
      <c r="F2148" s="22" t="s">
        <v>16</v>
      </c>
      <c r="G2148" s="22" t="s">
        <v>17</v>
      </c>
    </row>
    <row r="2149" ht="15.15" spans="1:7">
      <c r="A2149" s="20">
        <v>2148</v>
      </c>
      <c r="B2149" s="20">
        <v>1137</v>
      </c>
      <c r="C2149" s="21">
        <v>45259</v>
      </c>
      <c r="D2149" s="20">
        <v>1208.39</v>
      </c>
      <c r="E2149" s="22" t="s">
        <v>10</v>
      </c>
      <c r="F2149" s="22" t="s">
        <v>11</v>
      </c>
      <c r="G2149" s="22" t="s">
        <v>15</v>
      </c>
    </row>
    <row r="2150" ht="15.15" spans="1:7">
      <c r="A2150" s="20">
        <v>2149</v>
      </c>
      <c r="B2150" s="20">
        <v>9889</v>
      </c>
      <c r="C2150" s="21">
        <v>45043</v>
      </c>
      <c r="D2150" s="20">
        <v>826.84</v>
      </c>
      <c r="E2150" s="22" t="s">
        <v>10</v>
      </c>
      <c r="F2150" s="22" t="s">
        <v>16</v>
      </c>
      <c r="G2150" s="22" t="s">
        <v>15</v>
      </c>
    </row>
    <row r="2151" ht="15.15" spans="1:7">
      <c r="A2151" s="20">
        <v>2150</v>
      </c>
      <c r="B2151" s="20">
        <v>9435</v>
      </c>
      <c r="C2151" s="21">
        <v>45284</v>
      </c>
      <c r="D2151" s="20">
        <v>620.13</v>
      </c>
      <c r="E2151" s="22" t="s">
        <v>10</v>
      </c>
      <c r="F2151" s="22" t="s">
        <v>11</v>
      </c>
      <c r="G2151" s="22" t="s">
        <v>12</v>
      </c>
    </row>
    <row r="2152" ht="15.15" spans="1:7">
      <c r="A2152" s="20">
        <v>2151</v>
      </c>
      <c r="B2152" s="20">
        <v>9618</v>
      </c>
      <c r="C2152" s="21">
        <v>45116</v>
      </c>
      <c r="D2152" s="20">
        <v>410.28</v>
      </c>
      <c r="E2152" s="22" t="s">
        <v>10</v>
      </c>
      <c r="F2152" s="22" t="s">
        <v>16</v>
      </c>
      <c r="G2152" s="22" t="s">
        <v>15</v>
      </c>
    </row>
    <row r="2153" ht="15.15" spans="1:7">
      <c r="A2153" s="20">
        <v>2152</v>
      </c>
      <c r="B2153" s="20">
        <v>1752</v>
      </c>
      <c r="C2153" s="21">
        <v>44932</v>
      </c>
      <c r="D2153" s="20">
        <v>1417.1</v>
      </c>
      <c r="E2153" s="22" t="s">
        <v>10</v>
      </c>
      <c r="F2153" s="22" t="s">
        <v>18</v>
      </c>
      <c r="G2153" s="22" t="s">
        <v>17</v>
      </c>
    </row>
    <row r="2154" ht="15.15" spans="1:7">
      <c r="A2154" s="20">
        <v>2153</v>
      </c>
      <c r="B2154" s="20">
        <v>3807</v>
      </c>
      <c r="C2154" s="21">
        <v>45251</v>
      </c>
      <c r="D2154" s="20">
        <v>579.6</v>
      </c>
      <c r="E2154" s="22" t="s">
        <v>10</v>
      </c>
      <c r="F2154" s="22" t="s">
        <v>13</v>
      </c>
      <c r="G2154" s="22" t="s">
        <v>12</v>
      </c>
    </row>
    <row r="2155" ht="15.15" spans="1:7">
      <c r="A2155" s="20">
        <v>2154</v>
      </c>
      <c r="B2155" s="20">
        <v>6010</v>
      </c>
      <c r="C2155" s="21">
        <v>45252</v>
      </c>
      <c r="D2155" s="20">
        <v>401.82</v>
      </c>
      <c r="E2155" s="22" t="s">
        <v>10</v>
      </c>
      <c r="F2155" s="22" t="s">
        <v>14</v>
      </c>
      <c r="G2155" s="22" t="s">
        <v>17</v>
      </c>
    </row>
    <row r="2156" ht="15.15" spans="1:7">
      <c r="A2156" s="20">
        <v>2155</v>
      </c>
      <c r="B2156" s="20">
        <v>6261</v>
      </c>
      <c r="C2156" s="21">
        <v>45062</v>
      </c>
      <c r="D2156" s="20">
        <v>360.28</v>
      </c>
      <c r="E2156" s="22" t="s">
        <v>10</v>
      </c>
      <c r="F2156" s="22" t="s">
        <v>13</v>
      </c>
      <c r="G2156" s="22" t="s">
        <v>15</v>
      </c>
    </row>
    <row r="2157" ht="15.15" spans="1:7">
      <c r="A2157" s="20">
        <v>2156</v>
      </c>
      <c r="B2157" s="20">
        <v>1300</v>
      </c>
      <c r="C2157" s="21">
        <v>45279</v>
      </c>
      <c r="D2157" s="20">
        <v>1505.96</v>
      </c>
      <c r="E2157" s="22" t="s">
        <v>10</v>
      </c>
      <c r="F2157" s="22" t="s">
        <v>13</v>
      </c>
      <c r="G2157" s="22" t="s">
        <v>20</v>
      </c>
    </row>
    <row r="2158" ht="15.15" spans="1:7">
      <c r="A2158" s="20">
        <v>2157</v>
      </c>
      <c r="B2158" s="20">
        <v>1821</v>
      </c>
      <c r="C2158" s="21">
        <v>45267</v>
      </c>
      <c r="D2158" s="20">
        <v>3085.16</v>
      </c>
      <c r="E2158" s="22" t="s">
        <v>10</v>
      </c>
      <c r="F2158" s="22" t="s">
        <v>18</v>
      </c>
      <c r="G2158" s="22" t="s">
        <v>12</v>
      </c>
    </row>
    <row r="2159" ht="15.15" spans="1:7">
      <c r="A2159" s="20">
        <v>2158</v>
      </c>
      <c r="B2159" s="20">
        <v>2278</v>
      </c>
      <c r="C2159" s="21">
        <v>45157</v>
      </c>
      <c r="D2159" s="20">
        <v>2063.72</v>
      </c>
      <c r="E2159" s="22" t="s">
        <v>10</v>
      </c>
      <c r="F2159" s="22" t="s">
        <v>16</v>
      </c>
      <c r="G2159" s="22" t="s">
        <v>17</v>
      </c>
    </row>
    <row r="2160" ht="15.15" spans="1:7">
      <c r="A2160" s="20">
        <v>2159</v>
      </c>
      <c r="B2160" s="20">
        <v>1180</v>
      </c>
      <c r="C2160" s="21">
        <v>45150</v>
      </c>
      <c r="D2160" s="20">
        <v>750.85</v>
      </c>
      <c r="E2160" s="22" t="s">
        <v>10</v>
      </c>
      <c r="F2160" s="22" t="s">
        <v>13</v>
      </c>
      <c r="G2160" s="22" t="s">
        <v>17</v>
      </c>
    </row>
    <row r="2161" ht="15.15" spans="1:7">
      <c r="A2161" s="20">
        <v>2160</v>
      </c>
      <c r="B2161" s="20">
        <v>2902</v>
      </c>
      <c r="C2161" s="21">
        <v>45120</v>
      </c>
      <c r="D2161" s="20">
        <v>90.47</v>
      </c>
      <c r="E2161" s="22" t="s">
        <v>10</v>
      </c>
      <c r="F2161" s="22" t="s">
        <v>16</v>
      </c>
      <c r="G2161" s="22" t="s">
        <v>20</v>
      </c>
    </row>
    <row r="2162" ht="15.15" spans="1:7">
      <c r="A2162" s="20">
        <v>2161</v>
      </c>
      <c r="B2162" s="20">
        <v>7021</v>
      </c>
      <c r="C2162" s="21">
        <v>45172</v>
      </c>
      <c r="D2162" s="20">
        <v>746.07</v>
      </c>
      <c r="E2162" s="22" t="s">
        <v>10</v>
      </c>
      <c r="F2162" s="22" t="s">
        <v>16</v>
      </c>
      <c r="G2162" s="22" t="s">
        <v>12</v>
      </c>
    </row>
    <row r="2163" ht="15.15" spans="1:7">
      <c r="A2163" s="20">
        <v>2162</v>
      </c>
      <c r="B2163" s="20">
        <v>9883</v>
      </c>
      <c r="C2163" s="21">
        <v>45221</v>
      </c>
      <c r="D2163" s="20">
        <v>575.08</v>
      </c>
      <c r="E2163" s="22" t="s">
        <v>10</v>
      </c>
      <c r="F2163" s="22" t="s">
        <v>14</v>
      </c>
      <c r="G2163" s="22" t="s">
        <v>15</v>
      </c>
    </row>
    <row r="2164" ht="15.15" spans="1:7">
      <c r="A2164" s="20">
        <v>2163</v>
      </c>
      <c r="B2164" s="20">
        <v>8675</v>
      </c>
      <c r="C2164" s="21">
        <v>45156</v>
      </c>
      <c r="D2164" s="20">
        <v>1472.4</v>
      </c>
      <c r="E2164" s="22" t="s">
        <v>10</v>
      </c>
      <c r="F2164" s="22" t="s">
        <v>18</v>
      </c>
      <c r="G2164" s="22" t="s">
        <v>20</v>
      </c>
    </row>
    <row r="2165" ht="15.15" spans="1:7">
      <c r="A2165" s="20">
        <v>2164</v>
      </c>
      <c r="B2165" s="20">
        <v>4382</v>
      </c>
      <c r="C2165" s="21">
        <v>45005</v>
      </c>
      <c r="D2165" s="20">
        <v>1527.31</v>
      </c>
      <c r="E2165" s="22" t="s">
        <v>10</v>
      </c>
      <c r="F2165" s="22" t="s">
        <v>14</v>
      </c>
      <c r="G2165" s="22" t="s">
        <v>15</v>
      </c>
    </row>
    <row r="2166" ht="15.15" spans="1:7">
      <c r="A2166" s="20">
        <v>2165</v>
      </c>
      <c r="B2166" s="20">
        <v>1396</v>
      </c>
      <c r="C2166" s="21">
        <v>45258</v>
      </c>
      <c r="D2166" s="20">
        <v>4208.31</v>
      </c>
      <c r="E2166" s="22" t="s">
        <v>10</v>
      </c>
      <c r="F2166" s="22" t="s">
        <v>16</v>
      </c>
      <c r="G2166" s="22" t="s">
        <v>20</v>
      </c>
    </row>
    <row r="2167" ht="15.15" spans="1:7">
      <c r="A2167" s="20">
        <v>2166</v>
      </c>
      <c r="B2167" s="20">
        <v>2545</v>
      </c>
      <c r="C2167" s="21">
        <v>44954</v>
      </c>
      <c r="D2167" s="20">
        <v>3427.67</v>
      </c>
      <c r="E2167" s="22" t="s">
        <v>10</v>
      </c>
      <c r="F2167" s="22" t="s">
        <v>18</v>
      </c>
      <c r="G2167" s="22" t="s">
        <v>12</v>
      </c>
    </row>
    <row r="2168" ht="15.15" spans="1:7">
      <c r="A2168" s="20">
        <v>2167</v>
      </c>
      <c r="B2168" s="20">
        <v>9250</v>
      </c>
      <c r="C2168" s="21">
        <v>45116</v>
      </c>
      <c r="D2168" s="20">
        <v>159.37</v>
      </c>
      <c r="E2168" s="22" t="s">
        <v>10</v>
      </c>
      <c r="F2168" s="22" t="s">
        <v>11</v>
      </c>
      <c r="G2168" s="22" t="s">
        <v>20</v>
      </c>
    </row>
    <row r="2169" ht="15.15" spans="1:7">
      <c r="A2169" s="20">
        <v>2168</v>
      </c>
      <c r="B2169" s="20">
        <v>499</v>
      </c>
      <c r="C2169" s="21">
        <v>45187</v>
      </c>
      <c r="D2169" s="20">
        <v>410.57</v>
      </c>
      <c r="E2169" s="22" t="s">
        <v>10</v>
      </c>
      <c r="F2169" s="22" t="s">
        <v>16</v>
      </c>
      <c r="G2169" s="22" t="s">
        <v>12</v>
      </c>
    </row>
    <row r="2170" ht="15.15" spans="1:7">
      <c r="A2170" s="20">
        <v>2169</v>
      </c>
      <c r="B2170" s="20">
        <v>1349</v>
      </c>
      <c r="C2170" s="21">
        <v>44985</v>
      </c>
      <c r="D2170" s="20">
        <v>886.52</v>
      </c>
      <c r="E2170" s="22" t="s">
        <v>10</v>
      </c>
      <c r="F2170" s="22" t="s">
        <v>14</v>
      </c>
      <c r="G2170" s="22" t="s">
        <v>15</v>
      </c>
    </row>
    <row r="2171" ht="15.15" spans="1:7">
      <c r="A2171" s="20">
        <v>2170</v>
      </c>
      <c r="B2171" s="20">
        <v>1256</v>
      </c>
      <c r="C2171" s="21">
        <v>45162</v>
      </c>
      <c r="D2171" s="20">
        <v>1147.34</v>
      </c>
      <c r="E2171" s="22" t="s">
        <v>10</v>
      </c>
      <c r="F2171" s="22" t="s">
        <v>18</v>
      </c>
      <c r="G2171" s="22" t="s">
        <v>15</v>
      </c>
    </row>
    <row r="2172" ht="15.15" spans="1:7">
      <c r="A2172" s="20">
        <v>2171</v>
      </c>
      <c r="B2172" s="20">
        <v>9871</v>
      </c>
      <c r="C2172" s="21">
        <v>45255</v>
      </c>
      <c r="D2172" s="20">
        <v>901.51</v>
      </c>
      <c r="E2172" s="22" t="s">
        <v>10</v>
      </c>
      <c r="F2172" s="22" t="s">
        <v>16</v>
      </c>
      <c r="G2172" s="22" t="s">
        <v>15</v>
      </c>
    </row>
    <row r="2173" ht="15.15" spans="1:7">
      <c r="A2173" s="20">
        <v>2172</v>
      </c>
      <c r="B2173" s="20">
        <v>2140</v>
      </c>
      <c r="C2173" s="21">
        <v>44982</v>
      </c>
      <c r="D2173" s="20">
        <v>957.11</v>
      </c>
      <c r="E2173" s="22" t="s">
        <v>10</v>
      </c>
      <c r="F2173" s="22" t="s">
        <v>11</v>
      </c>
      <c r="G2173" s="22" t="s">
        <v>17</v>
      </c>
    </row>
    <row r="2174" ht="15.15" spans="1:7">
      <c r="A2174" s="20">
        <v>2173</v>
      </c>
      <c r="B2174" s="20">
        <v>1097</v>
      </c>
      <c r="C2174" s="21">
        <v>45123</v>
      </c>
      <c r="D2174" s="20">
        <v>1957.49</v>
      </c>
      <c r="E2174" s="22" t="s">
        <v>10</v>
      </c>
      <c r="F2174" s="22" t="s">
        <v>13</v>
      </c>
      <c r="G2174" s="22" t="s">
        <v>15</v>
      </c>
    </row>
    <row r="2175" ht="15.15" spans="1:7">
      <c r="A2175" s="20">
        <v>2174</v>
      </c>
      <c r="B2175" s="20">
        <v>5821</v>
      </c>
      <c r="C2175" s="21">
        <v>44933</v>
      </c>
      <c r="D2175" s="20">
        <v>1786.37</v>
      </c>
      <c r="E2175" s="22" t="s">
        <v>10</v>
      </c>
      <c r="F2175" s="22" t="s">
        <v>14</v>
      </c>
      <c r="G2175" s="22" t="s">
        <v>15</v>
      </c>
    </row>
    <row r="2176" ht="15.15" spans="1:7">
      <c r="A2176" s="20">
        <v>2175</v>
      </c>
      <c r="B2176" s="20">
        <v>7820</v>
      </c>
      <c r="C2176" s="21">
        <v>45281</v>
      </c>
      <c r="D2176" s="20">
        <v>1454.55</v>
      </c>
      <c r="E2176" s="22" t="s">
        <v>10</v>
      </c>
      <c r="F2176" s="22" t="s">
        <v>13</v>
      </c>
      <c r="G2176" s="22" t="s">
        <v>17</v>
      </c>
    </row>
    <row r="2177" ht="15.15" spans="1:7">
      <c r="A2177" s="20">
        <v>2176</v>
      </c>
      <c r="B2177" s="20">
        <v>5644</v>
      </c>
      <c r="C2177" s="21">
        <v>45095</v>
      </c>
      <c r="D2177" s="20">
        <v>260.57</v>
      </c>
      <c r="E2177" s="22" t="s">
        <v>10</v>
      </c>
      <c r="F2177" s="22" t="s">
        <v>18</v>
      </c>
      <c r="G2177" s="22" t="s">
        <v>20</v>
      </c>
    </row>
    <row r="2178" ht="15.15" spans="1:7">
      <c r="A2178" s="20">
        <v>2177</v>
      </c>
      <c r="B2178" s="20">
        <v>3443</v>
      </c>
      <c r="C2178" s="21">
        <v>44994</v>
      </c>
      <c r="D2178" s="20">
        <v>2346.67</v>
      </c>
      <c r="E2178" s="22" t="s">
        <v>10</v>
      </c>
      <c r="F2178" s="22" t="s">
        <v>13</v>
      </c>
      <c r="G2178" s="22" t="s">
        <v>12</v>
      </c>
    </row>
    <row r="2179" ht="15.15" spans="1:7">
      <c r="A2179" s="20">
        <v>2178</v>
      </c>
      <c r="B2179" s="20">
        <v>4437</v>
      </c>
      <c r="C2179" s="21">
        <v>45254</v>
      </c>
      <c r="D2179" s="20">
        <v>345.32</v>
      </c>
      <c r="E2179" s="22" t="s">
        <v>10</v>
      </c>
      <c r="F2179" s="22" t="s">
        <v>13</v>
      </c>
      <c r="G2179" s="22" t="s">
        <v>12</v>
      </c>
    </row>
    <row r="2180" ht="15.15" spans="1:7">
      <c r="A2180" s="20">
        <v>2179</v>
      </c>
      <c r="B2180" s="20">
        <v>4169</v>
      </c>
      <c r="C2180" s="21">
        <v>45151</v>
      </c>
      <c r="D2180" s="20">
        <v>1378.17</v>
      </c>
      <c r="E2180" s="22" t="s">
        <v>10</v>
      </c>
      <c r="F2180" s="22" t="s">
        <v>16</v>
      </c>
      <c r="G2180" s="22" t="s">
        <v>20</v>
      </c>
    </row>
    <row r="2181" ht="15.15" spans="1:7">
      <c r="A2181" s="20">
        <v>2180</v>
      </c>
      <c r="B2181" s="20">
        <v>3232</v>
      </c>
      <c r="C2181" s="21">
        <v>44944</v>
      </c>
      <c r="D2181" s="20">
        <v>3868.21</v>
      </c>
      <c r="E2181" s="22" t="s">
        <v>10</v>
      </c>
      <c r="F2181" s="22" t="s">
        <v>16</v>
      </c>
      <c r="G2181" s="22" t="s">
        <v>20</v>
      </c>
    </row>
    <row r="2182" ht="15.15" spans="1:7">
      <c r="A2182" s="20">
        <v>2181</v>
      </c>
      <c r="B2182" s="20">
        <v>7846</v>
      </c>
      <c r="C2182" s="21">
        <v>45055</v>
      </c>
      <c r="D2182" s="20">
        <v>2598.38</v>
      </c>
      <c r="E2182" s="22" t="s">
        <v>10</v>
      </c>
      <c r="F2182" s="22" t="s">
        <v>16</v>
      </c>
      <c r="G2182" s="22" t="s">
        <v>17</v>
      </c>
    </row>
    <row r="2183" ht="15.15" spans="1:7">
      <c r="A2183" s="20">
        <v>2182</v>
      </c>
      <c r="B2183" s="20">
        <v>5944</v>
      </c>
      <c r="C2183" s="21">
        <v>45237</v>
      </c>
      <c r="D2183" s="20">
        <v>748.01</v>
      </c>
      <c r="E2183" s="22" t="s">
        <v>10</v>
      </c>
      <c r="F2183" s="22" t="s">
        <v>11</v>
      </c>
      <c r="G2183" s="22" t="s">
        <v>15</v>
      </c>
    </row>
    <row r="2184" ht="15.15" spans="1:7">
      <c r="A2184" s="20">
        <v>2183</v>
      </c>
      <c r="B2184" s="20">
        <v>9669</v>
      </c>
      <c r="C2184" s="21">
        <v>45124</v>
      </c>
      <c r="D2184" s="20">
        <v>255.79</v>
      </c>
      <c r="E2184" s="22" t="s">
        <v>10</v>
      </c>
      <c r="F2184" s="22" t="s">
        <v>16</v>
      </c>
      <c r="G2184" s="22" t="s">
        <v>20</v>
      </c>
    </row>
    <row r="2185" ht="15.15" spans="1:7">
      <c r="A2185" s="20">
        <v>2184</v>
      </c>
      <c r="B2185" s="20">
        <v>3991</v>
      </c>
      <c r="C2185" s="21">
        <v>45208</v>
      </c>
      <c r="D2185" s="20">
        <v>2931.04</v>
      </c>
      <c r="E2185" s="22" t="s">
        <v>21</v>
      </c>
      <c r="F2185" s="22" t="s">
        <v>18</v>
      </c>
      <c r="G2185" s="22" t="s">
        <v>20</v>
      </c>
    </row>
    <row r="2186" ht="15.15" spans="1:7">
      <c r="A2186" s="20">
        <v>2185</v>
      </c>
      <c r="B2186" s="20">
        <v>5208</v>
      </c>
      <c r="C2186" s="21">
        <v>45151</v>
      </c>
      <c r="D2186" s="20">
        <v>2867.88</v>
      </c>
      <c r="E2186" s="22" t="s">
        <v>10</v>
      </c>
      <c r="F2186" s="22" t="s">
        <v>14</v>
      </c>
      <c r="G2186" s="22" t="s">
        <v>17</v>
      </c>
    </row>
    <row r="2187" ht="15.15" spans="1:7">
      <c r="A2187" s="20">
        <v>2186</v>
      </c>
      <c r="B2187" s="20">
        <v>6970</v>
      </c>
      <c r="C2187" s="21">
        <v>44957</v>
      </c>
      <c r="D2187" s="20">
        <v>1834.55</v>
      </c>
      <c r="E2187" s="22" t="s">
        <v>10</v>
      </c>
      <c r="F2187" s="22" t="s">
        <v>13</v>
      </c>
      <c r="G2187" s="22" t="s">
        <v>15</v>
      </c>
    </row>
    <row r="2188" ht="15.15" spans="1:7">
      <c r="A2188" s="20">
        <v>2187</v>
      </c>
      <c r="B2188" s="20">
        <v>9966</v>
      </c>
      <c r="C2188" s="21">
        <v>45289</v>
      </c>
      <c r="D2188" s="20">
        <v>828.48</v>
      </c>
      <c r="E2188" s="22" t="s">
        <v>10</v>
      </c>
      <c r="F2188" s="22" t="s">
        <v>14</v>
      </c>
      <c r="G2188" s="22" t="s">
        <v>17</v>
      </c>
    </row>
    <row r="2189" ht="15.15" spans="1:7">
      <c r="A2189" s="20">
        <v>2188</v>
      </c>
      <c r="B2189" s="20">
        <v>6920</v>
      </c>
      <c r="C2189" s="21">
        <v>45287</v>
      </c>
      <c r="D2189" s="20">
        <v>1349.47</v>
      </c>
      <c r="E2189" s="22" t="s">
        <v>10</v>
      </c>
      <c r="F2189" s="22" t="s">
        <v>13</v>
      </c>
      <c r="G2189" s="22" t="s">
        <v>12</v>
      </c>
    </row>
    <row r="2190" ht="15.15" spans="1:7">
      <c r="A2190" s="20">
        <v>2189</v>
      </c>
      <c r="B2190" s="20">
        <v>9531</v>
      </c>
      <c r="C2190" s="21">
        <v>44963</v>
      </c>
      <c r="D2190" s="20">
        <v>1611.71</v>
      </c>
      <c r="E2190" s="22" t="s">
        <v>10</v>
      </c>
      <c r="F2190" s="22" t="s">
        <v>18</v>
      </c>
      <c r="G2190" s="22" t="s">
        <v>20</v>
      </c>
    </row>
    <row r="2191" ht="15.15" spans="1:7">
      <c r="A2191" s="20">
        <v>2190</v>
      </c>
      <c r="B2191" s="20">
        <v>564</v>
      </c>
      <c r="C2191" s="21">
        <v>45192</v>
      </c>
      <c r="D2191" s="20">
        <v>1095.62</v>
      </c>
      <c r="E2191" s="22" t="s">
        <v>10</v>
      </c>
      <c r="F2191" s="22" t="s">
        <v>16</v>
      </c>
      <c r="G2191" s="22" t="s">
        <v>17</v>
      </c>
    </row>
    <row r="2192" ht="15.15" spans="1:7">
      <c r="A2192" s="20">
        <v>2191</v>
      </c>
      <c r="B2192" s="20">
        <v>1353</v>
      </c>
      <c r="C2192" s="21">
        <v>45224</v>
      </c>
      <c r="D2192" s="20">
        <v>1146.95</v>
      </c>
      <c r="E2192" s="22" t="s">
        <v>10</v>
      </c>
      <c r="F2192" s="22" t="s">
        <v>11</v>
      </c>
      <c r="G2192" s="22" t="s">
        <v>12</v>
      </c>
    </row>
    <row r="2193" ht="15.15" spans="1:7">
      <c r="A2193" s="20">
        <v>2192</v>
      </c>
      <c r="B2193" s="20">
        <v>716</v>
      </c>
      <c r="C2193" s="21">
        <v>45260</v>
      </c>
      <c r="D2193" s="20">
        <v>245.09</v>
      </c>
      <c r="E2193" s="22" t="s">
        <v>10</v>
      </c>
      <c r="F2193" s="22" t="s">
        <v>11</v>
      </c>
      <c r="G2193" s="22" t="s">
        <v>12</v>
      </c>
    </row>
    <row r="2194" ht="15.15" spans="1:7">
      <c r="A2194" s="20">
        <v>2193</v>
      </c>
      <c r="B2194" s="20">
        <v>8200</v>
      </c>
      <c r="C2194" s="21">
        <v>45064</v>
      </c>
      <c r="D2194" s="20">
        <v>834.79</v>
      </c>
      <c r="E2194" s="22" t="s">
        <v>10</v>
      </c>
      <c r="F2194" s="22" t="s">
        <v>18</v>
      </c>
      <c r="G2194" s="22" t="s">
        <v>15</v>
      </c>
    </row>
    <row r="2195" ht="15.15" spans="1:7">
      <c r="A2195" s="20">
        <v>2194</v>
      </c>
      <c r="B2195" s="20">
        <v>17</v>
      </c>
      <c r="C2195" s="21">
        <v>45182</v>
      </c>
      <c r="D2195" s="20">
        <v>1672.37</v>
      </c>
      <c r="E2195" s="22" t="s">
        <v>10</v>
      </c>
      <c r="F2195" s="22" t="s">
        <v>16</v>
      </c>
      <c r="G2195" s="22" t="s">
        <v>15</v>
      </c>
    </row>
    <row r="2196" ht="15.15" spans="1:7">
      <c r="A2196" s="20">
        <v>2195</v>
      </c>
      <c r="B2196" s="20">
        <v>9661</v>
      </c>
      <c r="C2196" s="21">
        <v>45156</v>
      </c>
      <c r="D2196" s="20">
        <v>7289.22</v>
      </c>
      <c r="E2196" s="22" t="s">
        <v>10</v>
      </c>
      <c r="F2196" s="22" t="s">
        <v>11</v>
      </c>
      <c r="G2196" s="22" t="s">
        <v>17</v>
      </c>
    </row>
    <row r="2197" ht="15.15" spans="1:7">
      <c r="A2197" s="20">
        <v>2196</v>
      </c>
      <c r="B2197" s="20">
        <v>3164</v>
      </c>
      <c r="C2197" s="21">
        <v>45074</v>
      </c>
      <c r="D2197" s="20">
        <v>2461.93</v>
      </c>
      <c r="E2197" s="22" t="s">
        <v>10</v>
      </c>
      <c r="F2197" s="22" t="s">
        <v>14</v>
      </c>
      <c r="G2197" s="22" t="s">
        <v>17</v>
      </c>
    </row>
    <row r="2198" ht="15.15" spans="1:7">
      <c r="A2198" s="20">
        <v>2197</v>
      </c>
      <c r="B2198" s="20">
        <v>5417</v>
      </c>
      <c r="C2198" s="21">
        <v>45242</v>
      </c>
      <c r="D2198" s="20">
        <v>428.94</v>
      </c>
      <c r="E2198" s="22" t="s">
        <v>10</v>
      </c>
      <c r="F2198" s="22" t="s">
        <v>14</v>
      </c>
      <c r="G2198" s="22" t="s">
        <v>12</v>
      </c>
    </row>
    <row r="2199" ht="15.15" spans="1:7">
      <c r="A2199" s="20">
        <v>2198</v>
      </c>
      <c r="B2199" s="20">
        <v>9548</v>
      </c>
      <c r="C2199" s="21">
        <v>45291</v>
      </c>
      <c r="D2199" s="20">
        <v>1526.73</v>
      </c>
      <c r="E2199" s="22" t="s">
        <v>10</v>
      </c>
      <c r="F2199" s="22" t="s">
        <v>11</v>
      </c>
      <c r="G2199" s="22" t="s">
        <v>20</v>
      </c>
    </row>
    <row r="2200" ht="15.15" spans="1:7">
      <c r="A2200" s="20">
        <v>2199</v>
      </c>
      <c r="B2200" s="20">
        <v>1425</v>
      </c>
      <c r="C2200" s="21">
        <v>45251</v>
      </c>
      <c r="D2200" s="20">
        <v>1041.67</v>
      </c>
      <c r="E2200" s="22" t="s">
        <v>10</v>
      </c>
      <c r="F2200" s="22" t="s">
        <v>11</v>
      </c>
      <c r="G2200" s="22" t="s">
        <v>17</v>
      </c>
    </row>
    <row r="2201" ht="15.15" spans="1:7">
      <c r="A2201" s="20">
        <v>2200</v>
      </c>
      <c r="B2201" s="20">
        <v>5828</v>
      </c>
      <c r="C2201" s="21">
        <v>45107</v>
      </c>
      <c r="D2201" s="20">
        <v>940.69</v>
      </c>
      <c r="E2201" s="22" t="s">
        <v>10</v>
      </c>
      <c r="F2201" s="22" t="s">
        <v>16</v>
      </c>
      <c r="G2201" s="22" t="s">
        <v>15</v>
      </c>
    </row>
    <row r="2202" ht="15.15" spans="1:7">
      <c r="A2202" s="20">
        <v>2201</v>
      </c>
      <c r="B2202" s="20">
        <v>7461</v>
      </c>
      <c r="C2202" s="21">
        <v>45120</v>
      </c>
      <c r="D2202" s="20">
        <v>766.48</v>
      </c>
      <c r="E2202" s="22" t="s">
        <v>10</v>
      </c>
      <c r="F2202" s="22" t="s">
        <v>18</v>
      </c>
      <c r="G2202" s="22" t="s">
        <v>20</v>
      </c>
    </row>
    <row r="2203" ht="15.15" spans="1:7">
      <c r="A2203" s="20">
        <v>2202</v>
      </c>
      <c r="B2203" s="20">
        <v>574</v>
      </c>
      <c r="C2203" s="21">
        <v>45120</v>
      </c>
      <c r="D2203" s="20">
        <v>2421.45</v>
      </c>
      <c r="E2203" s="22" t="s">
        <v>10</v>
      </c>
      <c r="F2203" s="22" t="s">
        <v>16</v>
      </c>
      <c r="G2203" s="22" t="s">
        <v>20</v>
      </c>
    </row>
    <row r="2204" ht="15.15" spans="1:7">
      <c r="A2204" s="20">
        <v>2203</v>
      </c>
      <c r="B2204" s="20">
        <v>2926</v>
      </c>
      <c r="C2204" s="21">
        <v>45277</v>
      </c>
      <c r="D2204" s="20">
        <v>2312.5</v>
      </c>
      <c r="E2204" s="22" t="s">
        <v>10</v>
      </c>
      <c r="F2204" s="22" t="s">
        <v>16</v>
      </c>
      <c r="G2204" s="22" t="s">
        <v>15</v>
      </c>
    </row>
    <row r="2205" ht="15.15" spans="1:7">
      <c r="A2205" s="20">
        <v>2204</v>
      </c>
      <c r="B2205" s="20">
        <v>9100</v>
      </c>
      <c r="C2205" s="21">
        <v>45153</v>
      </c>
      <c r="D2205" s="20">
        <v>3572.74</v>
      </c>
      <c r="E2205" s="22" t="s">
        <v>21</v>
      </c>
      <c r="F2205" s="22" t="s">
        <v>14</v>
      </c>
      <c r="G2205" s="22" t="s">
        <v>15</v>
      </c>
    </row>
    <row r="2206" ht="15.15" spans="1:7">
      <c r="A2206" s="20">
        <v>2205</v>
      </c>
      <c r="B2206" s="20">
        <v>4691</v>
      </c>
      <c r="C2206" s="21">
        <v>45092</v>
      </c>
      <c r="D2206" s="20">
        <v>486.42</v>
      </c>
      <c r="E2206" s="22" t="s">
        <v>10</v>
      </c>
      <c r="F2206" s="22" t="s">
        <v>11</v>
      </c>
      <c r="G2206" s="22" t="s">
        <v>20</v>
      </c>
    </row>
    <row r="2207" ht="15.15" spans="1:7">
      <c r="A2207" s="20">
        <v>2206</v>
      </c>
      <c r="B2207" s="20">
        <v>3288</v>
      </c>
      <c r="C2207" s="21">
        <v>44991</v>
      </c>
      <c r="D2207" s="20">
        <v>280.61</v>
      </c>
      <c r="E2207" s="22" t="s">
        <v>10</v>
      </c>
      <c r="F2207" s="22" t="s">
        <v>11</v>
      </c>
      <c r="G2207" s="22" t="s">
        <v>17</v>
      </c>
    </row>
    <row r="2208" ht="15.15" spans="1:7">
      <c r="A2208" s="20">
        <v>2207</v>
      </c>
      <c r="B2208" s="20">
        <v>3672</v>
      </c>
      <c r="C2208" s="21">
        <v>44965</v>
      </c>
      <c r="D2208" s="20">
        <v>2198.51</v>
      </c>
      <c r="E2208" s="22" t="s">
        <v>10</v>
      </c>
      <c r="F2208" s="22" t="s">
        <v>18</v>
      </c>
      <c r="G2208" s="22" t="s">
        <v>12</v>
      </c>
    </row>
    <row r="2209" ht="15.15" spans="1:7">
      <c r="A2209" s="20">
        <v>2208</v>
      </c>
      <c r="B2209" s="20">
        <v>3406</v>
      </c>
      <c r="C2209" s="21">
        <v>45034</v>
      </c>
      <c r="D2209" s="20">
        <v>260.61</v>
      </c>
      <c r="E2209" s="22" t="s">
        <v>10</v>
      </c>
      <c r="F2209" s="22" t="s">
        <v>13</v>
      </c>
      <c r="G2209" s="22" t="s">
        <v>20</v>
      </c>
    </row>
    <row r="2210" ht="15.15" spans="1:7">
      <c r="A2210" s="20">
        <v>2209</v>
      </c>
      <c r="B2210" s="20">
        <v>2811</v>
      </c>
      <c r="C2210" s="21">
        <v>44986</v>
      </c>
      <c r="D2210" s="20">
        <v>91.92</v>
      </c>
      <c r="E2210" s="22" t="s">
        <v>10</v>
      </c>
      <c r="F2210" s="22" t="s">
        <v>11</v>
      </c>
      <c r="G2210" s="22" t="s">
        <v>15</v>
      </c>
    </row>
    <row r="2211" ht="15.15" spans="1:7">
      <c r="A2211" s="20">
        <v>2210</v>
      </c>
      <c r="B2211" s="20">
        <v>2455</v>
      </c>
      <c r="C2211" s="21">
        <v>45032</v>
      </c>
      <c r="D2211" s="20">
        <v>4179.14</v>
      </c>
      <c r="E2211" s="22" t="s">
        <v>22</v>
      </c>
      <c r="F2211" s="22" t="s">
        <v>16</v>
      </c>
      <c r="G2211" s="22" t="s">
        <v>20</v>
      </c>
    </row>
    <row r="2212" ht="15.15" spans="1:7">
      <c r="A2212" s="20">
        <v>2211</v>
      </c>
      <c r="B2212" s="20">
        <v>4347</v>
      </c>
      <c r="C2212" s="21">
        <v>45234</v>
      </c>
      <c r="D2212" s="20">
        <v>411.21</v>
      </c>
      <c r="E2212" s="22" t="s">
        <v>10</v>
      </c>
      <c r="F2212" s="22" t="s">
        <v>11</v>
      </c>
      <c r="G2212" s="22" t="s">
        <v>17</v>
      </c>
    </row>
    <row r="2213" ht="15.15" spans="1:7">
      <c r="A2213" s="20">
        <v>2212</v>
      </c>
      <c r="B2213" s="20">
        <v>2795</v>
      </c>
      <c r="C2213" s="21">
        <v>44957</v>
      </c>
      <c r="D2213" s="20">
        <v>579.6</v>
      </c>
      <c r="E2213" s="22" t="s">
        <v>10</v>
      </c>
      <c r="F2213" s="22" t="s">
        <v>14</v>
      </c>
      <c r="G2213" s="22" t="s">
        <v>20</v>
      </c>
    </row>
    <row r="2214" ht="15.15" spans="1:7">
      <c r="A2214" s="20">
        <v>2213</v>
      </c>
      <c r="B2214" s="20">
        <v>4917</v>
      </c>
      <c r="C2214" s="21">
        <v>45119</v>
      </c>
      <c r="D2214" s="20">
        <v>1300.85</v>
      </c>
      <c r="E2214" s="22" t="s">
        <v>10</v>
      </c>
      <c r="F2214" s="22" t="s">
        <v>11</v>
      </c>
      <c r="G2214" s="22" t="s">
        <v>17</v>
      </c>
    </row>
    <row r="2215" ht="15.15" spans="1:7">
      <c r="A2215" s="20">
        <v>2214</v>
      </c>
      <c r="B2215" s="20">
        <v>846</v>
      </c>
      <c r="C2215" s="21">
        <v>44993</v>
      </c>
      <c r="D2215" s="20">
        <v>3120.07</v>
      </c>
      <c r="E2215" s="22" t="s">
        <v>10</v>
      </c>
      <c r="F2215" s="22" t="s">
        <v>16</v>
      </c>
      <c r="G2215" s="22" t="s">
        <v>15</v>
      </c>
    </row>
    <row r="2216" ht="15.15" spans="1:7">
      <c r="A2216" s="20">
        <v>2215</v>
      </c>
      <c r="B2216" s="20">
        <v>8978</v>
      </c>
      <c r="C2216" s="21">
        <v>45267</v>
      </c>
      <c r="D2216" s="20">
        <v>1121.53</v>
      </c>
      <c r="E2216" s="22" t="s">
        <v>10</v>
      </c>
      <c r="F2216" s="22" t="s">
        <v>18</v>
      </c>
      <c r="G2216" s="22" t="s">
        <v>12</v>
      </c>
    </row>
    <row r="2217" ht="15.15" spans="1:7">
      <c r="A2217" s="20">
        <v>2216</v>
      </c>
      <c r="B2217" s="20">
        <v>8109</v>
      </c>
      <c r="C2217" s="21">
        <v>45235</v>
      </c>
      <c r="D2217" s="20">
        <v>627.61</v>
      </c>
      <c r="E2217" s="22" t="s">
        <v>21</v>
      </c>
      <c r="F2217" s="22" t="s">
        <v>18</v>
      </c>
      <c r="G2217" s="22" t="s">
        <v>15</v>
      </c>
    </row>
    <row r="2218" ht="15.15" spans="1:7">
      <c r="A2218" s="20">
        <v>2217</v>
      </c>
      <c r="B2218" s="20">
        <v>2303</v>
      </c>
      <c r="C2218" s="21">
        <v>45276</v>
      </c>
      <c r="D2218" s="20">
        <v>1059.54</v>
      </c>
      <c r="E2218" s="22" t="s">
        <v>10</v>
      </c>
      <c r="F2218" s="22" t="s">
        <v>13</v>
      </c>
      <c r="G2218" s="22" t="s">
        <v>20</v>
      </c>
    </row>
    <row r="2219" ht="15.15" spans="1:7">
      <c r="A2219" s="20">
        <v>2218</v>
      </c>
      <c r="B2219" s="20">
        <v>1517</v>
      </c>
      <c r="C2219" s="21">
        <v>45025</v>
      </c>
      <c r="D2219" s="20">
        <v>1134.44</v>
      </c>
      <c r="E2219" s="22" t="s">
        <v>10</v>
      </c>
      <c r="F2219" s="22" t="s">
        <v>13</v>
      </c>
      <c r="G2219" s="22" t="s">
        <v>12</v>
      </c>
    </row>
    <row r="2220" ht="15.15" spans="1:7">
      <c r="A2220" s="20">
        <v>2219</v>
      </c>
      <c r="B2220" s="20">
        <v>9071</v>
      </c>
      <c r="C2220" s="21">
        <v>45168</v>
      </c>
      <c r="D2220" s="20">
        <v>759.97</v>
      </c>
      <c r="E2220" s="22" t="s">
        <v>10</v>
      </c>
      <c r="F2220" s="22" t="s">
        <v>11</v>
      </c>
      <c r="G2220" s="22" t="s">
        <v>12</v>
      </c>
    </row>
    <row r="2221" ht="15.15" spans="1:7">
      <c r="A2221" s="20">
        <v>2220</v>
      </c>
      <c r="B2221" s="20">
        <v>1791</v>
      </c>
      <c r="C2221" s="21">
        <v>45100</v>
      </c>
      <c r="D2221" s="20">
        <v>210.12</v>
      </c>
      <c r="E2221" s="22" t="s">
        <v>10</v>
      </c>
      <c r="F2221" s="22" t="s">
        <v>18</v>
      </c>
      <c r="G2221" s="22" t="s">
        <v>15</v>
      </c>
    </row>
    <row r="2222" ht="15.15" spans="1:7">
      <c r="A2222" s="20">
        <v>2221</v>
      </c>
      <c r="B2222" s="20">
        <v>4075</v>
      </c>
      <c r="C2222" s="21">
        <v>45085</v>
      </c>
      <c r="D2222" s="20">
        <v>1885.15</v>
      </c>
      <c r="E2222" s="22" t="s">
        <v>10</v>
      </c>
      <c r="F2222" s="22" t="s">
        <v>16</v>
      </c>
      <c r="G2222" s="22" t="s">
        <v>17</v>
      </c>
    </row>
    <row r="2223" ht="15.15" spans="1:7">
      <c r="A2223" s="20">
        <v>2222</v>
      </c>
      <c r="B2223" s="20">
        <v>7270</v>
      </c>
      <c r="C2223" s="21">
        <v>45257</v>
      </c>
      <c r="D2223" s="20">
        <v>1448.85</v>
      </c>
      <c r="E2223" s="22" t="s">
        <v>21</v>
      </c>
      <c r="F2223" s="22" t="s">
        <v>11</v>
      </c>
      <c r="G2223" s="22" t="s">
        <v>15</v>
      </c>
    </row>
    <row r="2224" ht="15.15" spans="1:7">
      <c r="A2224" s="20">
        <v>2223</v>
      </c>
      <c r="B2224" s="20">
        <v>1929</v>
      </c>
      <c r="C2224" s="21">
        <v>44992</v>
      </c>
      <c r="D2224" s="20">
        <v>668.99</v>
      </c>
      <c r="E2224" s="22" t="s">
        <v>10</v>
      </c>
      <c r="F2224" s="22" t="s">
        <v>14</v>
      </c>
      <c r="G2224" s="22" t="s">
        <v>12</v>
      </c>
    </row>
    <row r="2225" ht="15.15" spans="1:7">
      <c r="A2225" s="20">
        <v>2224</v>
      </c>
      <c r="B2225" s="20">
        <v>1903</v>
      </c>
      <c r="C2225" s="21">
        <v>45038</v>
      </c>
      <c r="D2225" s="20">
        <v>96.07</v>
      </c>
      <c r="E2225" s="22" t="s">
        <v>10</v>
      </c>
      <c r="F2225" s="22" t="s">
        <v>13</v>
      </c>
      <c r="G2225" s="22" t="s">
        <v>20</v>
      </c>
    </row>
    <row r="2226" ht="15.15" spans="1:7">
      <c r="A2226" s="20">
        <v>2225</v>
      </c>
      <c r="B2226" s="20">
        <v>3947</v>
      </c>
      <c r="C2226" s="21">
        <v>45220</v>
      </c>
      <c r="D2226" s="20">
        <v>313.65</v>
      </c>
      <c r="E2226" s="22" t="s">
        <v>10</v>
      </c>
      <c r="F2226" s="22" t="s">
        <v>11</v>
      </c>
      <c r="G2226" s="22" t="s">
        <v>15</v>
      </c>
    </row>
    <row r="2227" ht="15.15" spans="1:7">
      <c r="A2227" s="20">
        <v>2226</v>
      </c>
      <c r="B2227" s="20">
        <v>3576</v>
      </c>
      <c r="C2227" s="21">
        <v>45180</v>
      </c>
      <c r="D2227" s="20">
        <v>493.21</v>
      </c>
      <c r="E2227" s="22" t="s">
        <v>10</v>
      </c>
      <c r="F2227" s="22" t="s">
        <v>18</v>
      </c>
      <c r="G2227" s="22" t="s">
        <v>12</v>
      </c>
    </row>
    <row r="2228" ht="15.15" spans="1:7">
      <c r="A2228" s="20">
        <v>2227</v>
      </c>
      <c r="B2228" s="20">
        <v>7773</v>
      </c>
      <c r="C2228" s="21">
        <v>45272</v>
      </c>
      <c r="D2228" s="20">
        <v>526.1</v>
      </c>
      <c r="E2228" s="22" t="s">
        <v>10</v>
      </c>
      <c r="F2228" s="22" t="s">
        <v>13</v>
      </c>
      <c r="G2228" s="22" t="s">
        <v>17</v>
      </c>
    </row>
    <row r="2229" ht="15.15" spans="1:7">
      <c r="A2229" s="20">
        <v>2228</v>
      </c>
      <c r="B2229" s="20">
        <v>3875</v>
      </c>
      <c r="C2229" s="21">
        <v>45265</v>
      </c>
      <c r="D2229" s="20">
        <v>815.03</v>
      </c>
      <c r="E2229" s="22" t="s">
        <v>10</v>
      </c>
      <c r="F2229" s="22" t="s">
        <v>14</v>
      </c>
      <c r="G2229" s="22" t="s">
        <v>15</v>
      </c>
    </row>
    <row r="2230" ht="15.15" spans="1:7">
      <c r="A2230" s="20">
        <v>2229</v>
      </c>
      <c r="B2230" s="20">
        <v>9327</v>
      </c>
      <c r="C2230" s="21">
        <v>45084</v>
      </c>
      <c r="D2230" s="20">
        <v>2923.87</v>
      </c>
      <c r="E2230" s="22" t="s">
        <v>10</v>
      </c>
      <c r="F2230" s="22" t="s">
        <v>14</v>
      </c>
      <c r="G2230" s="22" t="s">
        <v>17</v>
      </c>
    </row>
    <row r="2231" ht="15.15" spans="1:7">
      <c r="A2231" s="20">
        <v>2230</v>
      </c>
      <c r="B2231" s="20">
        <v>846</v>
      </c>
      <c r="C2231" s="21">
        <v>44988</v>
      </c>
      <c r="D2231" s="20">
        <v>848.39</v>
      </c>
      <c r="E2231" s="22" t="s">
        <v>10</v>
      </c>
      <c r="F2231" s="22" t="s">
        <v>16</v>
      </c>
      <c r="G2231" s="22" t="s">
        <v>15</v>
      </c>
    </row>
    <row r="2232" ht="15.15" spans="1:7">
      <c r="A2232" s="20">
        <v>2231</v>
      </c>
      <c r="B2232" s="20">
        <v>8146</v>
      </c>
      <c r="C2232" s="21">
        <v>45100</v>
      </c>
      <c r="D2232" s="20">
        <v>2850.33</v>
      </c>
      <c r="E2232" s="22" t="s">
        <v>10</v>
      </c>
      <c r="F2232" s="22" t="s">
        <v>14</v>
      </c>
      <c r="G2232" s="22" t="s">
        <v>20</v>
      </c>
    </row>
    <row r="2233" ht="15.15" spans="1:7">
      <c r="A2233" s="20">
        <v>2232</v>
      </c>
      <c r="B2233" s="20">
        <v>1566</v>
      </c>
      <c r="C2233" s="21">
        <v>44991</v>
      </c>
      <c r="D2233" s="20">
        <v>538.64</v>
      </c>
      <c r="E2233" s="22" t="s">
        <v>21</v>
      </c>
      <c r="F2233" s="22" t="s">
        <v>11</v>
      </c>
      <c r="G2233" s="22" t="s">
        <v>12</v>
      </c>
    </row>
    <row r="2234" ht="15.15" spans="1:7">
      <c r="A2234" s="20">
        <v>2233</v>
      </c>
      <c r="B2234" s="20">
        <v>4917</v>
      </c>
      <c r="C2234" s="21">
        <v>45270</v>
      </c>
      <c r="D2234" s="20">
        <v>157.92</v>
      </c>
      <c r="E2234" s="22" t="s">
        <v>10</v>
      </c>
      <c r="F2234" s="22" t="s">
        <v>11</v>
      </c>
      <c r="G2234" s="22" t="s">
        <v>17</v>
      </c>
    </row>
    <row r="2235" ht="15.15" spans="1:7">
      <c r="A2235" s="20">
        <v>2234</v>
      </c>
      <c r="B2235" s="20">
        <v>3405</v>
      </c>
      <c r="C2235" s="21">
        <v>44965</v>
      </c>
      <c r="D2235" s="20">
        <v>2070.65</v>
      </c>
      <c r="E2235" s="22" t="s">
        <v>10</v>
      </c>
      <c r="F2235" s="22" t="s">
        <v>14</v>
      </c>
      <c r="G2235" s="22" t="s">
        <v>17</v>
      </c>
    </row>
    <row r="2236" ht="15.15" spans="1:7">
      <c r="A2236" s="20">
        <v>2235</v>
      </c>
      <c r="B2236" s="20">
        <v>4796</v>
      </c>
      <c r="C2236" s="21">
        <v>45007</v>
      </c>
      <c r="D2236" s="20">
        <v>2384.89</v>
      </c>
      <c r="E2236" s="22" t="s">
        <v>22</v>
      </c>
      <c r="F2236" s="22" t="s">
        <v>18</v>
      </c>
      <c r="G2236" s="22" t="s">
        <v>15</v>
      </c>
    </row>
    <row r="2237" ht="15.15" spans="1:7">
      <c r="A2237" s="20">
        <v>2236</v>
      </c>
      <c r="B2237" s="20">
        <v>5467</v>
      </c>
      <c r="C2237" s="21">
        <v>45097</v>
      </c>
      <c r="D2237" s="20">
        <v>1759.75</v>
      </c>
      <c r="E2237" s="22" t="s">
        <v>10</v>
      </c>
      <c r="F2237" s="22" t="s">
        <v>14</v>
      </c>
      <c r="G2237" s="22" t="s">
        <v>20</v>
      </c>
    </row>
    <row r="2238" ht="15.15" spans="1:7">
      <c r="A2238" s="20">
        <v>2237</v>
      </c>
      <c r="B2238" s="20">
        <v>3960</v>
      </c>
      <c r="C2238" s="21">
        <v>45246</v>
      </c>
      <c r="D2238" s="20">
        <v>256.68</v>
      </c>
      <c r="E2238" s="22" t="s">
        <v>10</v>
      </c>
      <c r="F2238" s="22" t="s">
        <v>11</v>
      </c>
      <c r="G2238" s="22" t="s">
        <v>15</v>
      </c>
    </row>
    <row r="2239" ht="15.15" spans="1:7">
      <c r="A2239" s="20">
        <v>2238</v>
      </c>
      <c r="B2239" s="20">
        <v>8956</v>
      </c>
      <c r="C2239" s="21">
        <v>45150</v>
      </c>
      <c r="D2239" s="20">
        <v>196.53</v>
      </c>
      <c r="E2239" s="22" t="s">
        <v>10</v>
      </c>
      <c r="F2239" s="22" t="s">
        <v>18</v>
      </c>
      <c r="G2239" s="22" t="s">
        <v>15</v>
      </c>
    </row>
    <row r="2240" ht="15.15" spans="1:7">
      <c r="A2240" s="20">
        <v>2239</v>
      </c>
      <c r="B2240" s="20">
        <v>3440</v>
      </c>
      <c r="C2240" s="21">
        <v>45082</v>
      </c>
      <c r="D2240" s="20">
        <v>1074.23</v>
      </c>
      <c r="E2240" s="22" t="s">
        <v>10</v>
      </c>
      <c r="F2240" s="22" t="s">
        <v>16</v>
      </c>
      <c r="G2240" s="22" t="s">
        <v>20</v>
      </c>
    </row>
    <row r="2241" ht="15.15" spans="1:7">
      <c r="A2241" s="20">
        <v>2240</v>
      </c>
      <c r="B2241" s="20">
        <v>5990</v>
      </c>
      <c r="C2241" s="21">
        <v>44978</v>
      </c>
      <c r="D2241" s="20">
        <v>265.95</v>
      </c>
      <c r="E2241" s="22" t="s">
        <v>10</v>
      </c>
      <c r="F2241" s="22" t="s">
        <v>16</v>
      </c>
      <c r="G2241" s="22" t="s">
        <v>17</v>
      </c>
    </row>
    <row r="2242" ht="15.15" spans="1:7">
      <c r="A2242" s="20">
        <v>2241</v>
      </c>
      <c r="B2242" s="20">
        <v>8325</v>
      </c>
      <c r="C2242" s="21">
        <v>45065</v>
      </c>
      <c r="D2242" s="20">
        <v>914.09</v>
      </c>
      <c r="E2242" s="22" t="s">
        <v>10</v>
      </c>
      <c r="F2242" s="22" t="s">
        <v>18</v>
      </c>
      <c r="G2242" s="22" t="s">
        <v>12</v>
      </c>
    </row>
    <row r="2243" ht="15.15" spans="1:7">
      <c r="A2243" s="20">
        <v>2242</v>
      </c>
      <c r="B2243" s="20">
        <v>2196</v>
      </c>
      <c r="C2243" s="21">
        <v>45253</v>
      </c>
      <c r="D2243" s="20">
        <v>784.9</v>
      </c>
      <c r="E2243" s="22" t="s">
        <v>10</v>
      </c>
      <c r="F2243" s="22" t="s">
        <v>16</v>
      </c>
      <c r="G2243" s="22" t="s">
        <v>15</v>
      </c>
    </row>
    <row r="2244" ht="15.15" spans="1:7">
      <c r="A2244" s="20">
        <v>2243</v>
      </c>
      <c r="B2244" s="20">
        <v>426</v>
      </c>
      <c r="C2244" s="21">
        <v>45289</v>
      </c>
      <c r="D2244" s="20">
        <v>891.82</v>
      </c>
      <c r="E2244" s="22" t="s">
        <v>10</v>
      </c>
      <c r="F2244" s="22" t="s">
        <v>16</v>
      </c>
      <c r="G2244" s="22" t="s">
        <v>15</v>
      </c>
    </row>
    <row r="2245" ht="15.15" spans="1:7">
      <c r="A2245" s="20">
        <v>2244</v>
      </c>
      <c r="B2245" s="20">
        <v>6838</v>
      </c>
      <c r="C2245" s="21">
        <v>45270</v>
      </c>
      <c r="D2245" s="20">
        <v>120.27</v>
      </c>
      <c r="E2245" s="22" t="s">
        <v>10</v>
      </c>
      <c r="F2245" s="22" t="s">
        <v>18</v>
      </c>
      <c r="G2245" s="22" t="s">
        <v>17</v>
      </c>
    </row>
    <row r="2246" ht="15.15" spans="1:7">
      <c r="A2246" s="20">
        <v>2245</v>
      </c>
      <c r="B2246" s="20">
        <v>3008</v>
      </c>
      <c r="C2246" s="21">
        <v>44985</v>
      </c>
      <c r="D2246" s="20">
        <v>1174.89</v>
      </c>
      <c r="E2246" s="22" t="s">
        <v>10</v>
      </c>
      <c r="F2246" s="22" t="s">
        <v>16</v>
      </c>
      <c r="G2246" s="22" t="s">
        <v>15</v>
      </c>
    </row>
    <row r="2247" ht="15.15" spans="1:7">
      <c r="A2247" s="20">
        <v>2246</v>
      </c>
      <c r="B2247" s="20">
        <v>1664</v>
      </c>
      <c r="C2247" s="21">
        <v>45230</v>
      </c>
      <c r="D2247" s="20">
        <v>2684.33</v>
      </c>
      <c r="E2247" s="22" t="s">
        <v>10</v>
      </c>
      <c r="F2247" s="22" t="s">
        <v>19</v>
      </c>
      <c r="G2247" s="22" t="s">
        <v>17</v>
      </c>
    </row>
    <row r="2248" ht="15.15" spans="1:7">
      <c r="A2248" s="20">
        <v>2247</v>
      </c>
      <c r="B2248" s="20">
        <v>620</v>
      </c>
      <c r="C2248" s="21">
        <v>45078</v>
      </c>
      <c r="D2248" s="20">
        <v>803.58</v>
      </c>
      <c r="E2248" s="22" t="s">
        <v>10</v>
      </c>
      <c r="F2248" s="22" t="s">
        <v>13</v>
      </c>
      <c r="G2248" s="22" t="s">
        <v>12</v>
      </c>
    </row>
    <row r="2249" ht="15.15" spans="1:7">
      <c r="A2249" s="20">
        <v>2248</v>
      </c>
      <c r="B2249" s="20">
        <v>2107</v>
      </c>
      <c r="C2249" s="21">
        <v>45282</v>
      </c>
      <c r="D2249" s="20">
        <v>30.63</v>
      </c>
      <c r="E2249" s="22" t="s">
        <v>10</v>
      </c>
      <c r="F2249" s="22" t="s">
        <v>11</v>
      </c>
      <c r="G2249" s="22" t="s">
        <v>20</v>
      </c>
    </row>
    <row r="2250" ht="15.15" spans="1:7">
      <c r="A2250" s="20">
        <v>2249</v>
      </c>
      <c r="B2250" s="20">
        <v>3558</v>
      </c>
      <c r="C2250" s="21">
        <v>45116</v>
      </c>
      <c r="D2250" s="20">
        <v>1552.73</v>
      </c>
      <c r="E2250" s="22" t="s">
        <v>10</v>
      </c>
      <c r="F2250" s="22" t="s">
        <v>18</v>
      </c>
      <c r="G2250" s="22" t="s">
        <v>12</v>
      </c>
    </row>
    <row r="2251" ht="15.15" spans="1:7">
      <c r="A2251" s="20">
        <v>2250</v>
      </c>
      <c r="B2251" s="20">
        <v>9367</v>
      </c>
      <c r="C2251" s="21">
        <v>45283</v>
      </c>
      <c r="D2251" s="20">
        <v>235.13</v>
      </c>
      <c r="E2251" s="22" t="s">
        <v>10</v>
      </c>
      <c r="F2251" s="22" t="s">
        <v>14</v>
      </c>
      <c r="G2251" s="22" t="s">
        <v>20</v>
      </c>
    </row>
    <row r="2252" ht="15.15" spans="1:7">
      <c r="A2252" s="20">
        <v>2251</v>
      </c>
      <c r="B2252" s="20">
        <v>4386</v>
      </c>
      <c r="C2252" s="21">
        <v>45117</v>
      </c>
      <c r="D2252" s="20">
        <v>2529.72</v>
      </c>
      <c r="E2252" s="22" t="s">
        <v>10</v>
      </c>
      <c r="F2252" s="22" t="s">
        <v>13</v>
      </c>
      <c r="G2252" s="22" t="s">
        <v>20</v>
      </c>
    </row>
    <row r="2253" ht="15.15" spans="1:7">
      <c r="A2253" s="20">
        <v>2252</v>
      </c>
      <c r="B2253" s="20">
        <v>7021</v>
      </c>
      <c r="C2253" s="21">
        <v>45109</v>
      </c>
      <c r="D2253" s="20">
        <v>2352.61</v>
      </c>
      <c r="E2253" s="22" t="s">
        <v>10</v>
      </c>
      <c r="F2253" s="22" t="s">
        <v>16</v>
      </c>
      <c r="G2253" s="22" t="s">
        <v>20</v>
      </c>
    </row>
    <row r="2254" ht="15.15" spans="1:7">
      <c r="A2254" s="20">
        <v>2253</v>
      </c>
      <c r="B2254" s="20">
        <v>7084</v>
      </c>
      <c r="C2254" s="21">
        <v>45155</v>
      </c>
      <c r="D2254" s="20">
        <v>1261.24</v>
      </c>
      <c r="E2254" s="22" t="s">
        <v>10</v>
      </c>
      <c r="F2254" s="22" t="s">
        <v>18</v>
      </c>
      <c r="G2254" s="22" t="s">
        <v>15</v>
      </c>
    </row>
    <row r="2255" ht="15.15" spans="1:7">
      <c r="A2255" s="20">
        <v>2254</v>
      </c>
      <c r="B2255" s="20">
        <v>117</v>
      </c>
      <c r="C2255" s="21">
        <v>44977</v>
      </c>
      <c r="D2255" s="20">
        <v>1097.39</v>
      </c>
      <c r="E2255" s="22" t="s">
        <v>10</v>
      </c>
      <c r="F2255" s="22" t="s">
        <v>14</v>
      </c>
      <c r="G2255" s="22" t="s">
        <v>17</v>
      </c>
    </row>
    <row r="2256" ht="15.15" spans="1:7">
      <c r="A2256" s="20">
        <v>2255</v>
      </c>
      <c r="B2256" s="20">
        <v>3256</v>
      </c>
      <c r="C2256" s="21">
        <v>45280</v>
      </c>
      <c r="D2256" s="20">
        <v>630.58</v>
      </c>
      <c r="E2256" s="22" t="s">
        <v>10</v>
      </c>
      <c r="F2256" s="22" t="s">
        <v>16</v>
      </c>
      <c r="G2256" s="22" t="s">
        <v>15</v>
      </c>
    </row>
    <row r="2257" ht="15.15" spans="1:7">
      <c r="A2257" s="20">
        <v>2256</v>
      </c>
      <c r="B2257" s="20">
        <v>1285</v>
      </c>
      <c r="C2257" s="21">
        <v>45156</v>
      </c>
      <c r="D2257" s="20">
        <v>2881.07</v>
      </c>
      <c r="E2257" s="22" t="s">
        <v>10</v>
      </c>
      <c r="F2257" s="22" t="s">
        <v>13</v>
      </c>
      <c r="G2257" s="22" t="s">
        <v>17</v>
      </c>
    </row>
    <row r="2258" ht="15.15" spans="1:7">
      <c r="A2258" s="20">
        <v>2257</v>
      </c>
      <c r="B2258" s="20">
        <v>6665</v>
      </c>
      <c r="C2258" s="21">
        <v>44981</v>
      </c>
      <c r="D2258" s="20">
        <v>1327.91</v>
      </c>
      <c r="E2258" s="22" t="s">
        <v>10</v>
      </c>
      <c r="F2258" s="22" t="s">
        <v>16</v>
      </c>
      <c r="G2258" s="22" t="s">
        <v>12</v>
      </c>
    </row>
    <row r="2259" ht="15.15" spans="1:7">
      <c r="A2259" s="20">
        <v>2258</v>
      </c>
      <c r="B2259" s="20">
        <v>3336</v>
      </c>
      <c r="C2259" s="21">
        <v>45163</v>
      </c>
      <c r="D2259" s="20">
        <v>623.01</v>
      </c>
      <c r="E2259" s="22" t="s">
        <v>10</v>
      </c>
      <c r="F2259" s="22" t="s">
        <v>18</v>
      </c>
      <c r="G2259" s="22" t="s">
        <v>20</v>
      </c>
    </row>
    <row r="2260" ht="15.15" spans="1:7">
      <c r="A2260" s="20">
        <v>2259</v>
      </c>
      <c r="B2260" s="20">
        <v>4863</v>
      </c>
      <c r="C2260" s="21">
        <v>45219</v>
      </c>
      <c r="D2260" s="20">
        <v>786.65</v>
      </c>
      <c r="E2260" s="22" t="s">
        <v>10</v>
      </c>
      <c r="F2260" s="22" t="s">
        <v>16</v>
      </c>
      <c r="G2260" s="22" t="s">
        <v>12</v>
      </c>
    </row>
    <row r="2261" ht="15.15" spans="1:7">
      <c r="A2261" s="20">
        <v>2260</v>
      </c>
      <c r="B2261" s="20">
        <v>3325</v>
      </c>
      <c r="C2261" s="21">
        <v>45085</v>
      </c>
      <c r="D2261" s="20">
        <v>1885.77</v>
      </c>
      <c r="E2261" s="22" t="s">
        <v>10</v>
      </c>
      <c r="F2261" s="22" t="s">
        <v>13</v>
      </c>
      <c r="G2261" s="22" t="s">
        <v>20</v>
      </c>
    </row>
    <row r="2262" ht="15.15" spans="1:7">
      <c r="A2262" s="20">
        <v>2261</v>
      </c>
      <c r="B2262" s="20">
        <v>1535</v>
      </c>
      <c r="C2262" s="21">
        <v>45260</v>
      </c>
      <c r="D2262" s="20">
        <v>1142.08</v>
      </c>
      <c r="E2262" s="22" t="s">
        <v>22</v>
      </c>
      <c r="F2262" s="22" t="s">
        <v>14</v>
      </c>
      <c r="G2262" s="22" t="s">
        <v>20</v>
      </c>
    </row>
    <row r="2263" ht="15.15" spans="1:7">
      <c r="A2263" s="20">
        <v>2262</v>
      </c>
      <c r="B2263" s="20">
        <v>3891</v>
      </c>
      <c r="C2263" s="21">
        <v>45231</v>
      </c>
      <c r="D2263" s="20">
        <v>1008.02</v>
      </c>
      <c r="E2263" s="22" t="s">
        <v>10</v>
      </c>
      <c r="F2263" s="22" t="s">
        <v>14</v>
      </c>
      <c r="G2263" s="22" t="s">
        <v>15</v>
      </c>
    </row>
    <row r="2264" ht="15.15" spans="1:7">
      <c r="A2264" s="20">
        <v>2263</v>
      </c>
      <c r="B2264" s="20">
        <v>9589</v>
      </c>
      <c r="C2264" s="21">
        <v>45146</v>
      </c>
      <c r="D2264" s="20">
        <v>4571.57</v>
      </c>
      <c r="E2264" s="22" t="s">
        <v>10</v>
      </c>
      <c r="F2264" s="22" t="s">
        <v>14</v>
      </c>
      <c r="G2264" s="22" t="s">
        <v>20</v>
      </c>
    </row>
    <row r="2265" ht="15.15" spans="1:7">
      <c r="A2265" s="20">
        <v>2264</v>
      </c>
      <c r="B2265" s="20">
        <v>5818</v>
      </c>
      <c r="C2265" s="21">
        <v>45147</v>
      </c>
      <c r="D2265" s="20">
        <v>844.42</v>
      </c>
      <c r="E2265" s="22" t="s">
        <v>10</v>
      </c>
      <c r="F2265" s="22" t="s">
        <v>14</v>
      </c>
      <c r="G2265" s="22" t="s">
        <v>20</v>
      </c>
    </row>
    <row r="2266" ht="15.15" spans="1:7">
      <c r="A2266" s="20">
        <v>2265</v>
      </c>
      <c r="B2266" s="20">
        <v>2877</v>
      </c>
      <c r="C2266" s="21">
        <v>45159</v>
      </c>
      <c r="D2266" s="20">
        <v>422.21</v>
      </c>
      <c r="E2266" s="22" t="s">
        <v>10</v>
      </c>
      <c r="F2266" s="22" t="s">
        <v>18</v>
      </c>
      <c r="G2266" s="22" t="s">
        <v>20</v>
      </c>
    </row>
    <row r="2267" ht="15.15" spans="1:7">
      <c r="A2267" s="20">
        <v>2266</v>
      </c>
      <c r="B2267" s="20">
        <v>7439</v>
      </c>
      <c r="C2267" s="21">
        <v>45125</v>
      </c>
      <c r="D2267" s="20">
        <v>422.21</v>
      </c>
      <c r="E2267" s="22" t="s">
        <v>10</v>
      </c>
      <c r="F2267" s="22" t="s">
        <v>11</v>
      </c>
      <c r="G2267" s="22" t="s">
        <v>20</v>
      </c>
    </row>
    <row r="2268" ht="15.15" spans="1:7">
      <c r="A2268" s="20">
        <v>2267</v>
      </c>
      <c r="B2268" s="20">
        <v>6137</v>
      </c>
      <c r="C2268" s="21">
        <v>44947</v>
      </c>
      <c r="D2268" s="20">
        <v>4752.68</v>
      </c>
      <c r="E2268" s="22" t="s">
        <v>10</v>
      </c>
      <c r="F2268" s="22" t="s">
        <v>18</v>
      </c>
      <c r="G2268" s="22" t="s">
        <v>12</v>
      </c>
    </row>
    <row r="2269" ht="15.15" spans="1:7">
      <c r="A2269" s="20">
        <v>2268</v>
      </c>
      <c r="B2269" s="20">
        <v>255</v>
      </c>
      <c r="C2269" s="21">
        <v>45196</v>
      </c>
      <c r="D2269" s="20">
        <v>1354.25</v>
      </c>
      <c r="E2269" s="22" t="s">
        <v>10</v>
      </c>
      <c r="F2269" s="22" t="s">
        <v>18</v>
      </c>
      <c r="G2269" s="22" t="s">
        <v>17</v>
      </c>
    </row>
    <row r="2270" ht="15.15" spans="1:7">
      <c r="A2270" s="20">
        <v>2269</v>
      </c>
      <c r="B2270" s="20">
        <v>2134</v>
      </c>
      <c r="C2270" s="21">
        <v>44948</v>
      </c>
      <c r="D2270" s="20">
        <v>199.16</v>
      </c>
      <c r="E2270" s="22" t="s">
        <v>10</v>
      </c>
      <c r="F2270" s="22" t="s">
        <v>16</v>
      </c>
      <c r="G2270" s="22" t="s">
        <v>15</v>
      </c>
    </row>
    <row r="2271" ht="15.15" spans="1:7">
      <c r="A2271" s="20">
        <v>2270</v>
      </c>
      <c r="B2271" s="20">
        <v>1901</v>
      </c>
      <c r="C2271" s="21">
        <v>45246</v>
      </c>
      <c r="D2271" s="20">
        <v>1802.19</v>
      </c>
      <c r="E2271" s="22" t="s">
        <v>10</v>
      </c>
      <c r="F2271" s="22" t="s">
        <v>18</v>
      </c>
      <c r="G2271" s="22" t="s">
        <v>20</v>
      </c>
    </row>
    <row r="2272" ht="15.15" spans="1:7">
      <c r="A2272" s="20">
        <v>2271</v>
      </c>
      <c r="B2272" s="20">
        <v>4055</v>
      </c>
      <c r="C2272" s="21">
        <v>45258</v>
      </c>
      <c r="D2272" s="20">
        <v>1655.94</v>
      </c>
      <c r="E2272" s="22" t="s">
        <v>10</v>
      </c>
      <c r="F2272" s="22" t="s">
        <v>11</v>
      </c>
      <c r="G2272" s="22" t="s">
        <v>20</v>
      </c>
    </row>
    <row r="2273" ht="15.15" spans="1:7">
      <c r="A2273" s="20">
        <v>2272</v>
      </c>
      <c r="B2273" s="20">
        <v>6817</v>
      </c>
      <c r="C2273" s="21">
        <v>45166</v>
      </c>
      <c r="D2273" s="20">
        <v>390.47</v>
      </c>
      <c r="E2273" s="22" t="s">
        <v>10</v>
      </c>
      <c r="F2273" s="22" t="s">
        <v>14</v>
      </c>
      <c r="G2273" s="22" t="s">
        <v>15</v>
      </c>
    </row>
    <row r="2274" ht="15.15" spans="1:7">
      <c r="A2274" s="20">
        <v>2273</v>
      </c>
      <c r="B2274" s="20">
        <v>2575</v>
      </c>
      <c r="C2274" s="21">
        <v>45165</v>
      </c>
      <c r="D2274" s="20">
        <v>1952.94</v>
      </c>
      <c r="E2274" s="22" t="s">
        <v>10</v>
      </c>
      <c r="F2274" s="22" t="s">
        <v>18</v>
      </c>
      <c r="G2274" s="22" t="s">
        <v>15</v>
      </c>
    </row>
    <row r="2275" ht="15.15" spans="1:7">
      <c r="A2275" s="20">
        <v>2274</v>
      </c>
      <c r="B2275" s="20">
        <v>9444</v>
      </c>
      <c r="C2275" s="21">
        <v>45279</v>
      </c>
      <c r="D2275" s="20">
        <v>370.18</v>
      </c>
      <c r="E2275" s="22" t="s">
        <v>10</v>
      </c>
      <c r="F2275" s="22" t="s">
        <v>11</v>
      </c>
      <c r="G2275" s="22" t="s">
        <v>12</v>
      </c>
    </row>
    <row r="2276" ht="15.15" spans="1:7">
      <c r="A2276" s="20">
        <v>2275</v>
      </c>
      <c r="B2276" s="20">
        <v>6086</v>
      </c>
      <c r="C2276" s="21">
        <v>45162</v>
      </c>
      <c r="D2276" s="20">
        <v>596.1</v>
      </c>
      <c r="E2276" s="22" t="s">
        <v>21</v>
      </c>
      <c r="F2276" s="22" t="s">
        <v>13</v>
      </c>
      <c r="G2276" s="22" t="s">
        <v>15</v>
      </c>
    </row>
    <row r="2277" ht="15.15" spans="1:7">
      <c r="A2277" s="20">
        <v>2276</v>
      </c>
      <c r="B2277" s="20">
        <v>122</v>
      </c>
      <c r="C2277" s="21">
        <v>45127</v>
      </c>
      <c r="D2277" s="20">
        <v>1045.18</v>
      </c>
      <c r="E2277" s="22" t="s">
        <v>10</v>
      </c>
      <c r="F2277" s="22" t="s">
        <v>13</v>
      </c>
      <c r="G2277" s="22" t="s">
        <v>20</v>
      </c>
    </row>
    <row r="2278" ht="15.15" spans="1:7">
      <c r="A2278" s="20">
        <v>2277</v>
      </c>
      <c r="B2278" s="20">
        <v>127</v>
      </c>
      <c r="C2278" s="21">
        <v>45168</v>
      </c>
      <c r="D2278" s="20">
        <v>2512.67</v>
      </c>
      <c r="E2278" s="22" t="s">
        <v>10</v>
      </c>
      <c r="F2278" s="22" t="s">
        <v>14</v>
      </c>
      <c r="G2278" s="22" t="s">
        <v>15</v>
      </c>
    </row>
    <row r="2279" ht="15.15" spans="1:7">
      <c r="A2279" s="20">
        <v>2278</v>
      </c>
      <c r="B2279" s="20">
        <v>5490</v>
      </c>
      <c r="C2279" s="21">
        <v>45187</v>
      </c>
      <c r="D2279" s="20">
        <v>1248.11</v>
      </c>
      <c r="E2279" s="22" t="s">
        <v>10</v>
      </c>
      <c r="F2279" s="22" t="s">
        <v>18</v>
      </c>
      <c r="G2279" s="22" t="s">
        <v>20</v>
      </c>
    </row>
    <row r="2280" ht="15.15" spans="1:7">
      <c r="A2280" s="20">
        <v>2279</v>
      </c>
      <c r="B2280" s="20">
        <v>3682</v>
      </c>
      <c r="C2280" s="21">
        <v>45049</v>
      </c>
      <c r="D2280" s="20">
        <v>132.23</v>
      </c>
      <c r="E2280" s="22" t="s">
        <v>10</v>
      </c>
      <c r="F2280" s="22" t="s">
        <v>14</v>
      </c>
      <c r="G2280" s="22" t="s">
        <v>17</v>
      </c>
    </row>
    <row r="2281" ht="15.15" spans="1:7">
      <c r="A2281" s="20">
        <v>2280</v>
      </c>
      <c r="B2281" s="20">
        <v>9008</v>
      </c>
      <c r="C2281" s="21">
        <v>45205</v>
      </c>
      <c r="D2281" s="20">
        <v>759.97</v>
      </c>
      <c r="E2281" s="22" t="s">
        <v>10</v>
      </c>
      <c r="F2281" s="22" t="s">
        <v>11</v>
      </c>
      <c r="G2281" s="22" t="s">
        <v>15</v>
      </c>
    </row>
    <row r="2282" ht="15.15" spans="1:7">
      <c r="A2282" s="20">
        <v>2281</v>
      </c>
      <c r="B2282" s="20">
        <v>6812</v>
      </c>
      <c r="C2282" s="21">
        <v>44955</v>
      </c>
      <c r="D2282" s="20">
        <v>619.65</v>
      </c>
      <c r="E2282" s="22" t="s">
        <v>10</v>
      </c>
      <c r="F2282" s="22" t="s">
        <v>14</v>
      </c>
      <c r="G2282" s="22" t="s">
        <v>12</v>
      </c>
    </row>
    <row r="2283" ht="15.15" spans="1:7">
      <c r="A2283" s="20">
        <v>2282</v>
      </c>
      <c r="B2283" s="20">
        <v>6690</v>
      </c>
      <c r="C2283" s="21">
        <v>45168</v>
      </c>
      <c r="D2283" s="20">
        <v>299.56</v>
      </c>
      <c r="E2283" s="22" t="s">
        <v>10</v>
      </c>
      <c r="F2283" s="22" t="s">
        <v>18</v>
      </c>
      <c r="G2283" s="22" t="s">
        <v>20</v>
      </c>
    </row>
    <row r="2284" ht="15.15" spans="1:7">
      <c r="A2284" s="20">
        <v>2283</v>
      </c>
      <c r="B2284" s="20">
        <v>7177</v>
      </c>
      <c r="C2284" s="21">
        <v>45258</v>
      </c>
      <c r="D2284" s="20">
        <v>1336.07</v>
      </c>
      <c r="E2284" s="22" t="s">
        <v>10</v>
      </c>
      <c r="F2284" s="22" t="s">
        <v>11</v>
      </c>
      <c r="G2284" s="22" t="s">
        <v>17</v>
      </c>
    </row>
    <row r="2285" ht="15.15" spans="1:7">
      <c r="A2285" s="20">
        <v>2284</v>
      </c>
      <c r="B2285" s="20">
        <v>8684</v>
      </c>
      <c r="C2285" s="21">
        <v>44976</v>
      </c>
      <c r="D2285" s="20">
        <v>623.01</v>
      </c>
      <c r="E2285" s="22" t="s">
        <v>10</v>
      </c>
      <c r="F2285" s="22" t="s">
        <v>16</v>
      </c>
      <c r="G2285" s="22" t="s">
        <v>17</v>
      </c>
    </row>
    <row r="2286" ht="15.15" spans="1:7">
      <c r="A2286" s="20">
        <v>2285</v>
      </c>
      <c r="B2286" s="20">
        <v>6837</v>
      </c>
      <c r="C2286" s="21">
        <v>45025</v>
      </c>
      <c r="D2286" s="20">
        <v>2563.96</v>
      </c>
      <c r="E2286" s="22" t="s">
        <v>10</v>
      </c>
      <c r="F2286" s="22" t="s">
        <v>13</v>
      </c>
      <c r="G2286" s="22" t="s">
        <v>15</v>
      </c>
    </row>
    <row r="2287" ht="15.15" spans="1:7">
      <c r="A2287" s="20">
        <v>2286</v>
      </c>
      <c r="B2287" s="20">
        <v>834</v>
      </c>
      <c r="C2287" s="21">
        <v>45112</v>
      </c>
      <c r="D2287" s="20">
        <v>4786.8</v>
      </c>
      <c r="E2287" s="22" t="s">
        <v>10</v>
      </c>
      <c r="F2287" s="22" t="s">
        <v>18</v>
      </c>
      <c r="G2287" s="22" t="s">
        <v>17</v>
      </c>
    </row>
    <row r="2288" ht="15.15" spans="1:7">
      <c r="A2288" s="20">
        <v>2287</v>
      </c>
      <c r="B2288" s="20">
        <v>431</v>
      </c>
      <c r="C2288" s="21">
        <v>45002</v>
      </c>
      <c r="D2288" s="20">
        <v>193.6</v>
      </c>
      <c r="E2288" s="22" t="s">
        <v>10</v>
      </c>
      <c r="F2288" s="22" t="s">
        <v>16</v>
      </c>
      <c r="G2288" s="22" t="s">
        <v>12</v>
      </c>
    </row>
    <row r="2289" ht="15.15" spans="1:7">
      <c r="A2289" s="20">
        <v>2288</v>
      </c>
      <c r="B2289" s="20">
        <v>655</v>
      </c>
      <c r="C2289" s="21">
        <v>45136</v>
      </c>
      <c r="D2289" s="20">
        <v>605.64</v>
      </c>
      <c r="E2289" s="22" t="s">
        <v>10</v>
      </c>
      <c r="F2289" s="22" t="s">
        <v>18</v>
      </c>
      <c r="G2289" s="22" t="s">
        <v>12</v>
      </c>
    </row>
    <row r="2290" ht="15.15" spans="1:7">
      <c r="A2290" s="20">
        <v>2289</v>
      </c>
      <c r="B2290" s="20">
        <v>6110</v>
      </c>
      <c r="C2290" s="21">
        <v>45013</v>
      </c>
      <c r="D2290" s="20">
        <v>612.86</v>
      </c>
      <c r="E2290" s="22" t="s">
        <v>10</v>
      </c>
      <c r="F2290" s="22" t="s">
        <v>16</v>
      </c>
      <c r="G2290" s="22" t="s">
        <v>15</v>
      </c>
    </row>
    <row r="2291" ht="15.15" spans="1:7">
      <c r="A2291" s="20">
        <v>2290</v>
      </c>
      <c r="B2291" s="20">
        <v>1845</v>
      </c>
      <c r="C2291" s="21">
        <v>45216</v>
      </c>
      <c r="D2291" s="20">
        <v>924.22</v>
      </c>
      <c r="E2291" s="22" t="s">
        <v>10</v>
      </c>
      <c r="F2291" s="22" t="s">
        <v>13</v>
      </c>
      <c r="G2291" s="22" t="s">
        <v>15</v>
      </c>
    </row>
    <row r="2292" ht="15.15" spans="1:7">
      <c r="A2292" s="20">
        <v>2291</v>
      </c>
      <c r="B2292" s="20">
        <v>306</v>
      </c>
      <c r="C2292" s="21">
        <v>45058</v>
      </c>
      <c r="D2292" s="20">
        <v>1858.78</v>
      </c>
      <c r="E2292" s="22" t="s">
        <v>10</v>
      </c>
      <c r="F2292" s="22" t="s">
        <v>13</v>
      </c>
      <c r="G2292" s="22" t="s">
        <v>20</v>
      </c>
    </row>
    <row r="2293" ht="15.15" spans="1:7">
      <c r="A2293" s="20">
        <v>2292</v>
      </c>
      <c r="B2293" s="20">
        <v>7748</v>
      </c>
      <c r="C2293" s="21">
        <v>45124</v>
      </c>
      <c r="D2293" s="20">
        <v>3437.11</v>
      </c>
      <c r="E2293" s="22" t="s">
        <v>10</v>
      </c>
      <c r="F2293" s="22" t="s">
        <v>16</v>
      </c>
      <c r="G2293" s="22" t="s">
        <v>12</v>
      </c>
    </row>
    <row r="2294" ht="15.15" spans="1:7">
      <c r="A2294" s="20">
        <v>2293</v>
      </c>
      <c r="B2294" s="20">
        <v>2274</v>
      </c>
      <c r="C2294" s="21">
        <v>45002</v>
      </c>
      <c r="D2294" s="20">
        <v>245.09</v>
      </c>
      <c r="E2294" s="22" t="s">
        <v>10</v>
      </c>
      <c r="F2294" s="22" t="s">
        <v>13</v>
      </c>
      <c r="G2294" s="22" t="s">
        <v>20</v>
      </c>
    </row>
    <row r="2295" ht="15.15" spans="1:7">
      <c r="A2295" s="20">
        <v>2294</v>
      </c>
      <c r="B2295" s="20">
        <v>64</v>
      </c>
      <c r="C2295" s="21">
        <v>45203</v>
      </c>
      <c r="D2295" s="20">
        <v>1972.97</v>
      </c>
      <c r="E2295" s="22" t="s">
        <v>10</v>
      </c>
      <c r="F2295" s="22" t="s">
        <v>18</v>
      </c>
      <c r="G2295" s="22" t="s">
        <v>17</v>
      </c>
    </row>
    <row r="2296" ht="15.15" spans="1:7">
      <c r="A2296" s="20">
        <v>2295</v>
      </c>
      <c r="B2296" s="20">
        <v>7837</v>
      </c>
      <c r="C2296" s="21">
        <v>44935</v>
      </c>
      <c r="D2296" s="20">
        <v>96.07</v>
      </c>
      <c r="E2296" s="22" t="s">
        <v>10</v>
      </c>
      <c r="F2296" s="22" t="s">
        <v>16</v>
      </c>
      <c r="G2296" s="22" t="s">
        <v>17</v>
      </c>
    </row>
    <row r="2297" ht="15.15" spans="1:7">
      <c r="A2297" s="20">
        <v>2296</v>
      </c>
      <c r="B2297" s="20">
        <v>7842</v>
      </c>
      <c r="C2297" s="21">
        <v>45274</v>
      </c>
      <c r="D2297" s="20">
        <v>166.77</v>
      </c>
      <c r="E2297" s="22" t="s">
        <v>10</v>
      </c>
      <c r="F2297" s="22" t="s">
        <v>16</v>
      </c>
      <c r="G2297" s="22" t="s">
        <v>15</v>
      </c>
    </row>
    <row r="2298" ht="15.15" spans="1:7">
      <c r="A2298" s="20">
        <v>2297</v>
      </c>
      <c r="B2298" s="20">
        <v>8262</v>
      </c>
      <c r="C2298" s="21">
        <v>45139</v>
      </c>
      <c r="D2298" s="20">
        <v>2325.13</v>
      </c>
      <c r="E2298" s="22" t="s">
        <v>10</v>
      </c>
      <c r="F2298" s="22" t="s">
        <v>16</v>
      </c>
      <c r="G2298" s="22" t="s">
        <v>15</v>
      </c>
    </row>
    <row r="2299" ht="15.15" spans="1:7">
      <c r="A2299" s="20">
        <v>2298</v>
      </c>
      <c r="B2299" s="20">
        <v>7155</v>
      </c>
      <c r="C2299" s="21">
        <v>45223</v>
      </c>
      <c r="D2299" s="20">
        <v>858.98</v>
      </c>
      <c r="E2299" s="22" t="s">
        <v>10</v>
      </c>
      <c r="F2299" s="22" t="s">
        <v>16</v>
      </c>
      <c r="G2299" s="22" t="s">
        <v>17</v>
      </c>
    </row>
    <row r="2300" ht="15.15" spans="1:7">
      <c r="A2300" s="20">
        <v>2299</v>
      </c>
      <c r="B2300" s="20">
        <v>5443</v>
      </c>
      <c r="C2300" s="21">
        <v>44974</v>
      </c>
      <c r="D2300" s="20">
        <v>2087.32</v>
      </c>
      <c r="E2300" s="22" t="s">
        <v>10</v>
      </c>
      <c r="F2300" s="22" t="s">
        <v>19</v>
      </c>
      <c r="G2300" s="22" t="s">
        <v>20</v>
      </c>
    </row>
    <row r="2301" ht="15.15" spans="1:7">
      <c r="A2301" s="20">
        <v>2300</v>
      </c>
      <c r="B2301" s="20">
        <v>1826</v>
      </c>
      <c r="C2301" s="21">
        <v>45073</v>
      </c>
      <c r="D2301" s="20">
        <v>2909.8</v>
      </c>
      <c r="E2301" s="22" t="s">
        <v>10</v>
      </c>
      <c r="F2301" s="22" t="s">
        <v>19</v>
      </c>
      <c r="G2301" s="22" t="s">
        <v>15</v>
      </c>
    </row>
    <row r="2302" ht="15.15" spans="1:7">
      <c r="A2302" s="20">
        <v>2301</v>
      </c>
      <c r="B2302" s="20">
        <v>5828</v>
      </c>
      <c r="C2302" s="21">
        <v>45245</v>
      </c>
      <c r="D2302" s="20">
        <v>1046.53</v>
      </c>
      <c r="E2302" s="22" t="s">
        <v>10</v>
      </c>
      <c r="F2302" s="22" t="s">
        <v>16</v>
      </c>
      <c r="G2302" s="22" t="s">
        <v>20</v>
      </c>
    </row>
    <row r="2303" ht="15.15" spans="1:7">
      <c r="A2303" s="20">
        <v>2302</v>
      </c>
      <c r="B2303" s="20">
        <v>7339</v>
      </c>
      <c r="C2303" s="21">
        <v>45249</v>
      </c>
      <c r="D2303" s="20">
        <v>964.91</v>
      </c>
      <c r="E2303" s="22" t="s">
        <v>10</v>
      </c>
      <c r="F2303" s="22" t="s">
        <v>16</v>
      </c>
      <c r="G2303" s="22" t="s">
        <v>15</v>
      </c>
    </row>
    <row r="2304" ht="15.15" spans="1:7">
      <c r="A2304" s="20">
        <v>2303</v>
      </c>
      <c r="B2304" s="20">
        <v>352</v>
      </c>
      <c r="C2304" s="21">
        <v>44970</v>
      </c>
      <c r="D2304" s="20">
        <v>607.19</v>
      </c>
      <c r="E2304" s="22" t="s">
        <v>10</v>
      </c>
      <c r="F2304" s="22" t="s">
        <v>14</v>
      </c>
      <c r="G2304" s="22" t="s">
        <v>20</v>
      </c>
    </row>
    <row r="2305" ht="15.15" spans="1:7">
      <c r="A2305" s="20">
        <v>2304</v>
      </c>
      <c r="B2305" s="20">
        <v>4363</v>
      </c>
      <c r="C2305" s="21">
        <v>45218</v>
      </c>
      <c r="D2305" s="20">
        <v>1387.54</v>
      </c>
      <c r="E2305" s="22" t="s">
        <v>10</v>
      </c>
      <c r="F2305" s="22" t="s">
        <v>11</v>
      </c>
      <c r="G2305" s="22" t="s">
        <v>12</v>
      </c>
    </row>
    <row r="2306" ht="15.15" spans="1:7">
      <c r="A2306" s="20">
        <v>2305</v>
      </c>
      <c r="B2306" s="20">
        <v>2530</v>
      </c>
      <c r="C2306" s="21">
        <v>45214</v>
      </c>
      <c r="D2306" s="20">
        <v>1786.37</v>
      </c>
      <c r="E2306" s="22" t="s">
        <v>10</v>
      </c>
      <c r="F2306" s="22" t="s">
        <v>18</v>
      </c>
      <c r="G2306" s="22" t="s">
        <v>20</v>
      </c>
    </row>
    <row r="2307" ht="15.15" spans="1:7">
      <c r="A2307" s="20">
        <v>2306</v>
      </c>
      <c r="B2307" s="20">
        <v>4358</v>
      </c>
      <c r="C2307" s="21">
        <v>45152</v>
      </c>
      <c r="D2307" s="20">
        <v>228.45</v>
      </c>
      <c r="E2307" s="22" t="s">
        <v>22</v>
      </c>
      <c r="F2307" s="22" t="s">
        <v>16</v>
      </c>
      <c r="G2307" s="22" t="s">
        <v>15</v>
      </c>
    </row>
    <row r="2308" ht="15.15" spans="1:7">
      <c r="A2308" s="20">
        <v>2307</v>
      </c>
      <c r="B2308" s="20">
        <v>6562</v>
      </c>
      <c r="C2308" s="21">
        <v>45096</v>
      </c>
      <c r="D2308" s="20">
        <v>828.21</v>
      </c>
      <c r="E2308" s="22" t="s">
        <v>10</v>
      </c>
      <c r="F2308" s="22" t="s">
        <v>14</v>
      </c>
      <c r="G2308" s="22" t="s">
        <v>20</v>
      </c>
    </row>
    <row r="2309" ht="15.15" spans="1:7">
      <c r="A2309" s="20">
        <v>2308</v>
      </c>
      <c r="B2309" s="20">
        <v>839</v>
      </c>
      <c r="C2309" s="21">
        <v>45225</v>
      </c>
      <c r="D2309" s="20">
        <v>932.44</v>
      </c>
      <c r="E2309" s="22" t="s">
        <v>10</v>
      </c>
      <c r="F2309" s="22" t="s">
        <v>16</v>
      </c>
      <c r="G2309" s="22" t="s">
        <v>17</v>
      </c>
    </row>
    <row r="2310" ht="15.15" spans="1:7">
      <c r="A2310" s="20">
        <v>2309</v>
      </c>
      <c r="B2310" s="20">
        <v>3732</v>
      </c>
      <c r="C2310" s="21">
        <v>45004</v>
      </c>
      <c r="D2310" s="20">
        <v>254.46</v>
      </c>
      <c r="E2310" s="22" t="s">
        <v>10</v>
      </c>
      <c r="F2310" s="22" t="s">
        <v>13</v>
      </c>
      <c r="G2310" s="22" t="s">
        <v>20</v>
      </c>
    </row>
    <row r="2311" ht="15.15" spans="1:7">
      <c r="A2311" s="20">
        <v>2310</v>
      </c>
      <c r="B2311" s="20">
        <v>4084</v>
      </c>
      <c r="C2311" s="21">
        <v>45227</v>
      </c>
      <c r="D2311" s="20">
        <v>2455.58</v>
      </c>
      <c r="E2311" s="22" t="s">
        <v>10</v>
      </c>
      <c r="F2311" s="22" t="s">
        <v>11</v>
      </c>
      <c r="G2311" s="22" t="s">
        <v>17</v>
      </c>
    </row>
    <row r="2312" ht="15.15" spans="1:7">
      <c r="A2312" s="20">
        <v>2311</v>
      </c>
      <c r="B2312" s="20">
        <v>5802</v>
      </c>
      <c r="C2312" s="21">
        <v>44933</v>
      </c>
      <c r="D2312" s="20">
        <v>1326</v>
      </c>
      <c r="E2312" s="22" t="s">
        <v>21</v>
      </c>
      <c r="F2312" s="22" t="s">
        <v>18</v>
      </c>
      <c r="G2312" s="22" t="s">
        <v>12</v>
      </c>
    </row>
    <row r="2313" ht="15.15" spans="1:7">
      <c r="A2313" s="20">
        <v>2312</v>
      </c>
      <c r="B2313" s="20">
        <v>1108</v>
      </c>
      <c r="C2313" s="21">
        <v>45235</v>
      </c>
      <c r="D2313" s="20">
        <v>996.68</v>
      </c>
      <c r="E2313" s="22" t="s">
        <v>10</v>
      </c>
      <c r="F2313" s="22" t="s">
        <v>16</v>
      </c>
      <c r="G2313" s="22" t="s">
        <v>12</v>
      </c>
    </row>
    <row r="2314" ht="15.15" spans="1:7">
      <c r="A2314" s="20">
        <v>2313</v>
      </c>
      <c r="B2314" s="20">
        <v>7784</v>
      </c>
      <c r="C2314" s="21">
        <v>45178</v>
      </c>
      <c r="D2314" s="20">
        <v>1239.03</v>
      </c>
      <c r="E2314" s="22" t="s">
        <v>10</v>
      </c>
      <c r="F2314" s="22" t="s">
        <v>18</v>
      </c>
      <c r="G2314" s="22" t="s">
        <v>17</v>
      </c>
    </row>
    <row r="2315" ht="15.15" spans="1:7">
      <c r="A2315" s="20">
        <v>2314</v>
      </c>
      <c r="B2315" s="20">
        <v>810</v>
      </c>
      <c r="C2315" s="21">
        <v>45245</v>
      </c>
      <c r="D2315" s="20">
        <v>240.54</v>
      </c>
      <c r="E2315" s="22" t="s">
        <v>10</v>
      </c>
      <c r="F2315" s="22" t="s">
        <v>18</v>
      </c>
      <c r="G2315" s="22" t="s">
        <v>12</v>
      </c>
    </row>
    <row r="2316" ht="15.15" spans="1:7">
      <c r="A2316" s="20">
        <v>2315</v>
      </c>
      <c r="B2316" s="20">
        <v>8966</v>
      </c>
      <c r="C2316" s="21">
        <v>45251</v>
      </c>
      <c r="D2316" s="20">
        <v>2932.48</v>
      </c>
      <c r="E2316" s="22" t="s">
        <v>10</v>
      </c>
      <c r="F2316" s="22" t="s">
        <v>14</v>
      </c>
      <c r="G2316" s="22" t="s">
        <v>12</v>
      </c>
    </row>
    <row r="2317" ht="15.15" spans="1:7">
      <c r="A2317" s="20">
        <v>2316</v>
      </c>
      <c r="B2317" s="20">
        <v>2932</v>
      </c>
      <c r="C2317" s="21">
        <v>45182</v>
      </c>
      <c r="D2317" s="20">
        <v>3183.75</v>
      </c>
      <c r="E2317" s="22" t="s">
        <v>10</v>
      </c>
      <c r="F2317" s="22" t="s">
        <v>16</v>
      </c>
      <c r="G2317" s="22" t="s">
        <v>12</v>
      </c>
    </row>
    <row r="2318" ht="15.15" spans="1:7">
      <c r="A2318" s="20">
        <v>2317</v>
      </c>
      <c r="B2318" s="20">
        <v>287</v>
      </c>
      <c r="C2318" s="21">
        <v>45220</v>
      </c>
      <c r="D2318" s="20">
        <v>1071.23</v>
      </c>
      <c r="E2318" s="22" t="s">
        <v>10</v>
      </c>
      <c r="F2318" s="22" t="s">
        <v>13</v>
      </c>
      <c r="G2318" s="22" t="s">
        <v>15</v>
      </c>
    </row>
    <row r="2319" ht="15.15" spans="1:7">
      <c r="A2319" s="20">
        <v>2318</v>
      </c>
      <c r="B2319" s="20">
        <v>5464</v>
      </c>
      <c r="C2319" s="21">
        <v>45276</v>
      </c>
      <c r="D2319" s="20">
        <v>836.54</v>
      </c>
      <c r="E2319" s="22" t="s">
        <v>10</v>
      </c>
      <c r="F2319" s="22" t="s">
        <v>16</v>
      </c>
      <c r="G2319" s="22" t="s">
        <v>17</v>
      </c>
    </row>
    <row r="2320" ht="15.15" spans="1:7">
      <c r="A2320" s="20">
        <v>2319</v>
      </c>
      <c r="B2320" s="20">
        <v>7155</v>
      </c>
      <c r="C2320" s="21">
        <v>45227</v>
      </c>
      <c r="D2320" s="20">
        <v>1834.12</v>
      </c>
      <c r="E2320" s="22" t="s">
        <v>10</v>
      </c>
      <c r="F2320" s="22" t="s">
        <v>16</v>
      </c>
      <c r="G2320" s="22" t="s">
        <v>15</v>
      </c>
    </row>
    <row r="2321" ht="15.15" spans="1:7">
      <c r="A2321" s="20">
        <v>2320</v>
      </c>
      <c r="B2321" s="20">
        <v>5418</v>
      </c>
      <c r="C2321" s="21">
        <v>45261</v>
      </c>
      <c r="D2321" s="20">
        <v>420.23</v>
      </c>
      <c r="E2321" s="22" t="s">
        <v>10</v>
      </c>
      <c r="F2321" s="22" t="s">
        <v>11</v>
      </c>
      <c r="G2321" s="22" t="s">
        <v>12</v>
      </c>
    </row>
    <row r="2322" ht="15.15" spans="1:7">
      <c r="A2322" s="20">
        <v>2321</v>
      </c>
      <c r="B2322" s="20">
        <v>3087</v>
      </c>
      <c r="C2322" s="21">
        <v>45289</v>
      </c>
      <c r="D2322" s="20">
        <v>1397.06</v>
      </c>
      <c r="E2322" s="22" t="s">
        <v>10</v>
      </c>
      <c r="F2322" s="22" t="s">
        <v>18</v>
      </c>
      <c r="G2322" s="22" t="s">
        <v>17</v>
      </c>
    </row>
    <row r="2323" ht="15.15" spans="1:7">
      <c r="A2323" s="20">
        <v>2322</v>
      </c>
      <c r="B2323" s="20">
        <v>4693</v>
      </c>
      <c r="C2323" s="21">
        <v>45291</v>
      </c>
      <c r="D2323" s="20">
        <v>679.81</v>
      </c>
      <c r="E2323" s="22" t="s">
        <v>22</v>
      </c>
      <c r="F2323" s="22" t="s">
        <v>18</v>
      </c>
      <c r="G2323" s="22" t="s">
        <v>12</v>
      </c>
    </row>
    <row r="2324" ht="15.15" spans="1:7">
      <c r="A2324" s="20">
        <v>2323</v>
      </c>
      <c r="B2324" s="20">
        <v>5630</v>
      </c>
      <c r="C2324" s="21">
        <v>45223</v>
      </c>
      <c r="D2324" s="20">
        <v>3044.45</v>
      </c>
      <c r="E2324" s="22" t="s">
        <v>10</v>
      </c>
      <c r="F2324" s="22" t="s">
        <v>11</v>
      </c>
      <c r="G2324" s="22" t="s">
        <v>12</v>
      </c>
    </row>
    <row r="2325" ht="15.15" spans="1:7">
      <c r="A2325" s="20">
        <v>2324</v>
      </c>
      <c r="B2325" s="20">
        <v>4589</v>
      </c>
      <c r="C2325" s="21">
        <v>45236</v>
      </c>
      <c r="D2325" s="20">
        <v>1064.65</v>
      </c>
      <c r="E2325" s="22" t="s">
        <v>10</v>
      </c>
      <c r="F2325" s="22" t="s">
        <v>14</v>
      </c>
      <c r="G2325" s="22" t="s">
        <v>12</v>
      </c>
    </row>
    <row r="2326" ht="15.15" spans="1:7">
      <c r="A2326" s="20">
        <v>2325</v>
      </c>
      <c r="B2326" s="20">
        <v>7349</v>
      </c>
      <c r="C2326" s="21">
        <v>45146</v>
      </c>
      <c r="D2326" s="20">
        <v>714</v>
      </c>
      <c r="E2326" s="22" t="s">
        <v>10</v>
      </c>
      <c r="F2326" s="22" t="s">
        <v>16</v>
      </c>
      <c r="G2326" s="22" t="s">
        <v>15</v>
      </c>
    </row>
    <row r="2327" ht="15.15" spans="1:7">
      <c r="A2327" s="20">
        <v>2326</v>
      </c>
      <c r="B2327" s="20">
        <v>218</v>
      </c>
      <c r="C2327" s="21">
        <v>45035</v>
      </c>
      <c r="D2327" s="20">
        <v>676.32</v>
      </c>
      <c r="E2327" s="22" t="s">
        <v>22</v>
      </c>
      <c r="F2327" s="22" t="s">
        <v>14</v>
      </c>
      <c r="G2327" s="22" t="s">
        <v>15</v>
      </c>
    </row>
    <row r="2328" ht="15.15" spans="1:7">
      <c r="A2328" s="20">
        <v>2327</v>
      </c>
      <c r="B2328" s="20">
        <v>8932</v>
      </c>
      <c r="C2328" s="21">
        <v>45216</v>
      </c>
      <c r="D2328" s="20">
        <v>1484.88</v>
      </c>
      <c r="E2328" s="22" t="s">
        <v>10</v>
      </c>
      <c r="F2328" s="22" t="s">
        <v>18</v>
      </c>
      <c r="G2328" s="22" t="s">
        <v>15</v>
      </c>
    </row>
    <row r="2329" ht="15.15" spans="1:7">
      <c r="A2329" s="20">
        <v>2328</v>
      </c>
      <c r="B2329" s="20">
        <v>211</v>
      </c>
      <c r="C2329" s="21">
        <v>45187</v>
      </c>
      <c r="D2329" s="20">
        <v>817.51</v>
      </c>
      <c r="E2329" s="22" t="s">
        <v>10</v>
      </c>
      <c r="F2329" s="22" t="s">
        <v>13</v>
      </c>
      <c r="G2329" s="22" t="s">
        <v>12</v>
      </c>
    </row>
    <row r="2330" ht="15.15" spans="1:7">
      <c r="A2330" s="20">
        <v>2329</v>
      </c>
      <c r="B2330" s="20">
        <v>5496</v>
      </c>
      <c r="C2330" s="21">
        <v>45210</v>
      </c>
      <c r="D2330" s="20">
        <v>719.27</v>
      </c>
      <c r="E2330" s="22" t="s">
        <v>10</v>
      </c>
      <c r="F2330" s="22" t="s">
        <v>16</v>
      </c>
      <c r="G2330" s="22" t="s">
        <v>20</v>
      </c>
    </row>
    <row r="2331" ht="15.15" spans="1:7">
      <c r="A2331" s="20">
        <v>2330</v>
      </c>
      <c r="B2331" s="20">
        <v>2133</v>
      </c>
      <c r="C2331" s="21">
        <v>44977</v>
      </c>
      <c r="D2331" s="20">
        <v>429.11</v>
      </c>
      <c r="E2331" s="22" t="s">
        <v>10</v>
      </c>
      <c r="F2331" s="22" t="s">
        <v>18</v>
      </c>
      <c r="G2331" s="22" t="s">
        <v>15</v>
      </c>
    </row>
    <row r="2332" ht="15.15" spans="1:7">
      <c r="A2332" s="20">
        <v>2331</v>
      </c>
      <c r="B2332" s="20">
        <v>683</v>
      </c>
      <c r="C2332" s="21">
        <v>44982</v>
      </c>
      <c r="D2332" s="20">
        <v>1813.64</v>
      </c>
      <c r="E2332" s="22" t="s">
        <v>10</v>
      </c>
      <c r="F2332" s="22" t="s">
        <v>13</v>
      </c>
      <c r="G2332" s="22" t="s">
        <v>17</v>
      </c>
    </row>
    <row r="2333" ht="15.15" spans="1:7">
      <c r="A2333" s="20">
        <v>2332</v>
      </c>
      <c r="B2333" s="20">
        <v>1848</v>
      </c>
      <c r="C2333" s="21">
        <v>45264</v>
      </c>
      <c r="D2333" s="20">
        <v>1632.22</v>
      </c>
      <c r="E2333" s="22" t="s">
        <v>10</v>
      </c>
      <c r="F2333" s="22" t="s">
        <v>14</v>
      </c>
      <c r="G2333" s="22" t="s">
        <v>15</v>
      </c>
    </row>
    <row r="2334" ht="15.15" spans="1:7">
      <c r="A2334" s="20">
        <v>2333</v>
      </c>
      <c r="B2334" s="20">
        <v>8801</v>
      </c>
      <c r="C2334" s="21">
        <v>45027</v>
      </c>
      <c r="D2334" s="20">
        <v>156.65</v>
      </c>
      <c r="E2334" s="22" t="s">
        <v>10</v>
      </c>
      <c r="F2334" s="22" t="s">
        <v>16</v>
      </c>
      <c r="G2334" s="22" t="s">
        <v>12</v>
      </c>
    </row>
    <row r="2335" ht="15.15" spans="1:7">
      <c r="A2335" s="20">
        <v>2334</v>
      </c>
      <c r="B2335" s="20">
        <v>9630</v>
      </c>
      <c r="C2335" s="21">
        <v>45070</v>
      </c>
      <c r="D2335" s="20">
        <v>2125.32</v>
      </c>
      <c r="E2335" s="22" t="s">
        <v>10</v>
      </c>
      <c r="F2335" s="22" t="s">
        <v>16</v>
      </c>
      <c r="G2335" s="22" t="s">
        <v>20</v>
      </c>
    </row>
    <row r="2336" ht="15.15" spans="1:7">
      <c r="A2336" s="20">
        <v>2335</v>
      </c>
      <c r="B2336" s="20">
        <v>2720</v>
      </c>
      <c r="C2336" s="21">
        <v>45090</v>
      </c>
      <c r="D2336" s="20">
        <v>884.91</v>
      </c>
      <c r="E2336" s="22" t="s">
        <v>10</v>
      </c>
      <c r="F2336" s="22" t="s">
        <v>16</v>
      </c>
      <c r="G2336" s="22" t="s">
        <v>12</v>
      </c>
    </row>
    <row r="2337" ht="15.15" spans="1:7">
      <c r="A2337" s="20">
        <v>2336</v>
      </c>
      <c r="B2337" s="20">
        <v>8036</v>
      </c>
      <c r="C2337" s="21">
        <v>45027</v>
      </c>
      <c r="D2337" s="20">
        <v>228.45</v>
      </c>
      <c r="E2337" s="22" t="s">
        <v>10</v>
      </c>
      <c r="F2337" s="22" t="s">
        <v>18</v>
      </c>
      <c r="G2337" s="22" t="s">
        <v>17</v>
      </c>
    </row>
    <row r="2338" ht="15.15" spans="1:7">
      <c r="A2338" s="20">
        <v>2337</v>
      </c>
      <c r="B2338" s="20">
        <v>5302</v>
      </c>
      <c r="C2338" s="21">
        <v>45266</v>
      </c>
      <c r="D2338" s="20">
        <v>1257.96</v>
      </c>
      <c r="E2338" s="22" t="s">
        <v>10</v>
      </c>
      <c r="F2338" s="22" t="s">
        <v>11</v>
      </c>
      <c r="G2338" s="22" t="s">
        <v>12</v>
      </c>
    </row>
    <row r="2339" ht="15.15" spans="1:7">
      <c r="A2339" s="20">
        <v>2338</v>
      </c>
      <c r="B2339" s="20">
        <v>9633</v>
      </c>
      <c r="C2339" s="21">
        <v>45177</v>
      </c>
      <c r="D2339" s="20">
        <v>367.55</v>
      </c>
      <c r="E2339" s="22" t="s">
        <v>21</v>
      </c>
      <c r="F2339" s="22" t="s">
        <v>11</v>
      </c>
      <c r="G2339" s="22" t="s">
        <v>15</v>
      </c>
    </row>
    <row r="2340" ht="15.15" spans="1:7">
      <c r="A2340" s="20">
        <v>2339</v>
      </c>
      <c r="B2340" s="20">
        <v>9307</v>
      </c>
      <c r="C2340" s="21">
        <v>45220</v>
      </c>
      <c r="D2340" s="20">
        <v>2901.27</v>
      </c>
      <c r="E2340" s="22" t="s">
        <v>10</v>
      </c>
      <c r="F2340" s="22" t="s">
        <v>11</v>
      </c>
      <c r="G2340" s="22" t="s">
        <v>12</v>
      </c>
    </row>
    <row r="2341" ht="15.15" spans="1:7">
      <c r="A2341" s="20">
        <v>2340</v>
      </c>
      <c r="B2341" s="20">
        <v>8294</v>
      </c>
      <c r="C2341" s="21">
        <v>45038</v>
      </c>
      <c r="D2341" s="20">
        <v>743.75</v>
      </c>
      <c r="E2341" s="22" t="s">
        <v>10</v>
      </c>
      <c r="F2341" s="22" t="s">
        <v>11</v>
      </c>
      <c r="G2341" s="22" t="s">
        <v>20</v>
      </c>
    </row>
    <row r="2342" ht="15.15" spans="1:7">
      <c r="A2342" s="20">
        <v>2341</v>
      </c>
      <c r="B2342" s="20">
        <v>6324</v>
      </c>
      <c r="C2342" s="21">
        <v>45095</v>
      </c>
      <c r="D2342" s="20">
        <v>2104.39</v>
      </c>
      <c r="E2342" s="22" t="s">
        <v>10</v>
      </c>
      <c r="F2342" s="22" t="s">
        <v>18</v>
      </c>
      <c r="G2342" s="22" t="s">
        <v>12</v>
      </c>
    </row>
    <row r="2343" ht="15.15" spans="1:7">
      <c r="A2343" s="20">
        <v>2342</v>
      </c>
      <c r="B2343" s="20">
        <v>3208</v>
      </c>
      <c r="C2343" s="21">
        <v>45173</v>
      </c>
      <c r="D2343" s="20">
        <v>1665.68</v>
      </c>
      <c r="E2343" s="22" t="s">
        <v>10</v>
      </c>
      <c r="F2343" s="22" t="s">
        <v>19</v>
      </c>
      <c r="G2343" s="22" t="s">
        <v>15</v>
      </c>
    </row>
    <row r="2344" ht="15.15" spans="1:7">
      <c r="A2344" s="20">
        <v>2343</v>
      </c>
      <c r="B2344" s="20">
        <v>5057</v>
      </c>
      <c r="C2344" s="21">
        <v>45020</v>
      </c>
      <c r="D2344" s="20">
        <v>1367.64</v>
      </c>
      <c r="E2344" s="22" t="s">
        <v>10</v>
      </c>
      <c r="F2344" s="22" t="s">
        <v>14</v>
      </c>
      <c r="G2344" s="22" t="s">
        <v>12</v>
      </c>
    </row>
    <row r="2345" ht="15.15" spans="1:7">
      <c r="A2345" s="20">
        <v>2344</v>
      </c>
      <c r="B2345" s="20">
        <v>3300</v>
      </c>
      <c r="C2345" s="21">
        <v>45224</v>
      </c>
      <c r="D2345" s="20">
        <v>661.44</v>
      </c>
      <c r="E2345" s="22" t="s">
        <v>10</v>
      </c>
      <c r="F2345" s="22" t="s">
        <v>18</v>
      </c>
      <c r="G2345" s="22" t="s">
        <v>15</v>
      </c>
    </row>
    <row r="2346" ht="15.15" spans="1:7">
      <c r="A2346" s="20">
        <v>2345</v>
      </c>
      <c r="B2346" s="20">
        <v>9201</v>
      </c>
      <c r="C2346" s="21">
        <v>45159</v>
      </c>
      <c r="D2346" s="20">
        <v>1515.29</v>
      </c>
      <c r="E2346" s="22" t="s">
        <v>10</v>
      </c>
      <c r="F2346" s="22" t="s">
        <v>16</v>
      </c>
      <c r="G2346" s="22" t="s">
        <v>20</v>
      </c>
    </row>
    <row r="2347" ht="15.15" spans="1:7">
      <c r="A2347" s="20">
        <v>2346</v>
      </c>
      <c r="B2347" s="20">
        <v>8745</v>
      </c>
      <c r="C2347" s="21">
        <v>45166</v>
      </c>
      <c r="D2347" s="20">
        <v>2244.66</v>
      </c>
      <c r="E2347" s="22" t="s">
        <v>10</v>
      </c>
      <c r="F2347" s="22" t="s">
        <v>13</v>
      </c>
      <c r="G2347" s="22" t="s">
        <v>15</v>
      </c>
    </row>
    <row r="2348" ht="15.15" spans="1:7">
      <c r="A2348" s="20">
        <v>2347</v>
      </c>
      <c r="B2348" s="20">
        <v>6460</v>
      </c>
      <c r="C2348" s="21">
        <v>45182</v>
      </c>
      <c r="D2348" s="20">
        <v>1100.94</v>
      </c>
      <c r="E2348" s="22" t="s">
        <v>10</v>
      </c>
      <c r="F2348" s="22" t="s">
        <v>13</v>
      </c>
      <c r="G2348" s="22" t="s">
        <v>17</v>
      </c>
    </row>
    <row r="2349" ht="15.15" spans="1:7">
      <c r="A2349" s="20">
        <v>2348</v>
      </c>
      <c r="B2349" s="20">
        <v>2816</v>
      </c>
      <c r="C2349" s="21">
        <v>45280</v>
      </c>
      <c r="D2349" s="20">
        <v>844.4</v>
      </c>
      <c r="E2349" s="22" t="s">
        <v>10</v>
      </c>
      <c r="F2349" s="22" t="s">
        <v>14</v>
      </c>
      <c r="G2349" s="22" t="s">
        <v>20</v>
      </c>
    </row>
    <row r="2350" ht="15.15" spans="1:7">
      <c r="A2350" s="20">
        <v>2349</v>
      </c>
      <c r="B2350" s="20">
        <v>9666</v>
      </c>
      <c r="C2350" s="21">
        <v>45164</v>
      </c>
      <c r="D2350" s="20">
        <v>736.28</v>
      </c>
      <c r="E2350" s="22" t="s">
        <v>21</v>
      </c>
      <c r="F2350" s="22" t="s">
        <v>18</v>
      </c>
      <c r="G2350" s="22" t="s">
        <v>12</v>
      </c>
    </row>
    <row r="2351" ht="15.15" spans="1:7">
      <c r="A2351" s="20">
        <v>2350</v>
      </c>
      <c r="B2351" s="20">
        <v>923</v>
      </c>
      <c r="C2351" s="21">
        <v>45288</v>
      </c>
      <c r="D2351" s="20">
        <v>373.93</v>
      </c>
      <c r="E2351" s="22" t="s">
        <v>10</v>
      </c>
      <c r="F2351" s="22" t="s">
        <v>13</v>
      </c>
      <c r="G2351" s="22" t="s">
        <v>20</v>
      </c>
    </row>
    <row r="2352" ht="15.15" spans="1:7">
      <c r="A2352" s="20">
        <v>2351</v>
      </c>
      <c r="B2352" s="20">
        <v>1328</v>
      </c>
      <c r="C2352" s="21">
        <v>45188</v>
      </c>
      <c r="D2352" s="20">
        <v>653.71</v>
      </c>
      <c r="E2352" s="22" t="s">
        <v>10</v>
      </c>
      <c r="F2352" s="22" t="s">
        <v>11</v>
      </c>
      <c r="G2352" s="22" t="s">
        <v>17</v>
      </c>
    </row>
    <row r="2353" ht="15.15" spans="1:7">
      <c r="A2353" s="20">
        <v>2352</v>
      </c>
      <c r="B2353" s="20">
        <v>7828</v>
      </c>
      <c r="C2353" s="21">
        <v>45058</v>
      </c>
      <c r="D2353" s="20">
        <v>245.09</v>
      </c>
      <c r="E2353" s="22" t="s">
        <v>10</v>
      </c>
      <c r="F2353" s="22" t="s">
        <v>18</v>
      </c>
      <c r="G2353" s="22" t="s">
        <v>17</v>
      </c>
    </row>
    <row r="2354" ht="15.15" spans="1:7">
      <c r="A2354" s="20">
        <v>2353</v>
      </c>
      <c r="B2354" s="20">
        <v>6265</v>
      </c>
      <c r="C2354" s="21">
        <v>45036</v>
      </c>
      <c r="D2354" s="20">
        <v>1169</v>
      </c>
      <c r="E2354" s="22" t="s">
        <v>10</v>
      </c>
      <c r="F2354" s="22" t="s">
        <v>18</v>
      </c>
      <c r="G2354" s="22" t="s">
        <v>20</v>
      </c>
    </row>
    <row r="2355" ht="15.15" spans="1:7">
      <c r="A2355" s="20">
        <v>2354</v>
      </c>
      <c r="B2355" s="20">
        <v>1127</v>
      </c>
      <c r="C2355" s="21">
        <v>45251</v>
      </c>
      <c r="D2355" s="20">
        <v>315.18</v>
      </c>
      <c r="E2355" s="22" t="s">
        <v>10</v>
      </c>
      <c r="F2355" s="22" t="s">
        <v>18</v>
      </c>
      <c r="G2355" s="22" t="s">
        <v>17</v>
      </c>
    </row>
    <row r="2356" ht="15.15" spans="1:7">
      <c r="A2356" s="20">
        <v>2355</v>
      </c>
      <c r="B2356" s="20">
        <v>6672</v>
      </c>
      <c r="C2356" s="21">
        <v>44975</v>
      </c>
      <c r="D2356" s="20">
        <v>3214.71</v>
      </c>
      <c r="E2356" s="22" t="s">
        <v>22</v>
      </c>
      <c r="F2356" s="22" t="s">
        <v>16</v>
      </c>
      <c r="G2356" s="22" t="s">
        <v>20</v>
      </c>
    </row>
    <row r="2357" ht="15.15" spans="1:7">
      <c r="A2357" s="20">
        <v>2356</v>
      </c>
      <c r="B2357" s="20">
        <v>6106</v>
      </c>
      <c r="C2357" s="21">
        <v>45193</v>
      </c>
      <c r="D2357" s="20">
        <v>2019.37</v>
      </c>
      <c r="E2357" s="22" t="s">
        <v>10</v>
      </c>
      <c r="F2357" s="22" t="s">
        <v>18</v>
      </c>
      <c r="G2357" s="22" t="s">
        <v>12</v>
      </c>
    </row>
    <row r="2358" ht="15.15" spans="1:7">
      <c r="A2358" s="20">
        <v>2357</v>
      </c>
      <c r="B2358" s="20">
        <v>1634</v>
      </c>
      <c r="C2358" s="21">
        <v>45088</v>
      </c>
      <c r="D2358" s="20">
        <v>2589.94</v>
      </c>
      <c r="E2358" s="22" t="s">
        <v>10</v>
      </c>
      <c r="F2358" s="22" t="s">
        <v>14</v>
      </c>
      <c r="G2358" s="22" t="s">
        <v>15</v>
      </c>
    </row>
    <row r="2359" ht="15.15" spans="1:7">
      <c r="A2359" s="20">
        <v>2358</v>
      </c>
      <c r="B2359" s="20">
        <v>9035</v>
      </c>
      <c r="C2359" s="21">
        <v>45168</v>
      </c>
      <c r="D2359" s="20">
        <v>957.32</v>
      </c>
      <c r="E2359" s="22" t="s">
        <v>10</v>
      </c>
      <c r="F2359" s="22" t="s">
        <v>14</v>
      </c>
      <c r="G2359" s="22" t="s">
        <v>12</v>
      </c>
    </row>
    <row r="2360" ht="15.15" spans="1:7">
      <c r="A2360" s="20">
        <v>2359</v>
      </c>
      <c r="B2360" s="20">
        <v>673</v>
      </c>
      <c r="C2360" s="21">
        <v>45229</v>
      </c>
      <c r="D2360" s="20">
        <v>1144.11</v>
      </c>
      <c r="E2360" s="22" t="s">
        <v>10</v>
      </c>
      <c r="F2360" s="22" t="s">
        <v>13</v>
      </c>
      <c r="G2360" s="22" t="s">
        <v>12</v>
      </c>
    </row>
    <row r="2361" ht="15.15" spans="1:7">
      <c r="A2361" s="20">
        <v>2360</v>
      </c>
      <c r="B2361" s="20">
        <v>7568</v>
      </c>
      <c r="C2361" s="21">
        <v>44953</v>
      </c>
      <c r="D2361" s="20">
        <v>244.19</v>
      </c>
      <c r="E2361" s="22" t="s">
        <v>10</v>
      </c>
      <c r="F2361" s="22" t="s">
        <v>16</v>
      </c>
      <c r="G2361" s="22" t="s">
        <v>20</v>
      </c>
    </row>
    <row r="2362" ht="15.15" spans="1:7">
      <c r="A2362" s="20">
        <v>2361</v>
      </c>
      <c r="B2362" s="20">
        <v>828</v>
      </c>
      <c r="C2362" s="21">
        <v>45117</v>
      </c>
      <c r="D2362" s="20">
        <v>1490.74</v>
      </c>
      <c r="E2362" s="22" t="s">
        <v>10</v>
      </c>
      <c r="F2362" s="22" t="s">
        <v>11</v>
      </c>
      <c r="G2362" s="22" t="s">
        <v>17</v>
      </c>
    </row>
    <row r="2363" ht="15.15" spans="1:7">
      <c r="A2363" s="20">
        <v>2362</v>
      </c>
      <c r="B2363" s="20">
        <v>1074</v>
      </c>
      <c r="C2363" s="21">
        <v>45139</v>
      </c>
      <c r="D2363" s="20">
        <v>521.28</v>
      </c>
      <c r="E2363" s="22" t="s">
        <v>10</v>
      </c>
      <c r="F2363" s="22" t="s">
        <v>13</v>
      </c>
      <c r="G2363" s="22" t="s">
        <v>20</v>
      </c>
    </row>
    <row r="2364" ht="15.15" spans="1:7">
      <c r="A2364" s="20">
        <v>2363</v>
      </c>
      <c r="B2364" s="20">
        <v>4081</v>
      </c>
      <c r="C2364" s="21">
        <v>44985</v>
      </c>
      <c r="D2364" s="20">
        <v>1044.39</v>
      </c>
      <c r="E2364" s="22" t="s">
        <v>21</v>
      </c>
      <c r="F2364" s="22" t="s">
        <v>13</v>
      </c>
      <c r="G2364" s="22" t="s">
        <v>12</v>
      </c>
    </row>
    <row r="2365" ht="15.15" spans="1:7">
      <c r="A2365" s="20">
        <v>2364</v>
      </c>
      <c r="B2365" s="20">
        <v>1425</v>
      </c>
      <c r="C2365" s="21">
        <v>45161</v>
      </c>
      <c r="D2365" s="20">
        <v>1278.19</v>
      </c>
      <c r="E2365" s="22" t="s">
        <v>10</v>
      </c>
      <c r="F2365" s="22" t="s">
        <v>11</v>
      </c>
      <c r="G2365" s="22" t="s">
        <v>17</v>
      </c>
    </row>
    <row r="2366" ht="15.15" spans="1:7">
      <c r="A2366" s="20">
        <v>2365</v>
      </c>
      <c r="B2366" s="20">
        <v>6335</v>
      </c>
      <c r="C2366" s="21">
        <v>45117</v>
      </c>
      <c r="D2366" s="20">
        <v>1871.48</v>
      </c>
      <c r="E2366" s="22" t="s">
        <v>10</v>
      </c>
      <c r="F2366" s="22" t="s">
        <v>11</v>
      </c>
      <c r="G2366" s="22" t="s">
        <v>17</v>
      </c>
    </row>
    <row r="2367" ht="15.15" spans="1:7">
      <c r="A2367" s="20">
        <v>2366</v>
      </c>
      <c r="B2367" s="20">
        <v>4713</v>
      </c>
      <c r="C2367" s="21">
        <v>45081</v>
      </c>
      <c r="D2367" s="20">
        <v>3154.92</v>
      </c>
      <c r="E2367" s="22" t="s">
        <v>10</v>
      </c>
      <c r="F2367" s="22" t="s">
        <v>18</v>
      </c>
      <c r="G2367" s="22" t="s">
        <v>12</v>
      </c>
    </row>
    <row r="2368" ht="15.15" spans="1:7">
      <c r="A2368" s="20">
        <v>2367</v>
      </c>
      <c r="B2368" s="20">
        <v>439</v>
      </c>
      <c r="C2368" s="21">
        <v>45114</v>
      </c>
      <c r="D2368" s="20">
        <v>284.14</v>
      </c>
      <c r="E2368" s="22" t="s">
        <v>10</v>
      </c>
      <c r="F2368" s="22" t="s">
        <v>14</v>
      </c>
      <c r="G2368" s="22" t="s">
        <v>12</v>
      </c>
    </row>
    <row r="2369" ht="15.15" spans="1:7">
      <c r="A2369" s="20">
        <v>2368</v>
      </c>
      <c r="B2369" s="20">
        <v>6893</v>
      </c>
      <c r="C2369" s="21">
        <v>44972</v>
      </c>
      <c r="D2369" s="20">
        <v>1443.59</v>
      </c>
      <c r="E2369" s="22" t="s">
        <v>10</v>
      </c>
      <c r="F2369" s="22" t="s">
        <v>18</v>
      </c>
      <c r="G2369" s="22" t="s">
        <v>20</v>
      </c>
    </row>
    <row r="2370" ht="15.15" spans="1:7">
      <c r="A2370" s="20">
        <v>2369</v>
      </c>
      <c r="B2370" s="20">
        <v>835</v>
      </c>
      <c r="C2370" s="21">
        <v>45267</v>
      </c>
      <c r="D2370" s="20">
        <v>1199.81</v>
      </c>
      <c r="E2370" s="22" t="s">
        <v>10</v>
      </c>
      <c r="F2370" s="22" t="s">
        <v>13</v>
      </c>
      <c r="G2370" s="22" t="s">
        <v>17</v>
      </c>
    </row>
    <row r="2371" ht="15.15" spans="1:7">
      <c r="A2371" s="20">
        <v>2370</v>
      </c>
      <c r="B2371" s="20">
        <v>5484</v>
      </c>
      <c r="C2371" s="21">
        <v>45229</v>
      </c>
      <c r="D2371" s="20">
        <v>1112.22</v>
      </c>
      <c r="E2371" s="22" t="s">
        <v>10</v>
      </c>
      <c r="F2371" s="22" t="s">
        <v>14</v>
      </c>
      <c r="G2371" s="22" t="s">
        <v>12</v>
      </c>
    </row>
    <row r="2372" ht="15.15" spans="1:7">
      <c r="A2372" s="20">
        <v>2371</v>
      </c>
      <c r="B2372" s="20">
        <v>252</v>
      </c>
      <c r="C2372" s="21">
        <v>45096</v>
      </c>
      <c r="D2372" s="20">
        <v>1894</v>
      </c>
      <c r="E2372" s="22" t="s">
        <v>10</v>
      </c>
      <c r="F2372" s="22" t="s">
        <v>11</v>
      </c>
      <c r="G2372" s="22" t="s">
        <v>12</v>
      </c>
    </row>
    <row r="2373" ht="15.15" spans="1:7">
      <c r="A2373" s="20">
        <v>2372</v>
      </c>
      <c r="B2373" s="20">
        <v>7101</v>
      </c>
      <c r="C2373" s="21">
        <v>44961</v>
      </c>
      <c r="D2373" s="20">
        <v>2346.61</v>
      </c>
      <c r="E2373" s="22" t="s">
        <v>21</v>
      </c>
      <c r="F2373" s="22" t="s">
        <v>16</v>
      </c>
      <c r="G2373" s="22" t="s">
        <v>17</v>
      </c>
    </row>
    <row r="2374" ht="15.15" spans="1:7">
      <c r="A2374" s="20">
        <v>2373</v>
      </c>
      <c r="B2374" s="20">
        <v>817</v>
      </c>
      <c r="C2374" s="21">
        <v>45286</v>
      </c>
      <c r="D2374" s="20">
        <v>364.61</v>
      </c>
      <c r="E2374" s="22" t="s">
        <v>10</v>
      </c>
      <c r="F2374" s="22" t="s">
        <v>18</v>
      </c>
      <c r="G2374" s="22" t="s">
        <v>12</v>
      </c>
    </row>
    <row r="2375" ht="15.15" spans="1:7">
      <c r="A2375" s="20">
        <v>2374</v>
      </c>
      <c r="B2375" s="20">
        <v>1232</v>
      </c>
      <c r="C2375" s="21">
        <v>45201</v>
      </c>
      <c r="D2375" s="20">
        <v>1587.5</v>
      </c>
      <c r="E2375" s="22" t="s">
        <v>10</v>
      </c>
      <c r="F2375" s="22" t="s">
        <v>11</v>
      </c>
      <c r="G2375" s="22" t="s">
        <v>20</v>
      </c>
    </row>
    <row r="2376" ht="15.15" spans="1:7">
      <c r="A2376" s="20">
        <v>2375</v>
      </c>
      <c r="B2376" s="20">
        <v>7305</v>
      </c>
      <c r="C2376" s="21">
        <v>45112</v>
      </c>
      <c r="D2376" s="20">
        <v>899.2</v>
      </c>
      <c r="E2376" s="22" t="s">
        <v>10</v>
      </c>
      <c r="F2376" s="22" t="s">
        <v>14</v>
      </c>
      <c r="G2376" s="22" t="s">
        <v>15</v>
      </c>
    </row>
    <row r="2377" ht="15.15" spans="1:7">
      <c r="A2377" s="20">
        <v>2376</v>
      </c>
      <c r="B2377" s="20">
        <v>2643</v>
      </c>
      <c r="C2377" s="21">
        <v>45022</v>
      </c>
      <c r="D2377" s="20">
        <v>1186.56</v>
      </c>
      <c r="E2377" s="22" t="s">
        <v>10</v>
      </c>
      <c r="F2377" s="22" t="s">
        <v>16</v>
      </c>
      <c r="G2377" s="22" t="s">
        <v>17</v>
      </c>
    </row>
    <row r="2378" ht="15.15" spans="1:7">
      <c r="A2378" s="20">
        <v>2377</v>
      </c>
      <c r="B2378" s="20">
        <v>1408</v>
      </c>
      <c r="C2378" s="21">
        <v>45198</v>
      </c>
      <c r="D2378" s="20">
        <v>1365.96</v>
      </c>
      <c r="E2378" s="22" t="s">
        <v>10</v>
      </c>
      <c r="F2378" s="22" t="s">
        <v>18</v>
      </c>
      <c r="G2378" s="22" t="s">
        <v>15</v>
      </c>
    </row>
    <row r="2379" ht="15.15" spans="1:7">
      <c r="A2379" s="20">
        <v>2378</v>
      </c>
      <c r="B2379" s="20">
        <v>3394</v>
      </c>
      <c r="C2379" s="21">
        <v>45222</v>
      </c>
      <c r="D2379" s="20">
        <v>2627.69</v>
      </c>
      <c r="E2379" s="22" t="s">
        <v>10</v>
      </c>
      <c r="F2379" s="22" t="s">
        <v>13</v>
      </c>
      <c r="G2379" s="22" t="s">
        <v>17</v>
      </c>
    </row>
    <row r="2380" ht="15.15" spans="1:7">
      <c r="A2380" s="20">
        <v>2379</v>
      </c>
      <c r="B2380" s="20">
        <v>6283</v>
      </c>
      <c r="C2380" s="21">
        <v>45149</v>
      </c>
      <c r="D2380" s="20">
        <v>450.59</v>
      </c>
      <c r="E2380" s="22" t="s">
        <v>10</v>
      </c>
      <c r="F2380" s="22" t="s">
        <v>16</v>
      </c>
      <c r="G2380" s="22" t="s">
        <v>15</v>
      </c>
    </row>
    <row r="2381" ht="15.15" spans="1:7">
      <c r="A2381" s="20">
        <v>2380</v>
      </c>
      <c r="B2381" s="20">
        <v>7732</v>
      </c>
      <c r="C2381" s="21">
        <v>45187</v>
      </c>
      <c r="D2381" s="20">
        <v>1617.31</v>
      </c>
      <c r="E2381" s="22" t="s">
        <v>10</v>
      </c>
      <c r="F2381" s="22" t="s">
        <v>14</v>
      </c>
      <c r="G2381" s="22" t="s">
        <v>20</v>
      </c>
    </row>
    <row r="2382" ht="15.15" spans="1:7">
      <c r="A2382" s="20">
        <v>2381</v>
      </c>
      <c r="B2382" s="20">
        <v>4211</v>
      </c>
      <c r="C2382" s="21">
        <v>45083</v>
      </c>
      <c r="D2382" s="20">
        <v>968.43</v>
      </c>
      <c r="E2382" s="22" t="s">
        <v>10</v>
      </c>
      <c r="F2382" s="22" t="s">
        <v>14</v>
      </c>
      <c r="G2382" s="22" t="s">
        <v>15</v>
      </c>
    </row>
    <row r="2383" ht="15.15" spans="1:7">
      <c r="A2383" s="20">
        <v>2382</v>
      </c>
      <c r="B2383" s="20">
        <v>960</v>
      </c>
      <c r="C2383" s="21">
        <v>45089</v>
      </c>
      <c r="D2383" s="20">
        <v>683.81</v>
      </c>
      <c r="E2383" s="22" t="s">
        <v>10</v>
      </c>
      <c r="F2383" s="22" t="s">
        <v>14</v>
      </c>
      <c r="G2383" s="22" t="s">
        <v>15</v>
      </c>
    </row>
    <row r="2384" ht="15.15" spans="1:7">
      <c r="A2384" s="20">
        <v>2383</v>
      </c>
      <c r="B2384" s="20">
        <v>1190</v>
      </c>
      <c r="C2384" s="21">
        <v>45244</v>
      </c>
      <c r="D2384" s="20">
        <v>313.65</v>
      </c>
      <c r="E2384" s="22" t="s">
        <v>10</v>
      </c>
      <c r="F2384" s="22" t="s">
        <v>11</v>
      </c>
      <c r="G2384" s="22" t="s">
        <v>12</v>
      </c>
    </row>
    <row r="2385" ht="15.15" spans="1:7">
      <c r="A2385" s="20">
        <v>2384</v>
      </c>
      <c r="B2385" s="20">
        <v>6688</v>
      </c>
      <c r="C2385" s="21">
        <v>45257</v>
      </c>
      <c r="D2385" s="20">
        <v>2383.08</v>
      </c>
      <c r="E2385" s="22" t="s">
        <v>10</v>
      </c>
      <c r="F2385" s="22" t="s">
        <v>14</v>
      </c>
      <c r="G2385" s="22" t="s">
        <v>15</v>
      </c>
    </row>
    <row r="2386" ht="15.15" spans="1:7">
      <c r="A2386" s="20">
        <v>2385</v>
      </c>
      <c r="B2386" s="20">
        <v>251</v>
      </c>
      <c r="C2386" s="21">
        <v>45156</v>
      </c>
      <c r="D2386" s="20">
        <v>1099.89</v>
      </c>
      <c r="E2386" s="22" t="s">
        <v>10</v>
      </c>
      <c r="F2386" s="22" t="s">
        <v>16</v>
      </c>
      <c r="G2386" s="22" t="s">
        <v>12</v>
      </c>
    </row>
    <row r="2387" ht="15.15" spans="1:7">
      <c r="A2387" s="20">
        <v>2386</v>
      </c>
      <c r="B2387" s="20">
        <v>5804</v>
      </c>
      <c r="C2387" s="21">
        <v>45137</v>
      </c>
      <c r="D2387" s="20">
        <v>1989.13</v>
      </c>
      <c r="E2387" s="22" t="s">
        <v>10</v>
      </c>
      <c r="F2387" s="22" t="s">
        <v>11</v>
      </c>
      <c r="G2387" s="22" t="s">
        <v>20</v>
      </c>
    </row>
    <row r="2388" ht="15.15" spans="1:7">
      <c r="A2388" s="20">
        <v>2387</v>
      </c>
      <c r="B2388" s="20">
        <v>8963</v>
      </c>
      <c r="C2388" s="21">
        <v>45226</v>
      </c>
      <c r="D2388" s="20">
        <v>4029.4</v>
      </c>
      <c r="E2388" s="22" t="s">
        <v>10</v>
      </c>
      <c r="F2388" s="22" t="s">
        <v>18</v>
      </c>
      <c r="G2388" s="22" t="s">
        <v>20</v>
      </c>
    </row>
    <row r="2389" ht="15.15" spans="1:7">
      <c r="A2389" s="20">
        <v>2388</v>
      </c>
      <c r="B2389" s="20">
        <v>3522</v>
      </c>
      <c r="C2389" s="21">
        <v>45232</v>
      </c>
      <c r="D2389" s="20">
        <v>2151.51</v>
      </c>
      <c r="E2389" s="22" t="s">
        <v>10</v>
      </c>
      <c r="F2389" s="22" t="s">
        <v>16</v>
      </c>
      <c r="G2389" s="22" t="s">
        <v>12</v>
      </c>
    </row>
    <row r="2390" ht="15.15" spans="1:7">
      <c r="A2390" s="20">
        <v>2389</v>
      </c>
      <c r="B2390" s="20">
        <v>9954</v>
      </c>
      <c r="C2390" s="21">
        <v>45209</v>
      </c>
      <c r="D2390" s="20">
        <v>693.05</v>
      </c>
      <c r="E2390" s="22" t="s">
        <v>10</v>
      </c>
      <c r="F2390" s="22" t="s">
        <v>16</v>
      </c>
      <c r="G2390" s="22" t="s">
        <v>15</v>
      </c>
    </row>
    <row r="2391" ht="15.15" spans="1:7">
      <c r="A2391" s="20">
        <v>2390</v>
      </c>
      <c r="B2391" s="20">
        <v>1882</v>
      </c>
      <c r="C2391" s="21">
        <v>45199</v>
      </c>
      <c r="D2391" s="20">
        <v>376.31</v>
      </c>
      <c r="E2391" s="22" t="s">
        <v>10</v>
      </c>
      <c r="F2391" s="22" t="s">
        <v>14</v>
      </c>
      <c r="G2391" s="22" t="s">
        <v>20</v>
      </c>
    </row>
    <row r="2392" ht="15.15" spans="1:7">
      <c r="A2392" s="20">
        <v>2391</v>
      </c>
      <c r="B2392" s="20">
        <v>3736</v>
      </c>
      <c r="C2392" s="21">
        <v>45068</v>
      </c>
      <c r="D2392" s="20">
        <v>2589.69</v>
      </c>
      <c r="E2392" s="22" t="s">
        <v>22</v>
      </c>
      <c r="F2392" s="22" t="s">
        <v>11</v>
      </c>
      <c r="G2392" s="22" t="s">
        <v>20</v>
      </c>
    </row>
    <row r="2393" ht="15.15" spans="1:7">
      <c r="A2393" s="20">
        <v>2392</v>
      </c>
      <c r="B2393" s="20">
        <v>9270</v>
      </c>
      <c r="C2393" s="21">
        <v>45261</v>
      </c>
      <c r="D2393" s="20">
        <v>1517.02</v>
      </c>
      <c r="E2393" s="22" t="s">
        <v>10</v>
      </c>
      <c r="F2393" s="22" t="s">
        <v>11</v>
      </c>
      <c r="G2393" s="22" t="s">
        <v>20</v>
      </c>
    </row>
    <row r="2394" ht="15.15" spans="1:7">
      <c r="A2394" s="20">
        <v>2393</v>
      </c>
      <c r="B2394" s="20">
        <v>3286</v>
      </c>
      <c r="C2394" s="21">
        <v>45057</v>
      </c>
      <c r="D2394" s="20">
        <v>145.02</v>
      </c>
      <c r="E2394" s="22" t="s">
        <v>10</v>
      </c>
      <c r="F2394" s="22" t="s">
        <v>14</v>
      </c>
      <c r="G2394" s="22" t="s">
        <v>20</v>
      </c>
    </row>
    <row r="2395" ht="15.15" spans="1:7">
      <c r="A2395" s="20">
        <v>2394</v>
      </c>
      <c r="B2395" s="20">
        <v>9589</v>
      </c>
      <c r="C2395" s="21">
        <v>45243</v>
      </c>
      <c r="D2395" s="20">
        <v>447.91</v>
      </c>
      <c r="E2395" s="22" t="s">
        <v>10</v>
      </c>
      <c r="F2395" s="22" t="s">
        <v>14</v>
      </c>
      <c r="G2395" s="22" t="s">
        <v>17</v>
      </c>
    </row>
    <row r="2396" ht="15.15" spans="1:7">
      <c r="A2396" s="20">
        <v>2395</v>
      </c>
      <c r="B2396" s="20">
        <v>768</v>
      </c>
      <c r="C2396" s="21">
        <v>45286</v>
      </c>
      <c r="D2396" s="20">
        <v>2122.78</v>
      </c>
      <c r="E2396" s="22" t="s">
        <v>10</v>
      </c>
      <c r="F2396" s="22" t="s">
        <v>11</v>
      </c>
      <c r="G2396" s="22" t="s">
        <v>12</v>
      </c>
    </row>
    <row r="2397" ht="15.15" spans="1:7">
      <c r="A2397" s="20">
        <v>2396</v>
      </c>
      <c r="B2397" s="20">
        <v>2606</v>
      </c>
      <c r="C2397" s="21">
        <v>45291</v>
      </c>
      <c r="D2397" s="20">
        <v>751.38</v>
      </c>
      <c r="E2397" s="22" t="s">
        <v>22</v>
      </c>
      <c r="F2397" s="22" t="s">
        <v>14</v>
      </c>
      <c r="G2397" s="22" t="s">
        <v>20</v>
      </c>
    </row>
    <row r="2398" ht="15.15" spans="1:7">
      <c r="A2398" s="20">
        <v>2397</v>
      </c>
      <c r="B2398" s="20">
        <v>2232</v>
      </c>
      <c r="C2398" s="21">
        <v>45114</v>
      </c>
      <c r="D2398" s="20">
        <v>4581.93</v>
      </c>
      <c r="E2398" s="22" t="s">
        <v>10</v>
      </c>
      <c r="F2398" s="22" t="s">
        <v>11</v>
      </c>
      <c r="G2398" s="22" t="s">
        <v>17</v>
      </c>
    </row>
    <row r="2399" ht="15.15" spans="1:7">
      <c r="A2399" s="20">
        <v>2398</v>
      </c>
      <c r="B2399" s="20">
        <v>6736</v>
      </c>
      <c r="C2399" s="21">
        <v>45115</v>
      </c>
      <c r="D2399" s="20">
        <v>459.12</v>
      </c>
      <c r="E2399" s="22" t="s">
        <v>10</v>
      </c>
      <c r="F2399" s="22" t="s">
        <v>16</v>
      </c>
      <c r="G2399" s="22" t="s">
        <v>12</v>
      </c>
    </row>
    <row r="2400" ht="15.15" spans="1:7">
      <c r="A2400" s="20">
        <v>2399</v>
      </c>
      <c r="B2400" s="20">
        <v>2816</v>
      </c>
      <c r="C2400" s="21">
        <v>45086</v>
      </c>
      <c r="D2400" s="20">
        <v>2681.76</v>
      </c>
      <c r="E2400" s="22" t="s">
        <v>10</v>
      </c>
      <c r="F2400" s="22" t="s">
        <v>14</v>
      </c>
      <c r="G2400" s="22" t="s">
        <v>17</v>
      </c>
    </row>
    <row r="2401" ht="15.15" spans="1:7">
      <c r="A2401" s="20">
        <v>2400</v>
      </c>
      <c r="B2401" s="20">
        <v>6696</v>
      </c>
      <c r="C2401" s="21">
        <v>45268</v>
      </c>
      <c r="D2401" s="20">
        <v>2444.09</v>
      </c>
      <c r="E2401" s="22" t="s">
        <v>10</v>
      </c>
      <c r="F2401" s="22" t="s">
        <v>11</v>
      </c>
      <c r="G2401" s="22" t="s">
        <v>12</v>
      </c>
    </row>
    <row r="2402" ht="15.15" spans="1:7">
      <c r="A2402" s="20">
        <v>2401</v>
      </c>
      <c r="B2402" s="20">
        <v>3287</v>
      </c>
      <c r="C2402" s="21">
        <v>45153</v>
      </c>
      <c r="D2402" s="20">
        <v>395.52</v>
      </c>
      <c r="E2402" s="22" t="s">
        <v>10</v>
      </c>
      <c r="F2402" s="22" t="s">
        <v>14</v>
      </c>
      <c r="G2402" s="22" t="s">
        <v>17</v>
      </c>
    </row>
    <row r="2403" ht="15.15" spans="1:7">
      <c r="A2403" s="20">
        <v>2402</v>
      </c>
      <c r="B2403" s="20">
        <v>2156</v>
      </c>
      <c r="C2403" s="21">
        <v>45230</v>
      </c>
      <c r="D2403" s="20">
        <v>1041.67</v>
      </c>
      <c r="E2403" s="22" t="s">
        <v>10</v>
      </c>
      <c r="F2403" s="22" t="s">
        <v>14</v>
      </c>
      <c r="G2403" s="22" t="s">
        <v>20</v>
      </c>
    </row>
    <row r="2404" ht="15.15" spans="1:7">
      <c r="A2404" s="20">
        <v>2403</v>
      </c>
      <c r="B2404" s="20">
        <v>9518</v>
      </c>
      <c r="C2404" s="21">
        <v>45211</v>
      </c>
      <c r="D2404" s="20">
        <v>3554.5</v>
      </c>
      <c r="E2404" s="22" t="s">
        <v>10</v>
      </c>
      <c r="F2404" s="22" t="s">
        <v>16</v>
      </c>
      <c r="G2404" s="22" t="s">
        <v>20</v>
      </c>
    </row>
    <row r="2405" ht="15.15" spans="1:7">
      <c r="A2405" s="20">
        <v>2404</v>
      </c>
      <c r="B2405" s="20">
        <v>8431</v>
      </c>
      <c r="C2405" s="21">
        <v>44961</v>
      </c>
      <c r="D2405" s="20">
        <v>2176.23</v>
      </c>
      <c r="E2405" s="22" t="s">
        <v>10</v>
      </c>
      <c r="F2405" s="22" t="s">
        <v>18</v>
      </c>
      <c r="G2405" s="22" t="s">
        <v>15</v>
      </c>
    </row>
    <row r="2406" ht="15.15" spans="1:7">
      <c r="A2406" s="20">
        <v>2405</v>
      </c>
      <c r="B2406" s="20">
        <v>549</v>
      </c>
      <c r="C2406" s="21">
        <v>45094</v>
      </c>
      <c r="D2406" s="20">
        <v>494.7</v>
      </c>
      <c r="E2406" s="22" t="s">
        <v>10</v>
      </c>
      <c r="F2406" s="22" t="s">
        <v>13</v>
      </c>
      <c r="G2406" s="22" t="s">
        <v>17</v>
      </c>
    </row>
    <row r="2407" ht="15.15" spans="1:7">
      <c r="A2407" s="20">
        <v>2406</v>
      </c>
      <c r="B2407" s="20">
        <v>5346</v>
      </c>
      <c r="C2407" s="21">
        <v>45225</v>
      </c>
      <c r="D2407" s="20">
        <v>198.89</v>
      </c>
      <c r="E2407" s="22" t="s">
        <v>10</v>
      </c>
      <c r="F2407" s="22" t="s">
        <v>14</v>
      </c>
      <c r="G2407" s="22" t="s">
        <v>15</v>
      </c>
    </row>
    <row r="2408" ht="15.15" spans="1:7">
      <c r="A2408" s="20">
        <v>2407</v>
      </c>
      <c r="B2408" s="20">
        <v>1122</v>
      </c>
      <c r="C2408" s="21">
        <v>45242</v>
      </c>
      <c r="D2408" s="20">
        <v>547.54</v>
      </c>
      <c r="E2408" s="22" t="s">
        <v>10</v>
      </c>
      <c r="F2408" s="22" t="s">
        <v>16</v>
      </c>
      <c r="G2408" s="22" t="s">
        <v>15</v>
      </c>
    </row>
    <row r="2409" ht="15.15" spans="1:7">
      <c r="A2409" s="20">
        <v>2408</v>
      </c>
      <c r="B2409" s="20">
        <v>65</v>
      </c>
      <c r="C2409" s="21">
        <v>45110</v>
      </c>
      <c r="D2409" s="20">
        <v>467.35</v>
      </c>
      <c r="E2409" s="22" t="s">
        <v>10</v>
      </c>
      <c r="F2409" s="22" t="s">
        <v>13</v>
      </c>
      <c r="G2409" s="22" t="s">
        <v>12</v>
      </c>
    </row>
    <row r="2410" ht="15.15" spans="1:7">
      <c r="A2410" s="20">
        <v>2409</v>
      </c>
      <c r="B2410" s="20">
        <v>1445</v>
      </c>
      <c r="C2410" s="21">
        <v>45016</v>
      </c>
      <c r="D2410" s="20">
        <v>73.66</v>
      </c>
      <c r="E2410" s="22" t="s">
        <v>10</v>
      </c>
      <c r="F2410" s="22" t="s">
        <v>11</v>
      </c>
      <c r="G2410" s="22" t="s">
        <v>15</v>
      </c>
    </row>
    <row r="2411" ht="15.15" spans="1:7">
      <c r="A2411" s="20">
        <v>2410</v>
      </c>
      <c r="B2411" s="20">
        <v>9595</v>
      </c>
      <c r="C2411" s="21">
        <v>44931</v>
      </c>
      <c r="D2411" s="20">
        <v>5368.21</v>
      </c>
      <c r="E2411" s="22" t="s">
        <v>10</v>
      </c>
      <c r="F2411" s="22" t="s">
        <v>14</v>
      </c>
      <c r="G2411" s="22" t="s">
        <v>20</v>
      </c>
    </row>
    <row r="2412" ht="15.15" spans="1:7">
      <c r="A2412" s="20">
        <v>2411</v>
      </c>
      <c r="B2412" s="20">
        <v>9242</v>
      </c>
      <c r="C2412" s="21">
        <v>45233</v>
      </c>
      <c r="D2412" s="20">
        <v>1628.17</v>
      </c>
      <c r="E2412" s="22" t="s">
        <v>10</v>
      </c>
      <c r="F2412" s="22" t="s">
        <v>13</v>
      </c>
      <c r="G2412" s="22" t="s">
        <v>12</v>
      </c>
    </row>
    <row r="2413" ht="15.15" spans="1:7">
      <c r="A2413" s="20">
        <v>2412</v>
      </c>
      <c r="B2413" s="20">
        <v>6727</v>
      </c>
      <c r="C2413" s="21">
        <v>45113</v>
      </c>
      <c r="D2413" s="20">
        <v>239.67</v>
      </c>
      <c r="E2413" s="22" t="s">
        <v>10</v>
      </c>
      <c r="F2413" s="22" t="s">
        <v>11</v>
      </c>
      <c r="G2413" s="22" t="s">
        <v>12</v>
      </c>
    </row>
    <row r="2414" ht="15.15" spans="1:7">
      <c r="A2414" s="20">
        <v>2413</v>
      </c>
      <c r="B2414" s="20">
        <v>4419</v>
      </c>
      <c r="C2414" s="21">
        <v>45179</v>
      </c>
      <c r="D2414" s="20">
        <v>1516.42</v>
      </c>
      <c r="E2414" s="22" t="s">
        <v>10</v>
      </c>
      <c r="F2414" s="22" t="s">
        <v>16</v>
      </c>
      <c r="G2414" s="22" t="s">
        <v>12</v>
      </c>
    </row>
    <row r="2415" ht="15.15" spans="1:7">
      <c r="A2415" s="20">
        <v>2414</v>
      </c>
      <c r="B2415" s="20">
        <v>3741</v>
      </c>
      <c r="C2415" s="21">
        <v>44954</v>
      </c>
      <c r="D2415" s="20">
        <v>183.34</v>
      </c>
      <c r="E2415" s="22" t="s">
        <v>10</v>
      </c>
      <c r="F2415" s="22" t="s">
        <v>16</v>
      </c>
      <c r="G2415" s="22" t="s">
        <v>20</v>
      </c>
    </row>
    <row r="2416" ht="15.15" spans="1:7">
      <c r="A2416" s="20">
        <v>2415</v>
      </c>
      <c r="B2416" s="20">
        <v>2434</v>
      </c>
      <c r="C2416" s="21">
        <v>44947</v>
      </c>
      <c r="D2416" s="20">
        <v>1044.9</v>
      </c>
      <c r="E2416" s="22" t="s">
        <v>10</v>
      </c>
      <c r="F2416" s="22" t="s">
        <v>14</v>
      </c>
      <c r="G2416" s="22" t="s">
        <v>17</v>
      </c>
    </row>
    <row r="2417" ht="15.15" spans="1:7">
      <c r="A2417" s="20">
        <v>2416</v>
      </c>
      <c r="B2417" s="20">
        <v>690</v>
      </c>
      <c r="C2417" s="21">
        <v>45169</v>
      </c>
      <c r="D2417" s="20">
        <v>526.08</v>
      </c>
      <c r="E2417" s="22" t="s">
        <v>10</v>
      </c>
      <c r="F2417" s="22" t="s">
        <v>16</v>
      </c>
      <c r="G2417" s="22" t="s">
        <v>17</v>
      </c>
    </row>
    <row r="2418" ht="15.15" spans="1:7">
      <c r="A2418" s="20">
        <v>2417</v>
      </c>
      <c r="B2418" s="20">
        <v>9000</v>
      </c>
      <c r="C2418" s="21">
        <v>45067</v>
      </c>
      <c r="D2418" s="20">
        <v>228.45</v>
      </c>
      <c r="E2418" s="22" t="s">
        <v>10</v>
      </c>
      <c r="F2418" s="22" t="s">
        <v>18</v>
      </c>
      <c r="G2418" s="22" t="s">
        <v>17</v>
      </c>
    </row>
    <row r="2419" ht="15.15" spans="1:7">
      <c r="A2419" s="20">
        <v>2418</v>
      </c>
      <c r="B2419" s="20">
        <v>9106</v>
      </c>
      <c r="C2419" s="21">
        <v>45251</v>
      </c>
      <c r="D2419" s="20">
        <v>1140.12</v>
      </c>
      <c r="E2419" s="22" t="s">
        <v>10</v>
      </c>
      <c r="F2419" s="22" t="s">
        <v>11</v>
      </c>
      <c r="G2419" s="22" t="s">
        <v>15</v>
      </c>
    </row>
    <row r="2420" ht="15.15" spans="1:7">
      <c r="A2420" s="20">
        <v>2419</v>
      </c>
      <c r="B2420" s="20">
        <v>4789</v>
      </c>
      <c r="C2420" s="21">
        <v>45196</v>
      </c>
      <c r="D2420" s="20">
        <v>562.41</v>
      </c>
      <c r="E2420" s="22" t="s">
        <v>10</v>
      </c>
      <c r="F2420" s="22" t="s">
        <v>11</v>
      </c>
      <c r="G2420" s="22" t="s">
        <v>12</v>
      </c>
    </row>
    <row r="2421" ht="15.15" spans="1:7">
      <c r="A2421" s="20">
        <v>2420</v>
      </c>
      <c r="B2421" s="20">
        <v>4087</v>
      </c>
      <c r="C2421" s="21">
        <v>45056</v>
      </c>
      <c r="D2421" s="20">
        <v>2021.12</v>
      </c>
      <c r="E2421" s="22" t="s">
        <v>10</v>
      </c>
      <c r="F2421" s="22" t="s">
        <v>16</v>
      </c>
      <c r="G2421" s="22" t="s">
        <v>12</v>
      </c>
    </row>
    <row r="2422" ht="15.15" spans="1:7">
      <c r="A2422" s="20">
        <v>2421</v>
      </c>
      <c r="B2422" s="20">
        <v>3742</v>
      </c>
      <c r="C2422" s="21">
        <v>44995</v>
      </c>
      <c r="D2422" s="20">
        <v>516.25</v>
      </c>
      <c r="E2422" s="22" t="s">
        <v>21</v>
      </c>
      <c r="F2422" s="22" t="s">
        <v>13</v>
      </c>
      <c r="G2422" s="22" t="s">
        <v>20</v>
      </c>
    </row>
    <row r="2423" ht="15.15" spans="1:7">
      <c r="A2423" s="20">
        <v>2422</v>
      </c>
      <c r="B2423" s="20">
        <v>1718</v>
      </c>
      <c r="C2423" s="21">
        <v>44981</v>
      </c>
      <c r="D2423" s="20">
        <v>485.89</v>
      </c>
      <c r="E2423" s="22" t="s">
        <v>10</v>
      </c>
      <c r="F2423" s="22" t="s">
        <v>18</v>
      </c>
      <c r="G2423" s="22" t="s">
        <v>17</v>
      </c>
    </row>
    <row r="2424" ht="15.15" spans="1:7">
      <c r="A2424" s="20">
        <v>2423</v>
      </c>
      <c r="B2424" s="20">
        <v>5769</v>
      </c>
      <c r="C2424" s="21">
        <v>45217</v>
      </c>
      <c r="D2424" s="20">
        <v>860.81</v>
      </c>
      <c r="E2424" s="22" t="s">
        <v>10</v>
      </c>
      <c r="F2424" s="22" t="s">
        <v>11</v>
      </c>
      <c r="G2424" s="22" t="s">
        <v>12</v>
      </c>
    </row>
    <row r="2425" ht="15.15" spans="1:7">
      <c r="A2425" s="20">
        <v>2424</v>
      </c>
      <c r="B2425" s="20">
        <v>3407</v>
      </c>
      <c r="C2425" s="21">
        <v>45221</v>
      </c>
      <c r="D2425" s="20">
        <v>2494.96</v>
      </c>
      <c r="E2425" s="22" t="s">
        <v>10</v>
      </c>
      <c r="F2425" s="22" t="s">
        <v>11</v>
      </c>
      <c r="G2425" s="22" t="s">
        <v>20</v>
      </c>
    </row>
    <row r="2426" ht="15.15" spans="1:7">
      <c r="A2426" s="20">
        <v>2425</v>
      </c>
      <c r="B2426" s="20">
        <v>5976</v>
      </c>
      <c r="C2426" s="21">
        <v>45006</v>
      </c>
      <c r="D2426" s="20">
        <v>469.95</v>
      </c>
      <c r="E2426" s="22" t="s">
        <v>10</v>
      </c>
      <c r="F2426" s="22" t="s">
        <v>11</v>
      </c>
      <c r="G2426" s="22" t="s">
        <v>15</v>
      </c>
    </row>
    <row r="2427" ht="15.15" spans="1:7">
      <c r="A2427" s="20">
        <v>2426</v>
      </c>
      <c r="B2427" s="20">
        <v>7773</v>
      </c>
      <c r="C2427" s="21">
        <v>45000</v>
      </c>
      <c r="D2427" s="20">
        <v>376.78</v>
      </c>
      <c r="E2427" s="22" t="s">
        <v>10</v>
      </c>
      <c r="F2427" s="22" t="s">
        <v>13</v>
      </c>
      <c r="G2427" s="22" t="s">
        <v>17</v>
      </c>
    </row>
    <row r="2428" ht="15.15" spans="1:7">
      <c r="A2428" s="20">
        <v>2427</v>
      </c>
      <c r="B2428" s="20">
        <v>7305</v>
      </c>
      <c r="C2428" s="21">
        <v>45221</v>
      </c>
      <c r="D2428" s="20">
        <v>254.46</v>
      </c>
      <c r="E2428" s="22" t="s">
        <v>10</v>
      </c>
      <c r="F2428" s="22" t="s">
        <v>14</v>
      </c>
      <c r="G2428" s="22" t="s">
        <v>20</v>
      </c>
    </row>
    <row r="2429" ht="15.15" spans="1:7">
      <c r="A2429" s="20">
        <v>2428</v>
      </c>
      <c r="B2429" s="20">
        <v>5177</v>
      </c>
      <c r="C2429" s="21">
        <v>44948</v>
      </c>
      <c r="D2429" s="20">
        <v>1257.96</v>
      </c>
      <c r="E2429" s="22" t="s">
        <v>10</v>
      </c>
      <c r="F2429" s="22" t="s">
        <v>11</v>
      </c>
      <c r="G2429" s="22" t="s">
        <v>15</v>
      </c>
    </row>
    <row r="2430" ht="15.15" spans="1:7">
      <c r="A2430" s="20">
        <v>2429</v>
      </c>
      <c r="B2430" s="20">
        <v>9749</v>
      </c>
      <c r="C2430" s="21">
        <v>45038</v>
      </c>
      <c r="D2430" s="20">
        <v>2304.67</v>
      </c>
      <c r="E2430" s="22" t="s">
        <v>10</v>
      </c>
      <c r="F2430" s="22" t="s">
        <v>16</v>
      </c>
      <c r="G2430" s="22" t="s">
        <v>20</v>
      </c>
    </row>
    <row r="2431" ht="15.15" spans="1:7">
      <c r="A2431" s="20">
        <v>2430</v>
      </c>
      <c r="B2431" s="20">
        <v>6873</v>
      </c>
      <c r="C2431" s="21">
        <v>45089</v>
      </c>
      <c r="D2431" s="20">
        <v>2613.3</v>
      </c>
      <c r="E2431" s="22" t="s">
        <v>10</v>
      </c>
      <c r="F2431" s="22" t="s">
        <v>16</v>
      </c>
      <c r="G2431" s="22" t="s">
        <v>17</v>
      </c>
    </row>
    <row r="2432" ht="15.15" spans="1:7">
      <c r="A2432" s="20">
        <v>2431</v>
      </c>
      <c r="B2432" s="20">
        <v>5125</v>
      </c>
      <c r="C2432" s="21">
        <v>45282</v>
      </c>
      <c r="D2432" s="20">
        <v>151.46</v>
      </c>
      <c r="E2432" s="22" t="s">
        <v>10</v>
      </c>
      <c r="F2432" s="22" t="s">
        <v>14</v>
      </c>
      <c r="G2432" s="22" t="s">
        <v>17</v>
      </c>
    </row>
    <row r="2433" ht="15.15" spans="1:7">
      <c r="A2433" s="20">
        <v>2432</v>
      </c>
      <c r="B2433" s="20">
        <v>8740</v>
      </c>
      <c r="C2433" s="21">
        <v>45089</v>
      </c>
      <c r="D2433" s="20">
        <v>734.28</v>
      </c>
      <c r="E2433" s="22" t="s">
        <v>10</v>
      </c>
      <c r="F2433" s="22" t="s">
        <v>16</v>
      </c>
      <c r="G2433" s="22" t="s">
        <v>17</v>
      </c>
    </row>
    <row r="2434" ht="15.15" spans="1:7">
      <c r="A2434" s="20">
        <v>2433</v>
      </c>
      <c r="B2434" s="20">
        <v>1892</v>
      </c>
      <c r="C2434" s="21">
        <v>45037</v>
      </c>
      <c r="D2434" s="20">
        <v>1455.02</v>
      </c>
      <c r="E2434" s="22" t="s">
        <v>10</v>
      </c>
      <c r="F2434" s="22" t="s">
        <v>16</v>
      </c>
      <c r="G2434" s="22" t="s">
        <v>15</v>
      </c>
    </row>
    <row r="2435" ht="15.15" spans="1:7">
      <c r="A2435" s="20">
        <v>2434</v>
      </c>
      <c r="B2435" s="20">
        <v>349</v>
      </c>
      <c r="C2435" s="21">
        <v>45053</v>
      </c>
      <c r="D2435" s="20">
        <v>1338.05</v>
      </c>
      <c r="E2435" s="22" t="s">
        <v>10</v>
      </c>
      <c r="F2435" s="22" t="s">
        <v>11</v>
      </c>
      <c r="G2435" s="22" t="s">
        <v>15</v>
      </c>
    </row>
    <row r="2436" ht="15.15" spans="1:7">
      <c r="A2436" s="20">
        <v>2435</v>
      </c>
      <c r="B2436" s="20">
        <v>2296</v>
      </c>
      <c r="C2436" s="21">
        <v>44968</v>
      </c>
      <c r="D2436" s="20">
        <v>1228.22</v>
      </c>
      <c r="E2436" s="22" t="s">
        <v>10</v>
      </c>
      <c r="F2436" s="22" t="s">
        <v>13</v>
      </c>
      <c r="G2436" s="22" t="s">
        <v>17</v>
      </c>
    </row>
    <row r="2437" ht="15.15" spans="1:7">
      <c r="A2437" s="20">
        <v>2436</v>
      </c>
      <c r="B2437" s="20">
        <v>4220</v>
      </c>
      <c r="C2437" s="21">
        <v>44955</v>
      </c>
      <c r="D2437" s="20">
        <v>723.94</v>
      </c>
      <c r="E2437" s="22" t="s">
        <v>22</v>
      </c>
      <c r="F2437" s="22" t="s">
        <v>13</v>
      </c>
      <c r="G2437" s="22" t="s">
        <v>12</v>
      </c>
    </row>
    <row r="2438" ht="15.15" spans="1:7">
      <c r="A2438" s="20">
        <v>2437</v>
      </c>
      <c r="B2438" s="20">
        <v>6980</v>
      </c>
      <c r="C2438" s="21">
        <v>45164</v>
      </c>
      <c r="D2438" s="20">
        <v>599.38</v>
      </c>
      <c r="E2438" s="22" t="s">
        <v>10</v>
      </c>
      <c r="F2438" s="22" t="s">
        <v>13</v>
      </c>
      <c r="G2438" s="22" t="s">
        <v>12</v>
      </c>
    </row>
    <row r="2439" ht="15.15" spans="1:7">
      <c r="A2439" s="20">
        <v>2438</v>
      </c>
      <c r="B2439" s="20">
        <v>9679</v>
      </c>
      <c r="C2439" s="21">
        <v>45103</v>
      </c>
      <c r="D2439" s="20">
        <v>1527.31</v>
      </c>
      <c r="E2439" s="22" t="s">
        <v>10</v>
      </c>
      <c r="F2439" s="22" t="s">
        <v>16</v>
      </c>
      <c r="G2439" s="22" t="s">
        <v>17</v>
      </c>
    </row>
    <row r="2440" ht="15.15" spans="1:7">
      <c r="A2440" s="20">
        <v>2439</v>
      </c>
      <c r="B2440" s="20">
        <v>2712</v>
      </c>
      <c r="C2440" s="21">
        <v>44955</v>
      </c>
      <c r="D2440" s="20">
        <v>250.59</v>
      </c>
      <c r="E2440" s="22" t="s">
        <v>10</v>
      </c>
      <c r="F2440" s="22" t="s">
        <v>18</v>
      </c>
      <c r="G2440" s="22" t="s">
        <v>15</v>
      </c>
    </row>
    <row r="2441" ht="15.15" spans="1:7">
      <c r="A2441" s="20">
        <v>2440</v>
      </c>
      <c r="B2441" s="20">
        <v>594</v>
      </c>
      <c r="C2441" s="21">
        <v>45286</v>
      </c>
      <c r="D2441" s="20">
        <v>5358.14</v>
      </c>
      <c r="E2441" s="22" t="s">
        <v>10</v>
      </c>
      <c r="F2441" s="22" t="s">
        <v>18</v>
      </c>
      <c r="G2441" s="22" t="s">
        <v>15</v>
      </c>
    </row>
    <row r="2442" ht="15.15" spans="1:7">
      <c r="A2442" s="20">
        <v>2441</v>
      </c>
      <c r="B2442" s="20">
        <v>4220</v>
      </c>
      <c r="C2442" s="21">
        <v>45205</v>
      </c>
      <c r="D2442" s="20">
        <v>2570.28</v>
      </c>
      <c r="E2442" s="22" t="s">
        <v>10</v>
      </c>
      <c r="F2442" s="22" t="s">
        <v>13</v>
      </c>
      <c r="G2442" s="22" t="s">
        <v>12</v>
      </c>
    </row>
    <row r="2443" ht="15.15" spans="1:7">
      <c r="A2443" s="20">
        <v>2442</v>
      </c>
      <c r="B2443" s="20">
        <v>9072</v>
      </c>
      <c r="C2443" s="21">
        <v>45072</v>
      </c>
      <c r="D2443" s="20">
        <v>1838.14</v>
      </c>
      <c r="E2443" s="22" t="s">
        <v>22</v>
      </c>
      <c r="F2443" s="22" t="s">
        <v>18</v>
      </c>
      <c r="G2443" s="22" t="s">
        <v>20</v>
      </c>
    </row>
    <row r="2444" ht="15.15" spans="1:7">
      <c r="A2444" s="20">
        <v>2443</v>
      </c>
      <c r="B2444" s="20">
        <v>8239</v>
      </c>
      <c r="C2444" s="21">
        <v>45172</v>
      </c>
      <c r="D2444" s="20">
        <v>1560.22</v>
      </c>
      <c r="E2444" s="22" t="s">
        <v>10</v>
      </c>
      <c r="F2444" s="22" t="s">
        <v>18</v>
      </c>
      <c r="G2444" s="22" t="s">
        <v>15</v>
      </c>
    </row>
    <row r="2445" ht="15.15" spans="1:7">
      <c r="A2445" s="20">
        <v>2444</v>
      </c>
      <c r="B2445" s="20">
        <v>6716</v>
      </c>
      <c r="C2445" s="21">
        <v>45035</v>
      </c>
      <c r="D2445" s="20">
        <v>993.42</v>
      </c>
      <c r="E2445" s="22" t="s">
        <v>10</v>
      </c>
      <c r="F2445" s="22" t="s">
        <v>13</v>
      </c>
      <c r="G2445" s="22" t="s">
        <v>15</v>
      </c>
    </row>
    <row r="2446" ht="15.15" spans="1:7">
      <c r="A2446" s="20">
        <v>2445</v>
      </c>
      <c r="B2446" s="20">
        <v>4247</v>
      </c>
      <c r="C2446" s="21">
        <v>45264</v>
      </c>
      <c r="D2446" s="20">
        <v>2643.94</v>
      </c>
      <c r="E2446" s="22" t="s">
        <v>10</v>
      </c>
      <c r="F2446" s="22" t="s">
        <v>18</v>
      </c>
      <c r="G2446" s="22" t="s">
        <v>20</v>
      </c>
    </row>
    <row r="2447" ht="15.15" spans="1:7">
      <c r="A2447" s="20">
        <v>2446</v>
      </c>
      <c r="B2447" s="20">
        <v>1211</v>
      </c>
      <c r="C2447" s="21">
        <v>44990</v>
      </c>
      <c r="D2447" s="20">
        <v>1933.65</v>
      </c>
      <c r="E2447" s="22" t="s">
        <v>10</v>
      </c>
      <c r="F2447" s="22" t="s">
        <v>16</v>
      </c>
      <c r="G2447" s="22" t="s">
        <v>20</v>
      </c>
    </row>
    <row r="2448" ht="15.15" spans="1:7">
      <c r="A2448" s="20">
        <v>2447</v>
      </c>
      <c r="B2448" s="20">
        <v>5417</v>
      </c>
      <c r="C2448" s="21">
        <v>45010</v>
      </c>
      <c r="D2448" s="20">
        <v>563.58</v>
      </c>
      <c r="E2448" s="22" t="s">
        <v>10</v>
      </c>
      <c r="F2448" s="22" t="s">
        <v>14</v>
      </c>
      <c r="G2448" s="22" t="s">
        <v>17</v>
      </c>
    </row>
    <row r="2449" ht="15.15" spans="1:7">
      <c r="A2449" s="20">
        <v>2448</v>
      </c>
      <c r="B2449" s="20">
        <v>7748</v>
      </c>
      <c r="C2449" s="21">
        <v>45245</v>
      </c>
      <c r="D2449" s="20">
        <v>1817.84</v>
      </c>
      <c r="E2449" s="22" t="s">
        <v>10</v>
      </c>
      <c r="F2449" s="22" t="s">
        <v>16</v>
      </c>
      <c r="G2449" s="22" t="s">
        <v>17</v>
      </c>
    </row>
    <row r="2450" ht="15.15" spans="1:7">
      <c r="A2450" s="20">
        <v>2449</v>
      </c>
      <c r="B2450" s="20">
        <v>4538</v>
      </c>
      <c r="C2450" s="21">
        <v>45216</v>
      </c>
      <c r="D2450" s="20">
        <v>812.41</v>
      </c>
      <c r="E2450" s="22" t="s">
        <v>10</v>
      </c>
      <c r="F2450" s="22" t="s">
        <v>14</v>
      </c>
      <c r="G2450" s="22" t="s">
        <v>20</v>
      </c>
    </row>
    <row r="2451" ht="15.15" spans="1:7">
      <c r="A2451" s="20">
        <v>2450</v>
      </c>
      <c r="B2451" s="20">
        <v>9442</v>
      </c>
      <c r="C2451" s="21">
        <v>45004</v>
      </c>
      <c r="D2451" s="20">
        <v>828.55</v>
      </c>
      <c r="E2451" s="22" t="s">
        <v>10</v>
      </c>
      <c r="F2451" s="22" t="s">
        <v>14</v>
      </c>
      <c r="G2451" s="22" t="s">
        <v>12</v>
      </c>
    </row>
    <row r="2452" ht="15.15" spans="1:7">
      <c r="A2452" s="20">
        <v>2451</v>
      </c>
      <c r="B2452" s="20">
        <v>9012</v>
      </c>
      <c r="C2452" s="21">
        <v>45098</v>
      </c>
      <c r="D2452" s="20">
        <v>361.97</v>
      </c>
      <c r="E2452" s="22" t="s">
        <v>10</v>
      </c>
      <c r="F2452" s="22" t="s">
        <v>13</v>
      </c>
      <c r="G2452" s="22" t="s">
        <v>17</v>
      </c>
    </row>
    <row r="2453" ht="15.15" spans="1:7">
      <c r="A2453" s="20">
        <v>2452</v>
      </c>
      <c r="B2453" s="20">
        <v>7326</v>
      </c>
      <c r="C2453" s="21">
        <v>45063</v>
      </c>
      <c r="D2453" s="20">
        <v>4077.46</v>
      </c>
      <c r="E2453" s="22" t="s">
        <v>10</v>
      </c>
      <c r="F2453" s="22" t="s">
        <v>11</v>
      </c>
      <c r="G2453" s="22" t="s">
        <v>12</v>
      </c>
    </row>
    <row r="2454" ht="15.15" spans="1:7">
      <c r="A2454" s="20">
        <v>2453</v>
      </c>
      <c r="B2454" s="20">
        <v>4493</v>
      </c>
      <c r="C2454" s="21">
        <v>45269</v>
      </c>
      <c r="D2454" s="20">
        <v>1547.85</v>
      </c>
      <c r="E2454" s="22" t="s">
        <v>10</v>
      </c>
      <c r="F2454" s="22" t="s">
        <v>18</v>
      </c>
      <c r="G2454" s="22" t="s">
        <v>17</v>
      </c>
    </row>
    <row r="2455" ht="15.15" spans="1:7">
      <c r="A2455" s="20">
        <v>2454</v>
      </c>
      <c r="B2455" s="20">
        <v>1326</v>
      </c>
      <c r="C2455" s="21">
        <v>45193</v>
      </c>
      <c r="D2455" s="20">
        <v>2524.48</v>
      </c>
      <c r="E2455" s="22" t="s">
        <v>10</v>
      </c>
      <c r="F2455" s="22" t="s">
        <v>16</v>
      </c>
      <c r="G2455" s="22" t="s">
        <v>12</v>
      </c>
    </row>
    <row r="2456" ht="15.15" spans="1:7">
      <c r="A2456" s="20">
        <v>2455</v>
      </c>
      <c r="B2456" s="20">
        <v>284</v>
      </c>
      <c r="C2456" s="21">
        <v>45125</v>
      </c>
      <c r="D2456" s="20">
        <v>197.3</v>
      </c>
      <c r="E2456" s="22" t="s">
        <v>10</v>
      </c>
      <c r="F2456" s="22" t="s">
        <v>14</v>
      </c>
      <c r="G2456" s="22" t="s">
        <v>20</v>
      </c>
    </row>
    <row r="2457" ht="15.15" spans="1:7">
      <c r="A2457" s="20">
        <v>2456</v>
      </c>
      <c r="B2457" s="20">
        <v>731</v>
      </c>
      <c r="C2457" s="21">
        <v>45262</v>
      </c>
      <c r="D2457" s="20">
        <v>548.39</v>
      </c>
      <c r="E2457" s="22" t="s">
        <v>10</v>
      </c>
      <c r="F2457" s="22" t="s">
        <v>11</v>
      </c>
      <c r="G2457" s="22" t="s">
        <v>17</v>
      </c>
    </row>
    <row r="2458" ht="15.15" spans="1:7">
      <c r="A2458" s="20">
        <v>2457</v>
      </c>
      <c r="B2458" s="20">
        <v>5297</v>
      </c>
      <c r="C2458" s="21">
        <v>45266</v>
      </c>
      <c r="D2458" s="20">
        <v>870.94</v>
      </c>
      <c r="E2458" s="22" t="s">
        <v>10</v>
      </c>
      <c r="F2458" s="22" t="s">
        <v>18</v>
      </c>
      <c r="G2458" s="22" t="s">
        <v>20</v>
      </c>
    </row>
    <row r="2459" ht="15.15" spans="1:7">
      <c r="A2459" s="20">
        <v>2458</v>
      </c>
      <c r="B2459" s="20">
        <v>6052</v>
      </c>
      <c r="C2459" s="21">
        <v>45239</v>
      </c>
      <c r="D2459" s="20">
        <v>1127.39</v>
      </c>
      <c r="E2459" s="22" t="s">
        <v>10</v>
      </c>
      <c r="F2459" s="22" t="s">
        <v>13</v>
      </c>
      <c r="G2459" s="22" t="s">
        <v>20</v>
      </c>
    </row>
    <row r="2460" ht="15.15" spans="1:7">
      <c r="A2460" s="20">
        <v>2459</v>
      </c>
      <c r="B2460" s="20">
        <v>707</v>
      </c>
      <c r="C2460" s="21">
        <v>45256</v>
      </c>
      <c r="D2460" s="20">
        <v>2401.34</v>
      </c>
      <c r="E2460" s="22" t="s">
        <v>10</v>
      </c>
      <c r="F2460" s="22" t="s">
        <v>13</v>
      </c>
      <c r="G2460" s="22" t="s">
        <v>12</v>
      </c>
    </row>
    <row r="2461" ht="15.15" spans="1:7">
      <c r="A2461" s="20">
        <v>2460</v>
      </c>
      <c r="B2461" s="20">
        <v>2056</v>
      </c>
      <c r="C2461" s="21">
        <v>45194</v>
      </c>
      <c r="D2461" s="20">
        <v>1262.36</v>
      </c>
      <c r="E2461" s="22" t="s">
        <v>10</v>
      </c>
      <c r="F2461" s="22" t="s">
        <v>13</v>
      </c>
      <c r="G2461" s="22" t="s">
        <v>17</v>
      </c>
    </row>
    <row r="2462" ht="15.15" spans="1:7">
      <c r="A2462" s="20">
        <v>2461</v>
      </c>
      <c r="B2462" s="20">
        <v>4109</v>
      </c>
      <c r="C2462" s="21">
        <v>44968</v>
      </c>
      <c r="D2462" s="20">
        <v>821</v>
      </c>
      <c r="E2462" s="22" t="s">
        <v>10</v>
      </c>
      <c r="F2462" s="22" t="s">
        <v>11</v>
      </c>
      <c r="G2462" s="22" t="s">
        <v>12</v>
      </c>
    </row>
    <row r="2463" ht="15.15" spans="1:7">
      <c r="A2463" s="20">
        <v>2462</v>
      </c>
      <c r="B2463" s="20">
        <v>7825</v>
      </c>
      <c r="C2463" s="21">
        <v>44947</v>
      </c>
      <c r="D2463" s="20">
        <v>599.12</v>
      </c>
      <c r="E2463" s="22" t="s">
        <v>10</v>
      </c>
      <c r="F2463" s="22" t="s">
        <v>18</v>
      </c>
      <c r="G2463" s="22" t="s">
        <v>15</v>
      </c>
    </row>
    <row r="2464" ht="15.15" spans="1:7">
      <c r="A2464" s="20">
        <v>2463</v>
      </c>
      <c r="B2464" s="20">
        <v>8952</v>
      </c>
      <c r="C2464" s="21">
        <v>45284</v>
      </c>
      <c r="D2464" s="20">
        <v>6605.74</v>
      </c>
      <c r="E2464" s="22" t="s">
        <v>10</v>
      </c>
      <c r="F2464" s="22" t="s">
        <v>18</v>
      </c>
      <c r="G2464" s="22" t="s">
        <v>20</v>
      </c>
    </row>
    <row r="2465" ht="15.15" spans="1:7">
      <c r="A2465" s="20">
        <v>2464</v>
      </c>
      <c r="B2465" s="20">
        <v>6854</v>
      </c>
      <c r="C2465" s="21">
        <v>45248</v>
      </c>
      <c r="D2465" s="20">
        <v>4215.32</v>
      </c>
      <c r="E2465" s="22" t="s">
        <v>10</v>
      </c>
      <c r="F2465" s="22" t="s">
        <v>16</v>
      </c>
      <c r="G2465" s="22" t="s">
        <v>15</v>
      </c>
    </row>
    <row r="2466" ht="15.15" spans="1:7">
      <c r="A2466" s="20">
        <v>2465</v>
      </c>
      <c r="B2466" s="20">
        <v>2432</v>
      </c>
      <c r="C2466" s="21">
        <v>45192</v>
      </c>
      <c r="D2466" s="20">
        <v>1602.65</v>
      </c>
      <c r="E2466" s="22" t="s">
        <v>22</v>
      </c>
      <c r="F2466" s="22" t="s">
        <v>14</v>
      </c>
      <c r="G2466" s="22" t="s">
        <v>17</v>
      </c>
    </row>
    <row r="2467" ht="15.15" spans="1:7">
      <c r="A2467" s="20">
        <v>2466</v>
      </c>
      <c r="B2467" s="20">
        <v>1936</v>
      </c>
      <c r="C2467" s="21">
        <v>44941</v>
      </c>
      <c r="D2467" s="20">
        <v>209.84</v>
      </c>
      <c r="E2467" s="22" t="s">
        <v>10</v>
      </c>
      <c r="F2467" s="22" t="s">
        <v>14</v>
      </c>
      <c r="G2467" s="22" t="s">
        <v>12</v>
      </c>
    </row>
    <row r="2468" ht="15.15" spans="1:7">
      <c r="A2468" s="20">
        <v>2467</v>
      </c>
      <c r="B2468" s="20">
        <v>976</v>
      </c>
      <c r="C2468" s="21">
        <v>45260</v>
      </c>
      <c r="D2468" s="20">
        <v>2473.42</v>
      </c>
      <c r="E2468" s="22" t="s">
        <v>10</v>
      </c>
      <c r="F2468" s="22" t="s">
        <v>14</v>
      </c>
      <c r="G2468" s="22" t="s">
        <v>12</v>
      </c>
    </row>
    <row r="2469" ht="15.15" spans="1:7">
      <c r="A2469" s="20">
        <v>2468</v>
      </c>
      <c r="B2469" s="20">
        <v>1433</v>
      </c>
      <c r="C2469" s="21">
        <v>45026</v>
      </c>
      <c r="D2469" s="20">
        <v>971.78</v>
      </c>
      <c r="E2469" s="22" t="s">
        <v>10</v>
      </c>
      <c r="F2469" s="22" t="s">
        <v>11</v>
      </c>
      <c r="G2469" s="22" t="s">
        <v>12</v>
      </c>
    </row>
    <row r="2470" ht="15.15" spans="1:7">
      <c r="A2470" s="20">
        <v>2469</v>
      </c>
      <c r="B2470" s="20">
        <v>8422</v>
      </c>
      <c r="C2470" s="21">
        <v>45270</v>
      </c>
      <c r="D2470" s="20">
        <v>274.83</v>
      </c>
      <c r="E2470" s="22" t="s">
        <v>22</v>
      </c>
      <c r="F2470" s="22" t="s">
        <v>16</v>
      </c>
      <c r="G2470" s="22" t="s">
        <v>15</v>
      </c>
    </row>
    <row r="2471" ht="15.15" spans="1:7">
      <c r="A2471" s="20">
        <v>2470</v>
      </c>
      <c r="B2471" s="20">
        <v>532</v>
      </c>
      <c r="C2471" s="21">
        <v>45215</v>
      </c>
      <c r="D2471" s="20">
        <v>44.16</v>
      </c>
      <c r="E2471" s="22" t="s">
        <v>10</v>
      </c>
      <c r="F2471" s="22" t="s">
        <v>14</v>
      </c>
      <c r="G2471" s="22" t="s">
        <v>17</v>
      </c>
    </row>
    <row r="2472" ht="15.15" spans="1:7">
      <c r="A2472" s="20">
        <v>2471</v>
      </c>
      <c r="B2472" s="20">
        <v>370</v>
      </c>
      <c r="C2472" s="21">
        <v>45000</v>
      </c>
      <c r="D2472" s="20">
        <v>1679.65</v>
      </c>
      <c r="E2472" s="22" t="s">
        <v>10</v>
      </c>
      <c r="F2472" s="22" t="s">
        <v>11</v>
      </c>
      <c r="G2472" s="22" t="s">
        <v>12</v>
      </c>
    </row>
    <row r="2473" ht="15.15" spans="1:7">
      <c r="A2473" s="20">
        <v>2472</v>
      </c>
      <c r="B2473" s="20">
        <v>9331</v>
      </c>
      <c r="C2473" s="21">
        <v>45144</v>
      </c>
      <c r="D2473" s="20">
        <v>413.05</v>
      </c>
      <c r="E2473" s="22" t="s">
        <v>10</v>
      </c>
      <c r="F2473" s="22" t="s">
        <v>14</v>
      </c>
      <c r="G2473" s="22" t="s">
        <v>15</v>
      </c>
    </row>
    <row r="2474" ht="15.15" spans="1:7">
      <c r="A2474" s="20">
        <v>2473</v>
      </c>
      <c r="B2474" s="20">
        <v>5572</v>
      </c>
      <c r="C2474" s="21">
        <v>45243</v>
      </c>
      <c r="D2474" s="20">
        <v>1882.98</v>
      </c>
      <c r="E2474" s="22" t="s">
        <v>10</v>
      </c>
      <c r="F2474" s="22" t="s">
        <v>11</v>
      </c>
      <c r="G2474" s="22" t="s">
        <v>17</v>
      </c>
    </row>
    <row r="2475" ht="15.15" spans="1:7">
      <c r="A2475" s="20">
        <v>2474</v>
      </c>
      <c r="B2475" s="20">
        <v>8808</v>
      </c>
      <c r="C2475" s="21">
        <v>44978</v>
      </c>
      <c r="D2475" s="20">
        <v>2495.91</v>
      </c>
      <c r="E2475" s="22" t="s">
        <v>10</v>
      </c>
      <c r="F2475" s="22" t="s">
        <v>16</v>
      </c>
      <c r="G2475" s="22" t="s">
        <v>17</v>
      </c>
    </row>
    <row r="2476" ht="15.15" spans="1:7">
      <c r="A2476" s="20">
        <v>2475</v>
      </c>
      <c r="B2476" s="20">
        <v>258</v>
      </c>
      <c r="C2476" s="21">
        <v>45207</v>
      </c>
      <c r="D2476" s="20">
        <v>2849.53</v>
      </c>
      <c r="E2476" s="22" t="s">
        <v>10</v>
      </c>
      <c r="F2476" s="22" t="s">
        <v>16</v>
      </c>
      <c r="G2476" s="22" t="s">
        <v>17</v>
      </c>
    </row>
    <row r="2477" ht="15.15" spans="1:7">
      <c r="A2477" s="20">
        <v>2476</v>
      </c>
      <c r="B2477" s="20">
        <v>3927</v>
      </c>
      <c r="C2477" s="21">
        <v>45109</v>
      </c>
      <c r="D2477" s="20">
        <v>209.84</v>
      </c>
      <c r="E2477" s="22" t="s">
        <v>10</v>
      </c>
      <c r="F2477" s="22" t="s">
        <v>18</v>
      </c>
      <c r="G2477" s="22" t="s">
        <v>17</v>
      </c>
    </row>
    <row r="2478" ht="15.15" spans="1:7">
      <c r="A2478" s="20">
        <v>2477</v>
      </c>
      <c r="B2478" s="20">
        <v>5220</v>
      </c>
      <c r="C2478" s="21">
        <v>45167</v>
      </c>
      <c r="D2478" s="20">
        <v>227.77</v>
      </c>
      <c r="E2478" s="22" t="s">
        <v>10</v>
      </c>
      <c r="F2478" s="22" t="s">
        <v>16</v>
      </c>
      <c r="G2478" s="22" t="s">
        <v>20</v>
      </c>
    </row>
    <row r="2479" ht="15.15" spans="1:7">
      <c r="A2479" s="20">
        <v>2478</v>
      </c>
      <c r="B2479" s="20">
        <v>9644</v>
      </c>
      <c r="C2479" s="21">
        <v>45257</v>
      </c>
      <c r="D2479" s="20">
        <v>1810.33</v>
      </c>
      <c r="E2479" s="22" t="s">
        <v>10</v>
      </c>
      <c r="F2479" s="22" t="s">
        <v>13</v>
      </c>
      <c r="G2479" s="22" t="s">
        <v>20</v>
      </c>
    </row>
    <row r="2480" ht="15.15" spans="1:7">
      <c r="A2480" s="20">
        <v>2479</v>
      </c>
      <c r="B2480" s="20">
        <v>2274</v>
      </c>
      <c r="C2480" s="21">
        <v>45116</v>
      </c>
      <c r="D2480" s="20">
        <v>1067.77</v>
      </c>
      <c r="E2480" s="22" t="s">
        <v>10</v>
      </c>
      <c r="F2480" s="22" t="s">
        <v>13</v>
      </c>
      <c r="G2480" s="22" t="s">
        <v>12</v>
      </c>
    </row>
    <row r="2481" ht="15.15" spans="1:7">
      <c r="A2481" s="20">
        <v>2480</v>
      </c>
      <c r="B2481" s="20">
        <v>3826</v>
      </c>
      <c r="C2481" s="21">
        <v>45242</v>
      </c>
      <c r="D2481" s="20">
        <v>1753.87</v>
      </c>
      <c r="E2481" s="22" t="s">
        <v>10</v>
      </c>
      <c r="F2481" s="22" t="s">
        <v>19</v>
      </c>
      <c r="G2481" s="22" t="s">
        <v>17</v>
      </c>
    </row>
    <row r="2482" ht="15.15" spans="1:7">
      <c r="A2482" s="20">
        <v>2481</v>
      </c>
      <c r="B2482" s="20">
        <v>9945</v>
      </c>
      <c r="C2482" s="21">
        <v>45045</v>
      </c>
      <c r="D2482" s="20">
        <v>796.08</v>
      </c>
      <c r="E2482" s="22" t="s">
        <v>21</v>
      </c>
      <c r="F2482" s="22" t="s">
        <v>13</v>
      </c>
      <c r="G2482" s="22" t="s">
        <v>20</v>
      </c>
    </row>
    <row r="2483" ht="15.15" spans="1:7">
      <c r="A2483" s="20">
        <v>2482</v>
      </c>
      <c r="B2483" s="20">
        <v>3796</v>
      </c>
      <c r="C2483" s="21">
        <v>45249</v>
      </c>
      <c r="D2483" s="20">
        <v>748.01</v>
      </c>
      <c r="E2483" s="22" t="s">
        <v>10</v>
      </c>
      <c r="F2483" s="22" t="s">
        <v>14</v>
      </c>
      <c r="G2483" s="22" t="s">
        <v>20</v>
      </c>
    </row>
    <row r="2484" ht="15.15" spans="1:7">
      <c r="A2484" s="20">
        <v>2483</v>
      </c>
      <c r="B2484" s="20">
        <v>2454</v>
      </c>
      <c r="C2484" s="21">
        <v>45180</v>
      </c>
      <c r="D2484" s="20">
        <v>2538.46</v>
      </c>
      <c r="E2484" s="22" t="s">
        <v>10</v>
      </c>
      <c r="F2484" s="22" t="s">
        <v>18</v>
      </c>
      <c r="G2484" s="22" t="s">
        <v>12</v>
      </c>
    </row>
    <row r="2485" ht="15.15" spans="1:7">
      <c r="A2485" s="20">
        <v>2484</v>
      </c>
      <c r="B2485" s="20">
        <v>9679</v>
      </c>
      <c r="C2485" s="21">
        <v>45109</v>
      </c>
      <c r="D2485" s="20">
        <v>751.38</v>
      </c>
      <c r="E2485" s="22" t="s">
        <v>10</v>
      </c>
      <c r="F2485" s="22" t="s">
        <v>16</v>
      </c>
      <c r="G2485" s="22" t="s">
        <v>12</v>
      </c>
    </row>
    <row r="2486" ht="15.15" spans="1:7">
      <c r="A2486" s="20">
        <v>2485</v>
      </c>
      <c r="B2486" s="20">
        <v>7070</v>
      </c>
      <c r="C2486" s="21">
        <v>44952</v>
      </c>
      <c r="D2486" s="20">
        <v>736.45</v>
      </c>
      <c r="E2486" s="22" t="s">
        <v>10</v>
      </c>
      <c r="F2486" s="22" t="s">
        <v>16</v>
      </c>
      <c r="G2486" s="22" t="s">
        <v>17</v>
      </c>
    </row>
    <row r="2487" ht="15.15" spans="1:7">
      <c r="A2487" s="20">
        <v>2486</v>
      </c>
      <c r="B2487" s="20">
        <v>1519</v>
      </c>
      <c r="C2487" s="21">
        <v>45009</v>
      </c>
      <c r="D2487" s="20">
        <v>1279.4</v>
      </c>
      <c r="E2487" s="22" t="s">
        <v>10</v>
      </c>
      <c r="F2487" s="22" t="s">
        <v>13</v>
      </c>
      <c r="G2487" s="22" t="s">
        <v>20</v>
      </c>
    </row>
    <row r="2488" ht="15.15" spans="1:7">
      <c r="A2488" s="20">
        <v>2487</v>
      </c>
      <c r="B2488" s="20">
        <v>3300</v>
      </c>
      <c r="C2488" s="21">
        <v>45043</v>
      </c>
      <c r="D2488" s="20">
        <v>398.41</v>
      </c>
      <c r="E2488" s="22" t="s">
        <v>10</v>
      </c>
      <c r="F2488" s="22" t="s">
        <v>18</v>
      </c>
      <c r="G2488" s="22" t="s">
        <v>20</v>
      </c>
    </row>
    <row r="2489" ht="15.15" spans="1:7">
      <c r="A2489" s="20">
        <v>2488</v>
      </c>
      <c r="B2489" s="20">
        <v>8325</v>
      </c>
      <c r="C2489" s="21">
        <v>45246</v>
      </c>
      <c r="D2489" s="20">
        <v>990.14</v>
      </c>
      <c r="E2489" s="22" t="s">
        <v>10</v>
      </c>
      <c r="F2489" s="22" t="s">
        <v>18</v>
      </c>
      <c r="G2489" s="22" t="s">
        <v>17</v>
      </c>
    </row>
    <row r="2490" ht="15.15" spans="1:7">
      <c r="A2490" s="20">
        <v>2489</v>
      </c>
      <c r="B2490" s="20">
        <v>9005</v>
      </c>
      <c r="C2490" s="21">
        <v>45152</v>
      </c>
      <c r="D2490" s="20">
        <v>558.62</v>
      </c>
      <c r="E2490" s="22" t="s">
        <v>10</v>
      </c>
      <c r="F2490" s="22" t="s">
        <v>13</v>
      </c>
      <c r="G2490" s="22" t="s">
        <v>17</v>
      </c>
    </row>
    <row r="2491" ht="15.15" spans="1:7">
      <c r="A2491" s="20">
        <v>2490</v>
      </c>
      <c r="B2491" s="20">
        <v>4639</v>
      </c>
      <c r="C2491" s="21">
        <v>45278</v>
      </c>
      <c r="D2491" s="20">
        <v>2105.38</v>
      </c>
      <c r="E2491" s="22" t="s">
        <v>10</v>
      </c>
      <c r="F2491" s="22" t="s">
        <v>14</v>
      </c>
      <c r="G2491" s="22" t="s">
        <v>15</v>
      </c>
    </row>
    <row r="2492" ht="15.15" spans="1:7">
      <c r="A2492" s="20">
        <v>2491</v>
      </c>
      <c r="B2492" s="20">
        <v>7718</v>
      </c>
      <c r="C2492" s="21">
        <v>45272</v>
      </c>
      <c r="D2492" s="20">
        <v>4337.75</v>
      </c>
      <c r="E2492" s="22" t="s">
        <v>10</v>
      </c>
      <c r="F2492" s="22" t="s">
        <v>11</v>
      </c>
      <c r="G2492" s="22" t="s">
        <v>12</v>
      </c>
    </row>
    <row r="2493" ht="15.15" spans="1:7">
      <c r="A2493" s="20">
        <v>2492</v>
      </c>
      <c r="B2493" s="20">
        <v>653</v>
      </c>
      <c r="C2493" s="21">
        <v>45092</v>
      </c>
      <c r="D2493" s="20">
        <v>485.89</v>
      </c>
      <c r="E2493" s="22" t="s">
        <v>10</v>
      </c>
      <c r="F2493" s="22" t="s">
        <v>18</v>
      </c>
      <c r="G2493" s="22" t="s">
        <v>15</v>
      </c>
    </row>
    <row r="2494" ht="15.15" spans="1:7">
      <c r="A2494" s="20">
        <v>2493</v>
      </c>
      <c r="B2494" s="20">
        <v>6906</v>
      </c>
      <c r="C2494" s="21">
        <v>45183</v>
      </c>
      <c r="D2494" s="20">
        <v>1802.19</v>
      </c>
      <c r="E2494" s="22" t="s">
        <v>10</v>
      </c>
      <c r="F2494" s="22" t="s">
        <v>16</v>
      </c>
      <c r="G2494" s="22" t="s">
        <v>12</v>
      </c>
    </row>
    <row r="2495" ht="15.15" spans="1:7">
      <c r="A2495" s="20">
        <v>2494</v>
      </c>
      <c r="B2495" s="20">
        <v>1417</v>
      </c>
      <c r="C2495" s="21">
        <v>45025</v>
      </c>
      <c r="D2495" s="20">
        <v>340.18</v>
      </c>
      <c r="E2495" s="22" t="s">
        <v>10</v>
      </c>
      <c r="F2495" s="22" t="s">
        <v>11</v>
      </c>
      <c r="G2495" s="22" t="s">
        <v>15</v>
      </c>
    </row>
    <row r="2496" ht="15.15" spans="1:7">
      <c r="A2496" s="20">
        <v>2495</v>
      </c>
      <c r="B2496" s="20">
        <v>1759</v>
      </c>
      <c r="C2496" s="21">
        <v>45254</v>
      </c>
      <c r="D2496" s="20">
        <v>120.27</v>
      </c>
      <c r="E2496" s="22" t="s">
        <v>10</v>
      </c>
      <c r="F2496" s="22" t="s">
        <v>16</v>
      </c>
      <c r="G2496" s="22" t="s">
        <v>20</v>
      </c>
    </row>
    <row r="2497" ht="15.15" spans="1:7">
      <c r="A2497" s="20">
        <v>2496</v>
      </c>
      <c r="B2497" s="20">
        <v>7079</v>
      </c>
      <c r="C2497" s="21">
        <v>44964</v>
      </c>
      <c r="D2497" s="20">
        <v>2265.46</v>
      </c>
      <c r="E2497" s="22" t="s">
        <v>10</v>
      </c>
      <c r="F2497" s="22" t="s">
        <v>13</v>
      </c>
      <c r="G2497" s="22" t="s">
        <v>17</v>
      </c>
    </row>
    <row r="2498" ht="15.15" spans="1:7">
      <c r="A2498" s="20">
        <v>2497</v>
      </c>
      <c r="B2498" s="20">
        <v>595</v>
      </c>
      <c r="C2498" s="21">
        <v>45124</v>
      </c>
      <c r="D2498" s="20">
        <v>367.55</v>
      </c>
      <c r="E2498" s="22" t="s">
        <v>10</v>
      </c>
      <c r="F2498" s="22" t="s">
        <v>14</v>
      </c>
      <c r="G2498" s="22" t="s">
        <v>17</v>
      </c>
    </row>
    <row r="2499" ht="15.15" spans="1:7">
      <c r="A2499" s="20">
        <v>2498</v>
      </c>
      <c r="B2499" s="20">
        <v>5663</v>
      </c>
      <c r="C2499" s="21">
        <v>44982</v>
      </c>
      <c r="D2499" s="20">
        <v>257.17</v>
      </c>
      <c r="E2499" s="22" t="s">
        <v>10</v>
      </c>
      <c r="F2499" s="22" t="s">
        <v>11</v>
      </c>
      <c r="G2499" s="22" t="s">
        <v>17</v>
      </c>
    </row>
    <row r="2500" ht="15.15" spans="1:7">
      <c r="A2500" s="20">
        <v>2499</v>
      </c>
      <c r="B2500" s="20">
        <v>3256</v>
      </c>
      <c r="C2500" s="21">
        <v>44935</v>
      </c>
      <c r="D2500" s="20">
        <v>2491.89</v>
      </c>
      <c r="E2500" s="22" t="s">
        <v>10</v>
      </c>
      <c r="F2500" s="22" t="s">
        <v>16</v>
      </c>
      <c r="G2500" s="22" t="s">
        <v>12</v>
      </c>
    </row>
    <row r="2501" ht="15.15" spans="1:7">
      <c r="A2501" s="20">
        <v>2500</v>
      </c>
      <c r="B2501" s="20">
        <v>9376</v>
      </c>
      <c r="C2501" s="21">
        <v>45115</v>
      </c>
      <c r="D2501" s="20">
        <v>380.41</v>
      </c>
      <c r="E2501" s="22" t="s">
        <v>10</v>
      </c>
      <c r="F2501" s="22" t="s">
        <v>18</v>
      </c>
      <c r="G2501" s="22" t="s">
        <v>17</v>
      </c>
    </row>
    <row r="2502" ht="15.15" spans="1:7">
      <c r="A2502" s="20">
        <v>2501</v>
      </c>
      <c r="B2502" s="20">
        <v>579</v>
      </c>
      <c r="C2502" s="21">
        <v>45120</v>
      </c>
      <c r="D2502" s="20">
        <v>1174.31</v>
      </c>
      <c r="E2502" s="22" t="s">
        <v>10</v>
      </c>
      <c r="F2502" s="22" t="s">
        <v>18</v>
      </c>
      <c r="G2502" s="22" t="s">
        <v>20</v>
      </c>
    </row>
    <row r="2503" ht="15.15" spans="1:7">
      <c r="A2503" s="20">
        <v>2502</v>
      </c>
      <c r="B2503" s="20">
        <v>567</v>
      </c>
      <c r="C2503" s="21">
        <v>45187</v>
      </c>
      <c r="D2503" s="20">
        <v>2196.1</v>
      </c>
      <c r="E2503" s="22" t="s">
        <v>10</v>
      </c>
      <c r="F2503" s="22" t="s">
        <v>14</v>
      </c>
      <c r="G2503" s="22" t="s">
        <v>15</v>
      </c>
    </row>
    <row r="2504" ht="15.15" spans="1:7">
      <c r="A2504" s="20">
        <v>2503</v>
      </c>
      <c r="B2504" s="20">
        <v>2231</v>
      </c>
      <c r="C2504" s="21">
        <v>45072</v>
      </c>
      <c r="D2504" s="20">
        <v>574.91</v>
      </c>
      <c r="E2504" s="22" t="s">
        <v>10</v>
      </c>
      <c r="F2504" s="22" t="s">
        <v>18</v>
      </c>
      <c r="G2504" s="22" t="s">
        <v>15</v>
      </c>
    </row>
    <row r="2505" ht="15.15" spans="1:7">
      <c r="A2505" s="20">
        <v>2504</v>
      </c>
      <c r="B2505" s="20">
        <v>4644</v>
      </c>
      <c r="C2505" s="21">
        <v>45162</v>
      </c>
      <c r="D2505" s="20">
        <v>759.97</v>
      </c>
      <c r="E2505" s="22" t="s">
        <v>10</v>
      </c>
      <c r="F2505" s="22" t="s">
        <v>13</v>
      </c>
      <c r="G2505" s="22" t="s">
        <v>17</v>
      </c>
    </row>
    <row r="2506" ht="15.15" spans="1:7">
      <c r="A2506" s="20">
        <v>2505</v>
      </c>
      <c r="B2506" s="20">
        <v>1425</v>
      </c>
      <c r="C2506" s="21">
        <v>45239</v>
      </c>
      <c r="D2506" s="20">
        <v>1955.02</v>
      </c>
      <c r="E2506" s="22" t="s">
        <v>10</v>
      </c>
      <c r="F2506" s="22" t="s">
        <v>11</v>
      </c>
      <c r="G2506" s="22" t="s">
        <v>20</v>
      </c>
    </row>
    <row r="2507" ht="15.15" spans="1:7">
      <c r="A2507" s="20">
        <v>2506</v>
      </c>
      <c r="B2507" s="20">
        <v>334</v>
      </c>
      <c r="C2507" s="21">
        <v>45234</v>
      </c>
      <c r="D2507" s="20">
        <v>1153.5</v>
      </c>
      <c r="E2507" s="22" t="s">
        <v>10</v>
      </c>
      <c r="F2507" s="22" t="s">
        <v>18</v>
      </c>
      <c r="G2507" s="22" t="s">
        <v>20</v>
      </c>
    </row>
    <row r="2508" ht="15.15" spans="1:7">
      <c r="A2508" s="20">
        <v>2507</v>
      </c>
      <c r="B2508" s="20">
        <v>6027</v>
      </c>
      <c r="C2508" s="21">
        <v>45214</v>
      </c>
      <c r="D2508" s="20">
        <v>2555.01</v>
      </c>
      <c r="E2508" s="22" t="s">
        <v>10</v>
      </c>
      <c r="F2508" s="22" t="s">
        <v>14</v>
      </c>
      <c r="G2508" s="22" t="s">
        <v>12</v>
      </c>
    </row>
    <row r="2509" ht="15.15" spans="1:7">
      <c r="A2509" s="20">
        <v>2508</v>
      </c>
      <c r="B2509" s="20">
        <v>6655</v>
      </c>
      <c r="C2509" s="21">
        <v>45060</v>
      </c>
      <c r="D2509" s="20">
        <v>1922.15</v>
      </c>
      <c r="E2509" s="22" t="s">
        <v>10</v>
      </c>
      <c r="F2509" s="22" t="s">
        <v>14</v>
      </c>
      <c r="G2509" s="22" t="s">
        <v>20</v>
      </c>
    </row>
    <row r="2510" ht="15.15" spans="1:7">
      <c r="A2510" s="20">
        <v>2509</v>
      </c>
      <c r="B2510" s="20">
        <v>1250</v>
      </c>
      <c r="C2510" s="21">
        <v>45258</v>
      </c>
      <c r="D2510" s="20">
        <v>538.64</v>
      </c>
      <c r="E2510" s="22" t="s">
        <v>10</v>
      </c>
      <c r="F2510" s="22" t="s">
        <v>16</v>
      </c>
      <c r="G2510" s="22" t="s">
        <v>20</v>
      </c>
    </row>
    <row r="2511" ht="15.15" spans="1:7">
      <c r="A2511" s="20">
        <v>2510</v>
      </c>
      <c r="B2511" s="20">
        <v>7707</v>
      </c>
      <c r="C2511" s="21">
        <v>45024</v>
      </c>
      <c r="D2511" s="20">
        <v>218.79</v>
      </c>
      <c r="E2511" s="22" t="s">
        <v>10</v>
      </c>
      <c r="F2511" s="22" t="s">
        <v>13</v>
      </c>
      <c r="G2511" s="22" t="s">
        <v>20</v>
      </c>
    </row>
    <row r="2512" ht="15.15" spans="1:7">
      <c r="A2512" s="20">
        <v>2511</v>
      </c>
      <c r="B2512" s="20">
        <v>7680</v>
      </c>
      <c r="C2512" s="21">
        <v>45226</v>
      </c>
      <c r="D2512" s="20">
        <v>1141.32</v>
      </c>
      <c r="E2512" s="22" t="s">
        <v>10</v>
      </c>
      <c r="F2512" s="22" t="s">
        <v>13</v>
      </c>
      <c r="G2512" s="22" t="s">
        <v>12</v>
      </c>
    </row>
    <row r="2513" ht="15.15" spans="1:7">
      <c r="A2513" s="20">
        <v>2512</v>
      </c>
      <c r="B2513" s="20">
        <v>2424</v>
      </c>
      <c r="C2513" s="21">
        <v>44992</v>
      </c>
      <c r="D2513" s="20">
        <v>1704.3</v>
      </c>
      <c r="E2513" s="22" t="s">
        <v>10</v>
      </c>
      <c r="F2513" s="22" t="s">
        <v>11</v>
      </c>
      <c r="G2513" s="22" t="s">
        <v>12</v>
      </c>
    </row>
    <row r="2514" ht="15.15" spans="1:7">
      <c r="A2514" s="20">
        <v>2513</v>
      </c>
      <c r="B2514" s="20">
        <v>6712</v>
      </c>
      <c r="C2514" s="21">
        <v>45230</v>
      </c>
      <c r="D2514" s="20">
        <v>359.42</v>
      </c>
      <c r="E2514" s="22" t="s">
        <v>10</v>
      </c>
      <c r="F2514" s="22" t="s">
        <v>13</v>
      </c>
      <c r="G2514" s="22" t="s">
        <v>20</v>
      </c>
    </row>
    <row r="2515" ht="15.15" spans="1:7">
      <c r="A2515" s="20">
        <v>2514</v>
      </c>
      <c r="B2515" s="20">
        <v>3217</v>
      </c>
      <c r="C2515" s="21">
        <v>45174</v>
      </c>
      <c r="D2515" s="20">
        <v>2266.24</v>
      </c>
      <c r="E2515" s="22" t="s">
        <v>10</v>
      </c>
      <c r="F2515" s="22" t="s">
        <v>16</v>
      </c>
      <c r="G2515" s="22" t="s">
        <v>15</v>
      </c>
    </row>
    <row r="2516" ht="15.15" spans="1:7">
      <c r="A2516" s="20">
        <v>2515</v>
      </c>
      <c r="B2516" s="20">
        <v>5220</v>
      </c>
      <c r="C2516" s="21">
        <v>45237</v>
      </c>
      <c r="D2516" s="20">
        <v>3390.18</v>
      </c>
      <c r="E2516" s="22" t="s">
        <v>10</v>
      </c>
      <c r="F2516" s="22" t="s">
        <v>16</v>
      </c>
      <c r="G2516" s="22" t="s">
        <v>15</v>
      </c>
    </row>
    <row r="2517" ht="15.15" spans="1:7">
      <c r="A2517" s="20">
        <v>2516</v>
      </c>
      <c r="B2517" s="20">
        <v>6304</v>
      </c>
      <c r="C2517" s="21">
        <v>45114</v>
      </c>
      <c r="D2517" s="20">
        <v>324.13</v>
      </c>
      <c r="E2517" s="22" t="s">
        <v>10</v>
      </c>
      <c r="F2517" s="22" t="s">
        <v>13</v>
      </c>
      <c r="G2517" s="22" t="s">
        <v>17</v>
      </c>
    </row>
    <row r="2518" ht="15.15" spans="1:7">
      <c r="A2518" s="20">
        <v>2517</v>
      </c>
      <c r="B2518" s="20">
        <v>4055</v>
      </c>
      <c r="C2518" s="21">
        <v>45225</v>
      </c>
      <c r="D2518" s="20">
        <v>521.14</v>
      </c>
      <c r="E2518" s="22" t="s">
        <v>21</v>
      </c>
      <c r="F2518" s="22" t="s">
        <v>11</v>
      </c>
      <c r="G2518" s="22" t="s">
        <v>12</v>
      </c>
    </row>
    <row r="2519" ht="15.15" spans="1:7">
      <c r="A2519" s="20">
        <v>2518</v>
      </c>
      <c r="B2519" s="20">
        <v>7062</v>
      </c>
      <c r="C2519" s="21">
        <v>45190</v>
      </c>
      <c r="D2519" s="20">
        <v>3819.14</v>
      </c>
      <c r="E2519" s="22" t="s">
        <v>10</v>
      </c>
      <c r="F2519" s="22" t="s">
        <v>18</v>
      </c>
      <c r="G2519" s="22" t="s">
        <v>20</v>
      </c>
    </row>
    <row r="2520" ht="15.15" spans="1:7">
      <c r="A2520" s="20">
        <v>2519</v>
      </c>
      <c r="B2520" s="20">
        <v>4169</v>
      </c>
      <c r="C2520" s="21">
        <v>45269</v>
      </c>
      <c r="D2520" s="20">
        <v>2870.9</v>
      </c>
      <c r="E2520" s="22" t="s">
        <v>10</v>
      </c>
      <c r="F2520" s="22" t="s">
        <v>16</v>
      </c>
      <c r="G2520" s="22" t="s">
        <v>12</v>
      </c>
    </row>
    <row r="2521" ht="15.15" spans="1:7">
      <c r="A2521" s="20">
        <v>2520</v>
      </c>
      <c r="B2521" s="20">
        <v>1026</v>
      </c>
      <c r="C2521" s="21">
        <v>45201</v>
      </c>
      <c r="D2521" s="20">
        <v>1146.95</v>
      </c>
      <c r="E2521" s="22" t="s">
        <v>10</v>
      </c>
      <c r="F2521" s="22" t="s">
        <v>16</v>
      </c>
      <c r="G2521" s="22" t="s">
        <v>12</v>
      </c>
    </row>
    <row r="2522" ht="15.15" spans="1:7">
      <c r="A2522" s="20">
        <v>2521</v>
      </c>
      <c r="B2522" s="20">
        <v>6423</v>
      </c>
      <c r="C2522" s="21">
        <v>45081</v>
      </c>
      <c r="D2522" s="20">
        <v>1008.02</v>
      </c>
      <c r="E2522" s="22" t="s">
        <v>10</v>
      </c>
      <c r="F2522" s="22" t="s">
        <v>18</v>
      </c>
      <c r="G2522" s="22" t="s">
        <v>20</v>
      </c>
    </row>
    <row r="2523" ht="15.15" spans="1:7">
      <c r="A2523" s="20">
        <v>2522</v>
      </c>
      <c r="B2523" s="20">
        <v>4021</v>
      </c>
      <c r="C2523" s="21">
        <v>44973</v>
      </c>
      <c r="D2523" s="20">
        <v>470.36</v>
      </c>
      <c r="E2523" s="22" t="s">
        <v>10</v>
      </c>
      <c r="F2523" s="22" t="s">
        <v>16</v>
      </c>
      <c r="G2523" s="22" t="s">
        <v>20</v>
      </c>
    </row>
    <row r="2524" ht="15.15" spans="1:7">
      <c r="A2524" s="20">
        <v>2523</v>
      </c>
      <c r="B2524" s="20">
        <v>1263</v>
      </c>
      <c r="C2524" s="21">
        <v>45242</v>
      </c>
      <c r="D2524" s="20">
        <v>2360.08</v>
      </c>
      <c r="E2524" s="22" t="s">
        <v>10</v>
      </c>
      <c r="F2524" s="22" t="s">
        <v>11</v>
      </c>
      <c r="G2524" s="22" t="s">
        <v>20</v>
      </c>
    </row>
    <row r="2525" ht="15.15" spans="1:7">
      <c r="A2525" s="20">
        <v>2524</v>
      </c>
      <c r="B2525" s="20">
        <v>6834</v>
      </c>
      <c r="C2525" s="21">
        <v>45088</v>
      </c>
      <c r="D2525" s="20">
        <v>183.34</v>
      </c>
      <c r="E2525" s="22" t="s">
        <v>10</v>
      </c>
      <c r="F2525" s="22" t="s">
        <v>13</v>
      </c>
      <c r="G2525" s="22" t="s">
        <v>15</v>
      </c>
    </row>
    <row r="2526" ht="15.15" spans="1:7">
      <c r="A2526" s="20">
        <v>2525</v>
      </c>
      <c r="B2526" s="20">
        <v>78</v>
      </c>
      <c r="C2526" s="21">
        <v>45271</v>
      </c>
      <c r="D2526" s="20">
        <v>1146.95</v>
      </c>
      <c r="E2526" s="22" t="s">
        <v>10</v>
      </c>
      <c r="F2526" s="22" t="s">
        <v>11</v>
      </c>
      <c r="G2526" s="22" t="s">
        <v>20</v>
      </c>
    </row>
    <row r="2527" ht="15.15" spans="1:7">
      <c r="A2527" s="20">
        <v>2526</v>
      </c>
      <c r="B2527" s="20">
        <v>3316</v>
      </c>
      <c r="C2527" s="21">
        <v>45143</v>
      </c>
      <c r="D2527" s="20">
        <v>315.29</v>
      </c>
      <c r="E2527" s="22" t="s">
        <v>10</v>
      </c>
      <c r="F2527" s="22" t="s">
        <v>11</v>
      </c>
      <c r="G2527" s="22" t="s">
        <v>12</v>
      </c>
    </row>
    <row r="2528" ht="15.15" spans="1:7">
      <c r="A2528" s="20">
        <v>2527</v>
      </c>
      <c r="B2528" s="20">
        <v>5621</v>
      </c>
      <c r="C2528" s="21">
        <v>45270</v>
      </c>
      <c r="D2528" s="20">
        <v>1569.26</v>
      </c>
      <c r="E2528" s="22" t="s">
        <v>10</v>
      </c>
      <c r="F2528" s="22" t="s">
        <v>13</v>
      </c>
      <c r="G2528" s="22" t="s">
        <v>15</v>
      </c>
    </row>
    <row r="2529" ht="15.15" spans="1:7">
      <c r="A2529" s="20">
        <v>2528</v>
      </c>
      <c r="B2529" s="20">
        <v>6122</v>
      </c>
      <c r="C2529" s="21">
        <v>44950</v>
      </c>
      <c r="D2529" s="20">
        <v>1988.19</v>
      </c>
      <c r="E2529" s="22" t="s">
        <v>10</v>
      </c>
      <c r="F2529" s="22" t="s">
        <v>11</v>
      </c>
      <c r="G2529" s="22" t="s">
        <v>12</v>
      </c>
    </row>
    <row r="2530" ht="15.15" spans="1:7">
      <c r="A2530" s="20">
        <v>2529</v>
      </c>
      <c r="B2530" s="20">
        <v>5901</v>
      </c>
      <c r="C2530" s="21">
        <v>44980</v>
      </c>
      <c r="D2530" s="20">
        <v>395.52</v>
      </c>
      <c r="E2530" s="22" t="s">
        <v>10</v>
      </c>
      <c r="F2530" s="22" t="s">
        <v>11</v>
      </c>
      <c r="G2530" s="22" t="s">
        <v>20</v>
      </c>
    </row>
    <row r="2531" ht="15.15" spans="1:7">
      <c r="A2531" s="20">
        <v>2530</v>
      </c>
      <c r="B2531" s="20">
        <v>2252</v>
      </c>
      <c r="C2531" s="21">
        <v>45193</v>
      </c>
      <c r="D2531" s="20">
        <v>284.14</v>
      </c>
      <c r="E2531" s="22" t="s">
        <v>10</v>
      </c>
      <c r="F2531" s="22" t="s">
        <v>11</v>
      </c>
      <c r="G2531" s="22" t="s">
        <v>12</v>
      </c>
    </row>
    <row r="2532" ht="15.15" spans="1:7">
      <c r="A2532" s="20">
        <v>2531</v>
      </c>
      <c r="B2532" s="20">
        <v>8463</v>
      </c>
      <c r="C2532" s="21">
        <v>45053</v>
      </c>
      <c r="D2532" s="20">
        <v>798.94</v>
      </c>
      <c r="E2532" s="22" t="s">
        <v>10</v>
      </c>
      <c r="F2532" s="22" t="s">
        <v>14</v>
      </c>
      <c r="G2532" s="22" t="s">
        <v>12</v>
      </c>
    </row>
    <row r="2533" ht="15.15" spans="1:7">
      <c r="A2533" s="20">
        <v>2532</v>
      </c>
      <c r="B2533" s="20">
        <v>8121</v>
      </c>
      <c r="C2533" s="21">
        <v>45212</v>
      </c>
      <c r="D2533" s="20">
        <v>359.28</v>
      </c>
      <c r="E2533" s="22" t="s">
        <v>10</v>
      </c>
      <c r="F2533" s="22" t="s">
        <v>18</v>
      </c>
      <c r="G2533" s="22" t="s">
        <v>15</v>
      </c>
    </row>
    <row r="2534" ht="15.15" spans="1:7">
      <c r="A2534" s="20">
        <v>2533</v>
      </c>
      <c r="B2534" s="20">
        <v>4998</v>
      </c>
      <c r="C2534" s="21">
        <v>45216</v>
      </c>
      <c r="D2534" s="20">
        <v>292.06</v>
      </c>
      <c r="E2534" s="22" t="s">
        <v>10</v>
      </c>
      <c r="F2534" s="22" t="s">
        <v>16</v>
      </c>
      <c r="G2534" s="22" t="s">
        <v>15</v>
      </c>
    </row>
    <row r="2535" ht="15.15" spans="1:7">
      <c r="A2535" s="20">
        <v>2534</v>
      </c>
      <c r="B2535" s="20">
        <v>8905</v>
      </c>
      <c r="C2535" s="21">
        <v>45130</v>
      </c>
      <c r="D2535" s="20">
        <v>1280.22</v>
      </c>
      <c r="E2535" s="22" t="s">
        <v>10</v>
      </c>
      <c r="F2535" s="22" t="s">
        <v>14</v>
      </c>
      <c r="G2535" s="22" t="s">
        <v>17</v>
      </c>
    </row>
    <row r="2536" ht="15.15" spans="1:7">
      <c r="A2536" s="20">
        <v>2535</v>
      </c>
      <c r="B2536" s="20">
        <v>1746</v>
      </c>
      <c r="C2536" s="21">
        <v>45003</v>
      </c>
      <c r="D2536" s="20">
        <v>1140.57</v>
      </c>
      <c r="E2536" s="22" t="s">
        <v>10</v>
      </c>
      <c r="F2536" s="22" t="s">
        <v>16</v>
      </c>
      <c r="G2536" s="22" t="s">
        <v>12</v>
      </c>
    </row>
    <row r="2537" ht="15.15" spans="1:7">
      <c r="A2537" s="20">
        <v>2536</v>
      </c>
      <c r="B2537" s="20">
        <v>7021</v>
      </c>
      <c r="C2537" s="21">
        <v>44948</v>
      </c>
      <c r="D2537" s="20">
        <v>3034.04</v>
      </c>
      <c r="E2537" s="22" t="s">
        <v>10</v>
      </c>
      <c r="F2537" s="22" t="s">
        <v>16</v>
      </c>
      <c r="G2537" s="22" t="s">
        <v>12</v>
      </c>
    </row>
    <row r="2538" ht="15.15" spans="1:7">
      <c r="A2538" s="20">
        <v>2537</v>
      </c>
      <c r="B2538" s="20">
        <v>5015</v>
      </c>
      <c r="C2538" s="21">
        <v>45108</v>
      </c>
      <c r="D2538" s="20">
        <v>788.34</v>
      </c>
      <c r="E2538" s="22" t="s">
        <v>10</v>
      </c>
      <c r="F2538" s="22" t="s">
        <v>16</v>
      </c>
      <c r="G2538" s="22" t="s">
        <v>12</v>
      </c>
    </row>
    <row r="2539" ht="15.15" spans="1:7">
      <c r="A2539" s="20">
        <v>2538</v>
      </c>
      <c r="B2539" s="20">
        <v>4163</v>
      </c>
      <c r="C2539" s="21">
        <v>45250</v>
      </c>
      <c r="D2539" s="20">
        <v>742.19</v>
      </c>
      <c r="E2539" s="22" t="s">
        <v>10</v>
      </c>
      <c r="F2539" s="22" t="s">
        <v>13</v>
      </c>
      <c r="G2539" s="22" t="s">
        <v>17</v>
      </c>
    </row>
    <row r="2540" ht="15.15" spans="1:7">
      <c r="A2540" s="20">
        <v>2539</v>
      </c>
      <c r="B2540" s="20">
        <v>5617</v>
      </c>
      <c r="C2540" s="21">
        <v>45224</v>
      </c>
      <c r="D2540" s="20">
        <v>96.07</v>
      </c>
      <c r="E2540" s="22" t="s">
        <v>10</v>
      </c>
      <c r="F2540" s="22" t="s">
        <v>13</v>
      </c>
      <c r="G2540" s="22" t="s">
        <v>15</v>
      </c>
    </row>
    <row r="2541" ht="15.15" spans="1:7">
      <c r="A2541" s="20">
        <v>2540</v>
      </c>
      <c r="B2541" s="20">
        <v>9847</v>
      </c>
      <c r="C2541" s="21">
        <v>45280</v>
      </c>
      <c r="D2541" s="20">
        <v>3187.75</v>
      </c>
      <c r="E2541" s="22" t="s">
        <v>10</v>
      </c>
      <c r="F2541" s="22" t="s">
        <v>18</v>
      </c>
      <c r="G2541" s="22" t="s">
        <v>12</v>
      </c>
    </row>
    <row r="2542" ht="15.15" spans="1:7">
      <c r="A2542" s="20">
        <v>2541</v>
      </c>
      <c r="B2542" s="20">
        <v>8166</v>
      </c>
      <c r="C2542" s="21">
        <v>45017</v>
      </c>
      <c r="D2542" s="20">
        <v>405.1</v>
      </c>
      <c r="E2542" s="22" t="s">
        <v>10</v>
      </c>
      <c r="F2542" s="22" t="s">
        <v>16</v>
      </c>
      <c r="G2542" s="22" t="s">
        <v>15</v>
      </c>
    </row>
    <row r="2543" ht="15.15" spans="1:7">
      <c r="A2543" s="20">
        <v>2542</v>
      </c>
      <c r="B2543" s="20">
        <v>8045</v>
      </c>
      <c r="C2543" s="21">
        <v>45222</v>
      </c>
      <c r="D2543" s="20">
        <v>899.2</v>
      </c>
      <c r="E2543" s="22" t="s">
        <v>10</v>
      </c>
      <c r="F2543" s="22" t="s">
        <v>11</v>
      </c>
      <c r="G2543" s="22" t="s">
        <v>20</v>
      </c>
    </row>
    <row r="2544" ht="15.15" spans="1:7">
      <c r="A2544" s="20">
        <v>2543</v>
      </c>
      <c r="B2544" s="20">
        <v>1861</v>
      </c>
      <c r="C2544" s="21">
        <v>45039</v>
      </c>
      <c r="D2544" s="20">
        <v>2625.04</v>
      </c>
      <c r="E2544" s="22" t="s">
        <v>10</v>
      </c>
      <c r="F2544" s="22" t="s">
        <v>14</v>
      </c>
      <c r="G2544" s="22" t="s">
        <v>17</v>
      </c>
    </row>
    <row r="2545" ht="15.15" spans="1:7">
      <c r="A2545" s="20">
        <v>2544</v>
      </c>
      <c r="B2545" s="20">
        <v>5815</v>
      </c>
      <c r="C2545" s="21">
        <v>44944</v>
      </c>
      <c r="D2545" s="20">
        <v>1328.07</v>
      </c>
      <c r="E2545" s="22" t="s">
        <v>10</v>
      </c>
      <c r="F2545" s="22" t="s">
        <v>14</v>
      </c>
      <c r="G2545" s="22" t="s">
        <v>17</v>
      </c>
    </row>
    <row r="2546" ht="15.15" spans="1:7">
      <c r="A2546" s="20">
        <v>2545</v>
      </c>
      <c r="B2546" s="20">
        <v>5793</v>
      </c>
      <c r="C2546" s="21">
        <v>45243</v>
      </c>
      <c r="D2546" s="20">
        <v>1169</v>
      </c>
      <c r="E2546" s="22" t="s">
        <v>10</v>
      </c>
      <c r="F2546" s="22" t="s">
        <v>18</v>
      </c>
      <c r="G2546" s="22" t="s">
        <v>15</v>
      </c>
    </row>
    <row r="2547" ht="15.15" spans="1:7">
      <c r="A2547" s="20">
        <v>2546</v>
      </c>
      <c r="B2547" s="20">
        <v>9200</v>
      </c>
      <c r="C2547" s="21">
        <v>45136</v>
      </c>
      <c r="D2547" s="20">
        <v>1996.55</v>
      </c>
      <c r="E2547" s="22" t="s">
        <v>10</v>
      </c>
      <c r="F2547" s="22" t="s">
        <v>13</v>
      </c>
      <c r="G2547" s="22" t="s">
        <v>15</v>
      </c>
    </row>
    <row r="2548" ht="15.15" spans="1:7">
      <c r="A2548" s="20">
        <v>2547</v>
      </c>
      <c r="B2548" s="20">
        <v>3155</v>
      </c>
      <c r="C2548" s="21">
        <v>45111</v>
      </c>
      <c r="D2548" s="20">
        <v>690.67</v>
      </c>
      <c r="E2548" s="22" t="s">
        <v>10</v>
      </c>
      <c r="F2548" s="22" t="s">
        <v>19</v>
      </c>
      <c r="G2548" s="22" t="s">
        <v>15</v>
      </c>
    </row>
    <row r="2549" ht="15.15" spans="1:7">
      <c r="A2549" s="20">
        <v>2548</v>
      </c>
      <c r="B2549" s="20">
        <v>8713</v>
      </c>
      <c r="C2549" s="21">
        <v>44981</v>
      </c>
      <c r="D2549" s="20">
        <v>140.76</v>
      </c>
      <c r="E2549" s="22" t="s">
        <v>10</v>
      </c>
      <c r="F2549" s="22" t="s">
        <v>11</v>
      </c>
      <c r="G2549" s="22" t="s">
        <v>15</v>
      </c>
    </row>
    <row r="2550" ht="15.15" spans="1:7">
      <c r="A2550" s="20">
        <v>2549</v>
      </c>
      <c r="B2550" s="20">
        <v>1538</v>
      </c>
      <c r="C2550" s="21">
        <v>44965</v>
      </c>
      <c r="D2550" s="20">
        <v>55.64</v>
      </c>
      <c r="E2550" s="22" t="s">
        <v>10</v>
      </c>
      <c r="F2550" s="22" t="s">
        <v>16</v>
      </c>
      <c r="G2550" s="22" t="s">
        <v>12</v>
      </c>
    </row>
    <row r="2551" ht="15.15" spans="1:7">
      <c r="A2551" s="20">
        <v>2550</v>
      </c>
      <c r="B2551" s="20">
        <v>8881</v>
      </c>
      <c r="C2551" s="21">
        <v>45147</v>
      </c>
      <c r="D2551" s="20">
        <v>2933.83</v>
      </c>
      <c r="E2551" s="22" t="s">
        <v>10</v>
      </c>
      <c r="F2551" s="22" t="s">
        <v>18</v>
      </c>
      <c r="G2551" s="22" t="s">
        <v>15</v>
      </c>
    </row>
    <row r="2552" ht="15.15" spans="1:7">
      <c r="A2552" s="20">
        <v>2551</v>
      </c>
      <c r="B2552" s="20">
        <v>6812</v>
      </c>
      <c r="C2552" s="21">
        <v>44969</v>
      </c>
      <c r="D2552" s="20">
        <v>428.94</v>
      </c>
      <c r="E2552" s="22" t="s">
        <v>10</v>
      </c>
      <c r="F2552" s="22" t="s">
        <v>14</v>
      </c>
      <c r="G2552" s="22" t="s">
        <v>20</v>
      </c>
    </row>
    <row r="2553" ht="15.15" spans="1:7">
      <c r="A2553" s="20">
        <v>2552</v>
      </c>
      <c r="B2553" s="20">
        <v>9161</v>
      </c>
      <c r="C2553" s="21">
        <v>45200</v>
      </c>
      <c r="D2553" s="20">
        <v>1464.24</v>
      </c>
      <c r="E2553" s="22" t="s">
        <v>10</v>
      </c>
      <c r="F2553" s="22" t="s">
        <v>11</v>
      </c>
      <c r="G2553" s="22" t="s">
        <v>20</v>
      </c>
    </row>
    <row r="2554" ht="15.15" spans="1:7">
      <c r="A2554" s="20">
        <v>2553</v>
      </c>
      <c r="B2554" s="20">
        <v>5724</v>
      </c>
      <c r="C2554" s="21">
        <v>45231</v>
      </c>
      <c r="D2554" s="20">
        <v>7919.7</v>
      </c>
      <c r="E2554" s="22" t="s">
        <v>10</v>
      </c>
      <c r="F2554" s="22" t="s">
        <v>13</v>
      </c>
      <c r="G2554" s="22" t="s">
        <v>20</v>
      </c>
    </row>
    <row r="2555" ht="15.15" spans="1:7">
      <c r="A2555" s="20">
        <v>2554</v>
      </c>
      <c r="B2555" s="20">
        <v>7</v>
      </c>
      <c r="C2555" s="21">
        <v>45291</v>
      </c>
      <c r="D2555" s="20">
        <v>140.76</v>
      </c>
      <c r="E2555" s="22" t="s">
        <v>10</v>
      </c>
      <c r="F2555" s="22" t="s">
        <v>14</v>
      </c>
      <c r="G2555" s="22" t="s">
        <v>20</v>
      </c>
    </row>
    <row r="2556" ht="15.15" spans="1:7">
      <c r="A2556" s="20">
        <v>2555</v>
      </c>
      <c r="B2556" s="20">
        <v>625</v>
      </c>
      <c r="C2556" s="21">
        <v>45239</v>
      </c>
      <c r="D2556" s="20">
        <v>759.97</v>
      </c>
      <c r="E2556" s="22" t="s">
        <v>10</v>
      </c>
      <c r="F2556" s="22" t="s">
        <v>18</v>
      </c>
      <c r="G2556" s="22" t="s">
        <v>12</v>
      </c>
    </row>
    <row r="2557" ht="15.15" spans="1:7">
      <c r="A2557" s="20">
        <v>2556</v>
      </c>
      <c r="B2557" s="20">
        <v>1064</v>
      </c>
      <c r="C2557" s="21">
        <v>44961</v>
      </c>
      <c r="D2557" s="20">
        <v>273.77</v>
      </c>
      <c r="E2557" s="22" t="s">
        <v>10</v>
      </c>
      <c r="F2557" s="22" t="s">
        <v>13</v>
      </c>
      <c r="G2557" s="22" t="s">
        <v>17</v>
      </c>
    </row>
    <row r="2558" ht="15.15" spans="1:7">
      <c r="A2558" s="20">
        <v>2557</v>
      </c>
      <c r="B2558" s="20">
        <v>7798</v>
      </c>
      <c r="C2558" s="21">
        <v>45019</v>
      </c>
      <c r="D2558" s="20">
        <v>539.75</v>
      </c>
      <c r="E2558" s="22" t="s">
        <v>21</v>
      </c>
      <c r="F2558" s="22" t="s">
        <v>13</v>
      </c>
      <c r="G2558" s="22" t="s">
        <v>12</v>
      </c>
    </row>
    <row r="2559" ht="15.15" spans="1:7">
      <c r="A2559" s="20">
        <v>2558</v>
      </c>
      <c r="B2559" s="20">
        <v>7599</v>
      </c>
      <c r="C2559" s="21">
        <v>45012</v>
      </c>
      <c r="D2559" s="20">
        <v>1648.71</v>
      </c>
      <c r="E2559" s="22" t="s">
        <v>10</v>
      </c>
      <c r="F2559" s="22" t="s">
        <v>16</v>
      </c>
      <c r="G2559" s="22" t="s">
        <v>17</v>
      </c>
    </row>
    <row r="2560" ht="15.15" spans="1:7">
      <c r="A2560" s="20">
        <v>2559</v>
      </c>
      <c r="B2560" s="20">
        <v>5613</v>
      </c>
      <c r="C2560" s="21">
        <v>45254</v>
      </c>
      <c r="D2560" s="20">
        <v>1550.33</v>
      </c>
      <c r="E2560" s="22" t="s">
        <v>10</v>
      </c>
      <c r="F2560" s="22" t="s">
        <v>13</v>
      </c>
      <c r="G2560" s="22" t="s">
        <v>15</v>
      </c>
    </row>
    <row r="2561" ht="15.15" spans="1:7">
      <c r="A2561" s="20">
        <v>2560</v>
      </c>
      <c r="B2561" s="20">
        <v>3960</v>
      </c>
      <c r="C2561" s="21">
        <v>44941</v>
      </c>
      <c r="D2561" s="20">
        <v>5085.27</v>
      </c>
      <c r="E2561" s="22" t="s">
        <v>10</v>
      </c>
      <c r="F2561" s="22" t="s">
        <v>11</v>
      </c>
      <c r="G2561" s="22" t="s">
        <v>20</v>
      </c>
    </row>
    <row r="2562" ht="15.15" spans="1:7">
      <c r="A2562" s="20">
        <v>2561</v>
      </c>
      <c r="B2562" s="20">
        <v>7269</v>
      </c>
      <c r="C2562" s="21">
        <v>45113</v>
      </c>
      <c r="D2562" s="20">
        <v>318.02</v>
      </c>
      <c r="E2562" s="22" t="s">
        <v>10</v>
      </c>
      <c r="F2562" s="22" t="s">
        <v>14</v>
      </c>
      <c r="G2562" s="22" t="s">
        <v>20</v>
      </c>
    </row>
    <row r="2563" ht="15.15" spans="1:7">
      <c r="A2563" s="20">
        <v>2562</v>
      </c>
      <c r="B2563" s="20">
        <v>6329</v>
      </c>
      <c r="C2563" s="21">
        <v>45049</v>
      </c>
      <c r="D2563" s="20">
        <v>2156.29</v>
      </c>
      <c r="E2563" s="22" t="s">
        <v>22</v>
      </c>
      <c r="F2563" s="22" t="s">
        <v>13</v>
      </c>
      <c r="G2563" s="22" t="s">
        <v>15</v>
      </c>
    </row>
    <row r="2564" ht="15.15" spans="1:7">
      <c r="A2564" s="20">
        <v>2563</v>
      </c>
      <c r="B2564" s="20">
        <v>4894</v>
      </c>
      <c r="C2564" s="21">
        <v>45285</v>
      </c>
      <c r="D2564" s="20">
        <v>2681.63</v>
      </c>
      <c r="E2564" s="22" t="s">
        <v>22</v>
      </c>
      <c r="F2564" s="22" t="s">
        <v>16</v>
      </c>
      <c r="G2564" s="22" t="s">
        <v>12</v>
      </c>
    </row>
    <row r="2565" ht="15.15" spans="1:7">
      <c r="A2565" s="20">
        <v>2564</v>
      </c>
      <c r="B2565" s="20">
        <v>786</v>
      </c>
      <c r="C2565" s="21">
        <v>45099</v>
      </c>
      <c r="D2565" s="20">
        <v>1111.66</v>
      </c>
      <c r="E2565" s="22" t="s">
        <v>10</v>
      </c>
      <c r="F2565" s="22" t="s">
        <v>11</v>
      </c>
      <c r="G2565" s="22" t="s">
        <v>20</v>
      </c>
    </row>
    <row r="2566" ht="15.15" spans="1:7">
      <c r="A2566" s="20">
        <v>2565</v>
      </c>
      <c r="B2566" s="20">
        <v>188</v>
      </c>
      <c r="C2566" s="21">
        <v>45192</v>
      </c>
      <c r="D2566" s="20">
        <v>1261.39</v>
      </c>
      <c r="E2566" s="22" t="s">
        <v>10</v>
      </c>
      <c r="F2566" s="22" t="s">
        <v>11</v>
      </c>
      <c r="G2566" s="22" t="s">
        <v>12</v>
      </c>
    </row>
    <row r="2567" ht="15.15" spans="1:7">
      <c r="A2567" s="20">
        <v>2566</v>
      </c>
      <c r="B2567" s="20">
        <v>7450</v>
      </c>
      <c r="C2567" s="21">
        <v>45274</v>
      </c>
      <c r="D2567" s="20">
        <v>2190.74</v>
      </c>
      <c r="E2567" s="22" t="s">
        <v>10</v>
      </c>
      <c r="F2567" s="22" t="s">
        <v>11</v>
      </c>
      <c r="G2567" s="22" t="s">
        <v>20</v>
      </c>
    </row>
    <row r="2568" ht="15.15" spans="1:7">
      <c r="A2568" s="20">
        <v>2567</v>
      </c>
      <c r="B2568" s="20">
        <v>6609</v>
      </c>
      <c r="C2568" s="21">
        <v>45191</v>
      </c>
      <c r="D2568" s="20">
        <v>2065.51</v>
      </c>
      <c r="E2568" s="22" t="s">
        <v>10</v>
      </c>
      <c r="F2568" s="22" t="s">
        <v>19</v>
      </c>
      <c r="G2568" s="22" t="s">
        <v>15</v>
      </c>
    </row>
    <row r="2569" ht="15.15" spans="1:7">
      <c r="A2569" s="20">
        <v>2568</v>
      </c>
      <c r="B2569" s="20">
        <v>5182</v>
      </c>
      <c r="C2569" s="21">
        <v>44959</v>
      </c>
      <c r="D2569" s="20">
        <v>1112</v>
      </c>
      <c r="E2569" s="22" t="s">
        <v>10</v>
      </c>
      <c r="F2569" s="22" t="s">
        <v>11</v>
      </c>
      <c r="G2569" s="22" t="s">
        <v>15</v>
      </c>
    </row>
    <row r="2570" ht="15.15" spans="1:7">
      <c r="A2570" s="20">
        <v>2569</v>
      </c>
      <c r="B2570" s="20">
        <v>298</v>
      </c>
      <c r="C2570" s="21">
        <v>45173</v>
      </c>
      <c r="D2570" s="20">
        <v>1811.55</v>
      </c>
      <c r="E2570" s="22" t="s">
        <v>10</v>
      </c>
      <c r="F2570" s="22" t="s">
        <v>16</v>
      </c>
      <c r="G2570" s="22" t="s">
        <v>17</v>
      </c>
    </row>
    <row r="2571" ht="15.15" spans="1:7">
      <c r="A2571" s="20">
        <v>2570</v>
      </c>
      <c r="B2571" s="20">
        <v>6878</v>
      </c>
      <c r="C2571" s="21">
        <v>45020</v>
      </c>
      <c r="D2571" s="20">
        <v>413.05</v>
      </c>
      <c r="E2571" s="22" t="s">
        <v>10</v>
      </c>
      <c r="F2571" s="22" t="s">
        <v>16</v>
      </c>
      <c r="G2571" s="22" t="s">
        <v>20</v>
      </c>
    </row>
    <row r="2572" ht="15.15" spans="1:7">
      <c r="A2572" s="20">
        <v>2571</v>
      </c>
      <c r="B2572" s="20">
        <v>5216</v>
      </c>
      <c r="C2572" s="21">
        <v>45218</v>
      </c>
      <c r="D2572" s="20">
        <v>1876.92</v>
      </c>
      <c r="E2572" s="22" t="s">
        <v>10</v>
      </c>
      <c r="F2572" s="22" t="s">
        <v>16</v>
      </c>
      <c r="G2572" s="22" t="s">
        <v>20</v>
      </c>
    </row>
    <row r="2573" ht="15.15" spans="1:7">
      <c r="A2573" s="20">
        <v>2572</v>
      </c>
      <c r="B2573" s="20">
        <v>3264</v>
      </c>
      <c r="C2573" s="21">
        <v>45162</v>
      </c>
      <c r="D2573" s="20">
        <v>1875</v>
      </c>
      <c r="E2573" s="22" t="s">
        <v>10</v>
      </c>
      <c r="F2573" s="22" t="s">
        <v>18</v>
      </c>
      <c r="G2573" s="22" t="s">
        <v>15</v>
      </c>
    </row>
    <row r="2574" ht="15.15" spans="1:7">
      <c r="A2574" s="20">
        <v>2573</v>
      </c>
      <c r="B2574" s="20">
        <v>9369</v>
      </c>
      <c r="C2574" s="21">
        <v>45132</v>
      </c>
      <c r="D2574" s="20">
        <v>1816.72</v>
      </c>
      <c r="E2574" s="22" t="s">
        <v>10</v>
      </c>
      <c r="F2574" s="22" t="s">
        <v>16</v>
      </c>
      <c r="G2574" s="22" t="s">
        <v>12</v>
      </c>
    </row>
    <row r="2575" ht="15.15" spans="1:7">
      <c r="A2575" s="20">
        <v>2574</v>
      </c>
      <c r="B2575" s="20">
        <v>7320</v>
      </c>
      <c r="C2575" s="21">
        <v>45157</v>
      </c>
      <c r="D2575" s="20">
        <v>2193.14</v>
      </c>
      <c r="E2575" s="22" t="s">
        <v>10</v>
      </c>
      <c r="F2575" s="22" t="s">
        <v>14</v>
      </c>
      <c r="G2575" s="22" t="s">
        <v>17</v>
      </c>
    </row>
    <row r="2576" ht="15.15" spans="1:7">
      <c r="A2576" s="20">
        <v>2575</v>
      </c>
      <c r="B2576" s="20">
        <v>9994</v>
      </c>
      <c r="C2576" s="21">
        <v>45286</v>
      </c>
      <c r="D2576" s="20">
        <v>3787.08</v>
      </c>
      <c r="E2576" s="22" t="s">
        <v>10</v>
      </c>
      <c r="F2576" s="22" t="s">
        <v>11</v>
      </c>
      <c r="G2576" s="22" t="s">
        <v>15</v>
      </c>
    </row>
    <row r="2577" ht="15.15" spans="1:7">
      <c r="A2577" s="20">
        <v>2576</v>
      </c>
      <c r="B2577" s="20">
        <v>2864</v>
      </c>
      <c r="C2577" s="21">
        <v>45273</v>
      </c>
      <c r="D2577" s="20">
        <v>2724.64</v>
      </c>
      <c r="E2577" s="22" t="s">
        <v>10</v>
      </c>
      <c r="F2577" s="22" t="s">
        <v>18</v>
      </c>
      <c r="G2577" s="22" t="s">
        <v>15</v>
      </c>
    </row>
    <row r="2578" ht="15.15" spans="1:7">
      <c r="A2578" s="20">
        <v>2577</v>
      </c>
      <c r="B2578" s="20">
        <v>2686</v>
      </c>
      <c r="C2578" s="21">
        <v>45052</v>
      </c>
      <c r="D2578" s="20">
        <v>466.97</v>
      </c>
      <c r="E2578" s="22" t="s">
        <v>10</v>
      </c>
      <c r="F2578" s="22" t="s">
        <v>16</v>
      </c>
      <c r="G2578" s="22" t="s">
        <v>20</v>
      </c>
    </row>
    <row r="2579" ht="15.15" spans="1:7">
      <c r="A2579" s="20">
        <v>2578</v>
      </c>
      <c r="B2579" s="20">
        <v>9442</v>
      </c>
      <c r="C2579" s="21">
        <v>45165</v>
      </c>
      <c r="D2579" s="20">
        <v>1023.43</v>
      </c>
      <c r="E2579" s="22" t="s">
        <v>10</v>
      </c>
      <c r="F2579" s="22" t="s">
        <v>14</v>
      </c>
      <c r="G2579" s="22" t="s">
        <v>17</v>
      </c>
    </row>
    <row r="2580" ht="15.15" spans="1:7">
      <c r="A2580" s="20">
        <v>2579</v>
      </c>
      <c r="B2580" s="20">
        <v>8087</v>
      </c>
      <c r="C2580" s="21">
        <v>45280</v>
      </c>
      <c r="D2580" s="20">
        <v>10515.44</v>
      </c>
      <c r="E2580" s="22" t="s">
        <v>10</v>
      </c>
      <c r="F2580" s="22" t="s">
        <v>11</v>
      </c>
      <c r="G2580" s="22" t="s">
        <v>15</v>
      </c>
    </row>
    <row r="2581" ht="15.15" spans="1:7">
      <c r="A2581" s="20">
        <v>2580</v>
      </c>
      <c r="B2581" s="20">
        <v>8284</v>
      </c>
      <c r="C2581" s="21">
        <v>45278</v>
      </c>
      <c r="D2581" s="20">
        <v>1072.43</v>
      </c>
      <c r="E2581" s="22" t="s">
        <v>10</v>
      </c>
      <c r="F2581" s="22" t="s">
        <v>11</v>
      </c>
      <c r="G2581" s="22" t="s">
        <v>15</v>
      </c>
    </row>
    <row r="2582" ht="15.15" spans="1:7">
      <c r="A2582" s="20">
        <v>2581</v>
      </c>
      <c r="B2582" s="20">
        <v>4171</v>
      </c>
      <c r="C2582" s="21">
        <v>45284</v>
      </c>
      <c r="D2582" s="20">
        <v>788.31</v>
      </c>
      <c r="E2582" s="22" t="s">
        <v>10</v>
      </c>
      <c r="F2582" s="22" t="s">
        <v>11</v>
      </c>
      <c r="G2582" s="22" t="s">
        <v>20</v>
      </c>
    </row>
    <row r="2583" ht="15.15" spans="1:7">
      <c r="A2583" s="20">
        <v>2582</v>
      </c>
      <c r="B2583" s="20">
        <v>4793</v>
      </c>
      <c r="C2583" s="21">
        <v>44944</v>
      </c>
      <c r="D2583" s="20">
        <v>401.39</v>
      </c>
      <c r="E2583" s="22" t="s">
        <v>10</v>
      </c>
      <c r="F2583" s="22" t="s">
        <v>16</v>
      </c>
      <c r="G2583" s="22" t="s">
        <v>17</v>
      </c>
    </row>
    <row r="2584" ht="15.15" spans="1:7">
      <c r="A2584" s="20">
        <v>2583</v>
      </c>
      <c r="B2584" s="20">
        <v>2236</v>
      </c>
      <c r="C2584" s="21">
        <v>44949</v>
      </c>
      <c r="D2584" s="20">
        <v>576.96</v>
      </c>
      <c r="E2584" s="22" t="s">
        <v>10</v>
      </c>
      <c r="F2584" s="22" t="s">
        <v>14</v>
      </c>
      <c r="G2584" s="22" t="s">
        <v>20</v>
      </c>
    </row>
    <row r="2585" ht="15.15" spans="1:7">
      <c r="A2585" s="20">
        <v>2584</v>
      </c>
      <c r="B2585" s="20">
        <v>5927</v>
      </c>
      <c r="C2585" s="21">
        <v>45163</v>
      </c>
      <c r="D2585" s="20">
        <v>810.94</v>
      </c>
      <c r="E2585" s="22" t="s">
        <v>10</v>
      </c>
      <c r="F2585" s="22" t="s">
        <v>11</v>
      </c>
      <c r="G2585" s="22" t="s">
        <v>15</v>
      </c>
    </row>
    <row r="2586" ht="15.15" spans="1:7">
      <c r="A2586" s="20">
        <v>2585</v>
      </c>
      <c r="B2586" s="20">
        <v>1292</v>
      </c>
      <c r="C2586" s="21">
        <v>45000</v>
      </c>
      <c r="D2586" s="20">
        <v>1910.67</v>
      </c>
      <c r="E2586" s="22" t="s">
        <v>10</v>
      </c>
      <c r="F2586" s="22" t="s">
        <v>16</v>
      </c>
      <c r="G2586" s="22" t="s">
        <v>20</v>
      </c>
    </row>
    <row r="2587" ht="15.15" spans="1:7">
      <c r="A2587" s="20">
        <v>2586</v>
      </c>
      <c r="B2587" s="20">
        <v>255</v>
      </c>
      <c r="C2587" s="21">
        <v>45199</v>
      </c>
      <c r="D2587" s="20">
        <v>363.98</v>
      </c>
      <c r="E2587" s="22" t="s">
        <v>10</v>
      </c>
      <c r="F2587" s="22" t="s">
        <v>18</v>
      </c>
      <c r="G2587" s="22" t="s">
        <v>15</v>
      </c>
    </row>
    <row r="2588" ht="15.15" spans="1:7">
      <c r="A2588" s="20">
        <v>2587</v>
      </c>
      <c r="B2588" s="20">
        <v>5355</v>
      </c>
      <c r="C2588" s="21">
        <v>45062</v>
      </c>
      <c r="D2588" s="20">
        <v>788.31</v>
      </c>
      <c r="E2588" s="22" t="s">
        <v>10</v>
      </c>
      <c r="F2588" s="22" t="s">
        <v>11</v>
      </c>
      <c r="G2588" s="22" t="s">
        <v>15</v>
      </c>
    </row>
    <row r="2589" ht="15.15" spans="1:7">
      <c r="A2589" s="20">
        <v>2588</v>
      </c>
      <c r="B2589" s="20">
        <v>4569</v>
      </c>
      <c r="C2589" s="21">
        <v>45229</v>
      </c>
      <c r="D2589" s="20">
        <v>1441.45</v>
      </c>
      <c r="E2589" s="22" t="s">
        <v>10</v>
      </c>
      <c r="F2589" s="22" t="s">
        <v>18</v>
      </c>
      <c r="G2589" s="22" t="s">
        <v>20</v>
      </c>
    </row>
    <row r="2590" ht="15.15" spans="1:7">
      <c r="A2590" s="20">
        <v>2589</v>
      </c>
      <c r="B2590" s="20">
        <v>7253</v>
      </c>
      <c r="C2590" s="21">
        <v>44956</v>
      </c>
      <c r="D2590" s="20">
        <v>1326.08</v>
      </c>
      <c r="E2590" s="22" t="s">
        <v>10</v>
      </c>
      <c r="F2590" s="22" t="s">
        <v>13</v>
      </c>
      <c r="G2590" s="22" t="s">
        <v>17</v>
      </c>
    </row>
    <row r="2591" ht="15.15" spans="1:7">
      <c r="A2591" s="20">
        <v>2590</v>
      </c>
      <c r="B2591" s="20">
        <v>8274</v>
      </c>
      <c r="C2591" s="21">
        <v>44999</v>
      </c>
      <c r="D2591" s="20">
        <v>1665.95</v>
      </c>
      <c r="E2591" s="22" t="s">
        <v>10</v>
      </c>
      <c r="F2591" s="22" t="s">
        <v>13</v>
      </c>
      <c r="G2591" s="22" t="s">
        <v>12</v>
      </c>
    </row>
    <row r="2592" ht="15.15" spans="1:7">
      <c r="A2592" s="20">
        <v>2591</v>
      </c>
      <c r="B2592" s="20">
        <v>4370</v>
      </c>
      <c r="C2592" s="21">
        <v>45214</v>
      </c>
      <c r="D2592" s="20">
        <v>38.69</v>
      </c>
      <c r="E2592" s="22" t="s">
        <v>10</v>
      </c>
      <c r="F2592" s="22" t="s">
        <v>14</v>
      </c>
      <c r="G2592" s="22" t="s">
        <v>20</v>
      </c>
    </row>
    <row r="2593" ht="15.15" spans="1:7">
      <c r="A2593" s="20">
        <v>2592</v>
      </c>
      <c r="B2593" s="20">
        <v>5070</v>
      </c>
      <c r="C2593" s="21">
        <v>44946</v>
      </c>
      <c r="D2593" s="20">
        <v>366.31</v>
      </c>
      <c r="E2593" s="22" t="s">
        <v>10</v>
      </c>
      <c r="F2593" s="22" t="s">
        <v>11</v>
      </c>
      <c r="G2593" s="22" t="s">
        <v>15</v>
      </c>
    </row>
    <row r="2594" ht="15.15" spans="1:7">
      <c r="A2594" s="20">
        <v>2593</v>
      </c>
      <c r="B2594" s="20">
        <v>5242</v>
      </c>
      <c r="C2594" s="21">
        <v>45199</v>
      </c>
      <c r="D2594" s="20">
        <v>1083.56</v>
      </c>
      <c r="E2594" s="22" t="s">
        <v>10</v>
      </c>
      <c r="F2594" s="22" t="s">
        <v>18</v>
      </c>
      <c r="G2594" s="22" t="s">
        <v>15</v>
      </c>
    </row>
    <row r="2595" ht="15.15" spans="1:7">
      <c r="A2595" s="20">
        <v>2594</v>
      </c>
      <c r="B2595" s="20">
        <v>445</v>
      </c>
      <c r="C2595" s="21">
        <v>45015</v>
      </c>
      <c r="D2595" s="20">
        <v>972.59</v>
      </c>
      <c r="E2595" s="22" t="s">
        <v>10</v>
      </c>
      <c r="F2595" s="22" t="s">
        <v>16</v>
      </c>
      <c r="G2595" s="22" t="s">
        <v>20</v>
      </c>
    </row>
    <row r="2596" ht="15.15" spans="1:7">
      <c r="A2596" s="20">
        <v>2595</v>
      </c>
      <c r="B2596" s="20">
        <v>8781</v>
      </c>
      <c r="C2596" s="21">
        <v>45057</v>
      </c>
      <c r="D2596" s="20">
        <v>526.08</v>
      </c>
      <c r="E2596" s="22" t="s">
        <v>10</v>
      </c>
      <c r="F2596" s="22" t="s">
        <v>13</v>
      </c>
      <c r="G2596" s="22" t="s">
        <v>12</v>
      </c>
    </row>
    <row r="2597" ht="15.15" spans="1:7">
      <c r="A2597" s="20">
        <v>2596</v>
      </c>
      <c r="B2597" s="20">
        <v>8953</v>
      </c>
      <c r="C2597" s="21">
        <v>45210</v>
      </c>
      <c r="D2597" s="20">
        <v>1155.89</v>
      </c>
      <c r="E2597" s="22" t="s">
        <v>10</v>
      </c>
      <c r="F2597" s="22" t="s">
        <v>16</v>
      </c>
      <c r="G2597" s="22" t="s">
        <v>15</v>
      </c>
    </row>
    <row r="2598" ht="15.15" spans="1:7">
      <c r="A2598" s="20">
        <v>2597</v>
      </c>
      <c r="B2598" s="20">
        <v>7517</v>
      </c>
      <c r="C2598" s="21">
        <v>45078</v>
      </c>
      <c r="D2598" s="20">
        <v>595.47</v>
      </c>
      <c r="E2598" s="22" t="s">
        <v>10</v>
      </c>
      <c r="F2598" s="22" t="s">
        <v>14</v>
      </c>
      <c r="G2598" s="22" t="s">
        <v>12</v>
      </c>
    </row>
    <row r="2599" ht="15.15" spans="1:7">
      <c r="A2599" s="20">
        <v>2598</v>
      </c>
      <c r="B2599" s="20">
        <v>8902</v>
      </c>
      <c r="C2599" s="21">
        <v>45089</v>
      </c>
      <c r="D2599" s="20">
        <v>1711.19</v>
      </c>
      <c r="E2599" s="22" t="s">
        <v>10</v>
      </c>
      <c r="F2599" s="22" t="s">
        <v>13</v>
      </c>
      <c r="G2599" s="22" t="s">
        <v>12</v>
      </c>
    </row>
    <row r="2600" ht="15.15" spans="1:7">
      <c r="A2600" s="20">
        <v>2599</v>
      </c>
      <c r="B2600" s="20">
        <v>5978</v>
      </c>
      <c r="C2600" s="21">
        <v>45284</v>
      </c>
      <c r="D2600" s="20">
        <v>797.76</v>
      </c>
      <c r="E2600" s="22" t="s">
        <v>10</v>
      </c>
      <c r="F2600" s="22" t="s">
        <v>14</v>
      </c>
      <c r="G2600" s="22" t="s">
        <v>12</v>
      </c>
    </row>
    <row r="2601" ht="15.15" spans="1:7">
      <c r="A2601" s="20">
        <v>2600</v>
      </c>
      <c r="B2601" s="20">
        <v>2255</v>
      </c>
      <c r="C2601" s="21">
        <v>45233</v>
      </c>
      <c r="D2601" s="20">
        <v>2115.55</v>
      </c>
      <c r="E2601" s="22" t="s">
        <v>10</v>
      </c>
      <c r="F2601" s="22" t="s">
        <v>18</v>
      </c>
      <c r="G2601" s="22" t="s">
        <v>20</v>
      </c>
    </row>
    <row r="2602" ht="15.15" spans="1:7">
      <c r="A2602" s="20">
        <v>2601</v>
      </c>
      <c r="B2602" s="20">
        <v>4292</v>
      </c>
      <c r="C2602" s="21">
        <v>45269</v>
      </c>
      <c r="D2602" s="20">
        <v>487.37</v>
      </c>
      <c r="E2602" s="22" t="s">
        <v>10</v>
      </c>
      <c r="F2602" s="22" t="s">
        <v>18</v>
      </c>
      <c r="G2602" s="22" t="s">
        <v>20</v>
      </c>
    </row>
    <row r="2603" ht="15.15" spans="1:7">
      <c r="A2603" s="20">
        <v>2602</v>
      </c>
      <c r="B2603" s="20">
        <v>3873</v>
      </c>
      <c r="C2603" s="21">
        <v>45013</v>
      </c>
      <c r="D2603" s="20">
        <v>669.3</v>
      </c>
      <c r="E2603" s="22" t="s">
        <v>10</v>
      </c>
      <c r="F2603" s="22" t="s">
        <v>14</v>
      </c>
      <c r="G2603" s="22" t="s">
        <v>20</v>
      </c>
    </row>
    <row r="2604" ht="15.15" spans="1:7">
      <c r="A2604" s="20">
        <v>2603</v>
      </c>
      <c r="B2604" s="20">
        <v>9658</v>
      </c>
      <c r="C2604" s="21">
        <v>45018</v>
      </c>
      <c r="D2604" s="20">
        <v>618.93</v>
      </c>
      <c r="E2604" s="22" t="s">
        <v>10</v>
      </c>
      <c r="F2604" s="22" t="s">
        <v>18</v>
      </c>
      <c r="G2604" s="22" t="s">
        <v>20</v>
      </c>
    </row>
    <row r="2605" ht="15.15" spans="1:7">
      <c r="A2605" s="20">
        <v>2604</v>
      </c>
      <c r="B2605" s="20">
        <v>824</v>
      </c>
      <c r="C2605" s="21">
        <v>45119</v>
      </c>
      <c r="D2605" s="20">
        <v>359.28</v>
      </c>
      <c r="E2605" s="22" t="s">
        <v>10</v>
      </c>
      <c r="F2605" s="22" t="s">
        <v>14</v>
      </c>
      <c r="G2605" s="22" t="s">
        <v>15</v>
      </c>
    </row>
    <row r="2606" ht="15.15" spans="1:7">
      <c r="A2606" s="20">
        <v>2605</v>
      </c>
      <c r="B2606" s="20">
        <v>8750</v>
      </c>
      <c r="C2606" s="21">
        <v>45245</v>
      </c>
      <c r="D2606" s="20">
        <v>214.93</v>
      </c>
      <c r="E2606" s="22" t="s">
        <v>10</v>
      </c>
      <c r="F2606" s="22" t="s">
        <v>11</v>
      </c>
      <c r="G2606" s="22" t="s">
        <v>15</v>
      </c>
    </row>
    <row r="2607" ht="15.15" spans="1:7">
      <c r="A2607" s="20">
        <v>2606</v>
      </c>
      <c r="B2607" s="20">
        <v>2388</v>
      </c>
      <c r="C2607" s="21">
        <v>45204</v>
      </c>
      <c r="D2607" s="20">
        <v>471.55</v>
      </c>
      <c r="E2607" s="22" t="s">
        <v>10</v>
      </c>
      <c r="F2607" s="22" t="s">
        <v>11</v>
      </c>
      <c r="G2607" s="22" t="s">
        <v>17</v>
      </c>
    </row>
    <row r="2608" ht="15.15" spans="1:7">
      <c r="A2608" s="20">
        <v>2607</v>
      </c>
      <c r="B2608" s="20">
        <v>5422</v>
      </c>
      <c r="C2608" s="21">
        <v>45268</v>
      </c>
      <c r="D2608" s="20">
        <v>1757.46</v>
      </c>
      <c r="E2608" s="22" t="s">
        <v>10</v>
      </c>
      <c r="F2608" s="22" t="s">
        <v>18</v>
      </c>
      <c r="G2608" s="22" t="s">
        <v>12</v>
      </c>
    </row>
    <row r="2609" ht="15.15" spans="1:7">
      <c r="A2609" s="20">
        <v>2608</v>
      </c>
      <c r="B2609" s="20">
        <v>9982</v>
      </c>
      <c r="C2609" s="21">
        <v>45277</v>
      </c>
      <c r="D2609" s="20">
        <v>1095.36</v>
      </c>
      <c r="E2609" s="22" t="s">
        <v>10</v>
      </c>
      <c r="F2609" s="22" t="s">
        <v>14</v>
      </c>
      <c r="G2609" s="22" t="s">
        <v>17</v>
      </c>
    </row>
    <row r="2610" ht="15.15" spans="1:7">
      <c r="A2610" s="20">
        <v>2609</v>
      </c>
      <c r="B2610" s="20">
        <v>2089</v>
      </c>
      <c r="C2610" s="21">
        <v>44931</v>
      </c>
      <c r="D2610" s="20">
        <v>4362.64</v>
      </c>
      <c r="E2610" s="22" t="s">
        <v>10</v>
      </c>
      <c r="F2610" s="22" t="s">
        <v>13</v>
      </c>
      <c r="G2610" s="22" t="s">
        <v>20</v>
      </c>
    </row>
    <row r="2611" ht="15.15" spans="1:7">
      <c r="A2611" s="20">
        <v>2610</v>
      </c>
      <c r="B2611" s="20">
        <v>5162</v>
      </c>
      <c r="C2611" s="21">
        <v>45203</v>
      </c>
      <c r="D2611" s="20">
        <v>1138.21</v>
      </c>
      <c r="E2611" s="22" t="s">
        <v>10</v>
      </c>
      <c r="F2611" s="22" t="s">
        <v>13</v>
      </c>
      <c r="G2611" s="22" t="s">
        <v>17</v>
      </c>
    </row>
    <row r="2612" ht="15.15" spans="1:7">
      <c r="A2612" s="20">
        <v>2611</v>
      </c>
      <c r="B2612" s="20">
        <v>3893</v>
      </c>
      <c r="C2612" s="21">
        <v>45203</v>
      </c>
      <c r="D2612" s="20">
        <v>1631.94</v>
      </c>
      <c r="E2612" s="22" t="s">
        <v>10</v>
      </c>
      <c r="F2612" s="22" t="s">
        <v>16</v>
      </c>
      <c r="G2612" s="22" t="s">
        <v>20</v>
      </c>
    </row>
    <row r="2613" ht="15.15" spans="1:7">
      <c r="A2613" s="20">
        <v>2612</v>
      </c>
      <c r="B2613" s="20">
        <v>2311</v>
      </c>
      <c r="C2613" s="21">
        <v>45183</v>
      </c>
      <c r="D2613" s="20">
        <v>776.21</v>
      </c>
      <c r="E2613" s="22" t="s">
        <v>10</v>
      </c>
      <c r="F2613" s="22" t="s">
        <v>18</v>
      </c>
      <c r="G2613" s="22" t="s">
        <v>12</v>
      </c>
    </row>
    <row r="2614" ht="15.15" spans="1:7">
      <c r="A2614" s="20">
        <v>2613</v>
      </c>
      <c r="B2614" s="20">
        <v>9040</v>
      </c>
      <c r="C2614" s="21">
        <v>45200</v>
      </c>
      <c r="D2614" s="20">
        <v>1673.19</v>
      </c>
      <c r="E2614" s="22" t="s">
        <v>10</v>
      </c>
      <c r="F2614" s="22" t="s">
        <v>18</v>
      </c>
      <c r="G2614" s="22" t="s">
        <v>15</v>
      </c>
    </row>
    <row r="2615" ht="15.15" spans="1:7">
      <c r="A2615" s="20">
        <v>2614</v>
      </c>
      <c r="B2615" s="20">
        <v>8708</v>
      </c>
      <c r="C2615" s="21">
        <v>45087</v>
      </c>
      <c r="D2615" s="20">
        <v>256.17</v>
      </c>
      <c r="E2615" s="22" t="s">
        <v>10</v>
      </c>
      <c r="F2615" s="22" t="s">
        <v>14</v>
      </c>
      <c r="G2615" s="22" t="s">
        <v>20</v>
      </c>
    </row>
    <row r="2616" ht="15.15" spans="1:7">
      <c r="A2616" s="20">
        <v>2615</v>
      </c>
      <c r="B2616" s="20">
        <v>6914</v>
      </c>
      <c r="C2616" s="21">
        <v>45214</v>
      </c>
      <c r="D2616" s="20">
        <v>3269.63</v>
      </c>
      <c r="E2616" s="22" t="s">
        <v>10</v>
      </c>
      <c r="F2616" s="22" t="s">
        <v>18</v>
      </c>
      <c r="G2616" s="22" t="s">
        <v>12</v>
      </c>
    </row>
    <row r="2617" ht="15.15" spans="1:7">
      <c r="A2617" s="20">
        <v>2616</v>
      </c>
      <c r="B2617" s="20">
        <v>4042</v>
      </c>
      <c r="C2617" s="21">
        <v>45044</v>
      </c>
      <c r="D2617" s="20">
        <v>1216.29</v>
      </c>
      <c r="E2617" s="22" t="s">
        <v>10</v>
      </c>
      <c r="F2617" s="22" t="s">
        <v>11</v>
      </c>
      <c r="G2617" s="22" t="s">
        <v>20</v>
      </c>
    </row>
    <row r="2618" ht="15.15" spans="1:7">
      <c r="A2618" s="20">
        <v>2617</v>
      </c>
      <c r="B2618" s="20">
        <v>6094</v>
      </c>
      <c r="C2618" s="21">
        <v>45227</v>
      </c>
      <c r="D2618" s="20">
        <v>643.41</v>
      </c>
      <c r="E2618" s="22" t="s">
        <v>10</v>
      </c>
      <c r="F2618" s="22" t="s">
        <v>16</v>
      </c>
      <c r="G2618" s="22" t="s">
        <v>20</v>
      </c>
    </row>
    <row r="2619" ht="15.15" spans="1:7">
      <c r="A2619" s="20">
        <v>2618</v>
      </c>
      <c r="B2619" s="20">
        <v>6876</v>
      </c>
      <c r="C2619" s="21">
        <v>45141</v>
      </c>
      <c r="D2619" s="20">
        <v>760.48</v>
      </c>
      <c r="E2619" s="22" t="s">
        <v>10</v>
      </c>
      <c r="F2619" s="22" t="s">
        <v>18</v>
      </c>
      <c r="G2619" s="22" t="s">
        <v>12</v>
      </c>
    </row>
    <row r="2620" ht="15.15" spans="1:7">
      <c r="A2620" s="20">
        <v>2619</v>
      </c>
      <c r="B2620" s="20">
        <v>2134</v>
      </c>
      <c r="C2620" s="21">
        <v>45220</v>
      </c>
      <c r="D2620" s="20">
        <v>1218.48</v>
      </c>
      <c r="E2620" s="22" t="s">
        <v>10</v>
      </c>
      <c r="F2620" s="22" t="s">
        <v>16</v>
      </c>
      <c r="G2620" s="22" t="s">
        <v>17</v>
      </c>
    </row>
    <row r="2621" ht="15.15" spans="1:7">
      <c r="A2621" s="20">
        <v>2620</v>
      </c>
      <c r="B2621" s="20">
        <v>4642</v>
      </c>
      <c r="C2621" s="21">
        <v>45035</v>
      </c>
      <c r="D2621" s="20">
        <v>1695.09</v>
      </c>
      <c r="E2621" s="22" t="s">
        <v>10</v>
      </c>
      <c r="F2621" s="22" t="s">
        <v>18</v>
      </c>
      <c r="G2621" s="22" t="s">
        <v>20</v>
      </c>
    </row>
    <row r="2622" ht="15.15" spans="1:7">
      <c r="A2622" s="20">
        <v>2621</v>
      </c>
      <c r="B2622" s="20">
        <v>7968</v>
      </c>
      <c r="C2622" s="21">
        <v>45022</v>
      </c>
      <c r="D2622" s="20">
        <v>3900.19</v>
      </c>
      <c r="E2622" s="22" t="s">
        <v>10</v>
      </c>
      <c r="F2622" s="22" t="s">
        <v>14</v>
      </c>
      <c r="G2622" s="22" t="s">
        <v>12</v>
      </c>
    </row>
    <row r="2623" ht="15.15" spans="1:7">
      <c r="A2623" s="20">
        <v>2622</v>
      </c>
      <c r="B2623" s="20">
        <v>626</v>
      </c>
      <c r="C2623" s="21">
        <v>45252</v>
      </c>
      <c r="D2623" s="20">
        <v>1293.36</v>
      </c>
      <c r="E2623" s="22" t="s">
        <v>10</v>
      </c>
      <c r="F2623" s="22" t="s">
        <v>18</v>
      </c>
      <c r="G2623" s="22" t="s">
        <v>12</v>
      </c>
    </row>
    <row r="2624" ht="15.15" spans="1:7">
      <c r="A2624" s="20">
        <v>2623</v>
      </c>
      <c r="B2624" s="20">
        <v>2501</v>
      </c>
      <c r="C2624" s="21">
        <v>44992</v>
      </c>
      <c r="D2624" s="20">
        <v>1532.96</v>
      </c>
      <c r="E2624" s="22" t="s">
        <v>10</v>
      </c>
      <c r="F2624" s="22" t="s">
        <v>13</v>
      </c>
      <c r="G2624" s="22" t="s">
        <v>20</v>
      </c>
    </row>
    <row r="2625" ht="15.15" spans="1:7">
      <c r="A2625" s="20">
        <v>2624</v>
      </c>
      <c r="B2625" s="20">
        <v>7261</v>
      </c>
      <c r="C2625" s="21">
        <v>45236</v>
      </c>
      <c r="D2625" s="20">
        <v>1317.27</v>
      </c>
      <c r="E2625" s="22" t="s">
        <v>10</v>
      </c>
      <c r="F2625" s="22" t="s">
        <v>18</v>
      </c>
      <c r="G2625" s="22" t="s">
        <v>20</v>
      </c>
    </row>
    <row r="2626" ht="15.15" spans="1:7">
      <c r="A2626" s="20">
        <v>2625</v>
      </c>
      <c r="B2626" s="20">
        <v>2345</v>
      </c>
      <c r="C2626" s="21">
        <v>44938</v>
      </c>
      <c r="D2626" s="20">
        <v>399.61</v>
      </c>
      <c r="E2626" s="22" t="s">
        <v>10</v>
      </c>
      <c r="F2626" s="22" t="s">
        <v>13</v>
      </c>
      <c r="G2626" s="22" t="s">
        <v>20</v>
      </c>
    </row>
    <row r="2627" ht="15.15" spans="1:7">
      <c r="A2627" s="20">
        <v>2626</v>
      </c>
      <c r="B2627" s="20">
        <v>4728</v>
      </c>
      <c r="C2627" s="21">
        <v>45071</v>
      </c>
      <c r="D2627" s="20">
        <v>1093.21</v>
      </c>
      <c r="E2627" s="22" t="s">
        <v>10</v>
      </c>
      <c r="F2627" s="22" t="s">
        <v>14</v>
      </c>
      <c r="G2627" s="22" t="s">
        <v>12</v>
      </c>
    </row>
    <row r="2628" ht="15.15" spans="1:7">
      <c r="A2628" s="20">
        <v>2627</v>
      </c>
      <c r="B2628" s="20">
        <v>434</v>
      </c>
      <c r="C2628" s="21">
        <v>45086</v>
      </c>
      <c r="D2628" s="20">
        <v>366.31</v>
      </c>
      <c r="E2628" s="22" t="s">
        <v>10</v>
      </c>
      <c r="F2628" s="22" t="s">
        <v>14</v>
      </c>
      <c r="G2628" s="22" t="s">
        <v>20</v>
      </c>
    </row>
    <row r="2629" ht="15.15" spans="1:7">
      <c r="A2629" s="20">
        <v>2628</v>
      </c>
      <c r="B2629" s="20">
        <v>2510</v>
      </c>
      <c r="C2629" s="21">
        <v>45247</v>
      </c>
      <c r="D2629" s="20">
        <v>1598.33</v>
      </c>
      <c r="E2629" s="22" t="s">
        <v>10</v>
      </c>
      <c r="F2629" s="22" t="s">
        <v>14</v>
      </c>
      <c r="G2629" s="22" t="s">
        <v>12</v>
      </c>
    </row>
    <row r="2630" ht="15.15" spans="1:7">
      <c r="A2630" s="20">
        <v>2629</v>
      </c>
      <c r="B2630" s="20">
        <v>9236</v>
      </c>
      <c r="C2630" s="21">
        <v>44943</v>
      </c>
      <c r="D2630" s="20">
        <v>1078.2</v>
      </c>
      <c r="E2630" s="22" t="s">
        <v>10</v>
      </c>
      <c r="F2630" s="22" t="s">
        <v>18</v>
      </c>
      <c r="G2630" s="22" t="s">
        <v>15</v>
      </c>
    </row>
    <row r="2631" ht="15.15" spans="1:7">
      <c r="A2631" s="20">
        <v>2630</v>
      </c>
      <c r="B2631" s="20">
        <v>3771</v>
      </c>
      <c r="C2631" s="21">
        <v>44947</v>
      </c>
      <c r="D2631" s="20">
        <v>193.6</v>
      </c>
      <c r="E2631" s="22" t="s">
        <v>10</v>
      </c>
      <c r="F2631" s="22" t="s">
        <v>14</v>
      </c>
      <c r="G2631" s="22" t="s">
        <v>15</v>
      </c>
    </row>
    <row r="2632" ht="15.15" spans="1:7">
      <c r="A2632" s="20">
        <v>2631</v>
      </c>
      <c r="B2632" s="20">
        <v>4934</v>
      </c>
      <c r="C2632" s="21">
        <v>45239</v>
      </c>
      <c r="D2632" s="20">
        <v>812.66</v>
      </c>
      <c r="E2632" s="22" t="s">
        <v>10</v>
      </c>
      <c r="F2632" s="22" t="s">
        <v>18</v>
      </c>
      <c r="G2632" s="22" t="s">
        <v>17</v>
      </c>
    </row>
    <row r="2633" ht="15.15" spans="1:7">
      <c r="A2633" s="20">
        <v>2632</v>
      </c>
      <c r="B2633" s="20">
        <v>9366</v>
      </c>
      <c r="C2633" s="21">
        <v>45192</v>
      </c>
      <c r="D2633" s="20">
        <v>1037.88</v>
      </c>
      <c r="E2633" s="22" t="s">
        <v>10</v>
      </c>
      <c r="F2633" s="22" t="s">
        <v>16</v>
      </c>
      <c r="G2633" s="22" t="s">
        <v>15</v>
      </c>
    </row>
    <row r="2634" ht="15.15" spans="1:7">
      <c r="A2634" s="20">
        <v>2633</v>
      </c>
      <c r="B2634" s="20">
        <v>1528</v>
      </c>
      <c r="C2634" s="21">
        <v>45206</v>
      </c>
      <c r="D2634" s="20">
        <v>295.79</v>
      </c>
      <c r="E2634" s="22" t="s">
        <v>10</v>
      </c>
      <c r="F2634" s="22" t="s">
        <v>18</v>
      </c>
      <c r="G2634" s="22" t="s">
        <v>17</v>
      </c>
    </row>
    <row r="2635" ht="15.15" spans="1:7">
      <c r="A2635" s="20">
        <v>2634</v>
      </c>
      <c r="B2635" s="20">
        <v>5942</v>
      </c>
      <c r="C2635" s="21">
        <v>45035</v>
      </c>
      <c r="D2635" s="20">
        <v>1517.02</v>
      </c>
      <c r="E2635" s="22" t="s">
        <v>10</v>
      </c>
      <c r="F2635" s="22" t="s">
        <v>14</v>
      </c>
      <c r="G2635" s="22" t="s">
        <v>15</v>
      </c>
    </row>
    <row r="2636" ht="15.15" spans="1:7">
      <c r="A2636" s="20">
        <v>2635</v>
      </c>
      <c r="B2636" s="20">
        <v>1900</v>
      </c>
      <c r="C2636" s="21">
        <v>45024</v>
      </c>
      <c r="D2636" s="20">
        <v>1340.95</v>
      </c>
      <c r="E2636" s="22" t="s">
        <v>10</v>
      </c>
      <c r="F2636" s="22" t="s">
        <v>13</v>
      </c>
      <c r="G2636" s="22" t="s">
        <v>17</v>
      </c>
    </row>
    <row r="2637" ht="15.15" spans="1:7">
      <c r="A2637" s="20">
        <v>2636</v>
      </c>
      <c r="B2637" s="20">
        <v>1929</v>
      </c>
      <c r="C2637" s="21">
        <v>45242</v>
      </c>
      <c r="D2637" s="20">
        <v>453.84</v>
      </c>
      <c r="E2637" s="22" t="s">
        <v>10</v>
      </c>
      <c r="F2637" s="22" t="s">
        <v>14</v>
      </c>
      <c r="G2637" s="22" t="s">
        <v>12</v>
      </c>
    </row>
    <row r="2638" ht="15.15" spans="1:7">
      <c r="A2638" s="20">
        <v>2637</v>
      </c>
      <c r="B2638" s="20">
        <v>9606</v>
      </c>
      <c r="C2638" s="21">
        <v>45200</v>
      </c>
      <c r="D2638" s="20">
        <v>240.57</v>
      </c>
      <c r="E2638" s="22" t="s">
        <v>10</v>
      </c>
      <c r="F2638" s="22" t="s">
        <v>11</v>
      </c>
      <c r="G2638" s="22" t="s">
        <v>20</v>
      </c>
    </row>
    <row r="2639" ht="15.15" spans="1:7">
      <c r="A2639" s="20">
        <v>2638</v>
      </c>
      <c r="B2639" s="20">
        <v>7362</v>
      </c>
      <c r="C2639" s="21">
        <v>45226</v>
      </c>
      <c r="D2639" s="20">
        <v>1346.76</v>
      </c>
      <c r="E2639" s="22" t="s">
        <v>10</v>
      </c>
      <c r="F2639" s="22" t="s">
        <v>13</v>
      </c>
      <c r="G2639" s="22" t="s">
        <v>12</v>
      </c>
    </row>
    <row r="2640" ht="15.15" spans="1:7">
      <c r="A2640" s="20">
        <v>2639</v>
      </c>
      <c r="B2640" s="20">
        <v>2385</v>
      </c>
      <c r="C2640" s="21">
        <v>45143</v>
      </c>
      <c r="D2640" s="20">
        <v>578.97</v>
      </c>
      <c r="E2640" s="22" t="s">
        <v>10</v>
      </c>
      <c r="F2640" s="22" t="s">
        <v>16</v>
      </c>
      <c r="G2640" s="22" t="s">
        <v>17</v>
      </c>
    </row>
    <row r="2641" ht="15.15" spans="1:7">
      <c r="A2641" s="20">
        <v>2640</v>
      </c>
      <c r="B2641" s="20">
        <v>1826</v>
      </c>
      <c r="C2641" s="21">
        <v>45248</v>
      </c>
      <c r="D2641" s="20">
        <v>1742.68</v>
      </c>
      <c r="E2641" s="22" t="s">
        <v>10</v>
      </c>
      <c r="F2641" s="22" t="s">
        <v>11</v>
      </c>
      <c r="G2641" s="22" t="s">
        <v>15</v>
      </c>
    </row>
    <row r="2642" ht="15.15" spans="1:7">
      <c r="A2642" s="20">
        <v>2641</v>
      </c>
      <c r="B2642" s="20">
        <v>296</v>
      </c>
      <c r="C2642" s="21">
        <v>44962</v>
      </c>
      <c r="D2642" s="20">
        <v>1473.31</v>
      </c>
      <c r="E2642" s="22" t="s">
        <v>10</v>
      </c>
      <c r="F2642" s="22" t="s">
        <v>11</v>
      </c>
      <c r="G2642" s="22" t="s">
        <v>12</v>
      </c>
    </row>
    <row r="2643" ht="15.15" spans="1:7">
      <c r="A2643" s="20">
        <v>2642</v>
      </c>
      <c r="B2643" s="20">
        <v>6402</v>
      </c>
      <c r="C2643" s="21">
        <v>45116</v>
      </c>
      <c r="D2643" s="20">
        <v>580</v>
      </c>
      <c r="E2643" s="22" t="s">
        <v>10</v>
      </c>
      <c r="F2643" s="22" t="s">
        <v>18</v>
      </c>
      <c r="G2643" s="22" t="s">
        <v>12</v>
      </c>
    </row>
    <row r="2644" ht="15.15" spans="1:7">
      <c r="A2644" s="20">
        <v>2643</v>
      </c>
      <c r="B2644" s="20">
        <v>1435</v>
      </c>
      <c r="C2644" s="21">
        <v>45212</v>
      </c>
      <c r="D2644" s="20">
        <v>771.67</v>
      </c>
      <c r="E2644" s="22" t="s">
        <v>10</v>
      </c>
      <c r="F2644" s="22" t="s">
        <v>11</v>
      </c>
      <c r="G2644" s="22" t="s">
        <v>20</v>
      </c>
    </row>
    <row r="2645" ht="15.15" spans="1:7">
      <c r="A2645" s="20">
        <v>2644</v>
      </c>
      <c r="B2645" s="20">
        <v>4279</v>
      </c>
      <c r="C2645" s="21">
        <v>45153</v>
      </c>
      <c r="D2645" s="20">
        <v>1146.95</v>
      </c>
      <c r="E2645" s="22" t="s">
        <v>10</v>
      </c>
      <c r="F2645" s="22" t="s">
        <v>13</v>
      </c>
      <c r="G2645" s="22" t="s">
        <v>20</v>
      </c>
    </row>
    <row r="2646" ht="15.15" spans="1:7">
      <c r="A2646" s="20">
        <v>2645</v>
      </c>
      <c r="B2646" s="20">
        <v>6472</v>
      </c>
      <c r="C2646" s="21">
        <v>45196</v>
      </c>
      <c r="D2646" s="20">
        <v>574.96</v>
      </c>
      <c r="E2646" s="22" t="s">
        <v>10</v>
      </c>
      <c r="F2646" s="22" t="s">
        <v>18</v>
      </c>
      <c r="G2646" s="22" t="s">
        <v>20</v>
      </c>
    </row>
    <row r="2647" ht="15.15" spans="1:7">
      <c r="A2647" s="20">
        <v>2646</v>
      </c>
      <c r="B2647" s="20">
        <v>5644</v>
      </c>
      <c r="C2647" s="21">
        <v>45051</v>
      </c>
      <c r="D2647" s="20">
        <v>3609.71</v>
      </c>
      <c r="E2647" s="22" t="s">
        <v>10</v>
      </c>
      <c r="F2647" s="22" t="s">
        <v>18</v>
      </c>
      <c r="G2647" s="22" t="s">
        <v>20</v>
      </c>
    </row>
    <row r="2648" ht="15.15" spans="1:7">
      <c r="A2648" s="20">
        <v>2647</v>
      </c>
      <c r="B2648" s="20">
        <v>7175</v>
      </c>
      <c r="C2648" s="21">
        <v>45266</v>
      </c>
      <c r="D2648" s="20">
        <v>323.68</v>
      </c>
      <c r="E2648" s="22" t="s">
        <v>10</v>
      </c>
      <c r="F2648" s="22" t="s">
        <v>11</v>
      </c>
      <c r="G2648" s="22" t="s">
        <v>20</v>
      </c>
    </row>
    <row r="2649" ht="15.15" spans="1:7">
      <c r="A2649" s="20">
        <v>2648</v>
      </c>
      <c r="B2649" s="20">
        <v>6565</v>
      </c>
      <c r="C2649" s="21">
        <v>44951</v>
      </c>
      <c r="D2649" s="20">
        <v>1862.96</v>
      </c>
      <c r="E2649" s="22" t="s">
        <v>10</v>
      </c>
      <c r="F2649" s="22" t="s">
        <v>13</v>
      </c>
      <c r="G2649" s="22" t="s">
        <v>15</v>
      </c>
    </row>
    <row r="2650" ht="15.15" spans="1:7">
      <c r="A2650" s="20">
        <v>2649</v>
      </c>
      <c r="B2650" s="20">
        <v>1345</v>
      </c>
      <c r="C2650" s="21">
        <v>45189</v>
      </c>
      <c r="D2650" s="20">
        <v>1695.09</v>
      </c>
      <c r="E2650" s="22" t="s">
        <v>10</v>
      </c>
      <c r="F2650" s="22" t="s">
        <v>13</v>
      </c>
      <c r="G2650" s="22" t="s">
        <v>15</v>
      </c>
    </row>
    <row r="2651" ht="15.15" spans="1:7">
      <c r="A2651" s="20">
        <v>2650</v>
      </c>
      <c r="B2651" s="20">
        <v>6335</v>
      </c>
      <c r="C2651" s="21">
        <v>45113</v>
      </c>
      <c r="D2651" s="20">
        <v>538.64</v>
      </c>
      <c r="E2651" s="22" t="s">
        <v>10</v>
      </c>
      <c r="F2651" s="22" t="s">
        <v>11</v>
      </c>
      <c r="G2651" s="22" t="s">
        <v>17</v>
      </c>
    </row>
    <row r="2652" ht="15.15" spans="1:7">
      <c r="A2652" s="20">
        <v>2651</v>
      </c>
      <c r="B2652" s="20">
        <v>140</v>
      </c>
      <c r="C2652" s="21">
        <v>45260</v>
      </c>
      <c r="D2652" s="20">
        <v>290.79</v>
      </c>
      <c r="E2652" s="22" t="s">
        <v>21</v>
      </c>
      <c r="F2652" s="22" t="s">
        <v>13</v>
      </c>
      <c r="G2652" s="22" t="s">
        <v>17</v>
      </c>
    </row>
    <row r="2653" ht="15.15" spans="1:7">
      <c r="A2653" s="20">
        <v>2652</v>
      </c>
      <c r="B2653" s="20">
        <v>7124</v>
      </c>
      <c r="C2653" s="21">
        <v>45275</v>
      </c>
      <c r="D2653" s="20">
        <v>1181.09</v>
      </c>
      <c r="E2653" s="22" t="s">
        <v>10</v>
      </c>
      <c r="F2653" s="22" t="s">
        <v>11</v>
      </c>
      <c r="G2653" s="22" t="s">
        <v>12</v>
      </c>
    </row>
    <row r="2654" ht="15.15" spans="1:7">
      <c r="A2654" s="20">
        <v>2653</v>
      </c>
      <c r="B2654" s="20">
        <v>7109</v>
      </c>
      <c r="C2654" s="21">
        <v>45269</v>
      </c>
      <c r="D2654" s="20">
        <v>1038.93</v>
      </c>
      <c r="E2654" s="22" t="s">
        <v>10</v>
      </c>
      <c r="F2654" s="22" t="s">
        <v>14</v>
      </c>
      <c r="G2654" s="22" t="s">
        <v>17</v>
      </c>
    </row>
    <row r="2655" ht="15.15" spans="1:7">
      <c r="A2655" s="20">
        <v>2654</v>
      </c>
      <c r="B2655" s="20">
        <v>557</v>
      </c>
      <c r="C2655" s="21">
        <v>45291</v>
      </c>
      <c r="D2655" s="20">
        <v>4251.3</v>
      </c>
      <c r="E2655" s="22" t="s">
        <v>10</v>
      </c>
      <c r="F2655" s="22" t="s">
        <v>19</v>
      </c>
      <c r="G2655" s="22" t="s">
        <v>15</v>
      </c>
    </row>
    <row r="2656" ht="15.15" spans="1:7">
      <c r="A2656" s="20">
        <v>2655</v>
      </c>
      <c r="B2656" s="20">
        <v>5712</v>
      </c>
      <c r="C2656" s="21">
        <v>45193</v>
      </c>
      <c r="D2656" s="20">
        <v>956.91</v>
      </c>
      <c r="E2656" s="22" t="s">
        <v>10</v>
      </c>
      <c r="F2656" s="22" t="s">
        <v>13</v>
      </c>
      <c r="G2656" s="22" t="s">
        <v>17</v>
      </c>
    </row>
    <row r="2657" ht="15.15" spans="1:7">
      <c r="A2657" s="20">
        <v>2656</v>
      </c>
      <c r="B2657" s="20">
        <v>5078</v>
      </c>
      <c r="C2657" s="21">
        <v>45147</v>
      </c>
      <c r="D2657" s="20">
        <v>1507.9</v>
      </c>
      <c r="E2657" s="22" t="s">
        <v>10</v>
      </c>
      <c r="F2657" s="22" t="s">
        <v>13</v>
      </c>
      <c r="G2657" s="22" t="s">
        <v>17</v>
      </c>
    </row>
    <row r="2658" ht="15.15" spans="1:7">
      <c r="A2658" s="20">
        <v>2657</v>
      </c>
      <c r="B2658" s="20">
        <v>7147</v>
      </c>
      <c r="C2658" s="21">
        <v>45193</v>
      </c>
      <c r="D2658" s="20">
        <v>1055.98</v>
      </c>
      <c r="E2658" s="22" t="s">
        <v>10</v>
      </c>
      <c r="F2658" s="22" t="s">
        <v>16</v>
      </c>
      <c r="G2658" s="22" t="s">
        <v>12</v>
      </c>
    </row>
    <row r="2659" ht="15.15" spans="1:7">
      <c r="A2659" s="20">
        <v>2658</v>
      </c>
      <c r="B2659" s="20">
        <v>1202</v>
      </c>
      <c r="C2659" s="21">
        <v>45158</v>
      </c>
      <c r="D2659" s="20">
        <v>228.45</v>
      </c>
      <c r="E2659" s="22" t="s">
        <v>10</v>
      </c>
      <c r="F2659" s="22" t="s">
        <v>16</v>
      </c>
      <c r="G2659" s="22" t="s">
        <v>12</v>
      </c>
    </row>
    <row r="2660" ht="15.15" spans="1:7">
      <c r="A2660" s="20">
        <v>2659</v>
      </c>
      <c r="B2660" s="20">
        <v>9603</v>
      </c>
      <c r="C2660" s="21">
        <v>45040</v>
      </c>
      <c r="D2660" s="20">
        <v>1475.3</v>
      </c>
      <c r="E2660" s="22" t="s">
        <v>10</v>
      </c>
      <c r="F2660" s="22" t="s">
        <v>14</v>
      </c>
      <c r="G2660" s="22" t="s">
        <v>20</v>
      </c>
    </row>
    <row r="2661" ht="15.15" spans="1:7">
      <c r="A2661" s="20">
        <v>2660</v>
      </c>
      <c r="B2661" s="20">
        <v>9689</v>
      </c>
      <c r="C2661" s="21">
        <v>45185</v>
      </c>
      <c r="D2661" s="20">
        <v>2608.52</v>
      </c>
      <c r="E2661" s="22" t="s">
        <v>10</v>
      </c>
      <c r="F2661" s="22" t="s">
        <v>11</v>
      </c>
      <c r="G2661" s="22" t="s">
        <v>15</v>
      </c>
    </row>
    <row r="2662" ht="15.15" spans="1:7">
      <c r="A2662" s="20">
        <v>2661</v>
      </c>
      <c r="B2662" s="20">
        <v>5762</v>
      </c>
      <c r="C2662" s="21">
        <v>44982</v>
      </c>
      <c r="D2662" s="20">
        <v>140.76</v>
      </c>
      <c r="E2662" s="22" t="s">
        <v>10</v>
      </c>
      <c r="F2662" s="22" t="s">
        <v>19</v>
      </c>
      <c r="G2662" s="22" t="s">
        <v>15</v>
      </c>
    </row>
    <row r="2663" ht="15.15" spans="1:7">
      <c r="A2663" s="20">
        <v>2662</v>
      </c>
      <c r="B2663" s="20">
        <v>6017</v>
      </c>
      <c r="C2663" s="21">
        <v>45058</v>
      </c>
      <c r="D2663" s="20">
        <v>607.05</v>
      </c>
      <c r="E2663" s="22" t="s">
        <v>10</v>
      </c>
      <c r="F2663" s="22" t="s">
        <v>13</v>
      </c>
      <c r="G2663" s="22" t="s">
        <v>20</v>
      </c>
    </row>
    <row r="2664" ht="15.15" spans="1:7">
      <c r="A2664" s="20">
        <v>2663</v>
      </c>
      <c r="B2664" s="20">
        <v>6036</v>
      </c>
      <c r="C2664" s="21">
        <v>45171</v>
      </c>
      <c r="D2664" s="20">
        <v>295.79</v>
      </c>
      <c r="E2664" s="22" t="s">
        <v>10</v>
      </c>
      <c r="F2664" s="22" t="s">
        <v>11</v>
      </c>
      <c r="G2664" s="22" t="s">
        <v>12</v>
      </c>
    </row>
    <row r="2665" ht="15.15" spans="1:7">
      <c r="A2665" s="20">
        <v>2664</v>
      </c>
      <c r="B2665" s="20">
        <v>1069</v>
      </c>
      <c r="C2665" s="21">
        <v>45091</v>
      </c>
      <c r="D2665" s="20">
        <v>2319.63</v>
      </c>
      <c r="E2665" s="22" t="s">
        <v>10</v>
      </c>
      <c r="F2665" s="22" t="s">
        <v>14</v>
      </c>
      <c r="G2665" s="22" t="s">
        <v>12</v>
      </c>
    </row>
    <row r="2666" ht="15.15" spans="1:7">
      <c r="A2666" s="20">
        <v>2665</v>
      </c>
      <c r="B2666" s="20">
        <v>883</v>
      </c>
      <c r="C2666" s="21">
        <v>44955</v>
      </c>
      <c r="D2666" s="20">
        <v>280.61</v>
      </c>
      <c r="E2666" s="22" t="s">
        <v>10</v>
      </c>
      <c r="F2666" s="22" t="s">
        <v>18</v>
      </c>
      <c r="G2666" s="22" t="s">
        <v>12</v>
      </c>
    </row>
    <row r="2667" ht="15.15" spans="1:7">
      <c r="A2667" s="20">
        <v>2666</v>
      </c>
      <c r="B2667" s="20">
        <v>6930</v>
      </c>
      <c r="C2667" s="21">
        <v>45241</v>
      </c>
      <c r="D2667" s="20">
        <v>1296.73</v>
      </c>
      <c r="E2667" s="22" t="s">
        <v>10</v>
      </c>
      <c r="F2667" s="22" t="s">
        <v>14</v>
      </c>
      <c r="G2667" s="22" t="s">
        <v>20</v>
      </c>
    </row>
    <row r="2668" ht="15.15" spans="1:7">
      <c r="A2668" s="20">
        <v>2667</v>
      </c>
      <c r="B2668" s="20">
        <v>8437</v>
      </c>
      <c r="C2668" s="21">
        <v>45126</v>
      </c>
      <c r="D2668" s="20">
        <v>667.02</v>
      </c>
      <c r="E2668" s="22" t="s">
        <v>10</v>
      </c>
      <c r="F2668" s="22" t="s">
        <v>18</v>
      </c>
      <c r="G2668" s="22" t="s">
        <v>12</v>
      </c>
    </row>
    <row r="2669" ht="15.15" spans="1:7">
      <c r="A2669" s="20">
        <v>2668</v>
      </c>
      <c r="B2669" s="20">
        <v>537</v>
      </c>
      <c r="C2669" s="21">
        <v>45228</v>
      </c>
      <c r="D2669" s="20">
        <v>1963.7</v>
      </c>
      <c r="E2669" s="22" t="s">
        <v>10</v>
      </c>
      <c r="F2669" s="22" t="s">
        <v>16</v>
      </c>
      <c r="G2669" s="22" t="s">
        <v>12</v>
      </c>
    </row>
    <row r="2670" ht="15.15" spans="1:7">
      <c r="A2670" s="20">
        <v>2669</v>
      </c>
      <c r="B2670" s="20">
        <v>5114</v>
      </c>
      <c r="C2670" s="21">
        <v>45138</v>
      </c>
      <c r="D2670" s="20">
        <v>844.15</v>
      </c>
      <c r="E2670" s="22" t="s">
        <v>10</v>
      </c>
      <c r="F2670" s="22" t="s">
        <v>18</v>
      </c>
      <c r="G2670" s="22" t="s">
        <v>12</v>
      </c>
    </row>
    <row r="2671" ht="15.15" spans="1:7">
      <c r="A2671" s="20">
        <v>2670</v>
      </c>
      <c r="B2671" s="20">
        <v>651</v>
      </c>
      <c r="C2671" s="21">
        <v>45291</v>
      </c>
      <c r="D2671" s="20">
        <v>2633.86</v>
      </c>
      <c r="E2671" s="22" t="s">
        <v>10</v>
      </c>
      <c r="F2671" s="22" t="s">
        <v>16</v>
      </c>
      <c r="G2671" s="22" t="s">
        <v>20</v>
      </c>
    </row>
    <row r="2672" ht="15.15" spans="1:7">
      <c r="A2672" s="20">
        <v>2671</v>
      </c>
      <c r="B2672" s="20">
        <v>2577</v>
      </c>
      <c r="C2672" s="21">
        <v>45028</v>
      </c>
      <c r="D2672" s="20">
        <v>187.47</v>
      </c>
      <c r="E2672" s="22" t="s">
        <v>10</v>
      </c>
      <c r="F2672" s="22" t="s">
        <v>14</v>
      </c>
      <c r="G2672" s="22" t="s">
        <v>15</v>
      </c>
    </row>
    <row r="2673" ht="15.15" spans="1:7">
      <c r="A2673" s="20">
        <v>2672</v>
      </c>
      <c r="B2673" s="20">
        <v>2342</v>
      </c>
      <c r="C2673" s="21">
        <v>45205</v>
      </c>
      <c r="D2673" s="20">
        <v>299.56</v>
      </c>
      <c r="E2673" s="22" t="s">
        <v>10</v>
      </c>
      <c r="F2673" s="22" t="s">
        <v>16</v>
      </c>
      <c r="G2673" s="22" t="s">
        <v>20</v>
      </c>
    </row>
    <row r="2674" ht="15.15" spans="1:7">
      <c r="A2674" s="20">
        <v>2673</v>
      </c>
      <c r="B2674" s="20">
        <v>3394</v>
      </c>
      <c r="C2674" s="21">
        <v>45246</v>
      </c>
      <c r="D2674" s="20">
        <v>2873.65</v>
      </c>
      <c r="E2674" s="22" t="s">
        <v>10</v>
      </c>
      <c r="F2674" s="22" t="s">
        <v>13</v>
      </c>
      <c r="G2674" s="22" t="s">
        <v>17</v>
      </c>
    </row>
    <row r="2675" ht="15.15" spans="1:7">
      <c r="A2675" s="20">
        <v>2674</v>
      </c>
      <c r="B2675" s="20">
        <v>4877</v>
      </c>
      <c r="C2675" s="21">
        <v>44940</v>
      </c>
      <c r="D2675" s="20">
        <v>319.84</v>
      </c>
      <c r="E2675" s="22" t="s">
        <v>10</v>
      </c>
      <c r="F2675" s="22" t="s">
        <v>18</v>
      </c>
      <c r="G2675" s="22" t="s">
        <v>12</v>
      </c>
    </row>
    <row r="2676" ht="15.15" spans="1:7">
      <c r="A2676" s="20">
        <v>2675</v>
      </c>
      <c r="B2676" s="20">
        <v>9287</v>
      </c>
      <c r="C2676" s="21">
        <v>45207</v>
      </c>
      <c r="D2676" s="20">
        <v>132.56</v>
      </c>
      <c r="E2676" s="22" t="s">
        <v>10</v>
      </c>
      <c r="F2676" s="22" t="s">
        <v>14</v>
      </c>
      <c r="G2676" s="22" t="s">
        <v>17</v>
      </c>
    </row>
    <row r="2677" ht="15.15" spans="1:7">
      <c r="A2677" s="20">
        <v>2676</v>
      </c>
      <c r="B2677" s="20">
        <v>3163</v>
      </c>
      <c r="C2677" s="21">
        <v>45280</v>
      </c>
      <c r="D2677" s="20">
        <v>1543.34</v>
      </c>
      <c r="E2677" s="22" t="s">
        <v>10</v>
      </c>
      <c r="F2677" s="22" t="s">
        <v>16</v>
      </c>
      <c r="G2677" s="22" t="s">
        <v>20</v>
      </c>
    </row>
    <row r="2678" ht="15.15" spans="1:7">
      <c r="A2678" s="20">
        <v>2677</v>
      </c>
      <c r="B2678" s="20">
        <v>2884</v>
      </c>
      <c r="C2678" s="21">
        <v>44942</v>
      </c>
      <c r="D2678" s="20">
        <v>1008.11</v>
      </c>
      <c r="E2678" s="22" t="s">
        <v>10</v>
      </c>
      <c r="F2678" s="22" t="s">
        <v>18</v>
      </c>
      <c r="G2678" s="22" t="s">
        <v>17</v>
      </c>
    </row>
    <row r="2679" ht="15.15" spans="1:7">
      <c r="A2679" s="20">
        <v>2678</v>
      </c>
      <c r="B2679" s="20">
        <v>7086</v>
      </c>
      <c r="C2679" s="21">
        <v>45189</v>
      </c>
      <c r="D2679" s="20">
        <v>556.9</v>
      </c>
      <c r="E2679" s="22" t="s">
        <v>10</v>
      </c>
      <c r="F2679" s="22" t="s">
        <v>14</v>
      </c>
      <c r="G2679" s="22" t="s">
        <v>17</v>
      </c>
    </row>
    <row r="2680" ht="15.15" spans="1:7">
      <c r="A2680" s="20">
        <v>2679</v>
      </c>
      <c r="B2680" s="20">
        <v>1152</v>
      </c>
      <c r="C2680" s="21">
        <v>45169</v>
      </c>
      <c r="D2680" s="20">
        <v>1507.68</v>
      </c>
      <c r="E2680" s="22" t="s">
        <v>10</v>
      </c>
      <c r="F2680" s="22" t="s">
        <v>14</v>
      </c>
      <c r="G2680" s="22" t="s">
        <v>15</v>
      </c>
    </row>
    <row r="2681" ht="15.15" spans="1:7">
      <c r="A2681" s="20">
        <v>2680</v>
      </c>
      <c r="B2681" s="20">
        <v>5168</v>
      </c>
      <c r="C2681" s="21">
        <v>45267</v>
      </c>
      <c r="D2681" s="20">
        <v>1995.72</v>
      </c>
      <c r="E2681" s="22" t="s">
        <v>10</v>
      </c>
      <c r="F2681" s="22" t="s">
        <v>16</v>
      </c>
      <c r="G2681" s="22" t="s">
        <v>12</v>
      </c>
    </row>
    <row r="2682" ht="15.15" spans="1:7">
      <c r="A2682" s="20">
        <v>2681</v>
      </c>
      <c r="B2682" s="20">
        <v>2665</v>
      </c>
      <c r="C2682" s="21">
        <v>44974</v>
      </c>
      <c r="D2682" s="20">
        <v>28.09</v>
      </c>
      <c r="E2682" s="22" t="s">
        <v>10</v>
      </c>
      <c r="F2682" s="22" t="s">
        <v>19</v>
      </c>
      <c r="G2682" s="22" t="s">
        <v>12</v>
      </c>
    </row>
    <row r="2683" ht="15.15" spans="1:7">
      <c r="A2683" s="20">
        <v>2682</v>
      </c>
      <c r="B2683" s="20">
        <v>883</v>
      </c>
      <c r="C2683" s="21">
        <v>45217</v>
      </c>
      <c r="D2683" s="20">
        <v>323.68</v>
      </c>
      <c r="E2683" s="22" t="s">
        <v>10</v>
      </c>
      <c r="F2683" s="22" t="s">
        <v>19</v>
      </c>
      <c r="G2683" s="22" t="s">
        <v>17</v>
      </c>
    </row>
    <row r="2684" ht="15.15" spans="1:7">
      <c r="A2684" s="20">
        <v>2683</v>
      </c>
      <c r="B2684" s="20">
        <v>2603</v>
      </c>
      <c r="C2684" s="21">
        <v>44996</v>
      </c>
      <c r="D2684" s="20">
        <v>2634.32</v>
      </c>
      <c r="E2684" s="22" t="s">
        <v>10</v>
      </c>
      <c r="F2684" s="22" t="s">
        <v>11</v>
      </c>
      <c r="G2684" s="22" t="s">
        <v>17</v>
      </c>
    </row>
    <row r="2685" ht="15.15" spans="1:7">
      <c r="A2685" s="20">
        <v>2684</v>
      </c>
      <c r="B2685" s="20">
        <v>590</v>
      </c>
      <c r="C2685" s="21">
        <v>45085</v>
      </c>
      <c r="D2685" s="20">
        <v>5090.75</v>
      </c>
      <c r="E2685" s="22" t="s">
        <v>10</v>
      </c>
      <c r="F2685" s="22" t="s">
        <v>14</v>
      </c>
      <c r="G2685" s="22" t="s">
        <v>20</v>
      </c>
    </row>
    <row r="2686" ht="15.15" spans="1:7">
      <c r="A2686" s="20">
        <v>2685</v>
      </c>
      <c r="B2686" s="20">
        <v>7731</v>
      </c>
      <c r="C2686" s="21">
        <v>45023</v>
      </c>
      <c r="D2686" s="20">
        <v>867.4</v>
      </c>
      <c r="E2686" s="22" t="s">
        <v>10</v>
      </c>
      <c r="F2686" s="22" t="s">
        <v>14</v>
      </c>
      <c r="G2686" s="22" t="s">
        <v>12</v>
      </c>
    </row>
    <row r="2687" ht="15.15" spans="1:7">
      <c r="A2687" s="20">
        <v>2686</v>
      </c>
      <c r="B2687" s="20">
        <v>4791</v>
      </c>
      <c r="C2687" s="21">
        <v>45193</v>
      </c>
      <c r="D2687" s="20">
        <v>971.78</v>
      </c>
      <c r="E2687" s="22" t="s">
        <v>10</v>
      </c>
      <c r="F2687" s="22" t="s">
        <v>11</v>
      </c>
      <c r="G2687" s="22" t="s">
        <v>12</v>
      </c>
    </row>
    <row r="2688" ht="15.15" spans="1:7">
      <c r="A2688" s="20">
        <v>2687</v>
      </c>
      <c r="B2688" s="20">
        <v>6170</v>
      </c>
      <c r="C2688" s="21">
        <v>45267</v>
      </c>
      <c r="D2688" s="20">
        <v>194.21</v>
      </c>
      <c r="E2688" s="22" t="s">
        <v>10</v>
      </c>
      <c r="F2688" s="22" t="s">
        <v>16</v>
      </c>
      <c r="G2688" s="22" t="s">
        <v>15</v>
      </c>
    </row>
    <row r="2689" ht="15.15" spans="1:7">
      <c r="A2689" s="20">
        <v>2688</v>
      </c>
      <c r="B2689" s="20">
        <v>5867</v>
      </c>
      <c r="C2689" s="21">
        <v>45150</v>
      </c>
      <c r="D2689" s="20">
        <v>2481.22</v>
      </c>
      <c r="E2689" s="22" t="s">
        <v>10</v>
      </c>
      <c r="F2689" s="22" t="s">
        <v>14</v>
      </c>
      <c r="G2689" s="22" t="s">
        <v>12</v>
      </c>
    </row>
    <row r="2690" ht="15.15" spans="1:7">
      <c r="A2690" s="20">
        <v>2689</v>
      </c>
      <c r="B2690" s="20">
        <v>4944</v>
      </c>
      <c r="C2690" s="21">
        <v>45288</v>
      </c>
      <c r="D2690" s="20">
        <v>281.52</v>
      </c>
      <c r="E2690" s="22" t="s">
        <v>10</v>
      </c>
      <c r="F2690" s="22" t="s">
        <v>11</v>
      </c>
      <c r="G2690" s="22" t="s">
        <v>17</v>
      </c>
    </row>
    <row r="2691" ht="15.15" spans="1:7">
      <c r="A2691" s="20">
        <v>2690</v>
      </c>
      <c r="B2691" s="20">
        <v>9637</v>
      </c>
      <c r="C2691" s="21">
        <v>45155</v>
      </c>
      <c r="D2691" s="20">
        <v>300.98</v>
      </c>
      <c r="E2691" s="22" t="s">
        <v>10</v>
      </c>
      <c r="F2691" s="22" t="s">
        <v>16</v>
      </c>
      <c r="G2691" s="22" t="s">
        <v>15</v>
      </c>
    </row>
    <row r="2692" ht="15.15" spans="1:7">
      <c r="A2692" s="20">
        <v>2691</v>
      </c>
      <c r="B2692" s="20">
        <v>4323</v>
      </c>
      <c r="C2692" s="21">
        <v>45245</v>
      </c>
      <c r="D2692" s="20">
        <v>3010.94</v>
      </c>
      <c r="E2692" s="22" t="s">
        <v>10</v>
      </c>
      <c r="F2692" s="22" t="s">
        <v>18</v>
      </c>
      <c r="G2692" s="22" t="s">
        <v>12</v>
      </c>
    </row>
    <row r="2693" ht="15.15" spans="1:7">
      <c r="A2693" s="20">
        <v>2692</v>
      </c>
      <c r="B2693" s="20">
        <v>5246</v>
      </c>
      <c r="C2693" s="21">
        <v>45044</v>
      </c>
      <c r="D2693" s="20">
        <v>661.44</v>
      </c>
      <c r="E2693" s="22" t="s">
        <v>10</v>
      </c>
      <c r="F2693" s="22" t="s">
        <v>14</v>
      </c>
      <c r="G2693" s="22" t="s">
        <v>12</v>
      </c>
    </row>
    <row r="2694" ht="15.15" spans="1:7">
      <c r="A2694" s="20">
        <v>2693</v>
      </c>
      <c r="B2694" s="20">
        <v>3506</v>
      </c>
      <c r="C2694" s="21">
        <v>45256</v>
      </c>
      <c r="D2694" s="20">
        <v>260.61</v>
      </c>
      <c r="E2694" s="22" t="s">
        <v>10</v>
      </c>
      <c r="F2694" s="22" t="s">
        <v>16</v>
      </c>
      <c r="G2694" s="22" t="s">
        <v>17</v>
      </c>
    </row>
    <row r="2695" ht="15.15" spans="1:7">
      <c r="A2695" s="20">
        <v>2694</v>
      </c>
      <c r="B2695" s="20">
        <v>8670</v>
      </c>
      <c r="C2695" s="21">
        <v>45022</v>
      </c>
      <c r="D2695" s="20">
        <v>1016.02</v>
      </c>
      <c r="E2695" s="22" t="s">
        <v>10</v>
      </c>
      <c r="F2695" s="22" t="s">
        <v>18</v>
      </c>
      <c r="G2695" s="22" t="s">
        <v>17</v>
      </c>
    </row>
    <row r="2696" ht="15.15" spans="1:7">
      <c r="A2696" s="20">
        <v>2695</v>
      </c>
      <c r="B2696" s="20">
        <v>2775</v>
      </c>
      <c r="C2696" s="21">
        <v>45279</v>
      </c>
      <c r="D2696" s="20">
        <v>3073.92</v>
      </c>
      <c r="E2696" s="22" t="s">
        <v>10</v>
      </c>
      <c r="F2696" s="22" t="s">
        <v>13</v>
      </c>
      <c r="G2696" s="22" t="s">
        <v>20</v>
      </c>
    </row>
    <row r="2697" ht="15.15" spans="1:7">
      <c r="A2697" s="20">
        <v>2696</v>
      </c>
      <c r="B2697" s="20">
        <v>1169</v>
      </c>
      <c r="C2697" s="21">
        <v>45254</v>
      </c>
      <c r="D2697" s="20">
        <v>1099.91</v>
      </c>
      <c r="E2697" s="22" t="s">
        <v>10</v>
      </c>
      <c r="F2697" s="22" t="s">
        <v>11</v>
      </c>
      <c r="G2697" s="22" t="s">
        <v>17</v>
      </c>
    </row>
    <row r="2698" ht="15.15" spans="1:7">
      <c r="A2698" s="20">
        <v>2697</v>
      </c>
      <c r="B2698" s="20">
        <v>8072</v>
      </c>
      <c r="C2698" s="21">
        <v>45117</v>
      </c>
      <c r="D2698" s="20">
        <v>2066.02</v>
      </c>
      <c r="E2698" s="22" t="s">
        <v>10</v>
      </c>
      <c r="F2698" s="22" t="s">
        <v>13</v>
      </c>
      <c r="G2698" s="22" t="s">
        <v>20</v>
      </c>
    </row>
    <row r="2699" ht="15.15" spans="1:7">
      <c r="A2699" s="20">
        <v>2698</v>
      </c>
      <c r="B2699" s="20">
        <v>8721</v>
      </c>
      <c r="C2699" s="21">
        <v>45210</v>
      </c>
      <c r="D2699" s="20">
        <v>844.42</v>
      </c>
      <c r="E2699" s="22" t="s">
        <v>22</v>
      </c>
      <c r="F2699" s="22" t="s">
        <v>14</v>
      </c>
      <c r="G2699" s="22" t="s">
        <v>15</v>
      </c>
    </row>
    <row r="2700" ht="15.15" spans="1:7">
      <c r="A2700" s="20">
        <v>2699</v>
      </c>
      <c r="B2700" s="20">
        <v>2501</v>
      </c>
      <c r="C2700" s="21">
        <v>45073</v>
      </c>
      <c r="D2700" s="20">
        <v>5981.37</v>
      </c>
      <c r="E2700" s="22" t="s">
        <v>10</v>
      </c>
      <c r="F2700" s="22" t="s">
        <v>13</v>
      </c>
      <c r="G2700" s="22" t="s">
        <v>17</v>
      </c>
    </row>
    <row r="2701" ht="15.15" spans="1:7">
      <c r="A2701" s="20">
        <v>2700</v>
      </c>
      <c r="B2701" s="20">
        <v>1099</v>
      </c>
      <c r="C2701" s="21">
        <v>45131</v>
      </c>
      <c r="D2701" s="20">
        <v>1150.45</v>
      </c>
      <c r="E2701" s="22" t="s">
        <v>10</v>
      </c>
      <c r="F2701" s="22" t="s">
        <v>13</v>
      </c>
      <c r="G2701" s="22" t="s">
        <v>20</v>
      </c>
    </row>
    <row r="2702" ht="15.15" spans="1:7">
      <c r="A2702" s="20">
        <v>2701</v>
      </c>
      <c r="B2702" s="20">
        <v>828</v>
      </c>
      <c r="C2702" s="21">
        <v>45042</v>
      </c>
      <c r="D2702" s="20">
        <v>284.86</v>
      </c>
      <c r="E2702" s="22" t="s">
        <v>10</v>
      </c>
      <c r="F2702" s="22" t="s">
        <v>11</v>
      </c>
      <c r="G2702" s="22" t="s">
        <v>15</v>
      </c>
    </row>
    <row r="2703" ht="15.15" spans="1:7">
      <c r="A2703" s="20">
        <v>2702</v>
      </c>
      <c r="B2703" s="20">
        <v>2797</v>
      </c>
      <c r="C2703" s="21">
        <v>45156</v>
      </c>
      <c r="D2703" s="20">
        <v>949.57</v>
      </c>
      <c r="E2703" s="22" t="s">
        <v>10</v>
      </c>
      <c r="F2703" s="22" t="s">
        <v>16</v>
      </c>
      <c r="G2703" s="22" t="s">
        <v>20</v>
      </c>
    </row>
    <row r="2704" ht="15.15" spans="1:7">
      <c r="A2704" s="20">
        <v>2703</v>
      </c>
      <c r="B2704" s="20">
        <v>4998</v>
      </c>
      <c r="C2704" s="21">
        <v>45024</v>
      </c>
      <c r="D2704" s="20">
        <v>2503.52</v>
      </c>
      <c r="E2704" s="22" t="s">
        <v>10</v>
      </c>
      <c r="F2704" s="22" t="s">
        <v>16</v>
      </c>
      <c r="G2704" s="22" t="s">
        <v>15</v>
      </c>
    </row>
    <row r="2705" ht="15.15" spans="1:7">
      <c r="A2705" s="20">
        <v>2704</v>
      </c>
      <c r="B2705" s="20">
        <v>6508</v>
      </c>
      <c r="C2705" s="21">
        <v>45243</v>
      </c>
      <c r="D2705" s="20">
        <v>459.12</v>
      </c>
      <c r="E2705" s="22" t="s">
        <v>21</v>
      </c>
      <c r="F2705" s="22" t="s">
        <v>16</v>
      </c>
      <c r="G2705" s="22" t="s">
        <v>20</v>
      </c>
    </row>
    <row r="2706" ht="15.15" spans="1:7">
      <c r="A2706" s="20">
        <v>2705</v>
      </c>
      <c r="B2706" s="20">
        <v>1608</v>
      </c>
      <c r="C2706" s="21">
        <v>45267</v>
      </c>
      <c r="D2706" s="20">
        <v>2074.65</v>
      </c>
      <c r="E2706" s="22" t="s">
        <v>10</v>
      </c>
      <c r="F2706" s="22" t="s">
        <v>14</v>
      </c>
      <c r="G2706" s="22" t="s">
        <v>17</v>
      </c>
    </row>
    <row r="2707" ht="15.15" spans="1:7">
      <c r="A2707" s="20">
        <v>2706</v>
      </c>
      <c r="B2707" s="20">
        <v>1476</v>
      </c>
      <c r="C2707" s="21">
        <v>45291</v>
      </c>
      <c r="D2707" s="20">
        <v>998.64</v>
      </c>
      <c r="E2707" s="22" t="s">
        <v>10</v>
      </c>
      <c r="F2707" s="22" t="s">
        <v>13</v>
      </c>
      <c r="G2707" s="22" t="s">
        <v>20</v>
      </c>
    </row>
    <row r="2708" ht="15.15" spans="1:7">
      <c r="A2708" s="20">
        <v>2707</v>
      </c>
      <c r="B2708" s="20">
        <v>1857</v>
      </c>
      <c r="C2708" s="21">
        <v>45052</v>
      </c>
      <c r="D2708" s="20">
        <v>926.44</v>
      </c>
      <c r="E2708" s="22" t="s">
        <v>10</v>
      </c>
      <c r="F2708" s="22" t="s">
        <v>13</v>
      </c>
      <c r="G2708" s="22" t="s">
        <v>15</v>
      </c>
    </row>
    <row r="2709" ht="15.15" spans="1:7">
      <c r="A2709" s="20">
        <v>2708</v>
      </c>
      <c r="B2709" s="20">
        <v>3585</v>
      </c>
      <c r="C2709" s="21">
        <v>45236</v>
      </c>
      <c r="D2709" s="20">
        <v>75.62</v>
      </c>
      <c r="E2709" s="22" t="s">
        <v>10</v>
      </c>
      <c r="F2709" s="22" t="s">
        <v>16</v>
      </c>
      <c r="G2709" s="22" t="s">
        <v>17</v>
      </c>
    </row>
    <row r="2710" ht="15.15" spans="1:7">
      <c r="A2710" s="20">
        <v>2709</v>
      </c>
      <c r="B2710" s="20">
        <v>945</v>
      </c>
      <c r="C2710" s="21">
        <v>45079</v>
      </c>
      <c r="D2710" s="20">
        <v>1777.25</v>
      </c>
      <c r="E2710" s="22" t="s">
        <v>10</v>
      </c>
      <c r="F2710" s="22" t="s">
        <v>13</v>
      </c>
      <c r="G2710" s="22" t="s">
        <v>12</v>
      </c>
    </row>
    <row r="2711" ht="15.15" spans="1:7">
      <c r="A2711" s="20">
        <v>2710</v>
      </c>
      <c r="B2711" s="20">
        <v>8633</v>
      </c>
      <c r="C2711" s="21">
        <v>45258</v>
      </c>
      <c r="D2711" s="20">
        <v>971.04</v>
      </c>
      <c r="E2711" s="22" t="s">
        <v>10</v>
      </c>
      <c r="F2711" s="22" t="s">
        <v>11</v>
      </c>
      <c r="G2711" s="22" t="s">
        <v>15</v>
      </c>
    </row>
    <row r="2712" ht="15.15" spans="1:7">
      <c r="A2712" s="20">
        <v>2711</v>
      </c>
      <c r="B2712" s="20">
        <v>142</v>
      </c>
      <c r="C2712" s="21">
        <v>45180</v>
      </c>
      <c r="D2712" s="20">
        <v>708.71</v>
      </c>
      <c r="E2712" s="22" t="s">
        <v>22</v>
      </c>
      <c r="F2712" s="22" t="s">
        <v>13</v>
      </c>
      <c r="G2712" s="22" t="s">
        <v>20</v>
      </c>
    </row>
    <row r="2713" ht="15.15" spans="1:7">
      <c r="A2713" s="20">
        <v>2712</v>
      </c>
      <c r="B2713" s="20">
        <v>2278</v>
      </c>
      <c r="C2713" s="21">
        <v>45098</v>
      </c>
      <c r="D2713" s="20">
        <v>1115.31</v>
      </c>
      <c r="E2713" s="22" t="s">
        <v>10</v>
      </c>
      <c r="F2713" s="22" t="s">
        <v>16</v>
      </c>
      <c r="G2713" s="22" t="s">
        <v>15</v>
      </c>
    </row>
    <row r="2714" ht="15.15" spans="1:7">
      <c r="A2714" s="20">
        <v>2713</v>
      </c>
      <c r="B2714" s="20">
        <v>1189</v>
      </c>
      <c r="C2714" s="21">
        <v>45208</v>
      </c>
      <c r="D2714" s="20">
        <v>891.08</v>
      </c>
      <c r="E2714" s="22" t="s">
        <v>10</v>
      </c>
      <c r="F2714" s="22" t="s">
        <v>13</v>
      </c>
      <c r="G2714" s="22" t="s">
        <v>12</v>
      </c>
    </row>
    <row r="2715" ht="15.15" spans="1:7">
      <c r="A2715" s="20">
        <v>2714</v>
      </c>
      <c r="B2715" s="20">
        <v>2341</v>
      </c>
      <c r="C2715" s="21">
        <v>45261</v>
      </c>
      <c r="D2715" s="20">
        <v>1679.58</v>
      </c>
      <c r="E2715" s="22" t="s">
        <v>21</v>
      </c>
      <c r="F2715" s="22" t="s">
        <v>18</v>
      </c>
      <c r="G2715" s="22" t="s">
        <v>15</v>
      </c>
    </row>
    <row r="2716" ht="15.15" spans="1:7">
      <c r="A2716" s="20">
        <v>2715</v>
      </c>
      <c r="B2716" s="20">
        <v>4954</v>
      </c>
      <c r="C2716" s="21">
        <v>45289</v>
      </c>
      <c r="D2716" s="20">
        <v>1219.05</v>
      </c>
      <c r="E2716" s="22" t="s">
        <v>10</v>
      </c>
      <c r="F2716" s="22" t="s">
        <v>11</v>
      </c>
      <c r="G2716" s="22" t="s">
        <v>17</v>
      </c>
    </row>
    <row r="2717" ht="15.15" spans="1:7">
      <c r="A2717" s="20">
        <v>2716</v>
      </c>
      <c r="B2717" s="20">
        <v>3971</v>
      </c>
      <c r="C2717" s="21">
        <v>45110</v>
      </c>
      <c r="D2717" s="20">
        <v>1095.62</v>
      </c>
      <c r="E2717" s="22" t="s">
        <v>10</v>
      </c>
      <c r="F2717" s="22" t="s">
        <v>16</v>
      </c>
      <c r="G2717" s="22" t="s">
        <v>17</v>
      </c>
    </row>
    <row r="2718" ht="15.15" spans="1:7">
      <c r="A2718" s="20">
        <v>2717</v>
      </c>
      <c r="B2718" s="20">
        <v>843</v>
      </c>
      <c r="C2718" s="21">
        <v>44998</v>
      </c>
      <c r="D2718" s="20">
        <v>201.88</v>
      </c>
      <c r="E2718" s="22" t="s">
        <v>10</v>
      </c>
      <c r="F2718" s="22" t="s">
        <v>16</v>
      </c>
      <c r="G2718" s="22" t="s">
        <v>20</v>
      </c>
    </row>
    <row r="2719" ht="15.15" spans="1:7">
      <c r="A2719" s="20">
        <v>2718</v>
      </c>
      <c r="B2719" s="20">
        <v>7589</v>
      </c>
      <c r="C2719" s="21">
        <v>45038</v>
      </c>
      <c r="D2719" s="20">
        <v>200.91</v>
      </c>
      <c r="E2719" s="22" t="s">
        <v>10</v>
      </c>
      <c r="F2719" s="22" t="s">
        <v>11</v>
      </c>
      <c r="G2719" s="22" t="s">
        <v>20</v>
      </c>
    </row>
    <row r="2720" ht="15.15" spans="1:7">
      <c r="A2720" s="20">
        <v>2719</v>
      </c>
      <c r="B2720" s="20">
        <v>6621</v>
      </c>
      <c r="C2720" s="21">
        <v>45150</v>
      </c>
      <c r="D2720" s="20">
        <v>2846.89</v>
      </c>
      <c r="E2720" s="22" t="s">
        <v>10</v>
      </c>
      <c r="F2720" s="22" t="s">
        <v>16</v>
      </c>
      <c r="G2720" s="22" t="s">
        <v>17</v>
      </c>
    </row>
    <row r="2721" ht="15.15" spans="1:7">
      <c r="A2721" s="20">
        <v>2720</v>
      </c>
      <c r="B2721" s="20">
        <v>8946</v>
      </c>
      <c r="C2721" s="21">
        <v>45083</v>
      </c>
      <c r="D2721" s="20">
        <v>1633.18</v>
      </c>
      <c r="E2721" s="22" t="s">
        <v>10</v>
      </c>
      <c r="F2721" s="22" t="s">
        <v>14</v>
      </c>
      <c r="G2721" s="22" t="s">
        <v>17</v>
      </c>
    </row>
    <row r="2722" ht="15.15" spans="1:7">
      <c r="A2722" s="20">
        <v>2721</v>
      </c>
      <c r="B2722" s="20">
        <v>5897</v>
      </c>
      <c r="C2722" s="21">
        <v>44963</v>
      </c>
      <c r="D2722" s="20">
        <v>254.46</v>
      </c>
      <c r="E2722" s="22" t="s">
        <v>10</v>
      </c>
      <c r="F2722" s="22" t="s">
        <v>16</v>
      </c>
      <c r="G2722" s="22" t="s">
        <v>12</v>
      </c>
    </row>
    <row r="2723" ht="15.15" spans="1:7">
      <c r="A2723" s="20">
        <v>2722</v>
      </c>
      <c r="B2723" s="20">
        <v>97</v>
      </c>
      <c r="C2723" s="21">
        <v>45241</v>
      </c>
      <c r="D2723" s="20">
        <v>3054.62</v>
      </c>
      <c r="E2723" s="22" t="s">
        <v>10</v>
      </c>
      <c r="F2723" s="22" t="s">
        <v>18</v>
      </c>
      <c r="G2723" s="22" t="s">
        <v>17</v>
      </c>
    </row>
    <row r="2724" ht="15.15" spans="1:7">
      <c r="A2724" s="20">
        <v>2723</v>
      </c>
      <c r="B2724" s="20">
        <v>3926</v>
      </c>
      <c r="C2724" s="21">
        <v>45243</v>
      </c>
      <c r="D2724" s="20">
        <v>1041.02</v>
      </c>
      <c r="E2724" s="22" t="s">
        <v>10</v>
      </c>
      <c r="F2724" s="22" t="s">
        <v>11</v>
      </c>
      <c r="G2724" s="22" t="s">
        <v>12</v>
      </c>
    </row>
    <row r="2725" ht="15.15" spans="1:7">
      <c r="A2725" s="20">
        <v>2724</v>
      </c>
      <c r="B2725" s="20">
        <v>4340</v>
      </c>
      <c r="C2725" s="21">
        <v>44979</v>
      </c>
      <c r="D2725" s="20">
        <v>776.21</v>
      </c>
      <c r="E2725" s="22" t="s">
        <v>10</v>
      </c>
      <c r="F2725" s="22" t="s">
        <v>11</v>
      </c>
      <c r="G2725" s="22" t="s">
        <v>15</v>
      </c>
    </row>
    <row r="2726" ht="15.15" spans="1:7">
      <c r="A2726" s="20">
        <v>2725</v>
      </c>
      <c r="B2726" s="20">
        <v>5705</v>
      </c>
      <c r="C2726" s="21">
        <v>45276</v>
      </c>
      <c r="D2726" s="20">
        <v>1100.4</v>
      </c>
      <c r="E2726" s="22" t="s">
        <v>10</v>
      </c>
      <c r="F2726" s="22" t="s">
        <v>13</v>
      </c>
      <c r="G2726" s="22" t="s">
        <v>15</v>
      </c>
    </row>
    <row r="2727" ht="15.15" spans="1:7">
      <c r="A2727" s="20">
        <v>2726</v>
      </c>
      <c r="B2727" s="20">
        <v>9820</v>
      </c>
      <c r="C2727" s="21">
        <v>45060</v>
      </c>
      <c r="D2727" s="20">
        <v>2171.33</v>
      </c>
      <c r="E2727" s="22" t="s">
        <v>10</v>
      </c>
      <c r="F2727" s="22" t="s">
        <v>16</v>
      </c>
      <c r="G2727" s="22" t="s">
        <v>15</v>
      </c>
    </row>
    <row r="2728" ht="15.15" spans="1:7">
      <c r="A2728" s="20">
        <v>2727</v>
      </c>
      <c r="B2728" s="20">
        <v>4766</v>
      </c>
      <c r="C2728" s="21">
        <v>45089</v>
      </c>
      <c r="D2728" s="20">
        <v>159.37</v>
      </c>
      <c r="E2728" s="22" t="s">
        <v>10</v>
      </c>
      <c r="F2728" s="22" t="s">
        <v>11</v>
      </c>
      <c r="G2728" s="22" t="s">
        <v>15</v>
      </c>
    </row>
    <row r="2729" ht="15.15" spans="1:7">
      <c r="A2729" s="20">
        <v>2728</v>
      </c>
      <c r="B2729" s="20">
        <v>7722</v>
      </c>
      <c r="C2729" s="21">
        <v>45171</v>
      </c>
      <c r="D2729" s="20">
        <v>1354.25</v>
      </c>
      <c r="E2729" s="22" t="s">
        <v>10</v>
      </c>
      <c r="F2729" s="22" t="s">
        <v>19</v>
      </c>
      <c r="G2729" s="22" t="s">
        <v>12</v>
      </c>
    </row>
    <row r="2730" ht="15.15" spans="1:7">
      <c r="A2730" s="20">
        <v>2729</v>
      </c>
      <c r="B2730" s="20">
        <v>5450</v>
      </c>
      <c r="C2730" s="21">
        <v>45136</v>
      </c>
      <c r="D2730" s="20">
        <v>1095.62</v>
      </c>
      <c r="E2730" s="22" t="s">
        <v>10</v>
      </c>
      <c r="F2730" s="22" t="s">
        <v>18</v>
      </c>
      <c r="G2730" s="22" t="s">
        <v>12</v>
      </c>
    </row>
    <row r="2731" ht="15.15" spans="1:7">
      <c r="A2731" s="20">
        <v>2730</v>
      </c>
      <c r="B2731" s="20">
        <v>3125</v>
      </c>
      <c r="C2731" s="21">
        <v>45141</v>
      </c>
      <c r="D2731" s="20">
        <v>1433.78</v>
      </c>
      <c r="E2731" s="22" t="s">
        <v>10</v>
      </c>
      <c r="F2731" s="22" t="s">
        <v>18</v>
      </c>
      <c r="G2731" s="22" t="s">
        <v>20</v>
      </c>
    </row>
    <row r="2732" ht="15.15" spans="1:7">
      <c r="A2732" s="20">
        <v>2731</v>
      </c>
      <c r="B2732" s="20">
        <v>6199</v>
      </c>
      <c r="C2732" s="21">
        <v>44971</v>
      </c>
      <c r="D2732" s="20">
        <v>1865.59</v>
      </c>
      <c r="E2732" s="22" t="s">
        <v>10</v>
      </c>
      <c r="F2732" s="22" t="s">
        <v>11</v>
      </c>
      <c r="G2732" s="22" t="s">
        <v>17</v>
      </c>
    </row>
    <row r="2733" ht="15.15" spans="1:7">
      <c r="A2733" s="20">
        <v>2732</v>
      </c>
      <c r="B2733" s="20">
        <v>5302</v>
      </c>
      <c r="C2733" s="21">
        <v>45254</v>
      </c>
      <c r="D2733" s="20">
        <v>406.33</v>
      </c>
      <c r="E2733" s="22" t="s">
        <v>10</v>
      </c>
      <c r="F2733" s="22" t="s">
        <v>11</v>
      </c>
      <c r="G2733" s="22" t="s">
        <v>20</v>
      </c>
    </row>
    <row r="2734" ht="15.15" spans="1:7">
      <c r="A2734" s="20">
        <v>2733</v>
      </c>
      <c r="B2734" s="20">
        <v>3826</v>
      </c>
      <c r="C2734" s="21">
        <v>45261</v>
      </c>
      <c r="D2734" s="20">
        <v>448.66</v>
      </c>
      <c r="E2734" s="22" t="s">
        <v>10</v>
      </c>
      <c r="F2734" s="22" t="s">
        <v>14</v>
      </c>
      <c r="G2734" s="22" t="s">
        <v>17</v>
      </c>
    </row>
    <row r="2735" ht="15.15" spans="1:7">
      <c r="A2735" s="20">
        <v>2734</v>
      </c>
      <c r="B2735" s="20">
        <v>3324</v>
      </c>
      <c r="C2735" s="21">
        <v>45234</v>
      </c>
      <c r="D2735" s="20">
        <v>339.07</v>
      </c>
      <c r="E2735" s="22" t="s">
        <v>10</v>
      </c>
      <c r="F2735" s="22" t="s">
        <v>18</v>
      </c>
      <c r="G2735" s="22" t="s">
        <v>20</v>
      </c>
    </row>
    <row r="2736" ht="15.15" spans="1:7">
      <c r="A2736" s="20">
        <v>2735</v>
      </c>
      <c r="B2736" s="20">
        <v>3787</v>
      </c>
      <c r="C2736" s="21">
        <v>45100</v>
      </c>
      <c r="D2736" s="20">
        <v>914.76</v>
      </c>
      <c r="E2736" s="22" t="s">
        <v>10</v>
      </c>
      <c r="F2736" s="22" t="s">
        <v>16</v>
      </c>
      <c r="G2736" s="22" t="s">
        <v>15</v>
      </c>
    </row>
    <row r="2737" ht="15.15" spans="1:7">
      <c r="A2737" s="20">
        <v>2736</v>
      </c>
      <c r="B2737" s="20">
        <v>259</v>
      </c>
      <c r="C2737" s="21">
        <v>44982</v>
      </c>
      <c r="D2737" s="20">
        <v>2328.46</v>
      </c>
      <c r="E2737" s="22" t="s">
        <v>21</v>
      </c>
      <c r="F2737" s="22" t="s">
        <v>16</v>
      </c>
      <c r="G2737" s="22" t="s">
        <v>20</v>
      </c>
    </row>
    <row r="2738" ht="15.15" spans="1:7">
      <c r="A2738" s="20">
        <v>2737</v>
      </c>
      <c r="B2738" s="20">
        <v>5946</v>
      </c>
      <c r="C2738" s="21">
        <v>45106</v>
      </c>
      <c r="D2738" s="20">
        <v>209.84</v>
      </c>
      <c r="E2738" s="22" t="s">
        <v>10</v>
      </c>
      <c r="F2738" s="22" t="s">
        <v>16</v>
      </c>
      <c r="G2738" s="22" t="s">
        <v>20</v>
      </c>
    </row>
    <row r="2739" ht="15.15" spans="1:7">
      <c r="A2739" s="20">
        <v>2738</v>
      </c>
      <c r="B2739" s="20">
        <v>2661</v>
      </c>
      <c r="C2739" s="21">
        <v>45123</v>
      </c>
      <c r="D2739" s="20">
        <v>1153.5</v>
      </c>
      <c r="E2739" s="22" t="s">
        <v>10</v>
      </c>
      <c r="F2739" s="22" t="s">
        <v>16</v>
      </c>
      <c r="G2739" s="22" t="s">
        <v>15</v>
      </c>
    </row>
    <row r="2740" ht="15.15" spans="1:7">
      <c r="A2740" s="20">
        <v>2739</v>
      </c>
      <c r="B2740" s="20">
        <v>8741</v>
      </c>
      <c r="C2740" s="21">
        <v>44934</v>
      </c>
      <c r="D2740" s="20">
        <v>1820.74</v>
      </c>
      <c r="E2740" s="22" t="s">
        <v>10</v>
      </c>
      <c r="F2740" s="22" t="s">
        <v>16</v>
      </c>
      <c r="G2740" s="22" t="s">
        <v>17</v>
      </c>
    </row>
    <row r="2741" ht="15.15" spans="1:7">
      <c r="A2741" s="20">
        <v>2740</v>
      </c>
      <c r="B2741" s="20">
        <v>2428</v>
      </c>
      <c r="C2741" s="21">
        <v>45082</v>
      </c>
      <c r="D2741" s="20">
        <v>1153.5</v>
      </c>
      <c r="E2741" s="22" t="s">
        <v>10</v>
      </c>
      <c r="F2741" s="22" t="s">
        <v>11</v>
      </c>
      <c r="G2741" s="22" t="s">
        <v>12</v>
      </c>
    </row>
    <row r="2742" ht="15.15" spans="1:7">
      <c r="A2742" s="20">
        <v>2741</v>
      </c>
      <c r="B2742" s="20">
        <v>3672</v>
      </c>
      <c r="C2742" s="21">
        <v>44983</v>
      </c>
      <c r="D2742" s="20">
        <v>200.91</v>
      </c>
      <c r="E2742" s="22" t="s">
        <v>10</v>
      </c>
      <c r="F2742" s="22" t="s">
        <v>18</v>
      </c>
      <c r="G2742" s="22" t="s">
        <v>17</v>
      </c>
    </row>
    <row r="2743" ht="15.15" spans="1:7">
      <c r="A2743" s="20">
        <v>2742</v>
      </c>
      <c r="B2743" s="20">
        <v>9282</v>
      </c>
      <c r="C2743" s="21">
        <v>44989</v>
      </c>
      <c r="D2743" s="20">
        <v>1771.93</v>
      </c>
      <c r="E2743" s="22" t="s">
        <v>10</v>
      </c>
      <c r="F2743" s="22" t="s">
        <v>13</v>
      </c>
      <c r="G2743" s="22" t="s">
        <v>17</v>
      </c>
    </row>
    <row r="2744" ht="15.15" spans="1:7">
      <c r="A2744" s="20">
        <v>2743</v>
      </c>
      <c r="B2744" s="20">
        <v>3818</v>
      </c>
      <c r="C2744" s="21">
        <v>45220</v>
      </c>
      <c r="D2744" s="20">
        <v>1360.93</v>
      </c>
      <c r="E2744" s="22" t="s">
        <v>10</v>
      </c>
      <c r="F2744" s="22" t="s">
        <v>11</v>
      </c>
      <c r="G2744" s="22" t="s">
        <v>15</v>
      </c>
    </row>
    <row r="2745" ht="15.15" spans="1:7">
      <c r="A2745" s="20">
        <v>2744</v>
      </c>
      <c r="B2745" s="20">
        <v>5451</v>
      </c>
      <c r="C2745" s="21">
        <v>44945</v>
      </c>
      <c r="D2745" s="20">
        <v>2258.24</v>
      </c>
      <c r="E2745" s="22" t="s">
        <v>10</v>
      </c>
      <c r="F2745" s="22" t="s">
        <v>14</v>
      </c>
      <c r="G2745" s="22" t="s">
        <v>12</v>
      </c>
    </row>
    <row r="2746" ht="15.15" spans="1:7">
      <c r="A2746" s="20">
        <v>2745</v>
      </c>
      <c r="B2746" s="20">
        <v>4278</v>
      </c>
      <c r="C2746" s="21">
        <v>45291</v>
      </c>
      <c r="D2746" s="20">
        <v>1636.29</v>
      </c>
      <c r="E2746" s="22" t="s">
        <v>10</v>
      </c>
      <c r="F2746" s="22" t="s">
        <v>11</v>
      </c>
      <c r="G2746" s="22" t="s">
        <v>17</v>
      </c>
    </row>
    <row r="2747" ht="15.15" spans="1:7">
      <c r="A2747" s="20">
        <v>2746</v>
      </c>
      <c r="B2747" s="20">
        <v>9946</v>
      </c>
      <c r="C2747" s="21">
        <v>45137</v>
      </c>
      <c r="D2747" s="20">
        <v>1600.95</v>
      </c>
      <c r="E2747" s="22" t="s">
        <v>10</v>
      </c>
      <c r="F2747" s="22" t="s">
        <v>18</v>
      </c>
      <c r="G2747" s="22" t="s">
        <v>15</v>
      </c>
    </row>
    <row r="2748" ht="15.15" spans="1:7">
      <c r="A2748" s="20">
        <v>2747</v>
      </c>
      <c r="B2748" s="20">
        <v>1374</v>
      </c>
      <c r="C2748" s="21">
        <v>45186</v>
      </c>
      <c r="D2748" s="20">
        <v>1661.6</v>
      </c>
      <c r="E2748" s="22" t="s">
        <v>10</v>
      </c>
      <c r="F2748" s="22" t="s">
        <v>16</v>
      </c>
      <c r="G2748" s="22" t="s">
        <v>15</v>
      </c>
    </row>
    <row r="2749" ht="15.15" spans="1:7">
      <c r="A2749" s="20">
        <v>2748</v>
      </c>
      <c r="B2749" s="20">
        <v>7177</v>
      </c>
      <c r="C2749" s="21">
        <v>45211</v>
      </c>
      <c r="D2749" s="20">
        <v>941.99</v>
      </c>
      <c r="E2749" s="22" t="s">
        <v>10</v>
      </c>
      <c r="F2749" s="22" t="s">
        <v>11</v>
      </c>
      <c r="G2749" s="22" t="s">
        <v>15</v>
      </c>
    </row>
    <row r="2750" ht="15.15" spans="1:7">
      <c r="A2750" s="20">
        <v>2749</v>
      </c>
      <c r="B2750" s="20">
        <v>1176</v>
      </c>
      <c r="C2750" s="21">
        <v>44962</v>
      </c>
      <c r="D2750" s="20">
        <v>973.11</v>
      </c>
      <c r="E2750" s="22" t="s">
        <v>10</v>
      </c>
      <c r="F2750" s="22" t="s">
        <v>13</v>
      </c>
      <c r="G2750" s="22" t="s">
        <v>15</v>
      </c>
    </row>
    <row r="2751" ht="15.15" spans="1:7">
      <c r="A2751" s="20">
        <v>2750</v>
      </c>
      <c r="B2751" s="20">
        <v>6437</v>
      </c>
      <c r="C2751" s="21">
        <v>45267</v>
      </c>
      <c r="D2751" s="20">
        <v>2195.36</v>
      </c>
      <c r="E2751" s="22" t="s">
        <v>10</v>
      </c>
      <c r="F2751" s="22" t="s">
        <v>14</v>
      </c>
      <c r="G2751" s="22" t="s">
        <v>17</v>
      </c>
    </row>
    <row r="2752" ht="15.15" spans="1:7">
      <c r="A2752" s="20">
        <v>2751</v>
      </c>
      <c r="B2752" s="20">
        <v>4469</v>
      </c>
      <c r="C2752" s="21">
        <v>45240</v>
      </c>
      <c r="D2752" s="20">
        <v>379.38</v>
      </c>
      <c r="E2752" s="22" t="s">
        <v>10</v>
      </c>
      <c r="F2752" s="22" t="s">
        <v>13</v>
      </c>
      <c r="G2752" s="22" t="s">
        <v>17</v>
      </c>
    </row>
    <row r="2753" ht="15.15" spans="1:7">
      <c r="A2753" s="20">
        <v>2752</v>
      </c>
      <c r="B2753" s="20">
        <v>5990</v>
      </c>
      <c r="C2753" s="21">
        <v>45166</v>
      </c>
      <c r="D2753" s="20">
        <v>1110.88</v>
      </c>
      <c r="E2753" s="22" t="s">
        <v>10</v>
      </c>
      <c r="F2753" s="22" t="s">
        <v>16</v>
      </c>
      <c r="G2753" s="22" t="s">
        <v>15</v>
      </c>
    </row>
    <row r="2754" ht="15.15" spans="1:7">
      <c r="A2754" s="20">
        <v>2753</v>
      </c>
      <c r="B2754" s="20">
        <v>8479</v>
      </c>
      <c r="C2754" s="21">
        <v>44929</v>
      </c>
      <c r="D2754" s="20">
        <v>2331.79</v>
      </c>
      <c r="E2754" s="22" t="s">
        <v>10</v>
      </c>
      <c r="F2754" s="22" t="s">
        <v>18</v>
      </c>
      <c r="G2754" s="22" t="s">
        <v>15</v>
      </c>
    </row>
    <row r="2755" ht="15.15" spans="1:7">
      <c r="A2755" s="20">
        <v>2754</v>
      </c>
      <c r="B2755" s="20">
        <v>2256</v>
      </c>
      <c r="C2755" s="21">
        <v>45280</v>
      </c>
      <c r="D2755" s="20">
        <v>1666.74</v>
      </c>
      <c r="E2755" s="22" t="s">
        <v>21</v>
      </c>
      <c r="F2755" s="22" t="s">
        <v>14</v>
      </c>
      <c r="G2755" s="22" t="s">
        <v>20</v>
      </c>
    </row>
    <row r="2756" ht="15.15" spans="1:7">
      <c r="A2756" s="20">
        <v>2755</v>
      </c>
      <c r="B2756" s="20">
        <v>1498</v>
      </c>
      <c r="C2756" s="21">
        <v>45274</v>
      </c>
      <c r="D2756" s="20">
        <v>3106.49</v>
      </c>
      <c r="E2756" s="22" t="s">
        <v>10</v>
      </c>
      <c r="F2756" s="22" t="s">
        <v>14</v>
      </c>
      <c r="G2756" s="22" t="s">
        <v>17</v>
      </c>
    </row>
    <row r="2757" ht="15.15" spans="1:7">
      <c r="A2757" s="20">
        <v>2756</v>
      </c>
      <c r="B2757" s="20">
        <v>7909</v>
      </c>
      <c r="C2757" s="21">
        <v>45208</v>
      </c>
      <c r="D2757" s="20">
        <v>512.34</v>
      </c>
      <c r="E2757" s="22" t="s">
        <v>10</v>
      </c>
      <c r="F2757" s="22" t="s">
        <v>14</v>
      </c>
      <c r="G2757" s="22" t="s">
        <v>12</v>
      </c>
    </row>
    <row r="2758" ht="15.15" spans="1:7">
      <c r="A2758" s="20">
        <v>2757</v>
      </c>
      <c r="B2758" s="20">
        <v>8233</v>
      </c>
      <c r="C2758" s="21">
        <v>45136</v>
      </c>
      <c r="D2758" s="20">
        <v>308.56</v>
      </c>
      <c r="E2758" s="22" t="s">
        <v>10</v>
      </c>
      <c r="F2758" s="22" t="s">
        <v>13</v>
      </c>
      <c r="G2758" s="22" t="s">
        <v>15</v>
      </c>
    </row>
    <row r="2759" ht="15.15" spans="1:7">
      <c r="A2759" s="20">
        <v>2758</v>
      </c>
      <c r="B2759" s="20">
        <v>6142</v>
      </c>
      <c r="C2759" s="21">
        <v>45251</v>
      </c>
      <c r="D2759" s="20">
        <v>209.84</v>
      </c>
      <c r="E2759" s="22" t="s">
        <v>10</v>
      </c>
      <c r="F2759" s="22" t="s">
        <v>14</v>
      </c>
      <c r="G2759" s="22" t="s">
        <v>17</v>
      </c>
    </row>
    <row r="2760" ht="15.15" spans="1:7">
      <c r="A2760" s="20">
        <v>2759</v>
      </c>
      <c r="B2760" s="20">
        <v>1664</v>
      </c>
      <c r="C2760" s="21">
        <v>45115</v>
      </c>
      <c r="D2760" s="20">
        <v>897.37</v>
      </c>
      <c r="E2760" s="22" t="s">
        <v>10</v>
      </c>
      <c r="F2760" s="22" t="s">
        <v>11</v>
      </c>
      <c r="G2760" s="22" t="s">
        <v>12</v>
      </c>
    </row>
    <row r="2761" ht="15.15" spans="1:7">
      <c r="A2761" s="20">
        <v>2760</v>
      </c>
      <c r="B2761" s="20">
        <v>5463</v>
      </c>
      <c r="C2761" s="21">
        <v>45086</v>
      </c>
      <c r="D2761" s="20">
        <v>1128.91</v>
      </c>
      <c r="E2761" s="22" t="s">
        <v>10</v>
      </c>
      <c r="F2761" s="22" t="s">
        <v>18</v>
      </c>
      <c r="G2761" s="22" t="s">
        <v>15</v>
      </c>
    </row>
    <row r="2762" ht="15.15" spans="1:7">
      <c r="A2762" s="20">
        <v>2761</v>
      </c>
      <c r="B2762" s="20">
        <v>5031</v>
      </c>
      <c r="C2762" s="21">
        <v>45134</v>
      </c>
      <c r="D2762" s="20">
        <v>1384.4</v>
      </c>
      <c r="E2762" s="22" t="s">
        <v>10</v>
      </c>
      <c r="F2762" s="22" t="s">
        <v>11</v>
      </c>
      <c r="G2762" s="22" t="s">
        <v>12</v>
      </c>
    </row>
    <row r="2763" ht="15.15" spans="1:7">
      <c r="A2763" s="20">
        <v>2762</v>
      </c>
      <c r="B2763" s="20">
        <v>4304</v>
      </c>
      <c r="C2763" s="21">
        <v>45199</v>
      </c>
      <c r="D2763" s="20">
        <v>1995.72</v>
      </c>
      <c r="E2763" s="22" t="s">
        <v>10</v>
      </c>
      <c r="F2763" s="22" t="s">
        <v>18</v>
      </c>
      <c r="G2763" s="22" t="s">
        <v>17</v>
      </c>
    </row>
    <row r="2764" ht="15.15" spans="1:7">
      <c r="A2764" s="20">
        <v>2763</v>
      </c>
      <c r="B2764" s="20">
        <v>8805</v>
      </c>
      <c r="C2764" s="21">
        <v>45279</v>
      </c>
      <c r="D2764" s="20">
        <v>4322.6</v>
      </c>
      <c r="E2764" s="22" t="s">
        <v>10</v>
      </c>
      <c r="F2764" s="22" t="s">
        <v>16</v>
      </c>
      <c r="G2764" s="22" t="s">
        <v>12</v>
      </c>
    </row>
    <row r="2765" ht="15.15" spans="1:7">
      <c r="A2765" s="20">
        <v>2764</v>
      </c>
      <c r="B2765" s="20">
        <v>7825</v>
      </c>
      <c r="C2765" s="21">
        <v>45243</v>
      </c>
      <c r="D2765" s="20">
        <v>1734.45</v>
      </c>
      <c r="E2765" s="22" t="s">
        <v>10</v>
      </c>
      <c r="F2765" s="22" t="s">
        <v>18</v>
      </c>
      <c r="G2765" s="22" t="s">
        <v>17</v>
      </c>
    </row>
    <row r="2766" ht="15.15" spans="1:7">
      <c r="A2766" s="20">
        <v>2765</v>
      </c>
      <c r="B2766" s="20">
        <v>3046</v>
      </c>
      <c r="C2766" s="21">
        <v>45006</v>
      </c>
      <c r="D2766" s="20">
        <v>950.65</v>
      </c>
      <c r="E2766" s="22" t="s">
        <v>10</v>
      </c>
      <c r="F2766" s="22" t="s">
        <v>18</v>
      </c>
      <c r="G2766" s="22" t="s">
        <v>12</v>
      </c>
    </row>
    <row r="2767" ht="15.15" spans="1:7">
      <c r="A2767" s="20">
        <v>2766</v>
      </c>
      <c r="B2767" s="20">
        <v>4431</v>
      </c>
      <c r="C2767" s="21">
        <v>44966</v>
      </c>
      <c r="D2767" s="20">
        <v>3507.4</v>
      </c>
      <c r="E2767" s="22" t="s">
        <v>10</v>
      </c>
      <c r="F2767" s="22" t="s">
        <v>16</v>
      </c>
      <c r="G2767" s="22" t="s">
        <v>17</v>
      </c>
    </row>
    <row r="2768" ht="15.15" spans="1:7">
      <c r="A2768" s="20">
        <v>2767</v>
      </c>
      <c r="B2768" s="20">
        <v>1674</v>
      </c>
      <c r="C2768" s="21">
        <v>44962</v>
      </c>
      <c r="D2768" s="20">
        <v>1786.98</v>
      </c>
      <c r="E2768" s="22" t="s">
        <v>10</v>
      </c>
      <c r="F2768" s="22" t="s">
        <v>18</v>
      </c>
      <c r="G2768" s="22" t="s">
        <v>20</v>
      </c>
    </row>
    <row r="2769" ht="15.15" spans="1:7">
      <c r="A2769" s="20">
        <v>2768</v>
      </c>
      <c r="B2769" s="20">
        <v>2530</v>
      </c>
      <c r="C2769" s="21">
        <v>45204</v>
      </c>
      <c r="D2769" s="20">
        <v>977.28</v>
      </c>
      <c r="E2769" s="22" t="s">
        <v>10</v>
      </c>
      <c r="F2769" s="22" t="s">
        <v>18</v>
      </c>
      <c r="G2769" s="22" t="s">
        <v>20</v>
      </c>
    </row>
    <row r="2770" ht="15.15" spans="1:7">
      <c r="A2770" s="20">
        <v>2769</v>
      </c>
      <c r="B2770" s="20">
        <v>8307</v>
      </c>
      <c r="C2770" s="21">
        <v>45279</v>
      </c>
      <c r="D2770" s="20">
        <v>1894.66</v>
      </c>
      <c r="E2770" s="22" t="s">
        <v>10</v>
      </c>
      <c r="F2770" s="22" t="s">
        <v>19</v>
      </c>
      <c r="G2770" s="22" t="s">
        <v>17</v>
      </c>
    </row>
    <row r="2771" ht="15.15" spans="1:7">
      <c r="A2771" s="20">
        <v>2770</v>
      </c>
      <c r="B2771" s="20">
        <v>6902</v>
      </c>
      <c r="C2771" s="21">
        <v>45256</v>
      </c>
      <c r="D2771" s="20">
        <v>1255.42</v>
      </c>
      <c r="E2771" s="22" t="s">
        <v>10</v>
      </c>
      <c r="F2771" s="22" t="s">
        <v>16</v>
      </c>
      <c r="G2771" s="22" t="s">
        <v>17</v>
      </c>
    </row>
    <row r="2772" ht="15.15" spans="1:7">
      <c r="A2772" s="20">
        <v>2771</v>
      </c>
      <c r="B2772" s="20">
        <v>8719</v>
      </c>
      <c r="C2772" s="21">
        <v>45040</v>
      </c>
      <c r="D2772" s="20">
        <v>3979.72</v>
      </c>
      <c r="E2772" s="22" t="s">
        <v>10</v>
      </c>
      <c r="F2772" s="22" t="s">
        <v>11</v>
      </c>
      <c r="G2772" s="22" t="s">
        <v>12</v>
      </c>
    </row>
    <row r="2773" ht="15.15" spans="1:7">
      <c r="A2773" s="20">
        <v>2772</v>
      </c>
      <c r="B2773" s="20">
        <v>7054</v>
      </c>
      <c r="C2773" s="21">
        <v>45110</v>
      </c>
      <c r="D2773" s="20">
        <v>526.08</v>
      </c>
      <c r="E2773" s="22" t="s">
        <v>10</v>
      </c>
      <c r="F2773" s="22" t="s">
        <v>13</v>
      </c>
      <c r="G2773" s="22" t="s">
        <v>17</v>
      </c>
    </row>
    <row r="2774" ht="15.15" spans="1:7">
      <c r="A2774" s="20">
        <v>2773</v>
      </c>
      <c r="B2774" s="20">
        <v>4173</v>
      </c>
      <c r="C2774" s="21">
        <v>45088</v>
      </c>
      <c r="D2774" s="20">
        <v>1247.53</v>
      </c>
      <c r="E2774" s="22" t="s">
        <v>10</v>
      </c>
      <c r="F2774" s="22" t="s">
        <v>16</v>
      </c>
      <c r="G2774" s="22" t="s">
        <v>17</v>
      </c>
    </row>
    <row r="2775" ht="15.15" spans="1:7">
      <c r="A2775" s="20">
        <v>2774</v>
      </c>
      <c r="B2775" s="20">
        <v>641</v>
      </c>
      <c r="C2775" s="21">
        <v>45028</v>
      </c>
      <c r="D2775" s="20">
        <v>287.09</v>
      </c>
      <c r="E2775" s="22" t="s">
        <v>10</v>
      </c>
      <c r="F2775" s="22" t="s">
        <v>14</v>
      </c>
      <c r="G2775" s="22" t="s">
        <v>15</v>
      </c>
    </row>
    <row r="2776" ht="15.15" spans="1:7">
      <c r="A2776" s="20">
        <v>2775</v>
      </c>
      <c r="B2776" s="20">
        <v>3637</v>
      </c>
      <c r="C2776" s="21">
        <v>45225</v>
      </c>
      <c r="D2776" s="20">
        <v>475.16</v>
      </c>
      <c r="E2776" s="22" t="s">
        <v>10</v>
      </c>
      <c r="F2776" s="22" t="s">
        <v>16</v>
      </c>
      <c r="G2776" s="22" t="s">
        <v>15</v>
      </c>
    </row>
    <row r="2777" ht="15.15" spans="1:7">
      <c r="A2777" s="20">
        <v>2776</v>
      </c>
      <c r="B2777" s="20">
        <v>6228</v>
      </c>
      <c r="C2777" s="21">
        <v>45223</v>
      </c>
      <c r="D2777" s="20">
        <v>849.18</v>
      </c>
      <c r="E2777" s="22" t="s">
        <v>10</v>
      </c>
      <c r="F2777" s="22" t="s">
        <v>13</v>
      </c>
      <c r="G2777" s="22" t="s">
        <v>17</v>
      </c>
    </row>
    <row r="2778" ht="15.15" spans="1:7">
      <c r="A2778" s="20">
        <v>2777</v>
      </c>
      <c r="B2778" s="20">
        <v>551</v>
      </c>
      <c r="C2778" s="21">
        <v>45127</v>
      </c>
      <c r="D2778" s="20">
        <v>956.18</v>
      </c>
      <c r="E2778" s="22" t="s">
        <v>21</v>
      </c>
      <c r="F2778" s="22" t="s">
        <v>11</v>
      </c>
      <c r="G2778" s="22" t="s">
        <v>20</v>
      </c>
    </row>
    <row r="2779" ht="15.15" spans="1:7">
      <c r="A2779" s="20">
        <v>2778</v>
      </c>
      <c r="B2779" s="20">
        <v>3540</v>
      </c>
      <c r="C2779" s="21">
        <v>44932</v>
      </c>
      <c r="D2779" s="20">
        <v>4912.58</v>
      </c>
      <c r="E2779" s="22" t="s">
        <v>10</v>
      </c>
      <c r="F2779" s="22" t="s">
        <v>13</v>
      </c>
      <c r="G2779" s="22" t="s">
        <v>12</v>
      </c>
    </row>
    <row r="2780" ht="15.15" spans="1:7">
      <c r="A2780" s="20">
        <v>2779</v>
      </c>
      <c r="B2780" s="20">
        <v>9956</v>
      </c>
      <c r="C2780" s="21">
        <v>45153</v>
      </c>
      <c r="D2780" s="20">
        <v>100.33</v>
      </c>
      <c r="E2780" s="22" t="s">
        <v>10</v>
      </c>
      <c r="F2780" s="22" t="s">
        <v>16</v>
      </c>
      <c r="G2780" s="22" t="s">
        <v>17</v>
      </c>
    </row>
    <row r="2781" ht="15.15" spans="1:7">
      <c r="A2781" s="20">
        <v>2780</v>
      </c>
      <c r="B2781" s="20">
        <v>2812</v>
      </c>
      <c r="C2781" s="21">
        <v>45278</v>
      </c>
      <c r="D2781" s="20">
        <v>579.6</v>
      </c>
      <c r="E2781" s="22" t="s">
        <v>10</v>
      </c>
      <c r="F2781" s="22" t="s">
        <v>14</v>
      </c>
      <c r="G2781" s="22" t="s">
        <v>20</v>
      </c>
    </row>
    <row r="2782" ht="15.15" spans="1:7">
      <c r="A2782" s="20">
        <v>2781</v>
      </c>
      <c r="B2782" s="20">
        <v>308</v>
      </c>
      <c r="C2782" s="21">
        <v>45224</v>
      </c>
      <c r="D2782" s="20">
        <v>1777.25</v>
      </c>
      <c r="E2782" s="22" t="s">
        <v>22</v>
      </c>
      <c r="F2782" s="22" t="s">
        <v>18</v>
      </c>
      <c r="G2782" s="22" t="s">
        <v>15</v>
      </c>
    </row>
    <row r="2783" ht="15.15" spans="1:7">
      <c r="A2783" s="20">
        <v>2782</v>
      </c>
      <c r="B2783" s="20">
        <v>8084</v>
      </c>
      <c r="C2783" s="21">
        <v>45140</v>
      </c>
      <c r="D2783" s="20">
        <v>580</v>
      </c>
      <c r="E2783" s="22" t="s">
        <v>10</v>
      </c>
      <c r="F2783" s="22" t="s">
        <v>18</v>
      </c>
      <c r="G2783" s="22" t="s">
        <v>20</v>
      </c>
    </row>
    <row r="2784" ht="15.15" spans="1:7">
      <c r="A2784" s="20">
        <v>2783</v>
      </c>
      <c r="B2784" s="20">
        <v>3039</v>
      </c>
      <c r="C2784" s="21">
        <v>44998</v>
      </c>
      <c r="D2784" s="20">
        <v>858.98</v>
      </c>
      <c r="E2784" s="22" t="s">
        <v>10</v>
      </c>
      <c r="F2784" s="22" t="s">
        <v>18</v>
      </c>
      <c r="G2784" s="22" t="s">
        <v>12</v>
      </c>
    </row>
    <row r="2785" ht="15.15" spans="1:7">
      <c r="A2785" s="20">
        <v>2784</v>
      </c>
      <c r="B2785" s="20">
        <v>9262</v>
      </c>
      <c r="C2785" s="21">
        <v>45275</v>
      </c>
      <c r="D2785" s="20">
        <v>3321.21</v>
      </c>
      <c r="E2785" s="22" t="s">
        <v>10</v>
      </c>
      <c r="F2785" s="22" t="s">
        <v>11</v>
      </c>
      <c r="G2785" s="22" t="s">
        <v>17</v>
      </c>
    </row>
    <row r="2786" ht="15.15" spans="1:7">
      <c r="A2786" s="20">
        <v>2785</v>
      </c>
      <c r="B2786" s="20">
        <v>9273</v>
      </c>
      <c r="C2786" s="21">
        <v>45030</v>
      </c>
      <c r="D2786" s="20">
        <v>4651.33</v>
      </c>
      <c r="E2786" s="22" t="s">
        <v>10</v>
      </c>
      <c r="F2786" s="22" t="s">
        <v>13</v>
      </c>
      <c r="G2786" s="22" t="s">
        <v>17</v>
      </c>
    </row>
    <row r="2787" ht="15.15" spans="1:7">
      <c r="A2787" s="20">
        <v>2786</v>
      </c>
      <c r="B2787" s="20">
        <v>5056</v>
      </c>
      <c r="C2787" s="21">
        <v>44975</v>
      </c>
      <c r="D2787" s="20">
        <v>547.34</v>
      </c>
      <c r="E2787" s="22" t="s">
        <v>10</v>
      </c>
      <c r="F2787" s="22" t="s">
        <v>14</v>
      </c>
      <c r="G2787" s="22" t="s">
        <v>17</v>
      </c>
    </row>
    <row r="2788" ht="15.15" spans="1:7">
      <c r="A2788" s="20">
        <v>2787</v>
      </c>
      <c r="B2788" s="20">
        <v>6622</v>
      </c>
      <c r="C2788" s="21">
        <v>44977</v>
      </c>
      <c r="D2788" s="20">
        <v>676.23</v>
      </c>
      <c r="E2788" s="22" t="s">
        <v>10</v>
      </c>
      <c r="F2788" s="22" t="s">
        <v>11</v>
      </c>
      <c r="G2788" s="22" t="s">
        <v>17</v>
      </c>
    </row>
    <row r="2789" ht="15.15" spans="1:7">
      <c r="A2789" s="20">
        <v>2788</v>
      </c>
      <c r="B2789" s="20">
        <v>1072</v>
      </c>
      <c r="C2789" s="21">
        <v>44957</v>
      </c>
      <c r="D2789" s="20">
        <v>1354.61</v>
      </c>
      <c r="E2789" s="22" t="s">
        <v>10</v>
      </c>
      <c r="F2789" s="22" t="s">
        <v>14</v>
      </c>
      <c r="G2789" s="22" t="s">
        <v>20</v>
      </c>
    </row>
    <row r="2790" ht="15.15" spans="1:7">
      <c r="A2790" s="20">
        <v>2789</v>
      </c>
      <c r="B2790" s="20">
        <v>7261</v>
      </c>
      <c r="C2790" s="21">
        <v>45258</v>
      </c>
      <c r="D2790" s="20">
        <v>1181.06</v>
      </c>
      <c r="E2790" s="22" t="s">
        <v>10</v>
      </c>
      <c r="F2790" s="22" t="s">
        <v>18</v>
      </c>
      <c r="G2790" s="22" t="s">
        <v>17</v>
      </c>
    </row>
    <row r="2791" ht="15.15" spans="1:7">
      <c r="A2791" s="20">
        <v>2790</v>
      </c>
      <c r="B2791" s="20">
        <v>9997</v>
      </c>
      <c r="C2791" s="21">
        <v>45091</v>
      </c>
      <c r="D2791" s="20">
        <v>3295.2</v>
      </c>
      <c r="E2791" s="22" t="s">
        <v>10</v>
      </c>
      <c r="F2791" s="22" t="s">
        <v>18</v>
      </c>
      <c r="G2791" s="22" t="s">
        <v>15</v>
      </c>
    </row>
    <row r="2792" ht="15.15" spans="1:7">
      <c r="A2792" s="20">
        <v>2791</v>
      </c>
      <c r="B2792" s="20">
        <v>4048</v>
      </c>
      <c r="C2792" s="21">
        <v>45155</v>
      </c>
      <c r="D2792" s="20">
        <v>1848.21</v>
      </c>
      <c r="E2792" s="22" t="s">
        <v>21</v>
      </c>
      <c r="F2792" s="22" t="s">
        <v>16</v>
      </c>
      <c r="G2792" s="22" t="s">
        <v>17</v>
      </c>
    </row>
    <row r="2793" ht="15.15" spans="1:7">
      <c r="A2793" s="20">
        <v>2792</v>
      </c>
      <c r="B2793" s="20">
        <v>8670</v>
      </c>
      <c r="C2793" s="21">
        <v>45253</v>
      </c>
      <c r="D2793" s="20">
        <v>965.83</v>
      </c>
      <c r="E2793" s="22" t="s">
        <v>10</v>
      </c>
      <c r="F2793" s="22" t="s">
        <v>18</v>
      </c>
      <c r="G2793" s="22" t="s">
        <v>20</v>
      </c>
    </row>
    <row r="2794" ht="15.15" spans="1:7">
      <c r="A2794" s="20">
        <v>2793</v>
      </c>
      <c r="B2794" s="20">
        <v>2802</v>
      </c>
      <c r="C2794" s="21">
        <v>45221</v>
      </c>
      <c r="D2794" s="20">
        <v>1027.97</v>
      </c>
      <c r="E2794" s="22" t="s">
        <v>10</v>
      </c>
      <c r="F2794" s="22" t="s">
        <v>14</v>
      </c>
      <c r="G2794" s="22" t="s">
        <v>20</v>
      </c>
    </row>
    <row r="2795" ht="15.15" spans="1:7">
      <c r="A2795" s="20">
        <v>2794</v>
      </c>
      <c r="B2795" s="20">
        <v>8541</v>
      </c>
      <c r="C2795" s="21">
        <v>45078</v>
      </c>
      <c r="D2795" s="20">
        <v>3353.17</v>
      </c>
      <c r="E2795" s="22" t="s">
        <v>22</v>
      </c>
      <c r="F2795" s="22" t="s">
        <v>14</v>
      </c>
      <c r="G2795" s="22" t="s">
        <v>20</v>
      </c>
    </row>
    <row r="2796" ht="15.15" spans="1:7">
      <c r="A2796" s="20">
        <v>2795</v>
      </c>
      <c r="B2796" s="20">
        <v>604</v>
      </c>
      <c r="C2796" s="21">
        <v>44957</v>
      </c>
      <c r="D2796" s="20">
        <v>1174.07</v>
      </c>
      <c r="E2796" s="22" t="s">
        <v>10</v>
      </c>
      <c r="F2796" s="22" t="s">
        <v>11</v>
      </c>
      <c r="G2796" s="22" t="s">
        <v>20</v>
      </c>
    </row>
    <row r="2797" ht="15.15" spans="1:7">
      <c r="A2797" s="20">
        <v>2796</v>
      </c>
      <c r="B2797" s="20">
        <v>2391</v>
      </c>
      <c r="C2797" s="21">
        <v>45123</v>
      </c>
      <c r="D2797" s="20">
        <v>938.88</v>
      </c>
      <c r="E2797" s="22" t="s">
        <v>10</v>
      </c>
      <c r="F2797" s="22" t="s">
        <v>13</v>
      </c>
      <c r="G2797" s="22" t="s">
        <v>20</v>
      </c>
    </row>
    <row r="2798" ht="15.15" spans="1:7">
      <c r="A2798" s="20">
        <v>2797</v>
      </c>
      <c r="B2798" s="20">
        <v>6079</v>
      </c>
      <c r="C2798" s="21">
        <v>45033</v>
      </c>
      <c r="D2798" s="20">
        <v>448.66</v>
      </c>
      <c r="E2798" s="22" t="s">
        <v>10</v>
      </c>
      <c r="F2798" s="22" t="s">
        <v>13</v>
      </c>
      <c r="G2798" s="22" t="s">
        <v>15</v>
      </c>
    </row>
    <row r="2799" ht="15.15" spans="1:7">
      <c r="A2799" s="20">
        <v>2798</v>
      </c>
      <c r="B2799" s="20">
        <v>4164</v>
      </c>
      <c r="C2799" s="21">
        <v>45218</v>
      </c>
      <c r="D2799" s="20">
        <v>456.21</v>
      </c>
      <c r="E2799" s="22" t="s">
        <v>10</v>
      </c>
      <c r="F2799" s="22" t="s">
        <v>13</v>
      </c>
      <c r="G2799" s="22" t="s">
        <v>17</v>
      </c>
    </row>
    <row r="2800" ht="15.15" spans="1:7">
      <c r="A2800" s="20">
        <v>2799</v>
      </c>
      <c r="B2800" s="20">
        <v>543</v>
      </c>
      <c r="C2800" s="21">
        <v>45030</v>
      </c>
      <c r="D2800" s="20">
        <v>1151.77</v>
      </c>
      <c r="E2800" s="22" t="s">
        <v>10</v>
      </c>
      <c r="F2800" s="22" t="s">
        <v>18</v>
      </c>
      <c r="G2800" s="22" t="s">
        <v>12</v>
      </c>
    </row>
    <row r="2801" ht="15.15" spans="1:7">
      <c r="A2801" s="20">
        <v>2800</v>
      </c>
      <c r="B2801" s="20">
        <v>5887</v>
      </c>
      <c r="C2801" s="21">
        <v>45115</v>
      </c>
      <c r="D2801" s="20">
        <v>151.46</v>
      </c>
      <c r="E2801" s="22" t="s">
        <v>10</v>
      </c>
      <c r="F2801" s="22" t="s">
        <v>13</v>
      </c>
      <c r="G2801" s="22" t="s">
        <v>17</v>
      </c>
    </row>
    <row r="2802" ht="15.15" spans="1:7">
      <c r="A2802" s="20">
        <v>2801</v>
      </c>
      <c r="B2802" s="20">
        <v>2738</v>
      </c>
      <c r="C2802" s="21">
        <v>45213</v>
      </c>
      <c r="D2802" s="20">
        <v>1146.95</v>
      </c>
      <c r="E2802" s="22" t="s">
        <v>10</v>
      </c>
      <c r="F2802" s="22" t="s">
        <v>16</v>
      </c>
      <c r="G2802" s="22" t="s">
        <v>12</v>
      </c>
    </row>
    <row r="2803" ht="15.15" spans="1:7">
      <c r="A2803" s="20">
        <v>2802</v>
      </c>
      <c r="B2803" s="20">
        <v>5677</v>
      </c>
      <c r="C2803" s="21">
        <v>45123</v>
      </c>
      <c r="D2803" s="20">
        <v>1623.48</v>
      </c>
      <c r="E2803" s="22" t="s">
        <v>10</v>
      </c>
      <c r="F2803" s="22" t="s">
        <v>18</v>
      </c>
      <c r="G2803" s="22" t="s">
        <v>15</v>
      </c>
    </row>
    <row r="2804" ht="15.15" spans="1:7">
      <c r="A2804" s="20">
        <v>2803</v>
      </c>
      <c r="B2804" s="20">
        <v>4406</v>
      </c>
      <c r="C2804" s="21">
        <v>44938</v>
      </c>
      <c r="D2804" s="20">
        <v>914.09</v>
      </c>
      <c r="E2804" s="22" t="s">
        <v>10</v>
      </c>
      <c r="F2804" s="22" t="s">
        <v>18</v>
      </c>
      <c r="G2804" s="22" t="s">
        <v>15</v>
      </c>
    </row>
    <row r="2805" ht="15.15" spans="1:7">
      <c r="A2805" s="20">
        <v>2804</v>
      </c>
      <c r="B2805" s="20">
        <v>9052</v>
      </c>
      <c r="C2805" s="21">
        <v>45237</v>
      </c>
      <c r="D2805" s="20">
        <v>1988.1</v>
      </c>
      <c r="E2805" s="22" t="s">
        <v>10</v>
      </c>
      <c r="F2805" s="22" t="s">
        <v>18</v>
      </c>
      <c r="G2805" s="22" t="s">
        <v>20</v>
      </c>
    </row>
    <row r="2806" ht="15.15" spans="1:7">
      <c r="A2806" s="20">
        <v>2805</v>
      </c>
      <c r="B2806" s="20">
        <v>3875</v>
      </c>
      <c r="C2806" s="21">
        <v>44983</v>
      </c>
      <c r="D2806" s="20">
        <v>99.33</v>
      </c>
      <c r="E2806" s="22" t="s">
        <v>10</v>
      </c>
      <c r="F2806" s="22" t="s">
        <v>14</v>
      </c>
      <c r="G2806" s="22" t="s">
        <v>12</v>
      </c>
    </row>
    <row r="2807" ht="15.15" spans="1:7">
      <c r="A2807" s="20">
        <v>2806</v>
      </c>
      <c r="B2807" s="20">
        <v>3690</v>
      </c>
      <c r="C2807" s="21">
        <v>45280</v>
      </c>
      <c r="D2807" s="20">
        <v>475.16</v>
      </c>
      <c r="E2807" s="22" t="s">
        <v>10</v>
      </c>
      <c r="F2807" s="22" t="s">
        <v>13</v>
      </c>
      <c r="G2807" s="22" t="s">
        <v>12</v>
      </c>
    </row>
    <row r="2808" ht="15.15" spans="1:7">
      <c r="A2808" s="20">
        <v>2807</v>
      </c>
      <c r="B2808" s="20">
        <v>8801</v>
      </c>
      <c r="C2808" s="21">
        <v>45227</v>
      </c>
      <c r="D2808" s="20">
        <v>5509.56</v>
      </c>
      <c r="E2808" s="22" t="s">
        <v>10</v>
      </c>
      <c r="F2808" s="22" t="s">
        <v>16</v>
      </c>
      <c r="G2808" s="22" t="s">
        <v>12</v>
      </c>
    </row>
    <row r="2809" ht="15.15" spans="1:7">
      <c r="A2809" s="20">
        <v>2808</v>
      </c>
      <c r="B2809" s="20">
        <v>6170</v>
      </c>
      <c r="C2809" s="21">
        <v>45095</v>
      </c>
      <c r="D2809" s="20">
        <v>413.05</v>
      </c>
      <c r="E2809" s="22" t="s">
        <v>10</v>
      </c>
      <c r="F2809" s="22" t="s">
        <v>16</v>
      </c>
      <c r="G2809" s="22" t="s">
        <v>15</v>
      </c>
    </row>
    <row r="2810" ht="15.15" spans="1:7">
      <c r="A2810" s="20">
        <v>2809</v>
      </c>
      <c r="B2810" s="20">
        <v>4156</v>
      </c>
      <c r="C2810" s="21">
        <v>45240</v>
      </c>
      <c r="D2810" s="20">
        <v>670.56</v>
      </c>
      <c r="E2810" s="22" t="s">
        <v>10</v>
      </c>
      <c r="F2810" s="22" t="s">
        <v>18</v>
      </c>
      <c r="G2810" s="22" t="s">
        <v>17</v>
      </c>
    </row>
    <row r="2811" ht="15.15" spans="1:7">
      <c r="A2811" s="20">
        <v>2810</v>
      </c>
      <c r="B2811" s="20">
        <v>5024</v>
      </c>
      <c r="C2811" s="21">
        <v>45272</v>
      </c>
      <c r="D2811" s="20">
        <v>2521.85</v>
      </c>
      <c r="E2811" s="22" t="s">
        <v>10</v>
      </c>
      <c r="F2811" s="22" t="s">
        <v>14</v>
      </c>
      <c r="G2811" s="22" t="s">
        <v>20</v>
      </c>
    </row>
    <row r="2812" ht="15.15" spans="1:7">
      <c r="A2812" s="20">
        <v>2811</v>
      </c>
      <c r="B2812" s="20">
        <v>1047</v>
      </c>
      <c r="C2812" s="21">
        <v>45063</v>
      </c>
      <c r="D2812" s="20">
        <v>2790.71</v>
      </c>
      <c r="E2812" s="22" t="s">
        <v>10</v>
      </c>
      <c r="F2812" s="22" t="s">
        <v>14</v>
      </c>
      <c r="G2812" s="22" t="s">
        <v>20</v>
      </c>
    </row>
    <row r="2813" ht="15.15" spans="1:7">
      <c r="A2813" s="20">
        <v>2812</v>
      </c>
      <c r="B2813" s="20">
        <v>6640</v>
      </c>
      <c r="C2813" s="21">
        <v>45008</v>
      </c>
      <c r="D2813" s="20">
        <v>481.15</v>
      </c>
      <c r="E2813" s="22" t="s">
        <v>10</v>
      </c>
      <c r="F2813" s="22" t="s">
        <v>16</v>
      </c>
      <c r="G2813" s="22" t="s">
        <v>12</v>
      </c>
    </row>
    <row r="2814" ht="15.15" spans="1:7">
      <c r="A2814" s="20">
        <v>2813</v>
      </c>
      <c r="B2814" s="20">
        <v>6561</v>
      </c>
      <c r="C2814" s="21">
        <v>45205</v>
      </c>
      <c r="D2814" s="20">
        <v>3960.83</v>
      </c>
      <c r="E2814" s="22" t="s">
        <v>10</v>
      </c>
      <c r="F2814" s="22" t="s">
        <v>18</v>
      </c>
      <c r="G2814" s="22" t="s">
        <v>17</v>
      </c>
    </row>
    <row r="2815" ht="15.15" spans="1:7">
      <c r="A2815" s="20">
        <v>2814</v>
      </c>
      <c r="B2815" s="20">
        <v>3267</v>
      </c>
      <c r="C2815" s="21">
        <v>45162</v>
      </c>
      <c r="D2815" s="20">
        <v>1933.65</v>
      </c>
      <c r="E2815" s="22" t="s">
        <v>10</v>
      </c>
      <c r="F2815" s="22" t="s">
        <v>19</v>
      </c>
      <c r="G2815" s="22" t="s">
        <v>17</v>
      </c>
    </row>
    <row r="2816" ht="15.15" spans="1:7">
      <c r="A2816" s="20">
        <v>2815</v>
      </c>
      <c r="B2816" s="20">
        <v>3454</v>
      </c>
      <c r="C2816" s="21">
        <v>45046</v>
      </c>
      <c r="D2816" s="20">
        <v>11792.36</v>
      </c>
      <c r="E2816" s="22" t="s">
        <v>10</v>
      </c>
      <c r="F2816" s="22" t="s">
        <v>11</v>
      </c>
      <c r="G2816" s="22" t="s">
        <v>15</v>
      </c>
    </row>
    <row r="2817" ht="15.15" spans="1:7">
      <c r="A2817" s="20">
        <v>2816</v>
      </c>
      <c r="B2817" s="20">
        <v>5581</v>
      </c>
      <c r="C2817" s="21">
        <v>45066</v>
      </c>
      <c r="D2817" s="20">
        <v>534.49</v>
      </c>
      <c r="E2817" s="22" t="s">
        <v>10</v>
      </c>
      <c r="F2817" s="22" t="s">
        <v>16</v>
      </c>
      <c r="G2817" s="22" t="s">
        <v>17</v>
      </c>
    </row>
    <row r="2818" ht="15.15" spans="1:7">
      <c r="A2818" s="20">
        <v>2817</v>
      </c>
      <c r="B2818" s="20">
        <v>3744</v>
      </c>
      <c r="C2818" s="21">
        <v>45042</v>
      </c>
      <c r="D2818" s="20">
        <v>360.28</v>
      </c>
      <c r="E2818" s="22" t="s">
        <v>10</v>
      </c>
      <c r="F2818" s="22" t="s">
        <v>14</v>
      </c>
      <c r="G2818" s="22" t="s">
        <v>17</v>
      </c>
    </row>
    <row r="2819" ht="15.15" spans="1:7">
      <c r="A2819" s="20">
        <v>2818</v>
      </c>
      <c r="B2819" s="20">
        <v>1060</v>
      </c>
      <c r="C2819" s="21">
        <v>45159</v>
      </c>
      <c r="D2819" s="20">
        <v>273.77</v>
      </c>
      <c r="E2819" s="22" t="s">
        <v>10</v>
      </c>
      <c r="F2819" s="22" t="s">
        <v>18</v>
      </c>
      <c r="G2819" s="22" t="s">
        <v>15</v>
      </c>
    </row>
    <row r="2820" ht="15.15" spans="1:7">
      <c r="A2820" s="20">
        <v>2819</v>
      </c>
      <c r="B2820" s="20">
        <v>6079</v>
      </c>
      <c r="C2820" s="21">
        <v>45170</v>
      </c>
      <c r="D2820" s="20">
        <v>157.92</v>
      </c>
      <c r="E2820" s="22" t="s">
        <v>10</v>
      </c>
      <c r="F2820" s="22" t="s">
        <v>13</v>
      </c>
      <c r="G2820" s="22" t="s">
        <v>15</v>
      </c>
    </row>
    <row r="2821" ht="15.15" spans="1:7">
      <c r="A2821" s="20">
        <v>2820</v>
      </c>
      <c r="B2821" s="20">
        <v>2265</v>
      </c>
      <c r="C2821" s="21">
        <v>45111</v>
      </c>
      <c r="D2821" s="20">
        <v>1129.15</v>
      </c>
      <c r="E2821" s="22" t="s">
        <v>10</v>
      </c>
      <c r="F2821" s="22" t="s">
        <v>14</v>
      </c>
      <c r="G2821" s="22" t="s">
        <v>17</v>
      </c>
    </row>
    <row r="2822" ht="15.15" spans="1:7">
      <c r="A2822" s="20">
        <v>2821</v>
      </c>
      <c r="B2822" s="20">
        <v>5022</v>
      </c>
      <c r="C2822" s="21">
        <v>44990</v>
      </c>
      <c r="D2822" s="20">
        <v>132.23</v>
      </c>
      <c r="E2822" s="22" t="s">
        <v>10</v>
      </c>
      <c r="F2822" s="22" t="s">
        <v>11</v>
      </c>
      <c r="G2822" s="22" t="s">
        <v>12</v>
      </c>
    </row>
    <row r="2823" ht="15.15" spans="1:7">
      <c r="A2823" s="20">
        <v>2822</v>
      </c>
      <c r="B2823" s="20">
        <v>5036</v>
      </c>
      <c r="C2823" s="21">
        <v>45006</v>
      </c>
      <c r="D2823" s="20">
        <v>469.48</v>
      </c>
      <c r="E2823" s="22" t="s">
        <v>10</v>
      </c>
      <c r="F2823" s="22" t="s">
        <v>13</v>
      </c>
      <c r="G2823" s="22" t="s">
        <v>17</v>
      </c>
    </row>
    <row r="2824" ht="15.15" spans="1:7">
      <c r="A2824" s="20">
        <v>2823</v>
      </c>
      <c r="B2824" s="20">
        <v>6587</v>
      </c>
      <c r="C2824" s="21">
        <v>45228</v>
      </c>
      <c r="D2824" s="20">
        <v>1195.39</v>
      </c>
      <c r="E2824" s="22" t="s">
        <v>10</v>
      </c>
      <c r="F2824" s="22" t="s">
        <v>14</v>
      </c>
      <c r="G2824" s="22" t="s">
        <v>20</v>
      </c>
    </row>
    <row r="2825" ht="15.15" spans="1:7">
      <c r="A2825" s="20">
        <v>2824</v>
      </c>
      <c r="B2825" s="20">
        <v>4642</v>
      </c>
      <c r="C2825" s="21">
        <v>45180</v>
      </c>
      <c r="D2825" s="20">
        <v>613.75</v>
      </c>
      <c r="E2825" s="22" t="s">
        <v>10</v>
      </c>
      <c r="F2825" s="22" t="s">
        <v>18</v>
      </c>
      <c r="G2825" s="22" t="s">
        <v>12</v>
      </c>
    </row>
    <row r="2826" ht="15.15" spans="1:7">
      <c r="A2826" s="20">
        <v>2825</v>
      </c>
      <c r="B2826" s="20">
        <v>1667</v>
      </c>
      <c r="C2826" s="21">
        <v>45239</v>
      </c>
      <c r="D2826" s="20">
        <v>512.34</v>
      </c>
      <c r="E2826" s="22" t="s">
        <v>10</v>
      </c>
      <c r="F2826" s="22" t="s">
        <v>14</v>
      </c>
      <c r="G2826" s="22" t="s">
        <v>15</v>
      </c>
    </row>
    <row r="2827" ht="15.15" spans="1:7">
      <c r="A2827" s="20">
        <v>2826</v>
      </c>
      <c r="B2827" s="20">
        <v>2781</v>
      </c>
      <c r="C2827" s="21">
        <v>45254</v>
      </c>
      <c r="D2827" s="20">
        <v>1872.65</v>
      </c>
      <c r="E2827" s="22" t="s">
        <v>10</v>
      </c>
      <c r="F2827" s="22" t="s">
        <v>16</v>
      </c>
      <c r="G2827" s="22" t="s">
        <v>15</v>
      </c>
    </row>
    <row r="2828" ht="15.15" spans="1:7">
      <c r="A2828" s="20">
        <v>2827</v>
      </c>
      <c r="B2828" s="20">
        <v>975</v>
      </c>
      <c r="C2828" s="21">
        <v>45173</v>
      </c>
      <c r="D2828" s="20">
        <v>2432.22</v>
      </c>
      <c r="E2828" s="22" t="s">
        <v>10</v>
      </c>
      <c r="F2828" s="22" t="s">
        <v>19</v>
      </c>
      <c r="G2828" s="22" t="s">
        <v>17</v>
      </c>
    </row>
    <row r="2829" ht="15.15" spans="1:7">
      <c r="A2829" s="20">
        <v>2828</v>
      </c>
      <c r="B2829" s="20">
        <v>1890</v>
      </c>
      <c r="C2829" s="21">
        <v>45290</v>
      </c>
      <c r="D2829" s="20">
        <v>997.27</v>
      </c>
      <c r="E2829" s="22" t="s">
        <v>10</v>
      </c>
      <c r="F2829" s="22" t="s">
        <v>16</v>
      </c>
      <c r="G2829" s="22" t="s">
        <v>12</v>
      </c>
    </row>
    <row r="2830" ht="15.15" spans="1:7">
      <c r="A2830" s="20">
        <v>2829</v>
      </c>
      <c r="B2830" s="20">
        <v>2526</v>
      </c>
      <c r="C2830" s="21">
        <v>45237</v>
      </c>
      <c r="D2830" s="20">
        <v>1926.52</v>
      </c>
      <c r="E2830" s="22" t="s">
        <v>10</v>
      </c>
      <c r="F2830" s="22" t="s">
        <v>13</v>
      </c>
      <c r="G2830" s="22" t="s">
        <v>17</v>
      </c>
    </row>
    <row r="2831" ht="15.15" spans="1:7">
      <c r="A2831" s="20">
        <v>2830</v>
      </c>
      <c r="B2831" s="20">
        <v>3672</v>
      </c>
      <c r="C2831" s="21">
        <v>44961</v>
      </c>
      <c r="D2831" s="20">
        <v>844.42</v>
      </c>
      <c r="E2831" s="22" t="s">
        <v>10</v>
      </c>
      <c r="F2831" s="22" t="s">
        <v>18</v>
      </c>
      <c r="G2831" s="22" t="s">
        <v>12</v>
      </c>
    </row>
    <row r="2832" ht="15.15" spans="1:7">
      <c r="A2832" s="20">
        <v>2831</v>
      </c>
      <c r="B2832" s="20">
        <v>674</v>
      </c>
      <c r="C2832" s="21">
        <v>45127</v>
      </c>
      <c r="D2832" s="20">
        <v>1465.8</v>
      </c>
      <c r="E2832" s="22" t="s">
        <v>10</v>
      </c>
      <c r="F2832" s="22" t="s">
        <v>18</v>
      </c>
      <c r="G2832" s="22" t="s">
        <v>12</v>
      </c>
    </row>
    <row r="2833" ht="15.15" spans="1:7">
      <c r="A2833" s="20">
        <v>2832</v>
      </c>
      <c r="B2833" s="20">
        <v>7348</v>
      </c>
      <c r="C2833" s="21">
        <v>45138</v>
      </c>
      <c r="D2833" s="20">
        <v>4879.46</v>
      </c>
      <c r="E2833" s="22" t="s">
        <v>10</v>
      </c>
      <c r="F2833" s="22" t="s">
        <v>13</v>
      </c>
      <c r="G2833" s="22" t="s">
        <v>12</v>
      </c>
    </row>
    <row r="2834" ht="15.15" spans="1:7">
      <c r="A2834" s="20">
        <v>2833</v>
      </c>
      <c r="B2834" s="20">
        <v>2988</v>
      </c>
      <c r="C2834" s="21">
        <v>45143</v>
      </c>
      <c r="D2834" s="20">
        <v>648.17</v>
      </c>
      <c r="E2834" s="22" t="s">
        <v>10</v>
      </c>
      <c r="F2834" s="22" t="s">
        <v>13</v>
      </c>
      <c r="G2834" s="22" t="s">
        <v>17</v>
      </c>
    </row>
    <row r="2835" ht="15.15" spans="1:7">
      <c r="A2835" s="20">
        <v>2834</v>
      </c>
      <c r="B2835" s="20">
        <v>7592</v>
      </c>
      <c r="C2835" s="21">
        <v>45042</v>
      </c>
      <c r="D2835" s="20">
        <v>1502.56</v>
      </c>
      <c r="E2835" s="22" t="s">
        <v>10</v>
      </c>
      <c r="F2835" s="22" t="s">
        <v>13</v>
      </c>
      <c r="G2835" s="22" t="s">
        <v>15</v>
      </c>
    </row>
    <row r="2836" ht="15.15" spans="1:7">
      <c r="A2836" s="20">
        <v>2835</v>
      </c>
      <c r="B2836" s="20">
        <v>4051</v>
      </c>
      <c r="C2836" s="21">
        <v>45123</v>
      </c>
      <c r="D2836" s="20">
        <v>2322.68</v>
      </c>
      <c r="E2836" s="22" t="s">
        <v>10</v>
      </c>
      <c r="F2836" s="22" t="s">
        <v>18</v>
      </c>
      <c r="G2836" s="22" t="s">
        <v>17</v>
      </c>
    </row>
    <row r="2837" ht="15.15" spans="1:7">
      <c r="A2837" s="20">
        <v>2836</v>
      </c>
      <c r="B2837" s="20">
        <v>8759</v>
      </c>
      <c r="C2837" s="21">
        <v>45213</v>
      </c>
      <c r="D2837" s="20">
        <v>858.98</v>
      </c>
      <c r="E2837" s="22" t="s">
        <v>10</v>
      </c>
      <c r="F2837" s="22" t="s">
        <v>16</v>
      </c>
      <c r="G2837" s="22" t="s">
        <v>17</v>
      </c>
    </row>
    <row r="2838" ht="15.15" spans="1:7">
      <c r="A2838" s="20">
        <v>2837</v>
      </c>
      <c r="B2838" s="20">
        <v>9187</v>
      </c>
      <c r="C2838" s="21">
        <v>44938</v>
      </c>
      <c r="D2838" s="20">
        <v>929.07</v>
      </c>
      <c r="E2838" s="22" t="s">
        <v>10</v>
      </c>
      <c r="F2838" s="22" t="s">
        <v>13</v>
      </c>
      <c r="G2838" s="22" t="s">
        <v>15</v>
      </c>
    </row>
    <row r="2839" ht="15.15" spans="1:7">
      <c r="A2839" s="20">
        <v>2838</v>
      </c>
      <c r="B2839" s="20">
        <v>4725</v>
      </c>
      <c r="C2839" s="21">
        <v>44946</v>
      </c>
      <c r="D2839" s="20">
        <v>5514.92</v>
      </c>
      <c r="E2839" s="22" t="s">
        <v>10</v>
      </c>
      <c r="F2839" s="22" t="s">
        <v>14</v>
      </c>
      <c r="G2839" s="22" t="s">
        <v>17</v>
      </c>
    </row>
    <row r="2840" ht="15.15" spans="1:7">
      <c r="A2840" s="20">
        <v>2839</v>
      </c>
      <c r="B2840" s="20">
        <v>3640</v>
      </c>
      <c r="C2840" s="21">
        <v>45120</v>
      </c>
      <c r="D2840" s="20">
        <v>1556.22</v>
      </c>
      <c r="E2840" s="22" t="s">
        <v>10</v>
      </c>
      <c r="F2840" s="22" t="s">
        <v>13</v>
      </c>
      <c r="G2840" s="22" t="s">
        <v>17</v>
      </c>
    </row>
    <row r="2841" ht="15.15" spans="1:7">
      <c r="A2841" s="20">
        <v>2840</v>
      </c>
      <c r="B2841" s="20">
        <v>3926</v>
      </c>
      <c r="C2841" s="21">
        <v>44960</v>
      </c>
      <c r="D2841" s="20">
        <v>112.54</v>
      </c>
      <c r="E2841" s="22" t="s">
        <v>10</v>
      </c>
      <c r="F2841" s="22" t="s">
        <v>11</v>
      </c>
      <c r="G2841" s="22" t="s">
        <v>17</v>
      </c>
    </row>
    <row r="2842" ht="15.15" spans="1:7">
      <c r="A2842" s="20">
        <v>2841</v>
      </c>
      <c r="B2842" s="20">
        <v>1308</v>
      </c>
      <c r="C2842" s="21">
        <v>45078</v>
      </c>
      <c r="D2842" s="20">
        <v>2885</v>
      </c>
      <c r="E2842" s="22" t="s">
        <v>10</v>
      </c>
      <c r="F2842" s="22" t="s">
        <v>16</v>
      </c>
      <c r="G2842" s="22" t="s">
        <v>17</v>
      </c>
    </row>
    <row r="2843" ht="15.15" spans="1:7">
      <c r="A2843" s="20">
        <v>2842</v>
      </c>
      <c r="B2843" s="20">
        <v>2485</v>
      </c>
      <c r="C2843" s="21">
        <v>45255</v>
      </c>
      <c r="D2843" s="20">
        <v>82.03</v>
      </c>
      <c r="E2843" s="22" t="s">
        <v>10</v>
      </c>
      <c r="F2843" s="22" t="s">
        <v>11</v>
      </c>
      <c r="G2843" s="22" t="s">
        <v>20</v>
      </c>
    </row>
    <row r="2844" ht="15.15" spans="1:7">
      <c r="A2844" s="20">
        <v>2843</v>
      </c>
      <c r="B2844" s="20">
        <v>9699</v>
      </c>
      <c r="C2844" s="21">
        <v>45141</v>
      </c>
      <c r="D2844" s="20">
        <v>538.64</v>
      </c>
      <c r="E2844" s="22" t="s">
        <v>10</v>
      </c>
      <c r="F2844" s="22" t="s">
        <v>11</v>
      </c>
      <c r="G2844" s="22" t="s">
        <v>20</v>
      </c>
    </row>
    <row r="2845" ht="15.15" spans="1:7">
      <c r="A2845" s="20">
        <v>2844</v>
      </c>
      <c r="B2845" s="20">
        <v>5058</v>
      </c>
      <c r="C2845" s="21">
        <v>44956</v>
      </c>
      <c r="D2845" s="20">
        <v>1413.84</v>
      </c>
      <c r="E2845" s="22" t="s">
        <v>10</v>
      </c>
      <c r="F2845" s="22" t="s">
        <v>11</v>
      </c>
      <c r="G2845" s="22" t="s">
        <v>12</v>
      </c>
    </row>
    <row r="2846" ht="15.15" spans="1:7">
      <c r="A2846" s="20">
        <v>2845</v>
      </c>
      <c r="B2846" s="20">
        <v>6884</v>
      </c>
      <c r="C2846" s="21">
        <v>45193</v>
      </c>
      <c r="D2846" s="20">
        <v>2690.2</v>
      </c>
      <c r="E2846" s="22" t="s">
        <v>10</v>
      </c>
      <c r="F2846" s="22" t="s">
        <v>11</v>
      </c>
      <c r="G2846" s="22" t="s">
        <v>20</v>
      </c>
    </row>
    <row r="2847" ht="15.15" spans="1:7">
      <c r="A2847" s="20">
        <v>2846</v>
      </c>
      <c r="B2847" s="20">
        <v>8487</v>
      </c>
      <c r="C2847" s="21">
        <v>45205</v>
      </c>
      <c r="D2847" s="20">
        <v>1438.58</v>
      </c>
      <c r="E2847" s="22" t="s">
        <v>10</v>
      </c>
      <c r="F2847" s="22" t="s">
        <v>11</v>
      </c>
      <c r="G2847" s="22" t="s">
        <v>12</v>
      </c>
    </row>
    <row r="2848" ht="15.15" spans="1:7">
      <c r="A2848" s="20">
        <v>2847</v>
      </c>
      <c r="B2848" s="20">
        <v>3764</v>
      </c>
      <c r="C2848" s="21">
        <v>45256</v>
      </c>
      <c r="D2848" s="20">
        <v>1431.35</v>
      </c>
      <c r="E2848" s="22" t="s">
        <v>10</v>
      </c>
      <c r="F2848" s="22" t="s">
        <v>14</v>
      </c>
      <c r="G2848" s="22" t="s">
        <v>17</v>
      </c>
    </row>
    <row r="2849" ht="15.15" spans="1:7">
      <c r="A2849" s="20">
        <v>2848</v>
      </c>
      <c r="B2849" s="20">
        <v>4190</v>
      </c>
      <c r="C2849" s="21">
        <v>45146</v>
      </c>
      <c r="D2849" s="20">
        <v>230.74</v>
      </c>
      <c r="E2849" s="22" t="s">
        <v>10</v>
      </c>
      <c r="F2849" s="22" t="s">
        <v>16</v>
      </c>
      <c r="G2849" s="22" t="s">
        <v>20</v>
      </c>
    </row>
    <row r="2850" ht="15.15" spans="1:7">
      <c r="A2850" s="20">
        <v>2849</v>
      </c>
      <c r="B2850" s="20">
        <v>1775</v>
      </c>
      <c r="C2850" s="21">
        <v>45279</v>
      </c>
      <c r="D2850" s="20">
        <v>941.99</v>
      </c>
      <c r="E2850" s="22" t="s">
        <v>10</v>
      </c>
      <c r="F2850" s="22" t="s">
        <v>16</v>
      </c>
      <c r="G2850" s="22" t="s">
        <v>20</v>
      </c>
    </row>
    <row r="2851" ht="15.15" spans="1:7">
      <c r="A2851" s="20">
        <v>2850</v>
      </c>
      <c r="B2851" s="20">
        <v>3825</v>
      </c>
      <c r="C2851" s="21">
        <v>45266</v>
      </c>
      <c r="D2851" s="20">
        <v>3875.74</v>
      </c>
      <c r="E2851" s="22" t="s">
        <v>10</v>
      </c>
      <c r="F2851" s="22" t="s">
        <v>18</v>
      </c>
      <c r="G2851" s="22" t="s">
        <v>15</v>
      </c>
    </row>
    <row r="2852" ht="15.15" spans="1:7">
      <c r="A2852" s="20">
        <v>2851</v>
      </c>
      <c r="B2852" s="20">
        <v>2934</v>
      </c>
      <c r="C2852" s="21">
        <v>45144</v>
      </c>
      <c r="D2852" s="20">
        <v>1567.77</v>
      </c>
      <c r="E2852" s="22" t="s">
        <v>10</v>
      </c>
      <c r="F2852" s="22" t="s">
        <v>16</v>
      </c>
      <c r="G2852" s="22" t="s">
        <v>20</v>
      </c>
    </row>
    <row r="2853" ht="15.15" spans="1:7">
      <c r="A2853" s="20">
        <v>2852</v>
      </c>
      <c r="B2853" s="20">
        <v>8223</v>
      </c>
      <c r="C2853" s="21">
        <v>45052</v>
      </c>
      <c r="D2853" s="20">
        <v>682.52</v>
      </c>
      <c r="E2853" s="22" t="s">
        <v>10</v>
      </c>
      <c r="F2853" s="22" t="s">
        <v>11</v>
      </c>
      <c r="G2853" s="22" t="s">
        <v>20</v>
      </c>
    </row>
    <row r="2854" ht="15.15" spans="1:7">
      <c r="A2854" s="20">
        <v>2853</v>
      </c>
      <c r="B2854" s="20">
        <v>1141</v>
      </c>
      <c r="C2854" s="21">
        <v>45125</v>
      </c>
      <c r="D2854" s="20">
        <v>4106.15</v>
      </c>
      <c r="E2854" s="22" t="s">
        <v>10</v>
      </c>
      <c r="F2854" s="22" t="s">
        <v>14</v>
      </c>
      <c r="G2854" s="22" t="s">
        <v>20</v>
      </c>
    </row>
    <row r="2855" ht="15.15" spans="1:7">
      <c r="A2855" s="20">
        <v>2854</v>
      </c>
      <c r="B2855" s="20">
        <v>434</v>
      </c>
      <c r="C2855" s="21">
        <v>45232</v>
      </c>
      <c r="D2855" s="20">
        <v>313.65</v>
      </c>
      <c r="E2855" s="22" t="s">
        <v>10</v>
      </c>
      <c r="F2855" s="22" t="s">
        <v>14</v>
      </c>
      <c r="G2855" s="22" t="s">
        <v>20</v>
      </c>
    </row>
    <row r="2856" ht="15.15" spans="1:7">
      <c r="A2856" s="20">
        <v>2855</v>
      </c>
      <c r="B2856" s="20">
        <v>5023</v>
      </c>
      <c r="C2856" s="21">
        <v>45175</v>
      </c>
      <c r="D2856" s="20">
        <v>142.43</v>
      </c>
      <c r="E2856" s="22" t="s">
        <v>10</v>
      </c>
      <c r="F2856" s="22" t="s">
        <v>18</v>
      </c>
      <c r="G2856" s="22" t="s">
        <v>15</v>
      </c>
    </row>
    <row r="2857" ht="15.15" spans="1:7">
      <c r="A2857" s="20">
        <v>2856</v>
      </c>
      <c r="B2857" s="20">
        <v>8912</v>
      </c>
      <c r="C2857" s="21">
        <v>45013</v>
      </c>
      <c r="D2857" s="20">
        <v>1995.72</v>
      </c>
      <c r="E2857" s="22" t="s">
        <v>10</v>
      </c>
      <c r="F2857" s="22" t="s">
        <v>16</v>
      </c>
      <c r="G2857" s="22" t="s">
        <v>20</v>
      </c>
    </row>
    <row r="2858" ht="15.15" spans="1:7">
      <c r="A2858" s="20">
        <v>2857</v>
      </c>
      <c r="B2858" s="20">
        <v>7909</v>
      </c>
      <c r="C2858" s="21">
        <v>44997</v>
      </c>
      <c r="D2858" s="20">
        <v>183.34</v>
      </c>
      <c r="E2858" s="22" t="s">
        <v>10</v>
      </c>
      <c r="F2858" s="22" t="s">
        <v>14</v>
      </c>
      <c r="G2858" s="22" t="s">
        <v>17</v>
      </c>
    </row>
    <row r="2859" ht="15.15" spans="1:7">
      <c r="A2859" s="20">
        <v>2858</v>
      </c>
      <c r="B2859" s="20">
        <v>38</v>
      </c>
      <c r="C2859" s="21">
        <v>45224</v>
      </c>
      <c r="D2859" s="20">
        <v>1169</v>
      </c>
      <c r="E2859" s="22" t="s">
        <v>10</v>
      </c>
      <c r="F2859" s="22" t="s">
        <v>18</v>
      </c>
      <c r="G2859" s="22" t="s">
        <v>15</v>
      </c>
    </row>
    <row r="2860" ht="15.15" spans="1:7">
      <c r="A2860" s="20">
        <v>2859</v>
      </c>
      <c r="B2860" s="20">
        <v>9803</v>
      </c>
      <c r="C2860" s="21">
        <v>45288</v>
      </c>
      <c r="D2860" s="20">
        <v>2659.76</v>
      </c>
      <c r="E2860" s="22" t="s">
        <v>10</v>
      </c>
      <c r="F2860" s="22" t="s">
        <v>18</v>
      </c>
      <c r="G2860" s="22" t="s">
        <v>20</v>
      </c>
    </row>
    <row r="2861" ht="15.15" spans="1:7">
      <c r="A2861" s="20">
        <v>2860</v>
      </c>
      <c r="B2861" s="20">
        <v>3928</v>
      </c>
      <c r="C2861" s="21">
        <v>45250</v>
      </c>
      <c r="D2861" s="20">
        <v>366.74</v>
      </c>
      <c r="E2861" s="22" t="s">
        <v>10</v>
      </c>
      <c r="F2861" s="22" t="s">
        <v>13</v>
      </c>
      <c r="G2861" s="22" t="s">
        <v>17</v>
      </c>
    </row>
    <row r="2862" ht="15.15" spans="1:7">
      <c r="A2862" s="20">
        <v>2861</v>
      </c>
      <c r="B2862" s="20">
        <v>8251</v>
      </c>
      <c r="C2862" s="21">
        <v>45227</v>
      </c>
      <c r="D2862" s="20">
        <v>325.76</v>
      </c>
      <c r="E2862" s="22" t="s">
        <v>10</v>
      </c>
      <c r="F2862" s="22" t="s">
        <v>11</v>
      </c>
      <c r="G2862" s="22" t="s">
        <v>20</v>
      </c>
    </row>
    <row r="2863" ht="15.15" spans="1:7">
      <c r="A2863" s="20">
        <v>2862</v>
      </c>
      <c r="B2863" s="20">
        <v>4040</v>
      </c>
      <c r="C2863" s="21">
        <v>45208</v>
      </c>
      <c r="D2863" s="20">
        <v>1955.02</v>
      </c>
      <c r="E2863" s="22" t="s">
        <v>10</v>
      </c>
      <c r="F2863" s="22" t="s">
        <v>13</v>
      </c>
      <c r="G2863" s="22" t="s">
        <v>20</v>
      </c>
    </row>
    <row r="2864" ht="15.15" spans="1:7">
      <c r="A2864" s="20">
        <v>2863</v>
      </c>
      <c r="B2864" s="20">
        <v>1348</v>
      </c>
      <c r="C2864" s="21">
        <v>45211</v>
      </c>
      <c r="D2864" s="20">
        <v>1176.51</v>
      </c>
      <c r="E2864" s="22" t="s">
        <v>10</v>
      </c>
      <c r="F2864" s="22" t="s">
        <v>13</v>
      </c>
      <c r="G2864" s="22" t="s">
        <v>12</v>
      </c>
    </row>
    <row r="2865" ht="15.15" spans="1:7">
      <c r="A2865" s="20">
        <v>2864</v>
      </c>
      <c r="B2865" s="20">
        <v>7058</v>
      </c>
      <c r="C2865" s="21">
        <v>45214</v>
      </c>
      <c r="D2865" s="20">
        <v>159.37</v>
      </c>
      <c r="E2865" s="22" t="s">
        <v>10</v>
      </c>
      <c r="F2865" s="22" t="s">
        <v>18</v>
      </c>
      <c r="G2865" s="22" t="s">
        <v>20</v>
      </c>
    </row>
    <row r="2866" ht="15.15" spans="1:7">
      <c r="A2866" s="20">
        <v>2865</v>
      </c>
      <c r="B2866" s="20">
        <v>652</v>
      </c>
      <c r="C2866" s="21">
        <v>45066</v>
      </c>
      <c r="D2866" s="20">
        <v>1789.35</v>
      </c>
      <c r="E2866" s="22" t="s">
        <v>10</v>
      </c>
      <c r="F2866" s="22" t="s">
        <v>14</v>
      </c>
      <c r="G2866" s="22" t="s">
        <v>17</v>
      </c>
    </row>
    <row r="2867" ht="15.15" spans="1:7">
      <c r="A2867" s="20">
        <v>2866</v>
      </c>
      <c r="B2867" s="20">
        <v>2825</v>
      </c>
      <c r="C2867" s="21">
        <v>45129</v>
      </c>
      <c r="D2867" s="20">
        <v>2178.3</v>
      </c>
      <c r="E2867" s="22" t="s">
        <v>10</v>
      </c>
      <c r="F2867" s="22" t="s">
        <v>11</v>
      </c>
      <c r="G2867" s="22" t="s">
        <v>17</v>
      </c>
    </row>
    <row r="2868" ht="15.15" spans="1:7">
      <c r="A2868" s="20">
        <v>2867</v>
      </c>
      <c r="B2868" s="20">
        <v>2366</v>
      </c>
      <c r="C2868" s="21">
        <v>44934</v>
      </c>
      <c r="D2868" s="20">
        <v>1196.82</v>
      </c>
      <c r="E2868" s="22" t="s">
        <v>10</v>
      </c>
      <c r="F2868" s="22" t="s">
        <v>11</v>
      </c>
      <c r="G2868" s="22" t="s">
        <v>12</v>
      </c>
    </row>
    <row r="2869" ht="15.15" spans="1:7">
      <c r="A2869" s="20">
        <v>2868</v>
      </c>
      <c r="B2869" s="20">
        <v>2395</v>
      </c>
      <c r="C2869" s="21">
        <v>45228</v>
      </c>
      <c r="D2869" s="20">
        <v>961.31</v>
      </c>
      <c r="E2869" s="22" t="s">
        <v>10</v>
      </c>
      <c r="F2869" s="22" t="s">
        <v>16</v>
      </c>
      <c r="G2869" s="22" t="s">
        <v>15</v>
      </c>
    </row>
    <row r="2870" ht="15.15" spans="1:7">
      <c r="A2870" s="20">
        <v>2869</v>
      </c>
      <c r="B2870" s="20">
        <v>5369</v>
      </c>
      <c r="C2870" s="21">
        <v>45035</v>
      </c>
      <c r="D2870" s="20">
        <v>2800.68</v>
      </c>
      <c r="E2870" s="22" t="s">
        <v>10</v>
      </c>
      <c r="F2870" s="22" t="s">
        <v>18</v>
      </c>
      <c r="G2870" s="22" t="s">
        <v>12</v>
      </c>
    </row>
    <row r="2871" ht="15.15" spans="1:7">
      <c r="A2871" s="20">
        <v>2870</v>
      </c>
      <c r="B2871" s="20">
        <v>1815</v>
      </c>
      <c r="C2871" s="21">
        <v>45211</v>
      </c>
      <c r="D2871" s="20">
        <v>1102.79</v>
      </c>
      <c r="E2871" s="22" t="s">
        <v>10</v>
      </c>
      <c r="F2871" s="22" t="s">
        <v>13</v>
      </c>
      <c r="G2871" s="22" t="s">
        <v>20</v>
      </c>
    </row>
    <row r="2872" ht="15.15" spans="1:7">
      <c r="A2872" s="20">
        <v>2871</v>
      </c>
      <c r="B2872" s="20">
        <v>7997</v>
      </c>
      <c r="C2872" s="21">
        <v>44993</v>
      </c>
      <c r="D2872" s="20">
        <v>2767.52</v>
      </c>
      <c r="E2872" s="22" t="s">
        <v>10</v>
      </c>
      <c r="F2872" s="22" t="s">
        <v>16</v>
      </c>
      <c r="G2872" s="22" t="s">
        <v>15</v>
      </c>
    </row>
    <row r="2873" ht="15.15" spans="1:7">
      <c r="A2873" s="20">
        <v>2872</v>
      </c>
      <c r="B2873" s="20">
        <v>9906</v>
      </c>
      <c r="C2873" s="21">
        <v>45073</v>
      </c>
      <c r="D2873" s="20">
        <v>325.76</v>
      </c>
      <c r="E2873" s="22" t="s">
        <v>10</v>
      </c>
      <c r="F2873" s="22" t="s">
        <v>11</v>
      </c>
      <c r="G2873" s="22" t="s">
        <v>17</v>
      </c>
    </row>
    <row r="2874" ht="15.15" spans="1:7">
      <c r="A2874" s="20">
        <v>2873</v>
      </c>
      <c r="B2874" s="20">
        <v>8437</v>
      </c>
      <c r="C2874" s="21">
        <v>45018</v>
      </c>
      <c r="D2874" s="20">
        <v>538.64</v>
      </c>
      <c r="E2874" s="22" t="s">
        <v>21</v>
      </c>
      <c r="F2874" s="22" t="s">
        <v>18</v>
      </c>
      <c r="G2874" s="22" t="s">
        <v>20</v>
      </c>
    </row>
    <row r="2875" ht="15.15" spans="1:7">
      <c r="A2875" s="20">
        <v>2874</v>
      </c>
      <c r="B2875" s="20">
        <v>5828</v>
      </c>
      <c r="C2875" s="21">
        <v>45076</v>
      </c>
      <c r="D2875" s="20">
        <v>3222.45</v>
      </c>
      <c r="E2875" s="22" t="s">
        <v>10</v>
      </c>
      <c r="F2875" s="22" t="s">
        <v>16</v>
      </c>
      <c r="G2875" s="22" t="s">
        <v>20</v>
      </c>
    </row>
    <row r="2876" ht="15.15" spans="1:7">
      <c r="A2876" s="20">
        <v>2875</v>
      </c>
      <c r="B2876" s="20">
        <v>3277</v>
      </c>
      <c r="C2876" s="21">
        <v>45239</v>
      </c>
      <c r="D2876" s="20">
        <v>5139.13</v>
      </c>
      <c r="E2876" s="22" t="s">
        <v>10</v>
      </c>
      <c r="F2876" s="22" t="s">
        <v>13</v>
      </c>
      <c r="G2876" s="22" t="s">
        <v>20</v>
      </c>
    </row>
    <row r="2877" ht="15.15" spans="1:7">
      <c r="A2877" s="20">
        <v>2876</v>
      </c>
      <c r="B2877" s="20">
        <v>2206</v>
      </c>
      <c r="C2877" s="21">
        <v>44994</v>
      </c>
      <c r="D2877" s="20">
        <v>549.91</v>
      </c>
      <c r="E2877" s="22" t="s">
        <v>10</v>
      </c>
      <c r="F2877" s="22" t="s">
        <v>16</v>
      </c>
      <c r="G2877" s="22" t="s">
        <v>15</v>
      </c>
    </row>
    <row r="2878" ht="15.15" spans="1:7">
      <c r="A2878" s="20">
        <v>2877</v>
      </c>
      <c r="B2878" s="20">
        <v>3822</v>
      </c>
      <c r="C2878" s="21">
        <v>45076</v>
      </c>
      <c r="D2878" s="20">
        <v>419.68</v>
      </c>
      <c r="E2878" s="22" t="s">
        <v>10</v>
      </c>
      <c r="F2878" s="22" t="s">
        <v>16</v>
      </c>
      <c r="G2878" s="22" t="s">
        <v>20</v>
      </c>
    </row>
    <row r="2879" ht="15.15" spans="1:7">
      <c r="A2879" s="20">
        <v>2878</v>
      </c>
      <c r="B2879" s="20">
        <v>1912</v>
      </c>
      <c r="C2879" s="21">
        <v>45262</v>
      </c>
      <c r="D2879" s="20">
        <v>1354.25</v>
      </c>
      <c r="E2879" s="22" t="s">
        <v>10</v>
      </c>
      <c r="F2879" s="22" t="s">
        <v>13</v>
      </c>
      <c r="G2879" s="22" t="s">
        <v>20</v>
      </c>
    </row>
    <row r="2880" ht="15.15" spans="1:7">
      <c r="A2880" s="20">
        <v>2879</v>
      </c>
      <c r="B2880" s="20">
        <v>6726</v>
      </c>
      <c r="C2880" s="21">
        <v>44955</v>
      </c>
      <c r="D2880" s="20">
        <v>336.84</v>
      </c>
      <c r="E2880" s="22" t="s">
        <v>10</v>
      </c>
      <c r="F2880" s="22" t="s">
        <v>11</v>
      </c>
      <c r="G2880" s="22" t="s">
        <v>15</v>
      </c>
    </row>
    <row r="2881" ht="15.15" spans="1:7">
      <c r="A2881" s="20">
        <v>2880</v>
      </c>
      <c r="B2881" s="20">
        <v>1435</v>
      </c>
      <c r="C2881" s="21">
        <v>45217</v>
      </c>
      <c r="D2881" s="20">
        <v>1598.74</v>
      </c>
      <c r="E2881" s="22" t="s">
        <v>10</v>
      </c>
      <c r="F2881" s="22" t="s">
        <v>11</v>
      </c>
      <c r="G2881" s="22" t="s">
        <v>15</v>
      </c>
    </row>
    <row r="2882" ht="15.15" spans="1:7">
      <c r="A2882" s="20">
        <v>2881</v>
      </c>
      <c r="B2882" s="20">
        <v>9140</v>
      </c>
      <c r="C2882" s="21">
        <v>45171</v>
      </c>
      <c r="D2882" s="20">
        <v>815.03</v>
      </c>
      <c r="E2882" s="22" t="s">
        <v>10</v>
      </c>
      <c r="F2882" s="22" t="s">
        <v>16</v>
      </c>
      <c r="G2882" s="22" t="s">
        <v>20</v>
      </c>
    </row>
    <row r="2883" ht="15.15" spans="1:7">
      <c r="A2883" s="20">
        <v>2882</v>
      </c>
      <c r="B2883" s="20">
        <v>97</v>
      </c>
      <c r="C2883" s="21">
        <v>45252</v>
      </c>
      <c r="D2883" s="20">
        <v>4712.42</v>
      </c>
      <c r="E2883" s="22" t="s">
        <v>10</v>
      </c>
      <c r="F2883" s="22" t="s">
        <v>18</v>
      </c>
      <c r="G2883" s="22" t="s">
        <v>12</v>
      </c>
    </row>
    <row r="2884" ht="15.15" spans="1:7">
      <c r="A2884" s="20">
        <v>2883</v>
      </c>
      <c r="B2884" s="20">
        <v>5499</v>
      </c>
      <c r="C2884" s="21">
        <v>45282</v>
      </c>
      <c r="D2884" s="20">
        <v>3386.73</v>
      </c>
      <c r="E2884" s="22" t="s">
        <v>21</v>
      </c>
      <c r="F2884" s="22" t="s">
        <v>11</v>
      </c>
      <c r="G2884" s="22" t="s">
        <v>15</v>
      </c>
    </row>
    <row r="2885" ht="15.15" spans="1:7">
      <c r="A2885" s="20">
        <v>2884</v>
      </c>
      <c r="B2885" s="20">
        <v>6919</v>
      </c>
      <c r="C2885" s="21">
        <v>45286</v>
      </c>
      <c r="D2885" s="20">
        <v>435.69</v>
      </c>
      <c r="E2885" s="22" t="s">
        <v>10</v>
      </c>
      <c r="F2885" s="22" t="s">
        <v>16</v>
      </c>
      <c r="G2885" s="22" t="s">
        <v>20</v>
      </c>
    </row>
    <row r="2886" ht="15.15" spans="1:7">
      <c r="A2886" s="20">
        <v>2885</v>
      </c>
      <c r="B2886" s="20">
        <v>459</v>
      </c>
      <c r="C2886" s="21">
        <v>45261</v>
      </c>
      <c r="D2886" s="20">
        <v>5034.93</v>
      </c>
      <c r="E2886" s="22" t="s">
        <v>10</v>
      </c>
      <c r="F2886" s="22" t="s">
        <v>11</v>
      </c>
      <c r="G2886" s="22" t="s">
        <v>15</v>
      </c>
    </row>
    <row r="2887" ht="15.15" spans="1:7">
      <c r="A2887" s="20">
        <v>2886</v>
      </c>
      <c r="B2887" s="20">
        <v>217</v>
      </c>
      <c r="C2887" s="21">
        <v>45071</v>
      </c>
      <c r="D2887" s="20">
        <v>198.89</v>
      </c>
      <c r="E2887" s="22" t="s">
        <v>10</v>
      </c>
      <c r="F2887" s="22" t="s">
        <v>13</v>
      </c>
      <c r="G2887" s="22" t="s">
        <v>15</v>
      </c>
    </row>
    <row r="2888" ht="15.15" spans="1:7">
      <c r="A2888" s="20">
        <v>2887</v>
      </c>
      <c r="B2888" s="20">
        <v>5405</v>
      </c>
      <c r="C2888" s="21">
        <v>44992</v>
      </c>
      <c r="D2888" s="20">
        <v>561.48</v>
      </c>
      <c r="E2888" s="22" t="s">
        <v>10</v>
      </c>
      <c r="F2888" s="22" t="s">
        <v>11</v>
      </c>
      <c r="G2888" s="22" t="s">
        <v>20</v>
      </c>
    </row>
    <row r="2889" ht="15.15" spans="1:7">
      <c r="A2889" s="20">
        <v>2888</v>
      </c>
      <c r="B2889" s="20">
        <v>9522</v>
      </c>
      <c r="C2889" s="21">
        <v>45048</v>
      </c>
      <c r="D2889" s="20">
        <v>5617.47</v>
      </c>
      <c r="E2889" s="22" t="s">
        <v>10</v>
      </c>
      <c r="F2889" s="22" t="s">
        <v>14</v>
      </c>
      <c r="G2889" s="22" t="s">
        <v>20</v>
      </c>
    </row>
    <row r="2890" ht="15.15" spans="1:7">
      <c r="A2890" s="20">
        <v>2889</v>
      </c>
      <c r="B2890" s="20">
        <v>659</v>
      </c>
      <c r="C2890" s="21">
        <v>45096</v>
      </c>
      <c r="D2890" s="20">
        <v>436.2</v>
      </c>
      <c r="E2890" s="22" t="s">
        <v>10</v>
      </c>
      <c r="F2890" s="22" t="s">
        <v>14</v>
      </c>
      <c r="G2890" s="22" t="s">
        <v>12</v>
      </c>
    </row>
    <row r="2891" ht="15.15" spans="1:7">
      <c r="A2891" s="20">
        <v>2890</v>
      </c>
      <c r="B2891" s="20">
        <v>9974</v>
      </c>
      <c r="C2891" s="21">
        <v>45177</v>
      </c>
      <c r="D2891" s="20">
        <v>433.69</v>
      </c>
      <c r="E2891" s="22" t="s">
        <v>10</v>
      </c>
      <c r="F2891" s="22" t="s">
        <v>16</v>
      </c>
      <c r="G2891" s="22" t="s">
        <v>17</v>
      </c>
    </row>
    <row r="2892" ht="15.15" spans="1:7">
      <c r="A2892" s="20">
        <v>2891</v>
      </c>
      <c r="B2892" s="20">
        <v>5057</v>
      </c>
      <c r="C2892" s="21">
        <v>45265</v>
      </c>
      <c r="D2892" s="20">
        <v>1058.49</v>
      </c>
      <c r="E2892" s="22" t="s">
        <v>10</v>
      </c>
      <c r="F2892" s="22" t="s">
        <v>14</v>
      </c>
      <c r="G2892" s="22" t="s">
        <v>20</v>
      </c>
    </row>
    <row r="2893" ht="15.15" spans="1:7">
      <c r="A2893" s="20">
        <v>2892</v>
      </c>
      <c r="B2893" s="20">
        <v>9947</v>
      </c>
      <c r="C2893" s="21">
        <v>45138</v>
      </c>
      <c r="D2893" s="20">
        <v>1072.53</v>
      </c>
      <c r="E2893" s="22" t="s">
        <v>10</v>
      </c>
      <c r="F2893" s="22" t="s">
        <v>14</v>
      </c>
      <c r="G2893" s="22" t="s">
        <v>12</v>
      </c>
    </row>
    <row r="2894" ht="15.15" spans="1:7">
      <c r="A2894" s="20">
        <v>2893</v>
      </c>
      <c r="B2894" s="20">
        <v>4268</v>
      </c>
      <c r="C2894" s="21">
        <v>45183</v>
      </c>
      <c r="D2894" s="20">
        <v>257.13</v>
      </c>
      <c r="E2894" s="22" t="s">
        <v>10</v>
      </c>
      <c r="F2894" s="22" t="s">
        <v>13</v>
      </c>
      <c r="G2894" s="22" t="s">
        <v>17</v>
      </c>
    </row>
    <row r="2895" ht="15.15" spans="1:7">
      <c r="A2895" s="20">
        <v>2894</v>
      </c>
      <c r="B2895" s="20">
        <v>916</v>
      </c>
      <c r="C2895" s="21">
        <v>45192</v>
      </c>
      <c r="D2895" s="20">
        <v>689.59</v>
      </c>
      <c r="E2895" s="22" t="s">
        <v>10</v>
      </c>
      <c r="F2895" s="22" t="s">
        <v>19</v>
      </c>
      <c r="G2895" s="22" t="s">
        <v>12</v>
      </c>
    </row>
    <row r="2896" ht="15.15" spans="1:7">
      <c r="A2896" s="20">
        <v>2895</v>
      </c>
      <c r="B2896" s="20">
        <v>7302</v>
      </c>
      <c r="C2896" s="21">
        <v>45064</v>
      </c>
      <c r="D2896" s="20">
        <v>1230.71</v>
      </c>
      <c r="E2896" s="22" t="s">
        <v>10</v>
      </c>
      <c r="F2896" s="22" t="s">
        <v>13</v>
      </c>
      <c r="G2896" s="22" t="s">
        <v>12</v>
      </c>
    </row>
    <row r="2897" ht="15.15" spans="1:7">
      <c r="A2897" s="20">
        <v>2896</v>
      </c>
      <c r="B2897" s="20">
        <v>2241</v>
      </c>
      <c r="C2897" s="21">
        <v>45022</v>
      </c>
      <c r="D2897" s="20">
        <v>966.66</v>
      </c>
      <c r="E2897" s="22" t="s">
        <v>10</v>
      </c>
      <c r="F2897" s="22" t="s">
        <v>19</v>
      </c>
      <c r="G2897" s="22" t="s">
        <v>12</v>
      </c>
    </row>
    <row r="2898" ht="15.15" spans="1:7">
      <c r="A2898" s="20">
        <v>2897</v>
      </c>
      <c r="B2898" s="20">
        <v>7332</v>
      </c>
      <c r="C2898" s="21">
        <v>45130</v>
      </c>
      <c r="D2898" s="20">
        <v>416.58</v>
      </c>
      <c r="E2898" s="22" t="s">
        <v>10</v>
      </c>
      <c r="F2898" s="22" t="s">
        <v>13</v>
      </c>
      <c r="G2898" s="22" t="s">
        <v>17</v>
      </c>
    </row>
    <row r="2899" ht="15.15" spans="1:7">
      <c r="A2899" s="20">
        <v>2898</v>
      </c>
      <c r="B2899" s="20">
        <v>644</v>
      </c>
      <c r="C2899" s="21">
        <v>45020</v>
      </c>
      <c r="D2899" s="20">
        <v>3177.74</v>
      </c>
      <c r="E2899" s="22" t="s">
        <v>10</v>
      </c>
      <c r="F2899" s="22" t="s">
        <v>13</v>
      </c>
      <c r="G2899" s="22" t="s">
        <v>12</v>
      </c>
    </row>
    <row r="2900" ht="15.15" spans="1:7">
      <c r="A2900" s="20">
        <v>2899</v>
      </c>
      <c r="B2900" s="20">
        <v>9584</v>
      </c>
      <c r="C2900" s="21">
        <v>45060</v>
      </c>
      <c r="D2900" s="20">
        <v>299.56</v>
      </c>
      <c r="E2900" s="22" t="s">
        <v>10</v>
      </c>
      <c r="F2900" s="22" t="s">
        <v>14</v>
      </c>
      <c r="G2900" s="22" t="s">
        <v>15</v>
      </c>
    </row>
    <row r="2901" ht="15.15" spans="1:7">
      <c r="A2901" s="20">
        <v>2900</v>
      </c>
      <c r="B2901" s="20">
        <v>8837</v>
      </c>
      <c r="C2901" s="21">
        <v>45249</v>
      </c>
      <c r="D2901" s="20">
        <v>657.8</v>
      </c>
      <c r="E2901" s="22" t="s">
        <v>10</v>
      </c>
      <c r="F2901" s="22" t="s">
        <v>13</v>
      </c>
      <c r="G2901" s="22" t="s">
        <v>15</v>
      </c>
    </row>
    <row r="2902" ht="15.15" spans="1:7">
      <c r="A2902" s="20">
        <v>2901</v>
      </c>
      <c r="B2902" s="20">
        <v>8999</v>
      </c>
      <c r="C2902" s="21">
        <v>45030</v>
      </c>
      <c r="D2902" s="20">
        <v>1421.41</v>
      </c>
      <c r="E2902" s="22" t="s">
        <v>10</v>
      </c>
      <c r="F2902" s="22" t="s">
        <v>18</v>
      </c>
      <c r="G2902" s="22" t="s">
        <v>20</v>
      </c>
    </row>
    <row r="2903" ht="15.15" spans="1:7">
      <c r="A2903" s="20">
        <v>2902</v>
      </c>
      <c r="B2903" s="20">
        <v>564</v>
      </c>
      <c r="C2903" s="21">
        <v>45234</v>
      </c>
      <c r="D2903" s="20">
        <v>5052.47</v>
      </c>
      <c r="E2903" s="22" t="s">
        <v>10</v>
      </c>
      <c r="F2903" s="22" t="s">
        <v>16</v>
      </c>
      <c r="G2903" s="22" t="s">
        <v>12</v>
      </c>
    </row>
    <row r="2904" ht="15.15" spans="1:7">
      <c r="A2904" s="20">
        <v>2903</v>
      </c>
      <c r="B2904" s="20">
        <v>6082</v>
      </c>
      <c r="C2904" s="21">
        <v>44938</v>
      </c>
      <c r="D2904" s="20">
        <v>895.88</v>
      </c>
      <c r="E2904" s="22" t="s">
        <v>10</v>
      </c>
      <c r="F2904" s="22" t="s">
        <v>18</v>
      </c>
      <c r="G2904" s="22" t="s">
        <v>12</v>
      </c>
    </row>
    <row r="2905" ht="15.15" spans="1:7">
      <c r="A2905" s="20">
        <v>2904</v>
      </c>
      <c r="B2905" s="20">
        <v>7240</v>
      </c>
      <c r="C2905" s="21">
        <v>44938</v>
      </c>
      <c r="D2905" s="20">
        <v>2977.61</v>
      </c>
      <c r="E2905" s="22" t="s">
        <v>10</v>
      </c>
      <c r="F2905" s="22" t="s">
        <v>16</v>
      </c>
      <c r="G2905" s="22" t="s">
        <v>17</v>
      </c>
    </row>
    <row r="2906" ht="15.15" spans="1:7">
      <c r="A2906" s="20">
        <v>2905</v>
      </c>
      <c r="B2906" s="20">
        <v>1564</v>
      </c>
      <c r="C2906" s="21">
        <v>45238</v>
      </c>
      <c r="D2906" s="20">
        <v>4386.94</v>
      </c>
      <c r="E2906" s="22" t="s">
        <v>10</v>
      </c>
      <c r="F2906" s="22" t="s">
        <v>18</v>
      </c>
      <c r="G2906" s="22" t="s">
        <v>20</v>
      </c>
    </row>
    <row r="2907" ht="15.15" spans="1:7">
      <c r="A2907" s="20">
        <v>2906</v>
      </c>
      <c r="B2907" s="20">
        <v>3512</v>
      </c>
      <c r="C2907" s="21">
        <v>45242</v>
      </c>
      <c r="D2907" s="20">
        <v>930.45</v>
      </c>
      <c r="E2907" s="22" t="s">
        <v>10</v>
      </c>
      <c r="F2907" s="22" t="s">
        <v>13</v>
      </c>
      <c r="G2907" s="22" t="s">
        <v>15</v>
      </c>
    </row>
    <row r="2908" ht="15.15" spans="1:7">
      <c r="A2908" s="20">
        <v>2907</v>
      </c>
      <c r="B2908" s="20">
        <v>2390</v>
      </c>
      <c r="C2908" s="21">
        <v>44996</v>
      </c>
      <c r="D2908" s="20">
        <v>207.19</v>
      </c>
      <c r="E2908" s="22" t="s">
        <v>10</v>
      </c>
      <c r="F2908" s="22" t="s">
        <v>11</v>
      </c>
      <c r="G2908" s="22" t="s">
        <v>15</v>
      </c>
    </row>
    <row r="2909" ht="15.15" spans="1:7">
      <c r="A2909" s="20">
        <v>2908</v>
      </c>
      <c r="B2909" s="20">
        <v>5775</v>
      </c>
      <c r="C2909" s="21">
        <v>45290</v>
      </c>
      <c r="D2909" s="20">
        <v>539.1</v>
      </c>
      <c r="E2909" s="22" t="s">
        <v>10</v>
      </c>
      <c r="F2909" s="22" t="s">
        <v>16</v>
      </c>
      <c r="G2909" s="22" t="s">
        <v>12</v>
      </c>
    </row>
    <row r="2910" ht="15.15" spans="1:7">
      <c r="A2910" s="20">
        <v>2909</v>
      </c>
      <c r="B2910" s="20">
        <v>3778</v>
      </c>
      <c r="C2910" s="21">
        <v>45240</v>
      </c>
      <c r="D2910" s="20">
        <v>1230.81</v>
      </c>
      <c r="E2910" s="22" t="s">
        <v>10</v>
      </c>
      <c r="F2910" s="22" t="s">
        <v>11</v>
      </c>
      <c r="G2910" s="22" t="s">
        <v>15</v>
      </c>
    </row>
    <row r="2911" ht="15.15" spans="1:7">
      <c r="A2911" s="20">
        <v>2910</v>
      </c>
      <c r="B2911" s="20">
        <v>2821</v>
      </c>
      <c r="C2911" s="21">
        <v>45159</v>
      </c>
      <c r="D2911" s="20">
        <v>2391.24</v>
      </c>
      <c r="E2911" s="22" t="s">
        <v>10</v>
      </c>
      <c r="F2911" s="22" t="s">
        <v>13</v>
      </c>
      <c r="G2911" s="22" t="s">
        <v>17</v>
      </c>
    </row>
    <row r="2912" ht="15.15" spans="1:7">
      <c r="A2912" s="20">
        <v>2911</v>
      </c>
      <c r="B2912" s="20">
        <v>5676</v>
      </c>
      <c r="C2912" s="21">
        <v>45098</v>
      </c>
      <c r="D2912" s="20">
        <v>2428.23</v>
      </c>
      <c r="E2912" s="22" t="s">
        <v>10</v>
      </c>
      <c r="F2912" s="22" t="s">
        <v>14</v>
      </c>
      <c r="G2912" s="22" t="s">
        <v>20</v>
      </c>
    </row>
    <row r="2913" ht="15.15" spans="1:7">
      <c r="A2913" s="20">
        <v>2912</v>
      </c>
      <c r="B2913" s="20">
        <v>9713</v>
      </c>
      <c r="C2913" s="21">
        <v>45265</v>
      </c>
      <c r="D2913" s="20">
        <v>1777.25</v>
      </c>
      <c r="E2913" s="22" t="s">
        <v>10</v>
      </c>
      <c r="F2913" s="22" t="s">
        <v>11</v>
      </c>
      <c r="G2913" s="22" t="s">
        <v>20</v>
      </c>
    </row>
    <row r="2914" ht="15.15" spans="1:7">
      <c r="A2914" s="20">
        <v>2913</v>
      </c>
      <c r="B2914" s="20">
        <v>6916</v>
      </c>
      <c r="C2914" s="21">
        <v>45208</v>
      </c>
      <c r="D2914" s="20">
        <v>1177.86</v>
      </c>
      <c r="E2914" s="22" t="s">
        <v>10</v>
      </c>
      <c r="F2914" s="22" t="s">
        <v>16</v>
      </c>
      <c r="G2914" s="22" t="s">
        <v>12</v>
      </c>
    </row>
    <row r="2915" ht="15.15" spans="1:7">
      <c r="A2915" s="20">
        <v>2914</v>
      </c>
      <c r="B2915" s="20">
        <v>6143</v>
      </c>
      <c r="C2915" s="21">
        <v>44970</v>
      </c>
      <c r="D2915" s="20">
        <v>1072.38</v>
      </c>
      <c r="E2915" s="22" t="s">
        <v>10</v>
      </c>
      <c r="F2915" s="22" t="s">
        <v>16</v>
      </c>
      <c r="G2915" s="22" t="s">
        <v>15</v>
      </c>
    </row>
    <row r="2916" ht="15.15" spans="1:7">
      <c r="A2916" s="20">
        <v>2915</v>
      </c>
      <c r="B2916" s="20">
        <v>4835</v>
      </c>
      <c r="C2916" s="21">
        <v>45015</v>
      </c>
      <c r="D2916" s="20">
        <v>1016.02</v>
      </c>
      <c r="E2916" s="22" t="s">
        <v>10</v>
      </c>
      <c r="F2916" s="22" t="s">
        <v>16</v>
      </c>
      <c r="G2916" s="22" t="s">
        <v>15</v>
      </c>
    </row>
    <row r="2917" ht="15.15" spans="1:7">
      <c r="A2917" s="20">
        <v>2916</v>
      </c>
      <c r="B2917" s="20">
        <v>6326</v>
      </c>
      <c r="C2917" s="21">
        <v>45271</v>
      </c>
      <c r="D2917" s="20">
        <v>339.07</v>
      </c>
      <c r="E2917" s="22" t="s">
        <v>10</v>
      </c>
      <c r="F2917" s="22" t="s">
        <v>11</v>
      </c>
      <c r="G2917" s="22" t="s">
        <v>15</v>
      </c>
    </row>
    <row r="2918" ht="15.15" spans="1:7">
      <c r="A2918" s="20">
        <v>2917</v>
      </c>
      <c r="B2918" s="20">
        <v>4350</v>
      </c>
      <c r="C2918" s="21">
        <v>45196</v>
      </c>
      <c r="D2918" s="20">
        <v>171.24</v>
      </c>
      <c r="E2918" s="22" t="s">
        <v>10</v>
      </c>
      <c r="F2918" s="22" t="s">
        <v>14</v>
      </c>
      <c r="G2918" s="22" t="s">
        <v>12</v>
      </c>
    </row>
    <row r="2919" ht="15.15" spans="1:7">
      <c r="A2919" s="20">
        <v>2918</v>
      </c>
      <c r="B2919" s="20">
        <v>367</v>
      </c>
      <c r="C2919" s="21">
        <v>44968</v>
      </c>
      <c r="D2919" s="20">
        <v>3713.87</v>
      </c>
      <c r="E2919" s="22" t="s">
        <v>10</v>
      </c>
      <c r="F2919" s="22" t="s">
        <v>13</v>
      </c>
      <c r="G2919" s="22" t="s">
        <v>15</v>
      </c>
    </row>
    <row r="2920" ht="15.15" spans="1:7">
      <c r="A2920" s="20">
        <v>2919</v>
      </c>
      <c r="B2920" s="20">
        <v>5065</v>
      </c>
      <c r="C2920" s="21">
        <v>45254</v>
      </c>
      <c r="D2920" s="20">
        <v>2005.04</v>
      </c>
      <c r="E2920" s="22" t="s">
        <v>10</v>
      </c>
      <c r="F2920" s="22" t="s">
        <v>13</v>
      </c>
      <c r="G2920" s="22" t="s">
        <v>12</v>
      </c>
    </row>
    <row r="2921" ht="15.15" spans="1:7">
      <c r="A2921" s="20">
        <v>2920</v>
      </c>
      <c r="B2921" s="20">
        <v>8138</v>
      </c>
      <c r="C2921" s="21">
        <v>45163</v>
      </c>
      <c r="D2921" s="20">
        <v>967.79</v>
      </c>
      <c r="E2921" s="22" t="s">
        <v>10</v>
      </c>
      <c r="F2921" s="22" t="s">
        <v>14</v>
      </c>
      <c r="G2921" s="22" t="s">
        <v>20</v>
      </c>
    </row>
    <row r="2922" ht="15.15" spans="1:7">
      <c r="A2922" s="20">
        <v>2921</v>
      </c>
      <c r="B2922" s="20">
        <v>3732</v>
      </c>
      <c r="C2922" s="21">
        <v>45271</v>
      </c>
      <c r="D2922" s="20">
        <v>967.11</v>
      </c>
      <c r="E2922" s="22" t="s">
        <v>10</v>
      </c>
      <c r="F2922" s="22" t="s">
        <v>13</v>
      </c>
      <c r="G2922" s="22" t="s">
        <v>12</v>
      </c>
    </row>
    <row r="2923" ht="15.15" spans="1:7">
      <c r="A2923" s="20">
        <v>2922</v>
      </c>
      <c r="B2923" s="20">
        <v>4689</v>
      </c>
      <c r="C2923" s="21">
        <v>44940</v>
      </c>
      <c r="D2923" s="20">
        <v>1176.98</v>
      </c>
      <c r="E2923" s="22" t="s">
        <v>10</v>
      </c>
      <c r="F2923" s="22" t="s">
        <v>14</v>
      </c>
      <c r="G2923" s="22" t="s">
        <v>12</v>
      </c>
    </row>
    <row r="2924" ht="15.15" spans="1:7">
      <c r="A2924" s="20">
        <v>2923</v>
      </c>
      <c r="B2924" s="20">
        <v>3218</v>
      </c>
      <c r="C2924" s="21">
        <v>45263</v>
      </c>
      <c r="D2924" s="20">
        <v>2188.34</v>
      </c>
      <c r="E2924" s="22" t="s">
        <v>10</v>
      </c>
      <c r="F2924" s="22" t="s">
        <v>14</v>
      </c>
      <c r="G2924" s="22" t="s">
        <v>20</v>
      </c>
    </row>
    <row r="2925" ht="15.15" spans="1:7">
      <c r="A2925" s="20">
        <v>2924</v>
      </c>
      <c r="B2925" s="20">
        <v>1669</v>
      </c>
      <c r="C2925" s="21">
        <v>45209</v>
      </c>
      <c r="D2925" s="20">
        <v>193.8</v>
      </c>
      <c r="E2925" s="22" t="s">
        <v>10</v>
      </c>
      <c r="F2925" s="22" t="s">
        <v>16</v>
      </c>
      <c r="G2925" s="22" t="s">
        <v>17</v>
      </c>
    </row>
    <row r="2926" ht="15.15" spans="1:7">
      <c r="A2926" s="20">
        <v>2925</v>
      </c>
      <c r="B2926" s="20">
        <v>5368</v>
      </c>
      <c r="C2926" s="21">
        <v>45274</v>
      </c>
      <c r="D2926" s="20">
        <v>1007.5</v>
      </c>
      <c r="E2926" s="22" t="s">
        <v>10</v>
      </c>
      <c r="F2926" s="22" t="s">
        <v>19</v>
      </c>
      <c r="G2926" s="22" t="s">
        <v>15</v>
      </c>
    </row>
    <row r="2927" ht="15.15" spans="1:7">
      <c r="A2927" s="20">
        <v>2926</v>
      </c>
      <c r="B2927" s="20">
        <v>561</v>
      </c>
      <c r="C2927" s="21">
        <v>45253</v>
      </c>
      <c r="D2927" s="20">
        <v>1128.91</v>
      </c>
      <c r="E2927" s="22" t="s">
        <v>10</v>
      </c>
      <c r="F2927" s="22" t="s">
        <v>13</v>
      </c>
      <c r="G2927" s="22" t="s">
        <v>17</v>
      </c>
    </row>
    <row r="2928" ht="15.15" spans="1:7">
      <c r="A2928" s="20">
        <v>2927</v>
      </c>
      <c r="B2928" s="20">
        <v>4265</v>
      </c>
      <c r="C2928" s="21">
        <v>45251</v>
      </c>
      <c r="D2928" s="20">
        <v>1636.91</v>
      </c>
      <c r="E2928" s="22" t="s">
        <v>10</v>
      </c>
      <c r="F2928" s="22" t="s">
        <v>13</v>
      </c>
      <c r="G2928" s="22" t="s">
        <v>15</v>
      </c>
    </row>
    <row r="2929" ht="15.15" spans="1:7">
      <c r="A2929" s="20">
        <v>2928</v>
      </c>
      <c r="B2929" s="20">
        <v>7203</v>
      </c>
      <c r="C2929" s="21">
        <v>45012</v>
      </c>
      <c r="D2929" s="20">
        <v>2381.16</v>
      </c>
      <c r="E2929" s="22" t="s">
        <v>10</v>
      </c>
      <c r="F2929" s="22" t="s">
        <v>13</v>
      </c>
      <c r="G2929" s="22" t="s">
        <v>12</v>
      </c>
    </row>
    <row r="2930" ht="15.15" spans="1:7">
      <c r="A2930" s="20">
        <v>2929</v>
      </c>
      <c r="B2930" s="20">
        <v>7385</v>
      </c>
      <c r="C2930" s="21">
        <v>44955</v>
      </c>
      <c r="D2930" s="20">
        <v>2620.02</v>
      </c>
      <c r="E2930" s="22" t="s">
        <v>10</v>
      </c>
      <c r="F2930" s="22" t="s">
        <v>13</v>
      </c>
      <c r="G2930" s="22" t="s">
        <v>20</v>
      </c>
    </row>
    <row r="2931" ht="15.15" spans="1:7">
      <c r="A2931" s="20">
        <v>2930</v>
      </c>
      <c r="B2931" s="20">
        <v>9000</v>
      </c>
      <c r="C2931" s="21">
        <v>45051</v>
      </c>
      <c r="D2931" s="20">
        <v>157.92</v>
      </c>
      <c r="E2931" s="22" t="s">
        <v>10</v>
      </c>
      <c r="F2931" s="22" t="s">
        <v>18</v>
      </c>
      <c r="G2931" s="22" t="s">
        <v>12</v>
      </c>
    </row>
    <row r="2932" ht="15.15" spans="1:7">
      <c r="A2932" s="20">
        <v>2931</v>
      </c>
      <c r="B2932" s="20">
        <v>5644</v>
      </c>
      <c r="C2932" s="21">
        <v>45271</v>
      </c>
      <c r="D2932" s="20">
        <v>410.89</v>
      </c>
      <c r="E2932" s="22" t="s">
        <v>10</v>
      </c>
      <c r="F2932" s="22" t="s">
        <v>19</v>
      </c>
      <c r="G2932" s="22" t="s">
        <v>15</v>
      </c>
    </row>
    <row r="2933" ht="15.15" spans="1:7">
      <c r="A2933" s="20">
        <v>2932</v>
      </c>
      <c r="B2933" s="20">
        <v>2231</v>
      </c>
      <c r="C2933" s="21">
        <v>44934</v>
      </c>
      <c r="D2933" s="20">
        <v>3873.95</v>
      </c>
      <c r="E2933" s="22" t="s">
        <v>10</v>
      </c>
      <c r="F2933" s="22" t="s">
        <v>18</v>
      </c>
      <c r="G2933" s="22" t="s">
        <v>12</v>
      </c>
    </row>
    <row r="2934" ht="15.15" spans="1:7">
      <c r="A2934" s="20">
        <v>2933</v>
      </c>
      <c r="B2934" s="20">
        <v>7356</v>
      </c>
      <c r="C2934" s="21">
        <v>44972</v>
      </c>
      <c r="D2934" s="20">
        <v>520.2</v>
      </c>
      <c r="E2934" s="22" t="s">
        <v>10</v>
      </c>
      <c r="F2934" s="22" t="s">
        <v>13</v>
      </c>
      <c r="G2934" s="22" t="s">
        <v>17</v>
      </c>
    </row>
    <row r="2935" ht="15.15" spans="1:7">
      <c r="A2935" s="20">
        <v>2934</v>
      </c>
      <c r="B2935" s="20">
        <v>7688</v>
      </c>
      <c r="C2935" s="21">
        <v>45249</v>
      </c>
      <c r="D2935" s="20">
        <v>602.73</v>
      </c>
      <c r="E2935" s="22" t="s">
        <v>10</v>
      </c>
      <c r="F2935" s="22" t="s">
        <v>18</v>
      </c>
      <c r="G2935" s="22" t="s">
        <v>20</v>
      </c>
    </row>
    <row r="2936" ht="15.15" spans="1:7">
      <c r="A2936" s="20">
        <v>2935</v>
      </c>
      <c r="B2936" s="20">
        <v>8165</v>
      </c>
      <c r="C2936" s="21">
        <v>45255</v>
      </c>
      <c r="D2936" s="20">
        <v>480.36</v>
      </c>
      <c r="E2936" s="22" t="s">
        <v>10</v>
      </c>
      <c r="F2936" s="22" t="s">
        <v>11</v>
      </c>
      <c r="G2936" s="22" t="s">
        <v>17</v>
      </c>
    </row>
    <row r="2937" ht="15.15" spans="1:7">
      <c r="A2937" s="20">
        <v>2936</v>
      </c>
      <c r="B2937" s="20">
        <v>6638</v>
      </c>
      <c r="C2937" s="21">
        <v>45202</v>
      </c>
      <c r="D2937" s="20">
        <v>661.44</v>
      </c>
      <c r="E2937" s="22" t="s">
        <v>22</v>
      </c>
      <c r="F2937" s="22" t="s">
        <v>18</v>
      </c>
      <c r="G2937" s="22" t="s">
        <v>17</v>
      </c>
    </row>
    <row r="2938" ht="15.15" spans="1:7">
      <c r="A2938" s="20">
        <v>2937</v>
      </c>
      <c r="B2938" s="20">
        <v>3618</v>
      </c>
      <c r="C2938" s="21">
        <v>45066</v>
      </c>
      <c r="D2938" s="20">
        <v>1816.72</v>
      </c>
      <c r="E2938" s="22" t="s">
        <v>21</v>
      </c>
      <c r="F2938" s="22" t="s">
        <v>18</v>
      </c>
      <c r="G2938" s="22" t="s">
        <v>17</v>
      </c>
    </row>
    <row r="2939" ht="15.15" spans="1:7">
      <c r="A2939" s="20">
        <v>2938</v>
      </c>
      <c r="B2939" s="20">
        <v>3635</v>
      </c>
      <c r="C2939" s="21">
        <v>44942</v>
      </c>
      <c r="D2939" s="20">
        <v>1440.88</v>
      </c>
      <c r="E2939" s="22" t="s">
        <v>10</v>
      </c>
      <c r="F2939" s="22" t="s">
        <v>14</v>
      </c>
      <c r="G2939" s="22" t="s">
        <v>20</v>
      </c>
    </row>
    <row r="2940" ht="15.15" spans="1:7">
      <c r="A2940" s="20">
        <v>2939</v>
      </c>
      <c r="B2940" s="20">
        <v>4136</v>
      </c>
      <c r="C2940" s="21">
        <v>45171</v>
      </c>
      <c r="D2940" s="20">
        <v>662.52</v>
      </c>
      <c r="E2940" s="22" t="s">
        <v>10</v>
      </c>
      <c r="F2940" s="22" t="s">
        <v>13</v>
      </c>
      <c r="G2940" s="22" t="s">
        <v>15</v>
      </c>
    </row>
    <row r="2941" ht="15.15" spans="1:7">
      <c r="A2941" s="20">
        <v>2940</v>
      </c>
      <c r="B2941" s="20">
        <v>2341</v>
      </c>
      <c r="C2941" s="21">
        <v>45200</v>
      </c>
      <c r="D2941" s="20">
        <v>280.61</v>
      </c>
      <c r="E2941" s="22" t="s">
        <v>10</v>
      </c>
      <c r="F2941" s="22" t="s">
        <v>18</v>
      </c>
      <c r="G2941" s="22" t="s">
        <v>12</v>
      </c>
    </row>
    <row r="2942" ht="15.15" spans="1:7">
      <c r="A2942" s="20">
        <v>2941</v>
      </c>
      <c r="B2942" s="20">
        <v>5467</v>
      </c>
      <c r="C2942" s="21">
        <v>45008</v>
      </c>
      <c r="D2942" s="20">
        <v>1086.2</v>
      </c>
      <c r="E2942" s="22" t="s">
        <v>10</v>
      </c>
      <c r="F2942" s="22" t="s">
        <v>14</v>
      </c>
      <c r="G2942" s="22" t="s">
        <v>15</v>
      </c>
    </row>
    <row r="2943" ht="15.15" spans="1:7">
      <c r="A2943" s="20">
        <v>2942</v>
      </c>
      <c r="B2943" s="20">
        <v>4622</v>
      </c>
      <c r="C2943" s="21">
        <v>45054</v>
      </c>
      <c r="D2943" s="20">
        <v>888.93</v>
      </c>
      <c r="E2943" s="22" t="s">
        <v>10</v>
      </c>
      <c r="F2943" s="22" t="s">
        <v>13</v>
      </c>
      <c r="G2943" s="22" t="s">
        <v>15</v>
      </c>
    </row>
    <row r="2944" ht="15.15" spans="1:7">
      <c r="A2944" s="20">
        <v>2943</v>
      </c>
      <c r="B2944" s="20">
        <v>5850</v>
      </c>
      <c r="C2944" s="21">
        <v>44979</v>
      </c>
      <c r="D2944" s="20">
        <v>601.86</v>
      </c>
      <c r="E2944" s="22" t="s">
        <v>10</v>
      </c>
      <c r="F2944" s="22" t="s">
        <v>18</v>
      </c>
      <c r="G2944" s="22" t="s">
        <v>17</v>
      </c>
    </row>
    <row r="2945" ht="15.15" spans="1:7">
      <c r="A2945" s="20">
        <v>2944</v>
      </c>
      <c r="B2945" s="20">
        <v>8283</v>
      </c>
      <c r="C2945" s="21">
        <v>45228</v>
      </c>
      <c r="D2945" s="20">
        <v>761.53</v>
      </c>
      <c r="E2945" s="22" t="s">
        <v>10</v>
      </c>
      <c r="F2945" s="22" t="s">
        <v>14</v>
      </c>
      <c r="G2945" s="22" t="s">
        <v>17</v>
      </c>
    </row>
    <row r="2946" ht="15.15" spans="1:7">
      <c r="A2946" s="20">
        <v>2945</v>
      </c>
      <c r="B2946" s="20">
        <v>606</v>
      </c>
      <c r="C2946" s="21">
        <v>45265</v>
      </c>
      <c r="D2946" s="20">
        <v>3194.24</v>
      </c>
      <c r="E2946" s="22" t="s">
        <v>10</v>
      </c>
      <c r="F2946" s="22" t="s">
        <v>16</v>
      </c>
      <c r="G2946" s="22" t="s">
        <v>17</v>
      </c>
    </row>
    <row r="2947" ht="15.15" spans="1:7">
      <c r="A2947" s="20">
        <v>2946</v>
      </c>
      <c r="B2947" s="20">
        <v>5804</v>
      </c>
      <c r="C2947" s="21">
        <v>45238</v>
      </c>
      <c r="D2947" s="20">
        <v>756.46</v>
      </c>
      <c r="E2947" s="22" t="s">
        <v>10</v>
      </c>
      <c r="F2947" s="22" t="s">
        <v>11</v>
      </c>
      <c r="G2947" s="22" t="s">
        <v>17</v>
      </c>
    </row>
    <row r="2948" ht="15.15" spans="1:7">
      <c r="A2948" s="20">
        <v>2947</v>
      </c>
      <c r="B2948" s="20">
        <v>945</v>
      </c>
      <c r="C2948" s="21">
        <v>45259</v>
      </c>
      <c r="D2948" s="20">
        <v>1822.78</v>
      </c>
      <c r="E2948" s="22" t="s">
        <v>10</v>
      </c>
      <c r="F2948" s="22" t="s">
        <v>13</v>
      </c>
      <c r="G2948" s="22" t="s">
        <v>15</v>
      </c>
    </row>
    <row r="2949" ht="15.15" spans="1:7">
      <c r="A2949" s="20">
        <v>2948</v>
      </c>
      <c r="B2949" s="20">
        <v>8277</v>
      </c>
      <c r="C2949" s="21">
        <v>45127</v>
      </c>
      <c r="D2949" s="20">
        <v>1845.75</v>
      </c>
      <c r="E2949" s="22" t="s">
        <v>10</v>
      </c>
      <c r="F2949" s="22" t="s">
        <v>13</v>
      </c>
      <c r="G2949" s="22" t="s">
        <v>12</v>
      </c>
    </row>
    <row r="2950" ht="15.15" spans="1:7">
      <c r="A2950" s="20">
        <v>2949</v>
      </c>
      <c r="B2950" s="20">
        <v>2392</v>
      </c>
      <c r="C2950" s="21">
        <v>45017</v>
      </c>
      <c r="D2950" s="20">
        <v>1153.5</v>
      </c>
      <c r="E2950" s="22" t="s">
        <v>10</v>
      </c>
      <c r="F2950" s="22" t="s">
        <v>18</v>
      </c>
      <c r="G2950" s="22" t="s">
        <v>17</v>
      </c>
    </row>
    <row r="2951" ht="15.15" spans="1:7">
      <c r="A2951" s="20">
        <v>2950</v>
      </c>
      <c r="B2951" s="20">
        <v>2324</v>
      </c>
      <c r="C2951" s="21">
        <v>45133</v>
      </c>
      <c r="D2951" s="20">
        <v>2362.17</v>
      </c>
      <c r="E2951" s="22" t="s">
        <v>10</v>
      </c>
      <c r="F2951" s="22" t="s">
        <v>13</v>
      </c>
      <c r="G2951" s="22" t="s">
        <v>17</v>
      </c>
    </row>
    <row r="2952" ht="15.15" spans="1:7">
      <c r="A2952" s="20">
        <v>2951</v>
      </c>
      <c r="B2952" s="20">
        <v>1942</v>
      </c>
      <c r="C2952" s="21">
        <v>44937</v>
      </c>
      <c r="D2952" s="20">
        <v>920.76</v>
      </c>
      <c r="E2952" s="22" t="s">
        <v>10</v>
      </c>
      <c r="F2952" s="22" t="s">
        <v>14</v>
      </c>
      <c r="G2952" s="22" t="s">
        <v>17</v>
      </c>
    </row>
    <row r="2953" ht="15.15" spans="1:7">
      <c r="A2953" s="20">
        <v>2952</v>
      </c>
      <c r="B2953" s="20">
        <v>6215</v>
      </c>
      <c r="C2953" s="21">
        <v>44993</v>
      </c>
      <c r="D2953" s="20">
        <v>2914.63</v>
      </c>
      <c r="E2953" s="22" t="s">
        <v>10</v>
      </c>
      <c r="F2953" s="22" t="s">
        <v>18</v>
      </c>
      <c r="G2953" s="22" t="s">
        <v>12</v>
      </c>
    </row>
    <row r="2954" ht="15.15" spans="1:7">
      <c r="A2954" s="20">
        <v>2953</v>
      </c>
      <c r="B2954" s="20">
        <v>1620</v>
      </c>
      <c r="C2954" s="21">
        <v>45240</v>
      </c>
      <c r="D2954" s="20">
        <v>266.31</v>
      </c>
      <c r="E2954" s="22" t="s">
        <v>10</v>
      </c>
      <c r="F2954" s="22" t="s">
        <v>13</v>
      </c>
      <c r="G2954" s="22" t="s">
        <v>12</v>
      </c>
    </row>
    <row r="2955" ht="15.15" spans="1:7">
      <c r="A2955" s="20">
        <v>2954</v>
      </c>
      <c r="B2955" s="20">
        <v>306</v>
      </c>
      <c r="C2955" s="21">
        <v>44940</v>
      </c>
      <c r="D2955" s="20">
        <v>2158.32</v>
      </c>
      <c r="E2955" s="22" t="s">
        <v>21</v>
      </c>
      <c r="F2955" s="22" t="s">
        <v>13</v>
      </c>
      <c r="G2955" s="22" t="s">
        <v>15</v>
      </c>
    </row>
    <row r="2956" ht="15.15" spans="1:7">
      <c r="A2956" s="20">
        <v>2955</v>
      </c>
      <c r="B2956" s="20">
        <v>2770</v>
      </c>
      <c r="C2956" s="21">
        <v>44944</v>
      </c>
      <c r="D2956" s="20">
        <v>1090.1</v>
      </c>
      <c r="E2956" s="22" t="s">
        <v>10</v>
      </c>
      <c r="F2956" s="22" t="s">
        <v>16</v>
      </c>
      <c r="G2956" s="22" t="s">
        <v>20</v>
      </c>
    </row>
    <row r="2957" ht="15.15" spans="1:7">
      <c r="A2957" s="20">
        <v>2956</v>
      </c>
      <c r="B2957" s="20">
        <v>9895</v>
      </c>
      <c r="C2957" s="21">
        <v>45232</v>
      </c>
      <c r="D2957" s="20">
        <v>1705.77</v>
      </c>
      <c r="E2957" s="22" t="s">
        <v>10</v>
      </c>
      <c r="F2957" s="22" t="s">
        <v>11</v>
      </c>
      <c r="G2957" s="22" t="s">
        <v>15</v>
      </c>
    </row>
    <row r="2958" ht="15.15" spans="1:7">
      <c r="A2958" s="20">
        <v>2957</v>
      </c>
      <c r="B2958" s="20">
        <v>1183</v>
      </c>
      <c r="C2958" s="21">
        <v>45290</v>
      </c>
      <c r="D2958" s="20">
        <v>414.24</v>
      </c>
      <c r="E2958" s="22" t="s">
        <v>10</v>
      </c>
      <c r="F2958" s="22" t="s">
        <v>16</v>
      </c>
      <c r="G2958" s="22" t="s">
        <v>20</v>
      </c>
    </row>
    <row r="2959" ht="15.15" spans="1:7">
      <c r="A2959" s="20">
        <v>2958</v>
      </c>
      <c r="B2959" s="20">
        <v>7964</v>
      </c>
      <c r="C2959" s="21">
        <v>45276</v>
      </c>
      <c r="D2959" s="20">
        <v>759.53</v>
      </c>
      <c r="E2959" s="22" t="s">
        <v>10</v>
      </c>
      <c r="F2959" s="22" t="s">
        <v>13</v>
      </c>
      <c r="G2959" s="22" t="s">
        <v>20</v>
      </c>
    </row>
    <row r="2960" ht="15.15" spans="1:7">
      <c r="A2960" s="20">
        <v>2959</v>
      </c>
      <c r="B2960" s="20">
        <v>3886</v>
      </c>
      <c r="C2960" s="21">
        <v>45140</v>
      </c>
      <c r="D2960" s="20">
        <v>1411.31</v>
      </c>
      <c r="E2960" s="22" t="s">
        <v>10</v>
      </c>
      <c r="F2960" s="22" t="s">
        <v>13</v>
      </c>
      <c r="G2960" s="22" t="s">
        <v>15</v>
      </c>
    </row>
    <row r="2961" ht="15.15" spans="1:7">
      <c r="A2961" s="20">
        <v>2960</v>
      </c>
      <c r="B2961" s="20">
        <v>1230</v>
      </c>
      <c r="C2961" s="21">
        <v>44987</v>
      </c>
      <c r="D2961" s="20">
        <v>284.73</v>
      </c>
      <c r="E2961" s="22" t="s">
        <v>10</v>
      </c>
      <c r="F2961" s="22" t="s">
        <v>16</v>
      </c>
      <c r="G2961" s="22" t="s">
        <v>15</v>
      </c>
    </row>
    <row r="2962" ht="15.15" spans="1:7">
      <c r="A2962" s="20">
        <v>2961</v>
      </c>
      <c r="B2962" s="20">
        <v>2861</v>
      </c>
      <c r="C2962" s="21">
        <v>45059</v>
      </c>
      <c r="D2962" s="20">
        <v>858.98</v>
      </c>
      <c r="E2962" s="22" t="s">
        <v>10</v>
      </c>
      <c r="F2962" s="22" t="s">
        <v>14</v>
      </c>
      <c r="G2962" s="22" t="s">
        <v>15</v>
      </c>
    </row>
    <row r="2963" ht="15.15" spans="1:7">
      <c r="A2963" s="20">
        <v>2962</v>
      </c>
      <c r="B2963" s="20">
        <v>1682</v>
      </c>
      <c r="C2963" s="21">
        <v>45254</v>
      </c>
      <c r="D2963" s="20">
        <v>777.27</v>
      </c>
      <c r="E2963" s="22" t="s">
        <v>10</v>
      </c>
      <c r="F2963" s="22" t="s">
        <v>16</v>
      </c>
      <c r="G2963" s="22" t="s">
        <v>15</v>
      </c>
    </row>
    <row r="2964" ht="15.15" spans="1:7">
      <c r="A2964" s="20">
        <v>2963</v>
      </c>
      <c r="B2964" s="20">
        <v>5558</v>
      </c>
      <c r="C2964" s="21">
        <v>45134</v>
      </c>
      <c r="D2964" s="20">
        <v>965.83</v>
      </c>
      <c r="E2964" s="22" t="s">
        <v>10</v>
      </c>
      <c r="F2964" s="22" t="s">
        <v>16</v>
      </c>
      <c r="G2964" s="22" t="s">
        <v>17</v>
      </c>
    </row>
    <row r="2965" ht="15.15" spans="1:7">
      <c r="A2965" s="20">
        <v>2964</v>
      </c>
      <c r="B2965" s="20">
        <v>595</v>
      </c>
      <c r="C2965" s="21">
        <v>45024</v>
      </c>
      <c r="D2965" s="20">
        <v>1391.52</v>
      </c>
      <c r="E2965" s="22" t="s">
        <v>10</v>
      </c>
      <c r="F2965" s="22" t="s">
        <v>14</v>
      </c>
      <c r="G2965" s="22" t="s">
        <v>20</v>
      </c>
    </row>
    <row r="2966" ht="15.15" spans="1:7">
      <c r="A2966" s="20">
        <v>2965</v>
      </c>
      <c r="B2966" s="20">
        <v>2734</v>
      </c>
      <c r="C2966" s="21">
        <v>45019</v>
      </c>
      <c r="D2966" s="20">
        <v>2139.08</v>
      </c>
      <c r="E2966" s="22" t="s">
        <v>10</v>
      </c>
      <c r="F2966" s="22" t="s">
        <v>16</v>
      </c>
      <c r="G2966" s="22" t="s">
        <v>12</v>
      </c>
    </row>
    <row r="2967" ht="15.15" spans="1:7">
      <c r="A2967" s="20">
        <v>2966</v>
      </c>
      <c r="B2967" s="20">
        <v>9664</v>
      </c>
      <c r="C2967" s="21">
        <v>45233</v>
      </c>
      <c r="D2967" s="20">
        <v>1804.08</v>
      </c>
      <c r="E2967" s="22" t="s">
        <v>10</v>
      </c>
      <c r="F2967" s="22" t="s">
        <v>11</v>
      </c>
      <c r="G2967" s="22" t="s">
        <v>20</v>
      </c>
    </row>
    <row r="2968" ht="15.15" spans="1:7">
      <c r="A2968" s="20">
        <v>2967</v>
      </c>
      <c r="B2968" s="20">
        <v>6242</v>
      </c>
      <c r="C2968" s="21">
        <v>45248</v>
      </c>
      <c r="D2968" s="20">
        <v>295.79</v>
      </c>
      <c r="E2968" s="22" t="s">
        <v>10</v>
      </c>
      <c r="F2968" s="22" t="s">
        <v>16</v>
      </c>
      <c r="G2968" s="22" t="s">
        <v>12</v>
      </c>
    </row>
    <row r="2969" ht="15.15" spans="1:7">
      <c r="A2969" s="20">
        <v>2968</v>
      </c>
      <c r="B2969" s="20">
        <v>5242</v>
      </c>
      <c r="C2969" s="21">
        <v>45203</v>
      </c>
      <c r="D2969" s="20">
        <v>720.37</v>
      </c>
      <c r="E2969" s="22" t="s">
        <v>10</v>
      </c>
      <c r="F2969" s="22" t="s">
        <v>18</v>
      </c>
      <c r="G2969" s="22" t="s">
        <v>20</v>
      </c>
    </row>
    <row r="2970" ht="15.15" spans="1:7">
      <c r="A2970" s="20">
        <v>2969</v>
      </c>
      <c r="B2970" s="20">
        <v>4637</v>
      </c>
      <c r="C2970" s="21">
        <v>45286</v>
      </c>
      <c r="D2970" s="20">
        <v>960.27</v>
      </c>
      <c r="E2970" s="22" t="s">
        <v>10</v>
      </c>
      <c r="F2970" s="22" t="s">
        <v>14</v>
      </c>
      <c r="G2970" s="22" t="s">
        <v>20</v>
      </c>
    </row>
    <row r="2971" ht="15.15" spans="1:7">
      <c r="A2971" s="20">
        <v>2970</v>
      </c>
      <c r="B2971" s="20">
        <v>6463</v>
      </c>
      <c r="C2971" s="21">
        <v>45124</v>
      </c>
      <c r="D2971" s="20">
        <v>255.79</v>
      </c>
      <c r="E2971" s="22" t="s">
        <v>10</v>
      </c>
      <c r="F2971" s="22" t="s">
        <v>18</v>
      </c>
      <c r="G2971" s="22" t="s">
        <v>17</v>
      </c>
    </row>
    <row r="2972" ht="15.15" spans="1:7">
      <c r="A2972" s="20">
        <v>2971</v>
      </c>
      <c r="B2972" s="20">
        <v>4974</v>
      </c>
      <c r="C2972" s="21">
        <v>44978</v>
      </c>
      <c r="D2972" s="20">
        <v>1286.03</v>
      </c>
      <c r="E2972" s="22" t="s">
        <v>10</v>
      </c>
      <c r="F2972" s="22" t="s">
        <v>11</v>
      </c>
      <c r="G2972" s="22" t="s">
        <v>20</v>
      </c>
    </row>
    <row r="2973" ht="15.15" spans="1:7">
      <c r="A2973" s="20">
        <v>2972</v>
      </c>
      <c r="B2973" s="20">
        <v>5092</v>
      </c>
      <c r="C2973" s="21">
        <v>44973</v>
      </c>
      <c r="D2973" s="20">
        <v>989.11</v>
      </c>
      <c r="E2973" s="22" t="s">
        <v>10</v>
      </c>
      <c r="F2973" s="22" t="s">
        <v>18</v>
      </c>
      <c r="G2973" s="22" t="s">
        <v>17</v>
      </c>
    </row>
    <row r="2974" ht="15.15" spans="1:7">
      <c r="A2974" s="20">
        <v>2973</v>
      </c>
      <c r="B2974" s="20">
        <v>8518</v>
      </c>
      <c r="C2974" s="21">
        <v>45128</v>
      </c>
      <c r="D2974" s="20">
        <v>3115.63</v>
      </c>
      <c r="E2974" s="22" t="s">
        <v>10</v>
      </c>
      <c r="F2974" s="22" t="s">
        <v>16</v>
      </c>
      <c r="G2974" s="22" t="s">
        <v>17</v>
      </c>
    </row>
    <row r="2975" ht="15.15" spans="1:7">
      <c r="A2975" s="20">
        <v>2974</v>
      </c>
      <c r="B2975" s="20">
        <v>8121</v>
      </c>
      <c r="C2975" s="21">
        <v>45197</v>
      </c>
      <c r="D2975" s="20">
        <v>1362.58</v>
      </c>
      <c r="E2975" s="22" t="s">
        <v>10</v>
      </c>
      <c r="F2975" s="22" t="s">
        <v>19</v>
      </c>
      <c r="G2975" s="22" t="s">
        <v>15</v>
      </c>
    </row>
    <row r="2976" ht="15.15" spans="1:7">
      <c r="A2976" s="20">
        <v>2975</v>
      </c>
      <c r="B2976" s="20">
        <v>723</v>
      </c>
      <c r="C2976" s="21">
        <v>45055</v>
      </c>
      <c r="D2976" s="20">
        <v>2843.6</v>
      </c>
      <c r="E2976" s="22" t="s">
        <v>10</v>
      </c>
      <c r="F2976" s="22" t="s">
        <v>11</v>
      </c>
      <c r="G2976" s="22" t="s">
        <v>20</v>
      </c>
    </row>
    <row r="2977" ht="15.15" spans="1:7">
      <c r="A2977" s="20">
        <v>2976</v>
      </c>
      <c r="B2977" s="20">
        <v>9082</v>
      </c>
      <c r="C2977" s="21">
        <v>44995</v>
      </c>
      <c r="D2977" s="20">
        <v>663.34</v>
      </c>
      <c r="E2977" s="22" t="s">
        <v>22</v>
      </c>
      <c r="F2977" s="22" t="s">
        <v>16</v>
      </c>
      <c r="G2977" s="22" t="s">
        <v>15</v>
      </c>
    </row>
    <row r="2978" ht="15.15" spans="1:7">
      <c r="A2978" s="20">
        <v>2977</v>
      </c>
      <c r="B2978" s="20">
        <v>1934</v>
      </c>
      <c r="C2978" s="21">
        <v>45151</v>
      </c>
      <c r="D2978" s="20">
        <v>1916.76</v>
      </c>
      <c r="E2978" s="22" t="s">
        <v>10</v>
      </c>
      <c r="F2978" s="22" t="s">
        <v>11</v>
      </c>
      <c r="G2978" s="22" t="s">
        <v>17</v>
      </c>
    </row>
    <row r="2979" ht="15.15" spans="1:7">
      <c r="A2979" s="20">
        <v>2978</v>
      </c>
      <c r="B2979" s="20">
        <v>5729</v>
      </c>
      <c r="C2979" s="21">
        <v>45059</v>
      </c>
      <c r="D2979" s="20">
        <v>943.91</v>
      </c>
      <c r="E2979" s="22" t="s">
        <v>10</v>
      </c>
      <c r="F2979" s="22" t="s">
        <v>18</v>
      </c>
      <c r="G2979" s="22" t="s">
        <v>20</v>
      </c>
    </row>
    <row r="2980" ht="15.15" spans="1:7">
      <c r="A2980" s="20">
        <v>2979</v>
      </c>
      <c r="B2980" s="20">
        <v>8494</v>
      </c>
      <c r="C2980" s="21">
        <v>44950</v>
      </c>
      <c r="D2980" s="20">
        <v>969.19</v>
      </c>
      <c r="E2980" s="22" t="s">
        <v>10</v>
      </c>
      <c r="F2980" s="22" t="s">
        <v>11</v>
      </c>
      <c r="G2980" s="22" t="s">
        <v>12</v>
      </c>
    </row>
    <row r="2981" ht="15.15" spans="1:7">
      <c r="A2981" s="20">
        <v>2980</v>
      </c>
      <c r="B2981" s="20">
        <v>8911</v>
      </c>
      <c r="C2981" s="21">
        <v>45221</v>
      </c>
      <c r="D2981" s="20">
        <v>1674.48</v>
      </c>
      <c r="E2981" s="22" t="s">
        <v>10</v>
      </c>
      <c r="F2981" s="22" t="s">
        <v>14</v>
      </c>
      <c r="G2981" s="22" t="s">
        <v>12</v>
      </c>
    </row>
    <row r="2982" ht="15.15" spans="1:7">
      <c r="A2982" s="20">
        <v>2981</v>
      </c>
      <c r="B2982" s="20">
        <v>5337</v>
      </c>
      <c r="C2982" s="21">
        <v>45288</v>
      </c>
      <c r="D2982" s="20">
        <v>359.28</v>
      </c>
      <c r="E2982" s="22" t="s">
        <v>10</v>
      </c>
      <c r="F2982" s="22" t="s">
        <v>14</v>
      </c>
      <c r="G2982" s="22" t="s">
        <v>17</v>
      </c>
    </row>
    <row r="2983" ht="15.15" spans="1:7">
      <c r="A2983" s="20">
        <v>2982</v>
      </c>
      <c r="B2983" s="20">
        <v>9705</v>
      </c>
      <c r="C2983" s="21">
        <v>45061</v>
      </c>
      <c r="D2983" s="20">
        <v>1502.76</v>
      </c>
      <c r="E2983" s="22" t="s">
        <v>10</v>
      </c>
      <c r="F2983" s="22" t="s">
        <v>11</v>
      </c>
      <c r="G2983" s="22" t="s">
        <v>15</v>
      </c>
    </row>
    <row r="2984" ht="15.15" spans="1:7">
      <c r="A2984" s="20">
        <v>2983</v>
      </c>
      <c r="B2984" s="20">
        <v>1853</v>
      </c>
      <c r="C2984" s="21">
        <v>45253</v>
      </c>
      <c r="D2984" s="20">
        <v>1832.01</v>
      </c>
      <c r="E2984" s="22" t="s">
        <v>10</v>
      </c>
      <c r="F2984" s="22" t="s">
        <v>18</v>
      </c>
      <c r="G2984" s="22" t="s">
        <v>15</v>
      </c>
    </row>
    <row r="2985" ht="15.15" spans="1:7">
      <c r="A2985" s="20">
        <v>2984</v>
      </c>
      <c r="B2985" s="20">
        <v>3132</v>
      </c>
      <c r="C2985" s="21">
        <v>45258</v>
      </c>
      <c r="D2985" s="20">
        <v>3762.62</v>
      </c>
      <c r="E2985" s="22" t="s">
        <v>10</v>
      </c>
      <c r="F2985" s="22" t="s">
        <v>13</v>
      </c>
      <c r="G2985" s="22" t="s">
        <v>20</v>
      </c>
    </row>
    <row r="2986" ht="15.15" spans="1:7">
      <c r="A2986" s="20">
        <v>2985</v>
      </c>
      <c r="B2986" s="20">
        <v>5422</v>
      </c>
      <c r="C2986" s="21">
        <v>45070</v>
      </c>
      <c r="D2986" s="20">
        <v>955.75</v>
      </c>
      <c r="E2986" s="22" t="s">
        <v>10</v>
      </c>
      <c r="F2986" s="22" t="s">
        <v>18</v>
      </c>
      <c r="G2986" s="22" t="s">
        <v>20</v>
      </c>
    </row>
    <row r="2987" ht="15.15" spans="1:7">
      <c r="A2987" s="20">
        <v>2986</v>
      </c>
      <c r="B2987" s="20">
        <v>6341</v>
      </c>
      <c r="C2987" s="21">
        <v>45083</v>
      </c>
      <c r="D2987" s="20">
        <v>9286.34</v>
      </c>
      <c r="E2987" s="22" t="s">
        <v>10</v>
      </c>
      <c r="F2987" s="22" t="s">
        <v>14</v>
      </c>
      <c r="G2987" s="22" t="s">
        <v>20</v>
      </c>
    </row>
    <row r="2988" ht="15.15" spans="1:7">
      <c r="A2988" s="20">
        <v>2987</v>
      </c>
      <c r="B2988" s="20">
        <v>1160</v>
      </c>
      <c r="C2988" s="21">
        <v>45144</v>
      </c>
      <c r="D2988" s="20">
        <v>193.6</v>
      </c>
      <c r="E2988" s="22" t="s">
        <v>10</v>
      </c>
      <c r="F2988" s="22" t="s">
        <v>13</v>
      </c>
      <c r="G2988" s="22" t="s">
        <v>12</v>
      </c>
    </row>
    <row r="2989" ht="15.15" spans="1:7">
      <c r="A2989" s="20">
        <v>2988</v>
      </c>
      <c r="B2989" s="20">
        <v>3106</v>
      </c>
      <c r="C2989" s="21">
        <v>45035</v>
      </c>
      <c r="D2989" s="20">
        <v>1887.71</v>
      </c>
      <c r="E2989" s="22" t="s">
        <v>10</v>
      </c>
      <c r="F2989" s="22" t="s">
        <v>13</v>
      </c>
      <c r="G2989" s="22" t="s">
        <v>12</v>
      </c>
    </row>
    <row r="2990" ht="15.15" spans="1:7">
      <c r="A2990" s="20">
        <v>2989</v>
      </c>
      <c r="B2990" s="20">
        <v>8757</v>
      </c>
      <c r="C2990" s="21">
        <v>45108</v>
      </c>
      <c r="D2990" s="20">
        <v>2181.39</v>
      </c>
      <c r="E2990" s="22" t="s">
        <v>10</v>
      </c>
      <c r="F2990" s="22" t="s">
        <v>18</v>
      </c>
      <c r="G2990" s="22" t="s">
        <v>17</v>
      </c>
    </row>
    <row r="2991" ht="15.15" spans="1:7">
      <c r="A2991" s="20">
        <v>2990</v>
      </c>
      <c r="B2991" s="20">
        <v>1873</v>
      </c>
      <c r="C2991" s="21">
        <v>45039</v>
      </c>
      <c r="D2991" s="20">
        <v>1933.89</v>
      </c>
      <c r="E2991" s="22" t="s">
        <v>10</v>
      </c>
      <c r="F2991" s="22" t="s">
        <v>14</v>
      </c>
      <c r="G2991" s="22" t="s">
        <v>20</v>
      </c>
    </row>
    <row r="2992" ht="15.15" spans="1:7">
      <c r="A2992" s="20">
        <v>2991</v>
      </c>
      <c r="B2992" s="20">
        <v>4860</v>
      </c>
      <c r="C2992" s="21">
        <v>45265</v>
      </c>
      <c r="D2992" s="20">
        <v>3057.75</v>
      </c>
      <c r="E2992" s="22" t="s">
        <v>10</v>
      </c>
      <c r="F2992" s="22" t="s">
        <v>18</v>
      </c>
      <c r="G2992" s="22" t="s">
        <v>17</v>
      </c>
    </row>
    <row r="2993" ht="15.15" spans="1:7">
      <c r="A2993" s="20">
        <v>2992</v>
      </c>
      <c r="B2993" s="20">
        <v>1177</v>
      </c>
      <c r="C2993" s="21">
        <v>44970</v>
      </c>
      <c r="D2993" s="20">
        <v>1517.02</v>
      </c>
      <c r="E2993" s="22" t="s">
        <v>10</v>
      </c>
      <c r="F2993" s="22" t="s">
        <v>13</v>
      </c>
      <c r="G2993" s="22" t="s">
        <v>15</v>
      </c>
    </row>
    <row r="2994" ht="15.15" spans="1:7">
      <c r="A2994" s="20">
        <v>2993</v>
      </c>
      <c r="B2994" s="20">
        <v>1308</v>
      </c>
      <c r="C2994" s="21">
        <v>45176</v>
      </c>
      <c r="D2994" s="20">
        <v>1925.05</v>
      </c>
      <c r="E2994" s="22" t="s">
        <v>10</v>
      </c>
      <c r="F2994" s="22" t="s">
        <v>16</v>
      </c>
      <c r="G2994" s="22" t="s">
        <v>15</v>
      </c>
    </row>
    <row r="2995" ht="15.15" spans="1:7">
      <c r="A2995" s="20">
        <v>2994</v>
      </c>
      <c r="B2995" s="20">
        <v>2365</v>
      </c>
      <c r="C2995" s="21">
        <v>45185</v>
      </c>
      <c r="D2995" s="20">
        <v>653.39</v>
      </c>
      <c r="E2995" s="22" t="s">
        <v>10</v>
      </c>
      <c r="F2995" s="22" t="s">
        <v>11</v>
      </c>
      <c r="G2995" s="22" t="s">
        <v>20</v>
      </c>
    </row>
    <row r="2996" ht="15.15" spans="1:7">
      <c r="A2996" s="20">
        <v>2995</v>
      </c>
      <c r="B2996" s="20">
        <v>6783</v>
      </c>
      <c r="C2996" s="21">
        <v>45123</v>
      </c>
      <c r="D2996" s="20">
        <v>2485.45</v>
      </c>
      <c r="E2996" s="22" t="s">
        <v>10</v>
      </c>
      <c r="F2996" s="22" t="s">
        <v>13</v>
      </c>
      <c r="G2996" s="22" t="s">
        <v>15</v>
      </c>
    </row>
    <row r="2997" ht="15.15" spans="1:7">
      <c r="A2997" s="20">
        <v>2996</v>
      </c>
      <c r="B2997" s="20">
        <v>5158</v>
      </c>
      <c r="C2997" s="21">
        <v>45156</v>
      </c>
      <c r="D2997" s="20">
        <v>1165.56</v>
      </c>
      <c r="E2997" s="22" t="s">
        <v>10</v>
      </c>
      <c r="F2997" s="22" t="s">
        <v>16</v>
      </c>
      <c r="G2997" s="22" t="s">
        <v>15</v>
      </c>
    </row>
    <row r="2998" ht="15.15" spans="1:7">
      <c r="A2998" s="20">
        <v>2997</v>
      </c>
      <c r="B2998" s="20">
        <v>8259</v>
      </c>
      <c r="C2998" s="21">
        <v>45011</v>
      </c>
      <c r="D2998" s="20">
        <v>861.09</v>
      </c>
      <c r="E2998" s="22" t="s">
        <v>10</v>
      </c>
      <c r="F2998" s="22" t="s">
        <v>11</v>
      </c>
      <c r="G2998" s="22" t="s">
        <v>12</v>
      </c>
    </row>
    <row r="2999" ht="15.15" spans="1:7">
      <c r="A2999" s="20">
        <v>2998</v>
      </c>
      <c r="B2999" s="20">
        <v>1094</v>
      </c>
      <c r="C2999" s="21">
        <v>44992</v>
      </c>
      <c r="D2999" s="20">
        <v>1915.49</v>
      </c>
      <c r="E2999" s="22" t="s">
        <v>10</v>
      </c>
      <c r="F2999" s="22" t="s">
        <v>18</v>
      </c>
      <c r="G2999" s="22" t="s">
        <v>20</v>
      </c>
    </row>
    <row r="3000" ht="15.15" spans="1:7">
      <c r="A3000" s="20">
        <v>2999</v>
      </c>
      <c r="B3000" s="20">
        <v>579</v>
      </c>
      <c r="C3000" s="21">
        <v>45244</v>
      </c>
      <c r="D3000" s="20">
        <v>258.66</v>
      </c>
      <c r="E3000" s="22" t="s">
        <v>10</v>
      </c>
      <c r="F3000" s="22" t="s">
        <v>18</v>
      </c>
      <c r="G3000" s="22" t="s">
        <v>15</v>
      </c>
    </row>
    <row r="3001" ht="15.15" spans="1:7">
      <c r="A3001" s="20">
        <v>3000</v>
      </c>
      <c r="B3001" s="20">
        <v>6142</v>
      </c>
      <c r="C3001" s="21">
        <v>45082</v>
      </c>
      <c r="D3001" s="20">
        <v>74.09</v>
      </c>
      <c r="E3001" s="22" t="s">
        <v>10</v>
      </c>
      <c r="F3001" s="22" t="s">
        <v>14</v>
      </c>
      <c r="G3001" s="22" t="s">
        <v>20</v>
      </c>
    </row>
    <row r="3002" ht="15.15" spans="1:7">
      <c r="A3002" s="20">
        <v>3001</v>
      </c>
      <c r="B3002" s="20">
        <v>7638</v>
      </c>
      <c r="C3002" s="21">
        <v>45005</v>
      </c>
      <c r="D3002" s="20">
        <v>1860.2</v>
      </c>
      <c r="E3002" s="22" t="s">
        <v>10</v>
      </c>
      <c r="F3002" s="22" t="s">
        <v>11</v>
      </c>
      <c r="G3002" s="22" t="s">
        <v>17</v>
      </c>
    </row>
    <row r="3003" ht="15.15" spans="1:7">
      <c r="A3003" s="20">
        <v>3002</v>
      </c>
      <c r="B3003" s="20">
        <v>236</v>
      </c>
      <c r="C3003" s="21">
        <v>45069</v>
      </c>
      <c r="D3003" s="20">
        <v>1152.75</v>
      </c>
      <c r="E3003" s="22" t="s">
        <v>10</v>
      </c>
      <c r="F3003" s="22" t="s">
        <v>13</v>
      </c>
      <c r="G3003" s="22" t="s">
        <v>20</v>
      </c>
    </row>
    <row r="3004" ht="15.15" spans="1:7">
      <c r="A3004" s="20">
        <v>3003</v>
      </c>
      <c r="B3004" s="20">
        <v>8087</v>
      </c>
      <c r="C3004" s="21">
        <v>45274</v>
      </c>
      <c r="D3004" s="20">
        <v>240.57</v>
      </c>
      <c r="E3004" s="22" t="s">
        <v>10</v>
      </c>
      <c r="F3004" s="22" t="s">
        <v>11</v>
      </c>
      <c r="G3004" s="22" t="s">
        <v>12</v>
      </c>
    </row>
    <row r="3005" ht="15.15" spans="1:7">
      <c r="A3005" s="20">
        <v>3004</v>
      </c>
      <c r="B3005" s="20">
        <v>9759</v>
      </c>
      <c r="C3005" s="21">
        <v>45162</v>
      </c>
      <c r="D3005" s="20">
        <v>2016.68</v>
      </c>
      <c r="E3005" s="22" t="s">
        <v>10</v>
      </c>
      <c r="F3005" s="22" t="s">
        <v>16</v>
      </c>
      <c r="G3005" s="22" t="s">
        <v>12</v>
      </c>
    </row>
    <row r="3006" ht="15.15" spans="1:7">
      <c r="A3006" s="20">
        <v>3005</v>
      </c>
      <c r="B3006" s="20">
        <v>6346</v>
      </c>
      <c r="C3006" s="21">
        <v>45111</v>
      </c>
      <c r="D3006" s="20">
        <v>428.94</v>
      </c>
      <c r="E3006" s="22" t="s">
        <v>10</v>
      </c>
      <c r="F3006" s="22" t="s">
        <v>16</v>
      </c>
      <c r="G3006" s="22" t="s">
        <v>20</v>
      </c>
    </row>
    <row r="3007" ht="15.15" spans="1:7">
      <c r="A3007" s="20">
        <v>3006</v>
      </c>
      <c r="B3007" s="20">
        <v>8437</v>
      </c>
      <c r="C3007" s="21">
        <v>45083</v>
      </c>
      <c r="D3007" s="20">
        <v>1001.48</v>
      </c>
      <c r="E3007" s="22" t="s">
        <v>10</v>
      </c>
      <c r="F3007" s="22" t="s">
        <v>18</v>
      </c>
      <c r="G3007" s="22" t="s">
        <v>20</v>
      </c>
    </row>
    <row r="3008" ht="15.15" spans="1:7">
      <c r="A3008" s="20">
        <v>3007</v>
      </c>
      <c r="B3008" s="20">
        <v>7487</v>
      </c>
      <c r="C3008" s="21">
        <v>45001</v>
      </c>
      <c r="D3008" s="20">
        <v>1166.27</v>
      </c>
      <c r="E3008" s="22" t="s">
        <v>10</v>
      </c>
      <c r="F3008" s="22" t="s">
        <v>14</v>
      </c>
      <c r="G3008" s="22" t="s">
        <v>20</v>
      </c>
    </row>
    <row r="3009" ht="15.15" spans="1:7">
      <c r="A3009" s="20">
        <v>3008</v>
      </c>
      <c r="B3009" s="20">
        <v>2491</v>
      </c>
      <c r="C3009" s="21">
        <v>45053</v>
      </c>
      <c r="D3009" s="20">
        <v>1279.61</v>
      </c>
      <c r="E3009" s="22" t="s">
        <v>10</v>
      </c>
      <c r="F3009" s="22" t="s">
        <v>11</v>
      </c>
      <c r="G3009" s="22" t="s">
        <v>20</v>
      </c>
    </row>
    <row r="3010" ht="15.15" spans="1:7">
      <c r="A3010" s="20">
        <v>3009</v>
      </c>
      <c r="B3010" s="20">
        <v>824</v>
      </c>
      <c r="C3010" s="21">
        <v>45085</v>
      </c>
      <c r="D3010" s="20">
        <v>183.41</v>
      </c>
      <c r="E3010" s="22" t="s">
        <v>10</v>
      </c>
      <c r="F3010" s="22" t="s">
        <v>19</v>
      </c>
      <c r="G3010" s="22" t="s">
        <v>20</v>
      </c>
    </row>
    <row r="3011" ht="15.15" spans="1:7">
      <c r="A3011" s="20">
        <v>3010</v>
      </c>
      <c r="B3011" s="20">
        <v>2392</v>
      </c>
      <c r="C3011" s="21">
        <v>45031</v>
      </c>
      <c r="D3011" s="20">
        <v>154.28</v>
      </c>
      <c r="E3011" s="22" t="s">
        <v>10</v>
      </c>
      <c r="F3011" s="22" t="s">
        <v>18</v>
      </c>
      <c r="G3011" s="22" t="s">
        <v>12</v>
      </c>
    </row>
    <row r="3012" ht="15.15" spans="1:7">
      <c r="A3012" s="20">
        <v>3011</v>
      </c>
      <c r="B3012" s="20">
        <v>1440</v>
      </c>
      <c r="C3012" s="21">
        <v>45185</v>
      </c>
      <c r="D3012" s="20">
        <v>486.42</v>
      </c>
      <c r="E3012" s="22" t="s">
        <v>10</v>
      </c>
      <c r="F3012" s="22" t="s">
        <v>18</v>
      </c>
      <c r="G3012" s="22" t="s">
        <v>20</v>
      </c>
    </row>
    <row r="3013" ht="15.15" spans="1:7">
      <c r="A3013" s="20">
        <v>3012</v>
      </c>
      <c r="B3013" s="20">
        <v>716</v>
      </c>
      <c r="C3013" s="21">
        <v>45251</v>
      </c>
      <c r="D3013" s="20">
        <v>832.95</v>
      </c>
      <c r="E3013" s="22" t="s">
        <v>10</v>
      </c>
      <c r="F3013" s="22" t="s">
        <v>11</v>
      </c>
      <c r="G3013" s="22" t="s">
        <v>12</v>
      </c>
    </row>
    <row r="3014" ht="15.15" spans="1:7">
      <c r="A3014" s="20">
        <v>3013</v>
      </c>
      <c r="B3014" s="20">
        <v>7148</v>
      </c>
      <c r="C3014" s="21">
        <v>45219</v>
      </c>
      <c r="D3014" s="20">
        <v>221.62</v>
      </c>
      <c r="E3014" s="22" t="s">
        <v>22</v>
      </c>
      <c r="F3014" s="22" t="s">
        <v>18</v>
      </c>
      <c r="G3014" s="22" t="s">
        <v>15</v>
      </c>
    </row>
    <row r="3015" ht="15.15" spans="1:7">
      <c r="A3015" s="20">
        <v>3014</v>
      </c>
      <c r="B3015" s="20">
        <v>3558</v>
      </c>
      <c r="C3015" s="21">
        <v>45278</v>
      </c>
      <c r="D3015" s="20">
        <v>1257.96</v>
      </c>
      <c r="E3015" s="22" t="s">
        <v>10</v>
      </c>
      <c r="F3015" s="22" t="s">
        <v>18</v>
      </c>
      <c r="G3015" s="22" t="s">
        <v>15</v>
      </c>
    </row>
    <row r="3016" ht="15.15" spans="1:7">
      <c r="A3016" s="20">
        <v>3015</v>
      </c>
      <c r="B3016" s="20">
        <v>3454</v>
      </c>
      <c r="C3016" s="21">
        <v>45267</v>
      </c>
      <c r="D3016" s="20">
        <v>2016.04</v>
      </c>
      <c r="E3016" s="22" t="s">
        <v>21</v>
      </c>
      <c r="F3016" s="22" t="s">
        <v>11</v>
      </c>
      <c r="G3016" s="22" t="s">
        <v>17</v>
      </c>
    </row>
    <row r="3017" ht="15.15" spans="1:7">
      <c r="A3017" s="20">
        <v>3016</v>
      </c>
      <c r="B3017" s="20">
        <v>333</v>
      </c>
      <c r="C3017" s="21">
        <v>45152</v>
      </c>
      <c r="D3017" s="20">
        <v>623.01</v>
      </c>
      <c r="E3017" s="22" t="s">
        <v>10</v>
      </c>
      <c r="F3017" s="22" t="s">
        <v>18</v>
      </c>
      <c r="G3017" s="22" t="s">
        <v>15</v>
      </c>
    </row>
    <row r="3018" ht="15.15" spans="1:7">
      <c r="A3018" s="20">
        <v>3017</v>
      </c>
      <c r="B3018" s="20">
        <v>6701</v>
      </c>
      <c r="C3018" s="21">
        <v>45214</v>
      </c>
      <c r="D3018" s="20">
        <v>3449.03</v>
      </c>
      <c r="E3018" s="22" t="s">
        <v>10</v>
      </c>
      <c r="F3018" s="22" t="s">
        <v>16</v>
      </c>
      <c r="G3018" s="22" t="s">
        <v>12</v>
      </c>
    </row>
    <row r="3019" ht="15.15" spans="1:7">
      <c r="A3019" s="20">
        <v>3018</v>
      </c>
      <c r="B3019" s="20">
        <v>8383</v>
      </c>
      <c r="C3019" s="21">
        <v>45030</v>
      </c>
      <c r="D3019" s="20">
        <v>83.56</v>
      </c>
      <c r="E3019" s="22" t="s">
        <v>10</v>
      </c>
      <c r="F3019" s="22" t="s">
        <v>11</v>
      </c>
      <c r="G3019" s="22" t="s">
        <v>12</v>
      </c>
    </row>
    <row r="3020" ht="15.15" spans="1:7">
      <c r="A3020" s="20">
        <v>3019</v>
      </c>
      <c r="B3020" s="20">
        <v>7070</v>
      </c>
      <c r="C3020" s="21">
        <v>45220</v>
      </c>
      <c r="D3020" s="20">
        <v>1170.11</v>
      </c>
      <c r="E3020" s="22" t="s">
        <v>10</v>
      </c>
      <c r="F3020" s="22" t="s">
        <v>16</v>
      </c>
      <c r="G3020" s="22" t="s">
        <v>17</v>
      </c>
    </row>
    <row r="3021" ht="15.15" spans="1:7">
      <c r="A3021" s="20">
        <v>3020</v>
      </c>
      <c r="B3021" s="20">
        <v>6363</v>
      </c>
      <c r="C3021" s="21">
        <v>44988</v>
      </c>
      <c r="D3021" s="20">
        <v>1722.8</v>
      </c>
      <c r="E3021" s="22" t="s">
        <v>10</v>
      </c>
      <c r="F3021" s="22" t="s">
        <v>16</v>
      </c>
      <c r="G3021" s="22" t="s">
        <v>17</v>
      </c>
    </row>
    <row r="3022" ht="15.15" spans="1:7">
      <c r="A3022" s="20">
        <v>3021</v>
      </c>
      <c r="B3022" s="20">
        <v>5804</v>
      </c>
      <c r="C3022" s="21">
        <v>45139</v>
      </c>
      <c r="D3022" s="20">
        <v>1376.71</v>
      </c>
      <c r="E3022" s="22" t="s">
        <v>10</v>
      </c>
      <c r="F3022" s="22" t="s">
        <v>11</v>
      </c>
      <c r="G3022" s="22" t="s">
        <v>15</v>
      </c>
    </row>
    <row r="3023" ht="15.15" spans="1:7">
      <c r="A3023" s="20">
        <v>3022</v>
      </c>
      <c r="B3023" s="20">
        <v>6861</v>
      </c>
      <c r="C3023" s="21">
        <v>45039</v>
      </c>
      <c r="D3023" s="20">
        <v>1102.41</v>
      </c>
      <c r="E3023" s="22" t="s">
        <v>10</v>
      </c>
      <c r="F3023" s="22" t="s">
        <v>18</v>
      </c>
      <c r="G3023" s="22" t="s">
        <v>15</v>
      </c>
    </row>
    <row r="3024" ht="15.15" spans="1:7">
      <c r="A3024" s="20">
        <v>3023</v>
      </c>
      <c r="B3024" s="20">
        <v>3657</v>
      </c>
      <c r="C3024" s="21">
        <v>45130</v>
      </c>
      <c r="D3024" s="20">
        <v>2808.34</v>
      </c>
      <c r="E3024" s="22" t="s">
        <v>10</v>
      </c>
      <c r="F3024" s="22" t="s">
        <v>13</v>
      </c>
      <c r="G3024" s="22" t="s">
        <v>15</v>
      </c>
    </row>
    <row r="3025" ht="15.15" spans="1:7">
      <c r="A3025" s="20">
        <v>3024</v>
      </c>
      <c r="B3025" s="20">
        <v>3316</v>
      </c>
      <c r="C3025" s="21">
        <v>44976</v>
      </c>
      <c r="D3025" s="20">
        <v>526.08</v>
      </c>
      <c r="E3025" s="22" t="s">
        <v>10</v>
      </c>
      <c r="F3025" s="22" t="s">
        <v>19</v>
      </c>
      <c r="G3025" s="22" t="s">
        <v>17</v>
      </c>
    </row>
    <row r="3026" ht="15.15" spans="1:7">
      <c r="A3026" s="20">
        <v>3025</v>
      </c>
      <c r="B3026" s="20">
        <v>2094</v>
      </c>
      <c r="C3026" s="21">
        <v>44986</v>
      </c>
      <c r="D3026" s="20">
        <v>313.65</v>
      </c>
      <c r="E3026" s="22" t="s">
        <v>10</v>
      </c>
      <c r="F3026" s="22" t="s">
        <v>18</v>
      </c>
      <c r="G3026" s="22" t="s">
        <v>17</v>
      </c>
    </row>
    <row r="3027" ht="15.15" spans="1:7">
      <c r="A3027" s="20">
        <v>3026</v>
      </c>
      <c r="B3027" s="20">
        <v>4002</v>
      </c>
      <c r="C3027" s="21">
        <v>45117</v>
      </c>
      <c r="D3027" s="20">
        <v>1701.15</v>
      </c>
      <c r="E3027" s="22" t="s">
        <v>10</v>
      </c>
      <c r="F3027" s="22" t="s">
        <v>16</v>
      </c>
      <c r="G3027" s="22" t="s">
        <v>17</v>
      </c>
    </row>
    <row r="3028" ht="15.15" spans="1:7">
      <c r="A3028" s="20">
        <v>3027</v>
      </c>
      <c r="B3028" s="20">
        <v>2775</v>
      </c>
      <c r="C3028" s="21">
        <v>44992</v>
      </c>
      <c r="D3028" s="20">
        <v>1646.89</v>
      </c>
      <c r="E3028" s="22" t="s">
        <v>21</v>
      </c>
      <c r="F3028" s="22" t="s">
        <v>13</v>
      </c>
      <c r="G3028" s="22" t="s">
        <v>12</v>
      </c>
    </row>
    <row r="3029" ht="15.15" spans="1:7">
      <c r="A3029" s="20">
        <v>3028</v>
      </c>
      <c r="B3029" s="20">
        <v>2877</v>
      </c>
      <c r="C3029" s="21">
        <v>45284</v>
      </c>
      <c r="D3029" s="20">
        <v>914.09</v>
      </c>
      <c r="E3029" s="22" t="s">
        <v>10</v>
      </c>
      <c r="F3029" s="22" t="s">
        <v>18</v>
      </c>
      <c r="G3029" s="22" t="s">
        <v>20</v>
      </c>
    </row>
    <row r="3030" ht="15.15" spans="1:7">
      <c r="A3030" s="20">
        <v>3029</v>
      </c>
      <c r="B3030" s="20">
        <v>7423</v>
      </c>
      <c r="C3030" s="21">
        <v>44976</v>
      </c>
      <c r="D3030" s="20">
        <v>374.8</v>
      </c>
      <c r="E3030" s="22" t="s">
        <v>10</v>
      </c>
      <c r="F3030" s="22" t="s">
        <v>14</v>
      </c>
      <c r="G3030" s="22" t="s">
        <v>20</v>
      </c>
    </row>
    <row r="3031" ht="15.15" spans="1:7">
      <c r="A3031" s="20">
        <v>3030</v>
      </c>
      <c r="B3031" s="20">
        <v>414</v>
      </c>
      <c r="C3031" s="21">
        <v>45190</v>
      </c>
      <c r="D3031" s="20">
        <v>5865.06</v>
      </c>
      <c r="E3031" s="22" t="s">
        <v>10</v>
      </c>
      <c r="F3031" s="22" t="s">
        <v>14</v>
      </c>
      <c r="G3031" s="22" t="s">
        <v>17</v>
      </c>
    </row>
    <row r="3032" ht="15.15" spans="1:7">
      <c r="A3032" s="20">
        <v>3031</v>
      </c>
      <c r="B3032" s="20">
        <v>1451</v>
      </c>
      <c r="C3032" s="21">
        <v>45002</v>
      </c>
      <c r="D3032" s="20">
        <v>406.33</v>
      </c>
      <c r="E3032" s="22" t="s">
        <v>10</v>
      </c>
      <c r="F3032" s="22" t="s">
        <v>13</v>
      </c>
      <c r="G3032" s="22" t="s">
        <v>20</v>
      </c>
    </row>
    <row r="3033" ht="15.15" spans="1:7">
      <c r="A3033" s="20">
        <v>3032</v>
      </c>
      <c r="B3033" s="20">
        <v>2287</v>
      </c>
      <c r="C3033" s="21">
        <v>45006</v>
      </c>
      <c r="D3033" s="20">
        <v>227.13</v>
      </c>
      <c r="E3033" s="22" t="s">
        <v>10</v>
      </c>
      <c r="F3033" s="22" t="s">
        <v>16</v>
      </c>
      <c r="G3033" s="22" t="s">
        <v>17</v>
      </c>
    </row>
    <row r="3034" ht="15.15" spans="1:7">
      <c r="A3034" s="20">
        <v>3033</v>
      </c>
      <c r="B3034" s="20">
        <v>8464</v>
      </c>
      <c r="C3034" s="21">
        <v>45178</v>
      </c>
      <c r="D3034" s="20">
        <v>2879.22</v>
      </c>
      <c r="E3034" s="22" t="s">
        <v>10</v>
      </c>
      <c r="F3034" s="22" t="s">
        <v>13</v>
      </c>
      <c r="G3034" s="22" t="s">
        <v>15</v>
      </c>
    </row>
    <row r="3035" ht="15.15" spans="1:7">
      <c r="A3035" s="20">
        <v>3034</v>
      </c>
      <c r="B3035" s="20">
        <v>8217</v>
      </c>
      <c r="C3035" s="21">
        <v>45051</v>
      </c>
      <c r="D3035" s="20">
        <v>662.52</v>
      </c>
      <c r="E3035" s="22" t="s">
        <v>10</v>
      </c>
      <c r="F3035" s="22" t="s">
        <v>18</v>
      </c>
      <c r="G3035" s="22" t="s">
        <v>15</v>
      </c>
    </row>
    <row r="3036" ht="15.15" spans="1:7">
      <c r="A3036" s="20">
        <v>3035</v>
      </c>
      <c r="B3036" s="20">
        <v>7200</v>
      </c>
      <c r="C3036" s="21">
        <v>45154</v>
      </c>
      <c r="D3036" s="20">
        <v>366.31</v>
      </c>
      <c r="E3036" s="22" t="s">
        <v>10</v>
      </c>
      <c r="F3036" s="22" t="s">
        <v>18</v>
      </c>
      <c r="G3036" s="22" t="s">
        <v>15</v>
      </c>
    </row>
    <row r="3037" ht="15.15" spans="1:7">
      <c r="A3037" s="20">
        <v>3036</v>
      </c>
      <c r="B3037" s="20">
        <v>4965</v>
      </c>
      <c r="C3037" s="21">
        <v>45115</v>
      </c>
      <c r="D3037" s="20">
        <v>442.46</v>
      </c>
      <c r="E3037" s="22" t="s">
        <v>10</v>
      </c>
      <c r="F3037" s="22" t="s">
        <v>13</v>
      </c>
      <c r="G3037" s="22" t="s">
        <v>17</v>
      </c>
    </row>
    <row r="3038" ht="15.15" spans="1:7">
      <c r="A3038" s="20">
        <v>3037</v>
      </c>
      <c r="B3038" s="20">
        <v>6459</v>
      </c>
      <c r="C3038" s="21">
        <v>45076</v>
      </c>
      <c r="D3038" s="20">
        <v>439.45</v>
      </c>
      <c r="E3038" s="22" t="s">
        <v>10</v>
      </c>
      <c r="F3038" s="22" t="s">
        <v>16</v>
      </c>
      <c r="G3038" s="22" t="s">
        <v>20</v>
      </c>
    </row>
    <row r="3039" ht="15.15" spans="1:7">
      <c r="A3039" s="20">
        <v>3038</v>
      </c>
      <c r="B3039" s="20">
        <v>4813</v>
      </c>
      <c r="C3039" s="21">
        <v>45279</v>
      </c>
      <c r="D3039" s="20">
        <v>1007.5</v>
      </c>
      <c r="E3039" s="22" t="s">
        <v>10</v>
      </c>
      <c r="F3039" s="22" t="s">
        <v>11</v>
      </c>
      <c r="G3039" s="22" t="s">
        <v>20</v>
      </c>
    </row>
    <row r="3040" ht="15.15" spans="1:7">
      <c r="A3040" s="20">
        <v>3039</v>
      </c>
      <c r="B3040" s="20">
        <v>1126</v>
      </c>
      <c r="C3040" s="21">
        <v>45214</v>
      </c>
      <c r="D3040" s="20">
        <v>2686.72</v>
      </c>
      <c r="E3040" s="22" t="s">
        <v>22</v>
      </c>
      <c r="F3040" s="22" t="s">
        <v>11</v>
      </c>
      <c r="G3040" s="22" t="s">
        <v>17</v>
      </c>
    </row>
    <row r="3041" ht="15.15" spans="1:7">
      <c r="A3041" s="20">
        <v>3040</v>
      </c>
      <c r="B3041" s="20">
        <v>2146</v>
      </c>
      <c r="C3041" s="21">
        <v>44968</v>
      </c>
      <c r="D3041" s="20">
        <v>528.07</v>
      </c>
      <c r="E3041" s="22" t="s">
        <v>10</v>
      </c>
      <c r="F3041" s="22" t="s">
        <v>13</v>
      </c>
      <c r="G3041" s="22" t="s">
        <v>15</v>
      </c>
    </row>
    <row r="3042" ht="15.15" spans="1:7">
      <c r="A3042" s="20">
        <v>3041</v>
      </c>
      <c r="B3042" s="20">
        <v>2810</v>
      </c>
      <c r="C3042" s="21">
        <v>44977</v>
      </c>
      <c r="D3042" s="20">
        <v>260.61</v>
      </c>
      <c r="E3042" s="22" t="s">
        <v>10</v>
      </c>
      <c r="F3042" s="22" t="s">
        <v>13</v>
      </c>
      <c r="G3042" s="22" t="s">
        <v>17</v>
      </c>
    </row>
    <row r="3043" ht="15.15" spans="1:7">
      <c r="A3043" s="20">
        <v>3042</v>
      </c>
      <c r="B3043" s="20">
        <v>6907</v>
      </c>
      <c r="C3043" s="21">
        <v>45202</v>
      </c>
      <c r="D3043" s="20">
        <v>1532.96</v>
      </c>
      <c r="E3043" s="22" t="s">
        <v>10</v>
      </c>
      <c r="F3043" s="22" t="s">
        <v>14</v>
      </c>
      <c r="G3043" s="22" t="s">
        <v>12</v>
      </c>
    </row>
    <row r="3044" ht="15.15" spans="1:7">
      <c r="A3044" s="20">
        <v>3043</v>
      </c>
      <c r="B3044" s="20">
        <v>8616</v>
      </c>
      <c r="C3044" s="21">
        <v>45109</v>
      </c>
      <c r="D3044" s="20">
        <v>1371.75</v>
      </c>
      <c r="E3044" s="22" t="s">
        <v>10</v>
      </c>
      <c r="F3044" s="22" t="s">
        <v>11</v>
      </c>
      <c r="G3044" s="22" t="s">
        <v>20</v>
      </c>
    </row>
    <row r="3045" ht="15.15" spans="1:7">
      <c r="A3045" s="20">
        <v>3044</v>
      </c>
      <c r="B3045" s="20">
        <v>9012</v>
      </c>
      <c r="C3045" s="21">
        <v>45253</v>
      </c>
      <c r="D3045" s="20">
        <v>1257.96</v>
      </c>
      <c r="E3045" s="22" t="s">
        <v>10</v>
      </c>
      <c r="F3045" s="22" t="s">
        <v>13</v>
      </c>
      <c r="G3045" s="22" t="s">
        <v>15</v>
      </c>
    </row>
    <row r="3046" ht="15.15" spans="1:7">
      <c r="A3046" s="20">
        <v>3045</v>
      </c>
      <c r="B3046" s="20">
        <v>4585</v>
      </c>
      <c r="C3046" s="21">
        <v>45167</v>
      </c>
      <c r="D3046" s="20">
        <v>2222.7</v>
      </c>
      <c r="E3046" s="22" t="s">
        <v>10</v>
      </c>
      <c r="F3046" s="22" t="s">
        <v>11</v>
      </c>
      <c r="G3046" s="22" t="s">
        <v>17</v>
      </c>
    </row>
    <row r="3047" ht="15.15" spans="1:7">
      <c r="A3047" s="20">
        <v>3046</v>
      </c>
      <c r="B3047" s="20">
        <v>5771</v>
      </c>
      <c r="C3047" s="21">
        <v>45269</v>
      </c>
      <c r="D3047" s="20">
        <v>414.24</v>
      </c>
      <c r="E3047" s="22" t="s">
        <v>10</v>
      </c>
      <c r="F3047" s="22" t="s">
        <v>14</v>
      </c>
      <c r="G3047" s="22" t="s">
        <v>20</v>
      </c>
    </row>
    <row r="3048" ht="15.15" spans="1:7">
      <c r="A3048" s="20">
        <v>3047</v>
      </c>
      <c r="B3048" s="20">
        <v>2246</v>
      </c>
      <c r="C3048" s="21">
        <v>45270</v>
      </c>
      <c r="D3048" s="20">
        <v>318.02</v>
      </c>
      <c r="E3048" s="22" t="s">
        <v>10</v>
      </c>
      <c r="F3048" s="22" t="s">
        <v>18</v>
      </c>
      <c r="G3048" s="22" t="s">
        <v>12</v>
      </c>
    </row>
    <row r="3049" ht="15.15" spans="1:7">
      <c r="A3049" s="20">
        <v>3048</v>
      </c>
      <c r="B3049" s="20">
        <v>8100</v>
      </c>
      <c r="C3049" s="21">
        <v>45274</v>
      </c>
      <c r="D3049" s="20">
        <v>4147.67</v>
      </c>
      <c r="E3049" s="22" t="s">
        <v>10</v>
      </c>
      <c r="F3049" s="22" t="s">
        <v>14</v>
      </c>
      <c r="G3049" s="22" t="s">
        <v>20</v>
      </c>
    </row>
    <row r="3050" ht="15.15" spans="1:7">
      <c r="A3050" s="20">
        <v>3049</v>
      </c>
      <c r="B3050" s="20">
        <v>5399</v>
      </c>
      <c r="C3050" s="21">
        <v>44948</v>
      </c>
      <c r="D3050" s="20">
        <v>1511.13</v>
      </c>
      <c r="E3050" s="22" t="s">
        <v>10</v>
      </c>
      <c r="F3050" s="22" t="s">
        <v>16</v>
      </c>
      <c r="G3050" s="22" t="s">
        <v>12</v>
      </c>
    </row>
    <row r="3051" ht="15.15" spans="1:7">
      <c r="A3051" s="20">
        <v>3050</v>
      </c>
      <c r="B3051" s="20">
        <v>8890</v>
      </c>
      <c r="C3051" s="21">
        <v>45086</v>
      </c>
      <c r="D3051" s="20">
        <v>673.89</v>
      </c>
      <c r="E3051" s="22" t="s">
        <v>10</v>
      </c>
      <c r="F3051" s="22" t="s">
        <v>11</v>
      </c>
      <c r="G3051" s="22" t="s">
        <v>20</v>
      </c>
    </row>
    <row r="3052" ht="15.15" spans="1:7">
      <c r="A3052" s="20">
        <v>3051</v>
      </c>
      <c r="B3052" s="20">
        <v>1265</v>
      </c>
      <c r="C3052" s="21">
        <v>45162</v>
      </c>
      <c r="D3052" s="20">
        <v>3547.14</v>
      </c>
      <c r="E3052" s="22" t="s">
        <v>10</v>
      </c>
      <c r="F3052" s="22" t="s">
        <v>13</v>
      </c>
      <c r="G3052" s="22" t="s">
        <v>12</v>
      </c>
    </row>
    <row r="3053" ht="15.15" spans="1:7">
      <c r="A3053" s="20">
        <v>3052</v>
      </c>
      <c r="B3053" s="20">
        <v>4764</v>
      </c>
      <c r="C3053" s="21">
        <v>45220</v>
      </c>
      <c r="D3053" s="20">
        <v>422.21</v>
      </c>
      <c r="E3053" s="22" t="s">
        <v>10</v>
      </c>
      <c r="F3053" s="22" t="s">
        <v>13</v>
      </c>
      <c r="G3053" s="22" t="s">
        <v>12</v>
      </c>
    </row>
    <row r="3054" ht="15.15" spans="1:7">
      <c r="A3054" s="20">
        <v>3053</v>
      </c>
      <c r="B3054" s="20">
        <v>7784</v>
      </c>
      <c r="C3054" s="21">
        <v>44957</v>
      </c>
      <c r="D3054" s="20">
        <v>359.28</v>
      </c>
      <c r="E3054" s="22" t="s">
        <v>10</v>
      </c>
      <c r="F3054" s="22" t="s">
        <v>18</v>
      </c>
      <c r="G3054" s="22" t="s">
        <v>17</v>
      </c>
    </row>
    <row r="3055" ht="15.15" spans="1:7">
      <c r="A3055" s="20">
        <v>3054</v>
      </c>
      <c r="B3055" s="20">
        <v>3680</v>
      </c>
      <c r="C3055" s="21">
        <v>45111</v>
      </c>
      <c r="D3055" s="20">
        <v>397.93</v>
      </c>
      <c r="E3055" s="22" t="s">
        <v>10</v>
      </c>
      <c r="F3055" s="22" t="s">
        <v>14</v>
      </c>
      <c r="G3055" s="22" t="s">
        <v>15</v>
      </c>
    </row>
    <row r="3056" ht="15.15" spans="1:7">
      <c r="A3056" s="20">
        <v>3055</v>
      </c>
      <c r="B3056" s="20">
        <v>4527</v>
      </c>
      <c r="C3056" s="21">
        <v>45076</v>
      </c>
      <c r="D3056" s="20">
        <v>3100.44</v>
      </c>
      <c r="E3056" s="22" t="s">
        <v>10</v>
      </c>
      <c r="F3056" s="22" t="s">
        <v>16</v>
      </c>
      <c r="G3056" s="22" t="s">
        <v>17</v>
      </c>
    </row>
    <row r="3057" ht="15.15" spans="1:7">
      <c r="A3057" s="20">
        <v>3056</v>
      </c>
      <c r="B3057" s="20">
        <v>1352</v>
      </c>
      <c r="C3057" s="21">
        <v>45261</v>
      </c>
      <c r="D3057" s="20">
        <v>3572.74</v>
      </c>
      <c r="E3057" s="22" t="s">
        <v>10</v>
      </c>
      <c r="F3057" s="22" t="s">
        <v>18</v>
      </c>
      <c r="G3057" s="22" t="s">
        <v>17</v>
      </c>
    </row>
    <row r="3058" ht="15.15" spans="1:7">
      <c r="A3058" s="20">
        <v>3057</v>
      </c>
      <c r="B3058" s="20">
        <v>657</v>
      </c>
      <c r="C3058" s="21">
        <v>45004</v>
      </c>
      <c r="D3058" s="20">
        <v>996.68</v>
      </c>
      <c r="E3058" s="22" t="s">
        <v>10</v>
      </c>
      <c r="F3058" s="22" t="s">
        <v>11</v>
      </c>
      <c r="G3058" s="22" t="s">
        <v>17</v>
      </c>
    </row>
    <row r="3059" ht="15.15" spans="1:7">
      <c r="A3059" s="20">
        <v>3058</v>
      </c>
      <c r="B3059" s="20">
        <v>9596</v>
      </c>
      <c r="C3059" s="21">
        <v>45285</v>
      </c>
      <c r="D3059" s="20">
        <v>529.48</v>
      </c>
      <c r="E3059" s="22" t="s">
        <v>10</v>
      </c>
      <c r="F3059" s="22" t="s">
        <v>16</v>
      </c>
      <c r="G3059" s="22" t="s">
        <v>15</v>
      </c>
    </row>
    <row r="3060" ht="15.15" spans="1:7">
      <c r="A3060" s="20">
        <v>3059</v>
      </c>
      <c r="B3060" s="20">
        <v>3592</v>
      </c>
      <c r="C3060" s="21">
        <v>45033</v>
      </c>
      <c r="D3060" s="20">
        <v>1371.96</v>
      </c>
      <c r="E3060" s="22" t="s">
        <v>10</v>
      </c>
      <c r="F3060" s="22" t="s">
        <v>18</v>
      </c>
      <c r="G3060" s="22" t="s">
        <v>20</v>
      </c>
    </row>
    <row r="3061" ht="15.15" spans="1:7">
      <c r="A3061" s="20">
        <v>3060</v>
      </c>
      <c r="B3061" s="20">
        <v>287</v>
      </c>
      <c r="C3061" s="21">
        <v>45282</v>
      </c>
      <c r="D3061" s="20">
        <v>1700.93</v>
      </c>
      <c r="E3061" s="22" t="s">
        <v>10</v>
      </c>
      <c r="F3061" s="22" t="s">
        <v>13</v>
      </c>
      <c r="G3061" s="22" t="s">
        <v>17</v>
      </c>
    </row>
    <row r="3062" ht="15.15" spans="1:7">
      <c r="A3062" s="20">
        <v>3061</v>
      </c>
      <c r="B3062" s="20">
        <v>1709</v>
      </c>
      <c r="C3062" s="21">
        <v>45278</v>
      </c>
      <c r="D3062" s="20">
        <v>2089.33</v>
      </c>
      <c r="E3062" s="22" t="s">
        <v>10</v>
      </c>
      <c r="F3062" s="22" t="s">
        <v>16</v>
      </c>
      <c r="G3062" s="22" t="s">
        <v>15</v>
      </c>
    </row>
    <row r="3063" ht="15.15" spans="1:7">
      <c r="A3063" s="20">
        <v>3062</v>
      </c>
      <c r="B3063" s="20">
        <v>9705</v>
      </c>
      <c r="C3063" s="21">
        <v>45214</v>
      </c>
      <c r="D3063" s="20">
        <v>1507.64</v>
      </c>
      <c r="E3063" s="22" t="s">
        <v>10</v>
      </c>
      <c r="F3063" s="22" t="s">
        <v>11</v>
      </c>
      <c r="G3063" s="22" t="s">
        <v>12</v>
      </c>
    </row>
    <row r="3064" ht="15.15" spans="1:7">
      <c r="A3064" s="20">
        <v>3063</v>
      </c>
      <c r="B3064" s="20">
        <v>9589</v>
      </c>
      <c r="C3064" s="21">
        <v>45206</v>
      </c>
      <c r="D3064" s="20">
        <v>290.79</v>
      </c>
      <c r="E3064" s="22" t="s">
        <v>22</v>
      </c>
      <c r="F3064" s="22" t="s">
        <v>14</v>
      </c>
      <c r="G3064" s="22" t="s">
        <v>20</v>
      </c>
    </row>
    <row r="3065" ht="15.15" spans="1:7">
      <c r="A3065" s="20">
        <v>3064</v>
      </c>
      <c r="B3065" s="20">
        <v>8478</v>
      </c>
      <c r="C3065" s="21">
        <v>44941</v>
      </c>
      <c r="D3065" s="20">
        <v>3217.29</v>
      </c>
      <c r="E3065" s="22" t="s">
        <v>10</v>
      </c>
      <c r="F3065" s="22" t="s">
        <v>11</v>
      </c>
      <c r="G3065" s="22" t="s">
        <v>12</v>
      </c>
    </row>
    <row r="3066" ht="15.15" spans="1:7">
      <c r="A3066" s="20">
        <v>3065</v>
      </c>
      <c r="B3066" s="20">
        <v>5490</v>
      </c>
      <c r="C3066" s="21">
        <v>44934</v>
      </c>
      <c r="D3066" s="20">
        <v>2236.13</v>
      </c>
      <c r="E3066" s="22" t="s">
        <v>10</v>
      </c>
      <c r="F3066" s="22" t="s">
        <v>18</v>
      </c>
      <c r="G3066" s="22" t="s">
        <v>17</v>
      </c>
    </row>
    <row r="3067" ht="15.15" spans="1:7">
      <c r="A3067" s="20">
        <v>3066</v>
      </c>
      <c r="B3067" s="20">
        <v>8049</v>
      </c>
      <c r="C3067" s="21">
        <v>45270</v>
      </c>
      <c r="D3067" s="20">
        <v>913.39</v>
      </c>
      <c r="E3067" s="22" t="s">
        <v>10</v>
      </c>
      <c r="F3067" s="22" t="s">
        <v>14</v>
      </c>
      <c r="G3067" s="22" t="s">
        <v>12</v>
      </c>
    </row>
    <row r="3068" ht="15.15" spans="1:7">
      <c r="A3068" s="20">
        <v>3067</v>
      </c>
      <c r="B3068" s="20">
        <v>3336</v>
      </c>
      <c r="C3068" s="21">
        <v>45259</v>
      </c>
      <c r="D3068" s="20">
        <v>1895.85</v>
      </c>
      <c r="E3068" s="22" t="s">
        <v>21</v>
      </c>
      <c r="F3068" s="22" t="s">
        <v>18</v>
      </c>
      <c r="G3068" s="22" t="s">
        <v>15</v>
      </c>
    </row>
    <row r="3069" ht="15.15" spans="1:7">
      <c r="A3069" s="20">
        <v>3068</v>
      </c>
      <c r="B3069" s="20">
        <v>8345</v>
      </c>
      <c r="C3069" s="21">
        <v>45116</v>
      </c>
      <c r="D3069" s="20">
        <v>638.1</v>
      </c>
      <c r="E3069" s="22" t="s">
        <v>10</v>
      </c>
      <c r="F3069" s="22" t="s">
        <v>13</v>
      </c>
      <c r="G3069" s="22" t="s">
        <v>20</v>
      </c>
    </row>
    <row r="3070" ht="15.15" spans="1:7">
      <c r="A3070" s="20">
        <v>3069</v>
      </c>
      <c r="B3070" s="20">
        <v>6912</v>
      </c>
      <c r="C3070" s="21">
        <v>45185</v>
      </c>
      <c r="D3070" s="20">
        <v>7237.7</v>
      </c>
      <c r="E3070" s="22" t="s">
        <v>10</v>
      </c>
      <c r="F3070" s="22" t="s">
        <v>11</v>
      </c>
      <c r="G3070" s="22" t="s">
        <v>12</v>
      </c>
    </row>
    <row r="3071" ht="15.15" spans="1:7">
      <c r="A3071" s="20">
        <v>3070</v>
      </c>
      <c r="B3071" s="20">
        <v>7369</v>
      </c>
      <c r="C3071" s="21">
        <v>45198</v>
      </c>
      <c r="D3071" s="20">
        <v>216.58</v>
      </c>
      <c r="E3071" s="22" t="s">
        <v>10</v>
      </c>
      <c r="F3071" s="22" t="s">
        <v>14</v>
      </c>
      <c r="G3071" s="22" t="s">
        <v>17</v>
      </c>
    </row>
    <row r="3072" ht="15.15" spans="1:7">
      <c r="A3072" s="20">
        <v>3071</v>
      </c>
      <c r="B3072" s="20">
        <v>5566</v>
      </c>
      <c r="C3072" s="21">
        <v>45075</v>
      </c>
      <c r="D3072" s="20">
        <v>486.42</v>
      </c>
      <c r="E3072" s="22" t="s">
        <v>10</v>
      </c>
      <c r="F3072" s="22" t="s">
        <v>14</v>
      </c>
      <c r="G3072" s="22" t="s">
        <v>17</v>
      </c>
    </row>
    <row r="3073" ht="15.15" spans="1:7">
      <c r="A3073" s="20">
        <v>3072</v>
      </c>
      <c r="B3073" s="20">
        <v>4014</v>
      </c>
      <c r="C3073" s="21">
        <v>44973</v>
      </c>
      <c r="D3073" s="20">
        <v>766.48</v>
      </c>
      <c r="E3073" s="22" t="s">
        <v>10</v>
      </c>
      <c r="F3073" s="22" t="s">
        <v>16</v>
      </c>
      <c r="G3073" s="22" t="s">
        <v>17</v>
      </c>
    </row>
    <row r="3074" ht="15.15" spans="1:7">
      <c r="A3074" s="20">
        <v>3073</v>
      </c>
      <c r="B3074" s="20">
        <v>5869</v>
      </c>
      <c r="C3074" s="21">
        <v>45025</v>
      </c>
      <c r="D3074" s="20">
        <v>413.05</v>
      </c>
      <c r="E3074" s="22" t="s">
        <v>10</v>
      </c>
      <c r="F3074" s="22" t="s">
        <v>16</v>
      </c>
      <c r="G3074" s="22" t="s">
        <v>15</v>
      </c>
    </row>
    <row r="3075" ht="15.15" spans="1:7">
      <c r="A3075" s="20">
        <v>3074</v>
      </c>
      <c r="B3075" s="20">
        <v>5907</v>
      </c>
      <c r="C3075" s="21">
        <v>45099</v>
      </c>
      <c r="D3075" s="20">
        <v>1710.9</v>
      </c>
      <c r="E3075" s="22" t="s">
        <v>10</v>
      </c>
      <c r="F3075" s="22" t="s">
        <v>16</v>
      </c>
      <c r="G3075" s="22" t="s">
        <v>12</v>
      </c>
    </row>
    <row r="3076" ht="15.15" spans="1:7">
      <c r="A3076" s="20">
        <v>3075</v>
      </c>
      <c r="B3076" s="20">
        <v>6477</v>
      </c>
      <c r="C3076" s="21">
        <v>45106</v>
      </c>
      <c r="D3076" s="20">
        <v>417.09</v>
      </c>
      <c r="E3076" s="22" t="s">
        <v>10</v>
      </c>
      <c r="F3076" s="22" t="s">
        <v>14</v>
      </c>
      <c r="G3076" s="22" t="s">
        <v>17</v>
      </c>
    </row>
    <row r="3077" ht="15.15" spans="1:7">
      <c r="A3077" s="20">
        <v>3076</v>
      </c>
      <c r="B3077" s="20">
        <v>3278</v>
      </c>
      <c r="C3077" s="21">
        <v>44974</v>
      </c>
      <c r="D3077" s="20">
        <v>1697.71</v>
      </c>
      <c r="E3077" s="22" t="s">
        <v>10</v>
      </c>
      <c r="F3077" s="22" t="s">
        <v>14</v>
      </c>
      <c r="G3077" s="22" t="s">
        <v>20</v>
      </c>
    </row>
    <row r="3078" ht="15.15" spans="1:7">
      <c r="A3078" s="20">
        <v>3077</v>
      </c>
      <c r="B3078" s="20">
        <v>2133</v>
      </c>
      <c r="C3078" s="21">
        <v>44971</v>
      </c>
      <c r="D3078" s="20">
        <v>1354.25</v>
      </c>
      <c r="E3078" s="22" t="s">
        <v>10</v>
      </c>
      <c r="F3078" s="22" t="s">
        <v>18</v>
      </c>
      <c r="G3078" s="22" t="s">
        <v>12</v>
      </c>
    </row>
    <row r="3079" ht="15.15" spans="1:7">
      <c r="A3079" s="20">
        <v>3078</v>
      </c>
      <c r="B3079" s="20">
        <v>9000</v>
      </c>
      <c r="C3079" s="21">
        <v>45261</v>
      </c>
      <c r="D3079" s="20">
        <v>890.08</v>
      </c>
      <c r="E3079" s="22" t="s">
        <v>10</v>
      </c>
      <c r="F3079" s="22" t="s">
        <v>18</v>
      </c>
      <c r="G3079" s="22" t="s">
        <v>17</v>
      </c>
    </row>
    <row r="3080" ht="15.15" spans="1:7">
      <c r="A3080" s="20">
        <v>3079</v>
      </c>
      <c r="B3080" s="20">
        <v>5897</v>
      </c>
      <c r="C3080" s="21">
        <v>45057</v>
      </c>
      <c r="D3080" s="20">
        <v>395.52</v>
      </c>
      <c r="E3080" s="22" t="s">
        <v>10</v>
      </c>
      <c r="F3080" s="22" t="s">
        <v>16</v>
      </c>
      <c r="G3080" s="22" t="s">
        <v>12</v>
      </c>
    </row>
    <row r="3081" ht="15.15" spans="1:7">
      <c r="A3081" s="20">
        <v>3080</v>
      </c>
      <c r="B3081" s="20">
        <v>9816</v>
      </c>
      <c r="C3081" s="21">
        <v>45209</v>
      </c>
      <c r="D3081" s="20">
        <v>1570.97</v>
      </c>
      <c r="E3081" s="22" t="s">
        <v>10</v>
      </c>
      <c r="F3081" s="22" t="s">
        <v>11</v>
      </c>
      <c r="G3081" s="22" t="s">
        <v>20</v>
      </c>
    </row>
    <row r="3082" ht="15.15" spans="1:7">
      <c r="A3082" s="20">
        <v>3081</v>
      </c>
      <c r="B3082" s="20">
        <v>7032</v>
      </c>
      <c r="C3082" s="21">
        <v>45055</v>
      </c>
      <c r="D3082" s="20">
        <v>250.59</v>
      </c>
      <c r="E3082" s="22" t="s">
        <v>10</v>
      </c>
      <c r="F3082" s="22" t="s">
        <v>16</v>
      </c>
      <c r="G3082" s="22" t="s">
        <v>15</v>
      </c>
    </row>
    <row r="3083" ht="15.15" spans="1:7">
      <c r="A3083" s="20">
        <v>3082</v>
      </c>
      <c r="B3083" s="20">
        <v>7008</v>
      </c>
      <c r="C3083" s="21">
        <v>45276</v>
      </c>
      <c r="D3083" s="20">
        <v>2327.01</v>
      </c>
      <c r="E3083" s="22" t="s">
        <v>10</v>
      </c>
      <c r="F3083" s="22" t="s">
        <v>13</v>
      </c>
      <c r="G3083" s="22" t="s">
        <v>20</v>
      </c>
    </row>
    <row r="3084" ht="15.15" spans="1:7">
      <c r="A3084" s="20">
        <v>3083</v>
      </c>
      <c r="B3084" s="20">
        <v>916</v>
      </c>
      <c r="C3084" s="21">
        <v>45192</v>
      </c>
      <c r="D3084" s="20">
        <v>2449.08</v>
      </c>
      <c r="E3084" s="22" t="s">
        <v>10</v>
      </c>
      <c r="F3084" s="22" t="s">
        <v>11</v>
      </c>
      <c r="G3084" s="22" t="s">
        <v>15</v>
      </c>
    </row>
    <row r="3085" ht="15.15" spans="1:7">
      <c r="A3085" s="20">
        <v>3084</v>
      </c>
      <c r="B3085" s="20">
        <v>6452</v>
      </c>
      <c r="C3085" s="21">
        <v>45269</v>
      </c>
      <c r="D3085" s="20">
        <v>30.63</v>
      </c>
      <c r="E3085" s="22" t="s">
        <v>10</v>
      </c>
      <c r="F3085" s="22" t="s">
        <v>13</v>
      </c>
      <c r="G3085" s="22" t="s">
        <v>20</v>
      </c>
    </row>
    <row r="3086" ht="15.15" spans="1:7">
      <c r="A3086" s="20">
        <v>3085</v>
      </c>
      <c r="B3086" s="20">
        <v>5798</v>
      </c>
      <c r="C3086" s="21">
        <v>45202</v>
      </c>
      <c r="D3086" s="20">
        <v>1035.28</v>
      </c>
      <c r="E3086" s="22" t="s">
        <v>10</v>
      </c>
      <c r="F3086" s="22" t="s">
        <v>14</v>
      </c>
      <c r="G3086" s="22" t="s">
        <v>12</v>
      </c>
    </row>
    <row r="3087" ht="15.15" spans="1:7">
      <c r="A3087" s="20">
        <v>3086</v>
      </c>
      <c r="B3087" s="20">
        <v>8588</v>
      </c>
      <c r="C3087" s="21">
        <v>45202</v>
      </c>
      <c r="D3087" s="20">
        <v>3048.73</v>
      </c>
      <c r="E3087" s="22" t="s">
        <v>10</v>
      </c>
      <c r="F3087" s="22" t="s">
        <v>16</v>
      </c>
      <c r="G3087" s="22" t="s">
        <v>12</v>
      </c>
    </row>
    <row r="3088" ht="15.15" spans="1:7">
      <c r="A3088" s="20">
        <v>3087</v>
      </c>
      <c r="B3088" s="20">
        <v>28</v>
      </c>
      <c r="C3088" s="21">
        <v>45002</v>
      </c>
      <c r="D3088" s="20">
        <v>1113.44</v>
      </c>
      <c r="E3088" s="22" t="s">
        <v>10</v>
      </c>
      <c r="F3088" s="22" t="s">
        <v>11</v>
      </c>
      <c r="G3088" s="22" t="s">
        <v>20</v>
      </c>
    </row>
    <row r="3089" ht="15.15" spans="1:7">
      <c r="A3089" s="20">
        <v>3088</v>
      </c>
      <c r="B3089" s="20">
        <v>4605</v>
      </c>
      <c r="C3089" s="21">
        <v>45199</v>
      </c>
      <c r="D3089" s="20">
        <v>4983.62</v>
      </c>
      <c r="E3089" s="22" t="s">
        <v>10</v>
      </c>
      <c r="F3089" s="22" t="s">
        <v>13</v>
      </c>
      <c r="G3089" s="22" t="s">
        <v>20</v>
      </c>
    </row>
    <row r="3090" ht="15.15" spans="1:7">
      <c r="A3090" s="20">
        <v>3089</v>
      </c>
      <c r="B3090" s="20">
        <v>5529</v>
      </c>
      <c r="C3090" s="21">
        <v>45189</v>
      </c>
      <c r="D3090" s="20">
        <v>1260.37</v>
      </c>
      <c r="E3090" s="22" t="s">
        <v>10</v>
      </c>
      <c r="F3090" s="22" t="s">
        <v>14</v>
      </c>
      <c r="G3090" s="22" t="s">
        <v>12</v>
      </c>
    </row>
    <row r="3091" ht="15.15" spans="1:7">
      <c r="A3091" s="20">
        <v>3090</v>
      </c>
      <c r="B3091" s="20">
        <v>4242</v>
      </c>
      <c r="C3091" s="21">
        <v>45167</v>
      </c>
      <c r="D3091" s="20">
        <v>1786.37</v>
      </c>
      <c r="E3091" s="22" t="s">
        <v>10</v>
      </c>
      <c r="F3091" s="22" t="s">
        <v>18</v>
      </c>
      <c r="G3091" s="22" t="s">
        <v>12</v>
      </c>
    </row>
    <row r="3092" ht="15.15" spans="1:7">
      <c r="A3092" s="20">
        <v>3091</v>
      </c>
      <c r="B3092" s="20">
        <v>6070</v>
      </c>
      <c r="C3092" s="21">
        <v>45095</v>
      </c>
      <c r="D3092" s="20">
        <v>447.91</v>
      </c>
      <c r="E3092" s="22" t="s">
        <v>10</v>
      </c>
      <c r="F3092" s="22" t="s">
        <v>18</v>
      </c>
      <c r="G3092" s="22" t="s">
        <v>20</v>
      </c>
    </row>
    <row r="3093" ht="15.15" spans="1:7">
      <c r="A3093" s="20">
        <v>3092</v>
      </c>
      <c r="B3093" s="20">
        <v>1321</v>
      </c>
      <c r="C3093" s="21">
        <v>45118</v>
      </c>
      <c r="D3093" s="20">
        <v>899.2</v>
      </c>
      <c r="E3093" s="22" t="s">
        <v>10</v>
      </c>
      <c r="F3093" s="22" t="s">
        <v>14</v>
      </c>
      <c r="G3093" s="22" t="s">
        <v>15</v>
      </c>
    </row>
    <row r="3094" ht="15.15" spans="1:7">
      <c r="A3094" s="20">
        <v>3093</v>
      </c>
      <c r="B3094" s="20">
        <v>1814</v>
      </c>
      <c r="C3094" s="21">
        <v>45268</v>
      </c>
      <c r="D3094" s="20">
        <v>12736.9</v>
      </c>
      <c r="E3094" s="22" t="s">
        <v>10</v>
      </c>
      <c r="F3094" s="22" t="s">
        <v>11</v>
      </c>
      <c r="G3094" s="22" t="s">
        <v>12</v>
      </c>
    </row>
    <row r="3095" ht="15.15" spans="1:7">
      <c r="A3095" s="20">
        <v>3094</v>
      </c>
      <c r="B3095" s="20">
        <v>4666</v>
      </c>
      <c r="C3095" s="21">
        <v>45278</v>
      </c>
      <c r="D3095" s="20">
        <v>2485.77</v>
      </c>
      <c r="E3095" s="22" t="s">
        <v>10</v>
      </c>
      <c r="F3095" s="22" t="s">
        <v>14</v>
      </c>
      <c r="G3095" s="22" t="s">
        <v>17</v>
      </c>
    </row>
    <row r="3096" ht="15.15" spans="1:7">
      <c r="A3096" s="20">
        <v>3095</v>
      </c>
      <c r="B3096" s="20">
        <v>5337</v>
      </c>
      <c r="C3096" s="21">
        <v>45060</v>
      </c>
      <c r="D3096" s="20">
        <v>781.25</v>
      </c>
      <c r="E3096" s="22" t="s">
        <v>10</v>
      </c>
      <c r="F3096" s="22" t="s">
        <v>14</v>
      </c>
      <c r="G3096" s="22" t="s">
        <v>17</v>
      </c>
    </row>
    <row r="3097" ht="15.15" spans="1:7">
      <c r="A3097" s="20">
        <v>3096</v>
      </c>
      <c r="B3097" s="20">
        <v>8232</v>
      </c>
      <c r="C3097" s="21">
        <v>45250</v>
      </c>
      <c r="D3097" s="20">
        <v>435.69</v>
      </c>
      <c r="E3097" s="22" t="s">
        <v>10</v>
      </c>
      <c r="F3097" s="22" t="s">
        <v>18</v>
      </c>
      <c r="G3097" s="22" t="s">
        <v>20</v>
      </c>
    </row>
    <row r="3098" ht="15.15" spans="1:7">
      <c r="A3098" s="20">
        <v>3097</v>
      </c>
      <c r="B3098" s="20">
        <v>8417</v>
      </c>
      <c r="C3098" s="21">
        <v>45278</v>
      </c>
      <c r="D3098" s="20">
        <v>628.59</v>
      </c>
      <c r="E3098" s="22" t="s">
        <v>10</v>
      </c>
      <c r="F3098" s="22" t="s">
        <v>16</v>
      </c>
      <c r="G3098" s="22" t="s">
        <v>12</v>
      </c>
    </row>
    <row r="3099" ht="15.15" spans="1:7">
      <c r="A3099" s="20">
        <v>3098</v>
      </c>
      <c r="B3099" s="20">
        <v>4145</v>
      </c>
      <c r="C3099" s="21">
        <v>45168</v>
      </c>
      <c r="D3099" s="20">
        <v>1615.14</v>
      </c>
      <c r="E3099" s="22" t="s">
        <v>10</v>
      </c>
      <c r="F3099" s="22" t="s">
        <v>14</v>
      </c>
      <c r="G3099" s="22" t="s">
        <v>15</v>
      </c>
    </row>
    <row r="3100" ht="15.15" spans="1:7">
      <c r="A3100" s="20">
        <v>3099</v>
      </c>
      <c r="B3100" s="20">
        <v>8945</v>
      </c>
      <c r="C3100" s="21">
        <v>45110</v>
      </c>
      <c r="D3100" s="20">
        <v>201.88</v>
      </c>
      <c r="E3100" s="22" t="s">
        <v>10</v>
      </c>
      <c r="F3100" s="22" t="s">
        <v>18</v>
      </c>
      <c r="G3100" s="22" t="s">
        <v>15</v>
      </c>
    </row>
    <row r="3101" ht="15.15" spans="1:7">
      <c r="A3101" s="20">
        <v>3100</v>
      </c>
      <c r="B3101" s="20">
        <v>7793</v>
      </c>
      <c r="C3101" s="21">
        <v>45284</v>
      </c>
      <c r="D3101" s="20">
        <v>249.69</v>
      </c>
      <c r="E3101" s="22" t="s">
        <v>21</v>
      </c>
      <c r="F3101" s="22" t="s">
        <v>13</v>
      </c>
      <c r="G3101" s="22" t="s">
        <v>12</v>
      </c>
    </row>
    <row r="3102" ht="15.15" spans="1:7">
      <c r="A3102" s="20">
        <v>3101</v>
      </c>
      <c r="B3102" s="20">
        <v>1499</v>
      </c>
      <c r="C3102" s="21">
        <v>45274</v>
      </c>
      <c r="D3102" s="20">
        <v>2661.89</v>
      </c>
      <c r="E3102" s="22" t="s">
        <v>10</v>
      </c>
      <c r="F3102" s="22" t="s">
        <v>11</v>
      </c>
      <c r="G3102" s="22" t="s">
        <v>12</v>
      </c>
    </row>
    <row r="3103" ht="15.15" spans="1:7">
      <c r="A3103" s="20">
        <v>3102</v>
      </c>
      <c r="B3103" s="20">
        <v>192</v>
      </c>
      <c r="C3103" s="21">
        <v>45087</v>
      </c>
      <c r="D3103" s="20">
        <v>731.06</v>
      </c>
      <c r="E3103" s="22" t="s">
        <v>22</v>
      </c>
      <c r="F3103" s="22" t="s">
        <v>11</v>
      </c>
      <c r="G3103" s="22" t="s">
        <v>20</v>
      </c>
    </row>
    <row r="3104" ht="15.15" spans="1:7">
      <c r="A3104" s="20">
        <v>3103</v>
      </c>
      <c r="B3104" s="20">
        <v>9518</v>
      </c>
      <c r="C3104" s="21">
        <v>44996</v>
      </c>
      <c r="D3104" s="20">
        <v>105.06</v>
      </c>
      <c r="E3104" s="22" t="s">
        <v>10</v>
      </c>
      <c r="F3104" s="22" t="s">
        <v>16</v>
      </c>
      <c r="G3104" s="22" t="s">
        <v>20</v>
      </c>
    </row>
    <row r="3105" ht="15.15" spans="1:7">
      <c r="A3105" s="20">
        <v>3104</v>
      </c>
      <c r="B3105" s="20">
        <v>2529</v>
      </c>
      <c r="C3105" s="21">
        <v>45164</v>
      </c>
      <c r="D3105" s="20">
        <v>1266.63</v>
      </c>
      <c r="E3105" s="22" t="s">
        <v>10</v>
      </c>
      <c r="F3105" s="22" t="s">
        <v>16</v>
      </c>
      <c r="G3105" s="22" t="s">
        <v>17</v>
      </c>
    </row>
    <row r="3106" ht="15.15" spans="1:7">
      <c r="A3106" s="20">
        <v>3105</v>
      </c>
      <c r="B3106" s="20">
        <v>1974</v>
      </c>
      <c r="C3106" s="21">
        <v>45258</v>
      </c>
      <c r="D3106" s="20">
        <v>1074.6</v>
      </c>
      <c r="E3106" s="22" t="s">
        <v>10</v>
      </c>
      <c r="F3106" s="22" t="s">
        <v>13</v>
      </c>
      <c r="G3106" s="22" t="s">
        <v>20</v>
      </c>
    </row>
    <row r="3107" ht="15.15" spans="1:7">
      <c r="A3107" s="20">
        <v>3106</v>
      </c>
      <c r="B3107" s="20">
        <v>5376</v>
      </c>
      <c r="C3107" s="21">
        <v>44997</v>
      </c>
      <c r="D3107" s="20">
        <v>661.44</v>
      </c>
      <c r="E3107" s="22" t="s">
        <v>10</v>
      </c>
      <c r="F3107" s="22" t="s">
        <v>16</v>
      </c>
      <c r="G3107" s="22" t="s">
        <v>17</v>
      </c>
    </row>
    <row r="3108" ht="15.15" spans="1:7">
      <c r="A3108" s="20">
        <v>3107</v>
      </c>
      <c r="B3108" s="20">
        <v>2679</v>
      </c>
      <c r="C3108" s="21">
        <v>45141</v>
      </c>
      <c r="D3108" s="20">
        <v>667.02</v>
      </c>
      <c r="E3108" s="22" t="s">
        <v>10</v>
      </c>
      <c r="F3108" s="22" t="s">
        <v>13</v>
      </c>
      <c r="G3108" s="22" t="s">
        <v>12</v>
      </c>
    </row>
    <row r="3109" ht="15.15" spans="1:7">
      <c r="A3109" s="20">
        <v>3108</v>
      </c>
      <c r="B3109" s="20">
        <v>3776</v>
      </c>
      <c r="C3109" s="21">
        <v>45090</v>
      </c>
      <c r="D3109" s="20">
        <v>132.23</v>
      </c>
      <c r="E3109" s="22" t="s">
        <v>10</v>
      </c>
      <c r="F3109" s="22" t="s">
        <v>14</v>
      </c>
      <c r="G3109" s="22" t="s">
        <v>17</v>
      </c>
    </row>
    <row r="3110" ht="15.15" spans="1:7">
      <c r="A3110" s="20">
        <v>3109</v>
      </c>
      <c r="B3110" s="20">
        <v>8493</v>
      </c>
      <c r="C3110" s="21">
        <v>45035</v>
      </c>
      <c r="D3110" s="20">
        <v>1315.56</v>
      </c>
      <c r="E3110" s="22" t="s">
        <v>10</v>
      </c>
      <c r="F3110" s="22" t="s">
        <v>13</v>
      </c>
      <c r="G3110" s="22" t="s">
        <v>12</v>
      </c>
    </row>
    <row r="3111" ht="15.15" spans="1:7">
      <c r="A3111" s="20">
        <v>3110</v>
      </c>
      <c r="B3111" s="20">
        <v>865</v>
      </c>
      <c r="C3111" s="21">
        <v>45242</v>
      </c>
      <c r="D3111" s="20">
        <v>726.88</v>
      </c>
      <c r="E3111" s="22" t="s">
        <v>10</v>
      </c>
      <c r="F3111" s="22" t="s">
        <v>13</v>
      </c>
      <c r="G3111" s="22" t="s">
        <v>15</v>
      </c>
    </row>
    <row r="3112" ht="15.15" spans="1:7">
      <c r="A3112" s="20">
        <v>3111</v>
      </c>
      <c r="B3112" s="20">
        <v>3960</v>
      </c>
      <c r="C3112" s="21">
        <v>45074</v>
      </c>
      <c r="D3112" s="20">
        <v>751.38</v>
      </c>
      <c r="E3112" s="22" t="s">
        <v>10</v>
      </c>
      <c r="F3112" s="22" t="s">
        <v>11</v>
      </c>
      <c r="G3112" s="22" t="s">
        <v>17</v>
      </c>
    </row>
    <row r="3113" ht="15.15" spans="1:7">
      <c r="A3113" s="20">
        <v>3112</v>
      </c>
      <c r="B3113" s="20">
        <v>4220</v>
      </c>
      <c r="C3113" s="21">
        <v>45011</v>
      </c>
      <c r="D3113" s="20">
        <v>3067.25</v>
      </c>
      <c r="E3113" s="22" t="s">
        <v>10</v>
      </c>
      <c r="F3113" s="22" t="s">
        <v>13</v>
      </c>
      <c r="G3113" s="22" t="s">
        <v>12</v>
      </c>
    </row>
    <row r="3114" ht="15.15" spans="1:7">
      <c r="A3114" s="20">
        <v>3113</v>
      </c>
      <c r="B3114" s="20">
        <v>881</v>
      </c>
      <c r="C3114" s="21">
        <v>45187</v>
      </c>
      <c r="D3114" s="20">
        <v>667.02</v>
      </c>
      <c r="E3114" s="22" t="s">
        <v>10</v>
      </c>
      <c r="F3114" s="22" t="s">
        <v>18</v>
      </c>
      <c r="G3114" s="22" t="s">
        <v>15</v>
      </c>
    </row>
    <row r="3115" ht="15.15" spans="1:7">
      <c r="A3115" s="20">
        <v>3114</v>
      </c>
      <c r="B3115" s="20">
        <v>3515</v>
      </c>
      <c r="C3115" s="21">
        <v>45185</v>
      </c>
      <c r="D3115" s="20">
        <v>832.31</v>
      </c>
      <c r="E3115" s="22" t="s">
        <v>10</v>
      </c>
      <c r="F3115" s="22" t="s">
        <v>13</v>
      </c>
      <c r="G3115" s="22" t="s">
        <v>12</v>
      </c>
    </row>
    <row r="3116" ht="15.15" spans="1:7">
      <c r="A3116" s="20">
        <v>3115</v>
      </c>
      <c r="B3116" s="20">
        <v>7495</v>
      </c>
      <c r="C3116" s="21">
        <v>45230</v>
      </c>
      <c r="D3116" s="20">
        <v>4599.17</v>
      </c>
      <c r="E3116" s="22" t="s">
        <v>10</v>
      </c>
      <c r="F3116" s="22" t="s">
        <v>18</v>
      </c>
      <c r="G3116" s="22" t="s">
        <v>17</v>
      </c>
    </row>
    <row r="3117" ht="15.15" spans="1:7">
      <c r="A3117" s="20">
        <v>3116</v>
      </c>
      <c r="B3117" s="20">
        <v>2163</v>
      </c>
      <c r="C3117" s="21">
        <v>45010</v>
      </c>
      <c r="D3117" s="20">
        <v>1167.69</v>
      </c>
      <c r="E3117" s="22" t="s">
        <v>10</v>
      </c>
      <c r="F3117" s="22" t="s">
        <v>11</v>
      </c>
      <c r="G3117" s="22" t="s">
        <v>17</v>
      </c>
    </row>
    <row r="3118" ht="15.15" spans="1:7">
      <c r="A3118" s="20">
        <v>3117</v>
      </c>
      <c r="B3118" s="20">
        <v>9326</v>
      </c>
      <c r="C3118" s="21">
        <v>45278</v>
      </c>
      <c r="D3118" s="20">
        <v>1521.65</v>
      </c>
      <c r="E3118" s="22" t="s">
        <v>21</v>
      </c>
      <c r="F3118" s="22" t="s">
        <v>14</v>
      </c>
      <c r="G3118" s="22" t="s">
        <v>12</v>
      </c>
    </row>
    <row r="3119" ht="15.15" spans="1:7">
      <c r="A3119" s="20">
        <v>3118</v>
      </c>
      <c r="B3119" s="20">
        <v>9001</v>
      </c>
      <c r="C3119" s="21">
        <v>45020</v>
      </c>
      <c r="D3119" s="20">
        <v>2194.33</v>
      </c>
      <c r="E3119" s="22" t="s">
        <v>21</v>
      </c>
      <c r="F3119" s="22" t="s">
        <v>11</v>
      </c>
      <c r="G3119" s="22" t="s">
        <v>15</v>
      </c>
    </row>
    <row r="3120" ht="15.15" spans="1:7">
      <c r="A3120" s="20">
        <v>3119</v>
      </c>
      <c r="B3120" s="20">
        <v>8262</v>
      </c>
      <c r="C3120" s="21">
        <v>45232</v>
      </c>
      <c r="D3120" s="20">
        <v>4572.66</v>
      </c>
      <c r="E3120" s="22" t="s">
        <v>10</v>
      </c>
      <c r="F3120" s="22" t="s">
        <v>16</v>
      </c>
      <c r="G3120" s="22" t="s">
        <v>17</v>
      </c>
    </row>
    <row r="3121" ht="15.15" spans="1:7">
      <c r="A3121" s="20">
        <v>3120</v>
      </c>
      <c r="B3121" s="20">
        <v>1750</v>
      </c>
      <c r="C3121" s="21">
        <v>45141</v>
      </c>
      <c r="D3121" s="20">
        <v>646.02</v>
      </c>
      <c r="E3121" s="22" t="s">
        <v>10</v>
      </c>
      <c r="F3121" s="22" t="s">
        <v>13</v>
      </c>
      <c r="G3121" s="22" t="s">
        <v>12</v>
      </c>
    </row>
    <row r="3122" ht="15.15" spans="1:7">
      <c r="A3122" s="20">
        <v>3121</v>
      </c>
      <c r="B3122" s="20">
        <v>8211</v>
      </c>
      <c r="C3122" s="21">
        <v>45004</v>
      </c>
      <c r="D3122" s="20">
        <v>367.55</v>
      </c>
      <c r="E3122" s="22" t="s">
        <v>10</v>
      </c>
      <c r="F3122" s="22" t="s">
        <v>14</v>
      </c>
      <c r="G3122" s="22" t="s">
        <v>17</v>
      </c>
    </row>
    <row r="3123" ht="15.15" spans="1:7">
      <c r="A3123" s="20">
        <v>3122</v>
      </c>
      <c r="B3123" s="20">
        <v>3759</v>
      </c>
      <c r="C3123" s="21">
        <v>45135</v>
      </c>
      <c r="D3123" s="20">
        <v>2191.24</v>
      </c>
      <c r="E3123" s="22" t="s">
        <v>10</v>
      </c>
      <c r="F3123" s="22" t="s">
        <v>11</v>
      </c>
      <c r="G3123" s="22" t="s">
        <v>20</v>
      </c>
    </row>
    <row r="3124" ht="15.15" spans="1:7">
      <c r="A3124" s="20">
        <v>3123</v>
      </c>
      <c r="B3124" s="20">
        <v>1247</v>
      </c>
      <c r="C3124" s="21">
        <v>45043</v>
      </c>
      <c r="D3124" s="20">
        <v>2155.79</v>
      </c>
      <c r="E3124" s="22" t="s">
        <v>10</v>
      </c>
      <c r="F3124" s="22" t="s">
        <v>16</v>
      </c>
      <c r="G3124" s="22" t="s">
        <v>15</v>
      </c>
    </row>
    <row r="3125" ht="15.15" spans="1:7">
      <c r="A3125" s="20">
        <v>3124</v>
      </c>
      <c r="B3125" s="20">
        <v>2943</v>
      </c>
      <c r="C3125" s="21">
        <v>44955</v>
      </c>
      <c r="D3125" s="20">
        <v>323.68</v>
      </c>
      <c r="E3125" s="22" t="s">
        <v>10</v>
      </c>
      <c r="F3125" s="22" t="s">
        <v>11</v>
      </c>
      <c r="G3125" s="22" t="s">
        <v>20</v>
      </c>
    </row>
    <row r="3126" ht="15.15" spans="1:7">
      <c r="A3126" s="20">
        <v>3125</v>
      </c>
      <c r="B3126" s="20">
        <v>3851</v>
      </c>
      <c r="C3126" s="21">
        <v>44957</v>
      </c>
      <c r="D3126" s="20">
        <v>966.81</v>
      </c>
      <c r="E3126" s="22" t="s">
        <v>10</v>
      </c>
      <c r="F3126" s="22" t="s">
        <v>18</v>
      </c>
      <c r="G3126" s="22" t="s">
        <v>17</v>
      </c>
    </row>
    <row r="3127" ht="15.15" spans="1:7">
      <c r="A3127" s="20">
        <v>3126</v>
      </c>
      <c r="B3127" s="20">
        <v>9164</v>
      </c>
      <c r="C3127" s="21">
        <v>45063</v>
      </c>
      <c r="D3127" s="20">
        <v>2173.52</v>
      </c>
      <c r="E3127" s="22" t="s">
        <v>10</v>
      </c>
      <c r="F3127" s="22" t="s">
        <v>18</v>
      </c>
      <c r="G3127" s="22" t="s">
        <v>17</v>
      </c>
    </row>
    <row r="3128" ht="15.15" spans="1:7">
      <c r="A3128" s="20">
        <v>3127</v>
      </c>
      <c r="B3128" s="20">
        <v>6691</v>
      </c>
      <c r="C3128" s="21">
        <v>45032</v>
      </c>
      <c r="D3128" s="20">
        <v>2093.3</v>
      </c>
      <c r="E3128" s="22" t="s">
        <v>10</v>
      </c>
      <c r="F3128" s="22" t="s">
        <v>16</v>
      </c>
      <c r="G3128" s="22" t="s">
        <v>12</v>
      </c>
    </row>
    <row r="3129" ht="15.15" spans="1:7">
      <c r="A3129" s="20">
        <v>3128</v>
      </c>
      <c r="B3129" s="20">
        <v>6086</v>
      </c>
      <c r="C3129" s="21">
        <v>44982</v>
      </c>
      <c r="D3129" s="20">
        <v>5233.29</v>
      </c>
      <c r="E3129" s="22" t="s">
        <v>10</v>
      </c>
      <c r="F3129" s="22" t="s">
        <v>13</v>
      </c>
      <c r="G3129" s="22" t="s">
        <v>17</v>
      </c>
    </row>
    <row r="3130" ht="15.15" spans="1:7">
      <c r="A3130" s="20">
        <v>3129</v>
      </c>
      <c r="B3130" s="20">
        <v>9946</v>
      </c>
      <c r="C3130" s="21">
        <v>45287</v>
      </c>
      <c r="D3130" s="20">
        <v>667.02</v>
      </c>
      <c r="E3130" s="22" t="s">
        <v>10</v>
      </c>
      <c r="F3130" s="22" t="s">
        <v>18</v>
      </c>
      <c r="G3130" s="22" t="s">
        <v>20</v>
      </c>
    </row>
    <row r="3131" ht="15.15" spans="1:7">
      <c r="A3131" s="20">
        <v>3130</v>
      </c>
      <c r="B3131" s="20">
        <v>4891</v>
      </c>
      <c r="C3131" s="21">
        <v>45259</v>
      </c>
      <c r="D3131" s="20">
        <v>369.17</v>
      </c>
      <c r="E3131" s="22" t="s">
        <v>10</v>
      </c>
      <c r="F3131" s="22" t="s">
        <v>13</v>
      </c>
      <c r="G3131" s="22" t="s">
        <v>20</v>
      </c>
    </row>
    <row r="3132" ht="15.15" spans="1:7">
      <c r="A3132" s="20">
        <v>3131</v>
      </c>
      <c r="B3132" s="20">
        <v>8345</v>
      </c>
      <c r="C3132" s="21">
        <v>45214</v>
      </c>
      <c r="D3132" s="20">
        <v>618.93</v>
      </c>
      <c r="E3132" s="22" t="s">
        <v>10</v>
      </c>
      <c r="F3132" s="22" t="s">
        <v>13</v>
      </c>
      <c r="G3132" s="22" t="s">
        <v>15</v>
      </c>
    </row>
    <row r="3133" ht="15.15" spans="1:7">
      <c r="A3133" s="20">
        <v>3132</v>
      </c>
      <c r="B3133" s="20">
        <v>4591</v>
      </c>
      <c r="C3133" s="21">
        <v>45069</v>
      </c>
      <c r="D3133" s="20">
        <v>1703.41</v>
      </c>
      <c r="E3133" s="22" t="s">
        <v>10</v>
      </c>
      <c r="F3133" s="22" t="s">
        <v>18</v>
      </c>
      <c r="G3133" s="22" t="s">
        <v>20</v>
      </c>
    </row>
    <row r="3134" ht="15.15" spans="1:7">
      <c r="A3134" s="20">
        <v>3133</v>
      </c>
      <c r="B3134" s="20">
        <v>5228</v>
      </c>
      <c r="C3134" s="21">
        <v>45118</v>
      </c>
      <c r="D3134" s="20">
        <v>1432.4</v>
      </c>
      <c r="E3134" s="22" t="s">
        <v>10</v>
      </c>
      <c r="F3134" s="22" t="s">
        <v>16</v>
      </c>
      <c r="G3134" s="22" t="s">
        <v>20</v>
      </c>
    </row>
    <row r="3135" ht="15.15" spans="1:7">
      <c r="A3135" s="20">
        <v>3134</v>
      </c>
      <c r="B3135" s="20">
        <v>7253</v>
      </c>
      <c r="C3135" s="21">
        <v>45174</v>
      </c>
      <c r="D3135" s="20">
        <v>4058.64</v>
      </c>
      <c r="E3135" s="22" t="s">
        <v>10</v>
      </c>
      <c r="F3135" s="22" t="s">
        <v>13</v>
      </c>
      <c r="G3135" s="22" t="s">
        <v>17</v>
      </c>
    </row>
    <row r="3136" ht="15.15" spans="1:7">
      <c r="A3136" s="20">
        <v>3135</v>
      </c>
      <c r="B3136" s="20">
        <v>8607</v>
      </c>
      <c r="C3136" s="21">
        <v>45077</v>
      </c>
      <c r="D3136" s="20">
        <v>315.29</v>
      </c>
      <c r="E3136" s="22" t="s">
        <v>10</v>
      </c>
      <c r="F3136" s="22" t="s">
        <v>18</v>
      </c>
      <c r="G3136" s="22" t="s">
        <v>15</v>
      </c>
    </row>
    <row r="3137" ht="15.15" spans="1:7">
      <c r="A3137" s="20">
        <v>3136</v>
      </c>
      <c r="B3137" s="20">
        <v>4249</v>
      </c>
      <c r="C3137" s="21">
        <v>44975</v>
      </c>
      <c r="D3137" s="20">
        <v>941.99</v>
      </c>
      <c r="E3137" s="22" t="s">
        <v>10</v>
      </c>
      <c r="F3137" s="22" t="s">
        <v>16</v>
      </c>
      <c r="G3137" s="22" t="s">
        <v>15</v>
      </c>
    </row>
    <row r="3138" ht="15.15" spans="1:7">
      <c r="A3138" s="20">
        <v>3137</v>
      </c>
      <c r="B3138" s="20">
        <v>4901</v>
      </c>
      <c r="C3138" s="21">
        <v>45196</v>
      </c>
      <c r="D3138" s="20">
        <v>1729.16</v>
      </c>
      <c r="E3138" s="22" t="s">
        <v>10</v>
      </c>
      <c r="F3138" s="22" t="s">
        <v>18</v>
      </c>
      <c r="G3138" s="22" t="s">
        <v>20</v>
      </c>
    </row>
    <row r="3139" ht="15.15" spans="1:7">
      <c r="A3139" s="20">
        <v>3138</v>
      </c>
      <c r="B3139" s="20">
        <v>9073</v>
      </c>
      <c r="C3139" s="21">
        <v>45061</v>
      </c>
      <c r="D3139" s="20">
        <v>1417.1</v>
      </c>
      <c r="E3139" s="22" t="s">
        <v>10</v>
      </c>
      <c r="F3139" s="22" t="s">
        <v>14</v>
      </c>
      <c r="G3139" s="22" t="s">
        <v>15</v>
      </c>
    </row>
    <row r="3140" ht="15.15" spans="1:7">
      <c r="A3140" s="20">
        <v>3139</v>
      </c>
      <c r="B3140" s="20">
        <v>6489</v>
      </c>
      <c r="C3140" s="21">
        <v>45190</v>
      </c>
      <c r="D3140" s="20">
        <v>842.98</v>
      </c>
      <c r="E3140" s="22" t="s">
        <v>10</v>
      </c>
      <c r="F3140" s="22" t="s">
        <v>18</v>
      </c>
      <c r="G3140" s="22" t="s">
        <v>20</v>
      </c>
    </row>
    <row r="3141" ht="15.15" spans="1:7">
      <c r="A3141" s="20">
        <v>3140</v>
      </c>
      <c r="B3141" s="20">
        <v>822</v>
      </c>
      <c r="C3141" s="21">
        <v>45240</v>
      </c>
      <c r="D3141" s="20">
        <v>320.34</v>
      </c>
      <c r="E3141" s="22" t="s">
        <v>22</v>
      </c>
      <c r="F3141" s="22" t="s">
        <v>11</v>
      </c>
      <c r="G3141" s="22" t="s">
        <v>17</v>
      </c>
    </row>
    <row r="3142" ht="15.15" spans="1:7">
      <c r="A3142" s="20">
        <v>3141</v>
      </c>
      <c r="B3142" s="20">
        <v>9342</v>
      </c>
      <c r="C3142" s="21">
        <v>44935</v>
      </c>
      <c r="D3142" s="20">
        <v>2435.6</v>
      </c>
      <c r="E3142" s="22" t="s">
        <v>10</v>
      </c>
      <c r="F3142" s="22" t="s">
        <v>18</v>
      </c>
      <c r="G3142" s="22" t="s">
        <v>17</v>
      </c>
    </row>
    <row r="3143" ht="15.15" spans="1:7">
      <c r="A3143" s="20">
        <v>3142</v>
      </c>
      <c r="B3143" s="20">
        <v>9349</v>
      </c>
      <c r="C3143" s="21">
        <v>44989</v>
      </c>
      <c r="D3143" s="20">
        <v>774.02</v>
      </c>
      <c r="E3143" s="22" t="s">
        <v>10</v>
      </c>
      <c r="F3143" s="22" t="s">
        <v>16</v>
      </c>
      <c r="G3143" s="22" t="s">
        <v>20</v>
      </c>
    </row>
    <row r="3144" ht="15.15" spans="1:7">
      <c r="A3144" s="20">
        <v>3143</v>
      </c>
      <c r="B3144" s="20">
        <v>1265</v>
      </c>
      <c r="C3144" s="21">
        <v>45059</v>
      </c>
      <c r="D3144" s="20">
        <v>1961.9</v>
      </c>
      <c r="E3144" s="22" t="s">
        <v>10</v>
      </c>
      <c r="F3144" s="22" t="s">
        <v>13</v>
      </c>
      <c r="G3144" s="22" t="s">
        <v>12</v>
      </c>
    </row>
    <row r="3145" ht="15.15" spans="1:7">
      <c r="A3145" s="20">
        <v>3144</v>
      </c>
      <c r="B3145" s="20">
        <v>1787</v>
      </c>
      <c r="C3145" s="21">
        <v>45285</v>
      </c>
      <c r="D3145" s="20">
        <v>2598.96</v>
      </c>
      <c r="E3145" s="22" t="s">
        <v>10</v>
      </c>
      <c r="F3145" s="22" t="s">
        <v>13</v>
      </c>
      <c r="G3145" s="22" t="s">
        <v>12</v>
      </c>
    </row>
    <row r="3146" ht="15.15" spans="1:7">
      <c r="A3146" s="20">
        <v>3145</v>
      </c>
      <c r="B3146" s="20">
        <v>5205</v>
      </c>
      <c r="C3146" s="21">
        <v>45029</v>
      </c>
      <c r="D3146" s="20">
        <v>1322.88</v>
      </c>
      <c r="E3146" s="22" t="s">
        <v>10</v>
      </c>
      <c r="F3146" s="22" t="s">
        <v>13</v>
      </c>
      <c r="G3146" s="22" t="s">
        <v>15</v>
      </c>
    </row>
    <row r="3147" ht="15.15" spans="1:7">
      <c r="A3147" s="20">
        <v>3146</v>
      </c>
      <c r="B3147" s="20">
        <v>5138</v>
      </c>
      <c r="C3147" s="21">
        <v>45108</v>
      </c>
      <c r="D3147" s="20">
        <v>1777.25</v>
      </c>
      <c r="E3147" s="22" t="s">
        <v>10</v>
      </c>
      <c r="F3147" s="22" t="s">
        <v>11</v>
      </c>
      <c r="G3147" s="22" t="s">
        <v>15</v>
      </c>
    </row>
    <row r="3148" ht="15.15" spans="1:7">
      <c r="A3148" s="20">
        <v>3147</v>
      </c>
      <c r="B3148" s="20">
        <v>9089</v>
      </c>
      <c r="C3148" s="21">
        <v>45241</v>
      </c>
      <c r="D3148" s="20">
        <v>257.17</v>
      </c>
      <c r="E3148" s="22" t="s">
        <v>10</v>
      </c>
      <c r="F3148" s="22" t="s">
        <v>16</v>
      </c>
      <c r="G3148" s="22" t="s">
        <v>17</v>
      </c>
    </row>
    <row r="3149" ht="15.15" spans="1:7">
      <c r="A3149" s="20">
        <v>3148</v>
      </c>
      <c r="B3149" s="20">
        <v>8520</v>
      </c>
      <c r="C3149" s="21">
        <v>45258</v>
      </c>
      <c r="D3149" s="20">
        <v>901.51</v>
      </c>
      <c r="E3149" s="22" t="s">
        <v>10</v>
      </c>
      <c r="F3149" s="22" t="s">
        <v>18</v>
      </c>
      <c r="G3149" s="22" t="s">
        <v>12</v>
      </c>
    </row>
    <row r="3150" ht="15.15" spans="1:7">
      <c r="A3150" s="20">
        <v>3149</v>
      </c>
      <c r="B3150" s="20">
        <v>9109</v>
      </c>
      <c r="C3150" s="21">
        <v>45112</v>
      </c>
      <c r="D3150" s="20">
        <v>442.46</v>
      </c>
      <c r="E3150" s="22" t="s">
        <v>10</v>
      </c>
      <c r="F3150" s="22" t="s">
        <v>16</v>
      </c>
      <c r="G3150" s="22" t="s">
        <v>12</v>
      </c>
    </row>
    <row r="3151" ht="15.15" spans="1:7">
      <c r="A3151" s="20">
        <v>3150</v>
      </c>
      <c r="B3151" s="20">
        <v>848</v>
      </c>
      <c r="C3151" s="21">
        <v>45240</v>
      </c>
      <c r="D3151" s="20">
        <v>1462.03</v>
      </c>
      <c r="E3151" s="22" t="s">
        <v>10</v>
      </c>
      <c r="F3151" s="22" t="s">
        <v>16</v>
      </c>
      <c r="G3151" s="22" t="s">
        <v>15</v>
      </c>
    </row>
    <row r="3152" ht="15.15" spans="1:7">
      <c r="A3152" s="20">
        <v>3151</v>
      </c>
      <c r="B3152" s="20">
        <v>9548</v>
      </c>
      <c r="C3152" s="21">
        <v>44959</v>
      </c>
      <c r="D3152" s="20">
        <v>3786.78</v>
      </c>
      <c r="E3152" s="22" t="s">
        <v>10</v>
      </c>
      <c r="F3152" s="22" t="s">
        <v>11</v>
      </c>
      <c r="G3152" s="22" t="s">
        <v>12</v>
      </c>
    </row>
    <row r="3153" ht="15.15" spans="1:7">
      <c r="A3153" s="20">
        <v>3152</v>
      </c>
      <c r="B3153" s="20">
        <v>1504</v>
      </c>
      <c r="C3153" s="21">
        <v>45041</v>
      </c>
      <c r="D3153" s="20">
        <v>2980.61</v>
      </c>
      <c r="E3153" s="22" t="s">
        <v>10</v>
      </c>
      <c r="F3153" s="22" t="s">
        <v>14</v>
      </c>
      <c r="G3153" s="22" t="s">
        <v>15</v>
      </c>
    </row>
    <row r="3154" ht="15.15" spans="1:7">
      <c r="A3154" s="20">
        <v>3153</v>
      </c>
      <c r="B3154" s="20">
        <v>2671</v>
      </c>
      <c r="C3154" s="21">
        <v>45238</v>
      </c>
      <c r="D3154" s="20">
        <v>159.92</v>
      </c>
      <c r="E3154" s="22" t="s">
        <v>10</v>
      </c>
      <c r="F3154" s="22" t="s">
        <v>11</v>
      </c>
      <c r="G3154" s="22" t="s">
        <v>17</v>
      </c>
    </row>
    <row r="3155" ht="15.15" spans="1:7">
      <c r="A3155" s="20">
        <v>3154</v>
      </c>
      <c r="B3155" s="20">
        <v>6754</v>
      </c>
      <c r="C3155" s="21">
        <v>44939</v>
      </c>
      <c r="D3155" s="20">
        <v>1365.96</v>
      </c>
      <c r="E3155" s="22" t="s">
        <v>10</v>
      </c>
      <c r="F3155" s="22" t="s">
        <v>18</v>
      </c>
      <c r="G3155" s="22" t="s">
        <v>20</v>
      </c>
    </row>
    <row r="3156" ht="15.15" spans="1:7">
      <c r="A3156" s="20">
        <v>3155</v>
      </c>
      <c r="B3156" s="20">
        <v>741</v>
      </c>
      <c r="C3156" s="21">
        <v>45157</v>
      </c>
      <c r="D3156" s="20">
        <v>1276.2</v>
      </c>
      <c r="E3156" s="22" t="s">
        <v>10</v>
      </c>
      <c r="F3156" s="22" t="s">
        <v>13</v>
      </c>
      <c r="G3156" s="22" t="s">
        <v>12</v>
      </c>
    </row>
    <row r="3157" ht="15.15" spans="1:7">
      <c r="A3157" s="20">
        <v>3156</v>
      </c>
      <c r="B3157" s="20">
        <v>1744</v>
      </c>
      <c r="C3157" s="21">
        <v>45125</v>
      </c>
      <c r="D3157" s="20">
        <v>965.83</v>
      </c>
      <c r="E3157" s="22" t="s">
        <v>10</v>
      </c>
      <c r="F3157" s="22" t="s">
        <v>16</v>
      </c>
      <c r="G3157" s="22" t="s">
        <v>12</v>
      </c>
    </row>
    <row r="3158" ht="15.15" spans="1:7">
      <c r="A3158" s="20">
        <v>3157</v>
      </c>
      <c r="B3158" s="20">
        <v>4128</v>
      </c>
      <c r="C3158" s="21">
        <v>45248</v>
      </c>
      <c r="D3158" s="20">
        <v>1146.95</v>
      </c>
      <c r="E3158" s="22" t="s">
        <v>10</v>
      </c>
      <c r="F3158" s="22" t="s">
        <v>18</v>
      </c>
      <c r="G3158" s="22" t="s">
        <v>17</v>
      </c>
    </row>
    <row r="3159" ht="15.15" spans="1:7">
      <c r="A3159" s="20">
        <v>3158</v>
      </c>
      <c r="B3159" s="20">
        <v>3553</v>
      </c>
      <c r="C3159" s="21">
        <v>45093</v>
      </c>
      <c r="D3159" s="20">
        <v>1936.86</v>
      </c>
      <c r="E3159" s="22" t="s">
        <v>10</v>
      </c>
      <c r="F3159" s="22" t="s">
        <v>11</v>
      </c>
      <c r="G3159" s="22" t="s">
        <v>12</v>
      </c>
    </row>
    <row r="3160" ht="15.15" spans="1:7">
      <c r="A3160" s="20">
        <v>3159</v>
      </c>
      <c r="B3160" s="20">
        <v>9871</v>
      </c>
      <c r="C3160" s="21">
        <v>45210</v>
      </c>
      <c r="D3160" s="20">
        <v>471.55</v>
      </c>
      <c r="E3160" s="22" t="s">
        <v>21</v>
      </c>
      <c r="F3160" s="22" t="s">
        <v>16</v>
      </c>
      <c r="G3160" s="22" t="s">
        <v>20</v>
      </c>
    </row>
    <row r="3161" ht="15.15" spans="1:7">
      <c r="A3161" s="20">
        <v>3160</v>
      </c>
      <c r="B3161" s="20">
        <v>1374</v>
      </c>
      <c r="C3161" s="21">
        <v>45178</v>
      </c>
      <c r="D3161" s="20">
        <v>3948.27</v>
      </c>
      <c r="E3161" s="22" t="s">
        <v>10</v>
      </c>
      <c r="F3161" s="22" t="s">
        <v>16</v>
      </c>
      <c r="G3161" s="22" t="s">
        <v>12</v>
      </c>
    </row>
    <row r="3162" ht="15.15" spans="1:7">
      <c r="A3162" s="20">
        <v>3161</v>
      </c>
      <c r="B3162" s="20">
        <v>8781</v>
      </c>
      <c r="C3162" s="21">
        <v>45167</v>
      </c>
      <c r="D3162" s="20">
        <v>295.79</v>
      </c>
      <c r="E3162" s="22" t="s">
        <v>10</v>
      </c>
      <c r="F3162" s="22" t="s">
        <v>13</v>
      </c>
      <c r="G3162" s="22" t="s">
        <v>12</v>
      </c>
    </row>
    <row r="3163" ht="15.15" spans="1:7">
      <c r="A3163" s="20">
        <v>3162</v>
      </c>
      <c r="B3163" s="20">
        <v>3564</v>
      </c>
      <c r="C3163" s="21">
        <v>45229</v>
      </c>
      <c r="D3163" s="20">
        <v>1554.26</v>
      </c>
      <c r="E3163" s="22" t="s">
        <v>10</v>
      </c>
      <c r="F3163" s="22" t="s">
        <v>16</v>
      </c>
      <c r="G3163" s="22" t="s">
        <v>15</v>
      </c>
    </row>
    <row r="3164" ht="15.15" spans="1:7">
      <c r="A3164" s="20">
        <v>3163</v>
      </c>
      <c r="B3164" s="20">
        <v>4319</v>
      </c>
      <c r="C3164" s="21">
        <v>44984</v>
      </c>
      <c r="D3164" s="20">
        <v>1815.36</v>
      </c>
      <c r="E3164" s="22" t="s">
        <v>10</v>
      </c>
      <c r="F3164" s="22" t="s">
        <v>14</v>
      </c>
      <c r="G3164" s="22" t="s">
        <v>15</v>
      </c>
    </row>
    <row r="3165" ht="15.15" spans="1:7">
      <c r="A3165" s="20">
        <v>3164</v>
      </c>
      <c r="B3165" s="20">
        <v>4292</v>
      </c>
      <c r="C3165" s="21">
        <v>45217</v>
      </c>
      <c r="D3165" s="20">
        <v>692.82</v>
      </c>
      <c r="E3165" s="22" t="s">
        <v>10</v>
      </c>
      <c r="F3165" s="22" t="s">
        <v>18</v>
      </c>
      <c r="G3165" s="22" t="s">
        <v>17</v>
      </c>
    </row>
    <row r="3166" ht="15.15" spans="1:7">
      <c r="A3166" s="20">
        <v>3165</v>
      </c>
      <c r="B3166" s="20">
        <v>1099</v>
      </c>
      <c r="C3166" s="21">
        <v>45269</v>
      </c>
      <c r="D3166" s="20">
        <v>987.2</v>
      </c>
      <c r="E3166" s="22" t="s">
        <v>10</v>
      </c>
      <c r="F3166" s="22" t="s">
        <v>13</v>
      </c>
      <c r="G3166" s="22" t="s">
        <v>17</v>
      </c>
    </row>
    <row r="3167" ht="15.15" spans="1:7">
      <c r="A3167" s="20">
        <v>3166</v>
      </c>
      <c r="B3167" s="20">
        <v>3663</v>
      </c>
      <c r="C3167" s="21">
        <v>45023</v>
      </c>
      <c r="D3167" s="20">
        <v>751.38</v>
      </c>
      <c r="E3167" s="22" t="s">
        <v>10</v>
      </c>
      <c r="F3167" s="22" t="s">
        <v>18</v>
      </c>
      <c r="G3167" s="22" t="s">
        <v>12</v>
      </c>
    </row>
    <row r="3168" ht="15.15" spans="1:7">
      <c r="A3168" s="20">
        <v>3167</v>
      </c>
      <c r="B3168" s="20">
        <v>5330</v>
      </c>
      <c r="C3168" s="21">
        <v>45078</v>
      </c>
      <c r="D3168" s="20">
        <v>2388.74</v>
      </c>
      <c r="E3168" s="22" t="s">
        <v>10</v>
      </c>
      <c r="F3168" s="22" t="s">
        <v>18</v>
      </c>
      <c r="G3168" s="22" t="s">
        <v>15</v>
      </c>
    </row>
    <row r="3169" ht="15.15" spans="1:7">
      <c r="A3169" s="20">
        <v>3168</v>
      </c>
      <c r="B3169" s="20">
        <v>6448</v>
      </c>
      <c r="C3169" s="21">
        <v>45159</v>
      </c>
      <c r="D3169" s="20">
        <v>545.46</v>
      </c>
      <c r="E3169" s="22" t="s">
        <v>22</v>
      </c>
      <c r="F3169" s="22" t="s">
        <v>16</v>
      </c>
      <c r="G3169" s="22" t="s">
        <v>15</v>
      </c>
    </row>
    <row r="3170" ht="15.15" spans="1:7">
      <c r="A3170" s="20">
        <v>3169</v>
      </c>
      <c r="B3170" s="20">
        <v>6249</v>
      </c>
      <c r="C3170" s="21">
        <v>45070</v>
      </c>
      <c r="D3170" s="20">
        <v>395.52</v>
      </c>
      <c r="E3170" s="22" t="s">
        <v>10</v>
      </c>
      <c r="F3170" s="22" t="s">
        <v>16</v>
      </c>
      <c r="G3170" s="22" t="s">
        <v>17</v>
      </c>
    </row>
    <row r="3171" ht="15.15" spans="1:7">
      <c r="A3171" s="20">
        <v>3170</v>
      </c>
      <c r="B3171" s="20">
        <v>5637</v>
      </c>
      <c r="C3171" s="21">
        <v>45001</v>
      </c>
      <c r="D3171" s="20">
        <v>260.54</v>
      </c>
      <c r="E3171" s="22" t="s">
        <v>10</v>
      </c>
      <c r="F3171" s="22" t="s">
        <v>14</v>
      </c>
      <c r="G3171" s="22" t="s">
        <v>20</v>
      </c>
    </row>
    <row r="3172" ht="15.15" spans="1:7">
      <c r="A3172" s="20">
        <v>3171</v>
      </c>
      <c r="B3172" s="20">
        <v>1481</v>
      </c>
      <c r="C3172" s="21">
        <v>45117</v>
      </c>
      <c r="D3172" s="20">
        <v>417.14</v>
      </c>
      <c r="E3172" s="22" t="s">
        <v>10</v>
      </c>
      <c r="F3172" s="22" t="s">
        <v>14</v>
      </c>
      <c r="G3172" s="22" t="s">
        <v>20</v>
      </c>
    </row>
    <row r="3173" ht="15.15" spans="1:7">
      <c r="A3173" s="20">
        <v>3172</v>
      </c>
      <c r="B3173" s="20">
        <v>7374</v>
      </c>
      <c r="C3173" s="21">
        <v>45150</v>
      </c>
      <c r="D3173" s="20">
        <v>1146.95</v>
      </c>
      <c r="E3173" s="22" t="s">
        <v>10</v>
      </c>
      <c r="F3173" s="22" t="s">
        <v>16</v>
      </c>
      <c r="G3173" s="22" t="s">
        <v>12</v>
      </c>
    </row>
    <row r="3174" ht="15.15" spans="1:7">
      <c r="A3174" s="20">
        <v>3173</v>
      </c>
      <c r="B3174" s="20">
        <v>8288</v>
      </c>
      <c r="C3174" s="21">
        <v>45052</v>
      </c>
      <c r="D3174" s="20">
        <v>1129.45</v>
      </c>
      <c r="E3174" s="22" t="s">
        <v>10</v>
      </c>
      <c r="F3174" s="22" t="s">
        <v>19</v>
      </c>
      <c r="G3174" s="22" t="s">
        <v>20</v>
      </c>
    </row>
    <row r="3175" ht="15.15" spans="1:7">
      <c r="A3175" s="20">
        <v>3174</v>
      </c>
      <c r="B3175" s="20">
        <v>5451</v>
      </c>
      <c r="C3175" s="21">
        <v>45279</v>
      </c>
      <c r="D3175" s="20">
        <v>1636.04</v>
      </c>
      <c r="E3175" s="22" t="s">
        <v>10</v>
      </c>
      <c r="F3175" s="22" t="s">
        <v>14</v>
      </c>
      <c r="G3175" s="22" t="s">
        <v>17</v>
      </c>
    </row>
    <row r="3176" ht="15.15" spans="1:7">
      <c r="A3176" s="20">
        <v>3175</v>
      </c>
      <c r="B3176" s="20">
        <v>7359</v>
      </c>
      <c r="C3176" s="21">
        <v>45280</v>
      </c>
      <c r="D3176" s="20">
        <v>2224.81</v>
      </c>
      <c r="E3176" s="22" t="s">
        <v>10</v>
      </c>
      <c r="F3176" s="22" t="s">
        <v>11</v>
      </c>
      <c r="G3176" s="22" t="s">
        <v>12</v>
      </c>
    </row>
    <row r="3177" ht="15.15" spans="1:7">
      <c r="A3177" s="20">
        <v>3176</v>
      </c>
      <c r="B3177" s="20">
        <v>6588</v>
      </c>
      <c r="C3177" s="21">
        <v>45145</v>
      </c>
      <c r="D3177" s="20">
        <v>2257.82</v>
      </c>
      <c r="E3177" s="22" t="s">
        <v>10</v>
      </c>
      <c r="F3177" s="22" t="s">
        <v>18</v>
      </c>
      <c r="G3177" s="22" t="s">
        <v>12</v>
      </c>
    </row>
    <row r="3178" ht="15.15" spans="1:7">
      <c r="A3178" s="20">
        <v>3177</v>
      </c>
      <c r="B3178" s="20">
        <v>3314</v>
      </c>
      <c r="C3178" s="21">
        <v>45125</v>
      </c>
      <c r="D3178" s="20">
        <v>1948.67</v>
      </c>
      <c r="E3178" s="22" t="s">
        <v>10</v>
      </c>
      <c r="F3178" s="22" t="s">
        <v>16</v>
      </c>
      <c r="G3178" s="22" t="s">
        <v>15</v>
      </c>
    </row>
    <row r="3179" ht="15.15" spans="1:7">
      <c r="A3179" s="20">
        <v>3178</v>
      </c>
      <c r="B3179" s="20">
        <v>5054</v>
      </c>
      <c r="C3179" s="21">
        <v>45119</v>
      </c>
      <c r="D3179" s="20">
        <v>235.13</v>
      </c>
      <c r="E3179" s="22" t="s">
        <v>10</v>
      </c>
      <c r="F3179" s="22" t="s">
        <v>11</v>
      </c>
      <c r="G3179" s="22" t="s">
        <v>17</v>
      </c>
    </row>
    <row r="3180" ht="15.15" spans="1:7">
      <c r="A3180" s="20">
        <v>3179</v>
      </c>
      <c r="B3180" s="20">
        <v>1627</v>
      </c>
      <c r="C3180" s="21">
        <v>45063</v>
      </c>
      <c r="D3180" s="20">
        <v>854.94</v>
      </c>
      <c r="E3180" s="22" t="s">
        <v>10</v>
      </c>
      <c r="F3180" s="22" t="s">
        <v>11</v>
      </c>
      <c r="G3180" s="22" t="s">
        <v>15</v>
      </c>
    </row>
    <row r="3181" ht="15.15" spans="1:7">
      <c r="A3181" s="20">
        <v>3180</v>
      </c>
      <c r="B3181" s="20">
        <v>6696</v>
      </c>
      <c r="C3181" s="21">
        <v>45131</v>
      </c>
      <c r="D3181" s="20">
        <v>435.22</v>
      </c>
      <c r="E3181" s="22" t="s">
        <v>10</v>
      </c>
      <c r="F3181" s="22" t="s">
        <v>11</v>
      </c>
      <c r="G3181" s="22" t="s">
        <v>12</v>
      </c>
    </row>
    <row r="3182" ht="15.15" spans="1:7">
      <c r="A3182" s="20">
        <v>3181</v>
      </c>
      <c r="B3182" s="20">
        <v>6919</v>
      </c>
      <c r="C3182" s="21">
        <v>45224</v>
      </c>
      <c r="D3182" s="20">
        <v>1316.19</v>
      </c>
      <c r="E3182" s="22" t="s">
        <v>10</v>
      </c>
      <c r="F3182" s="22" t="s">
        <v>16</v>
      </c>
      <c r="G3182" s="22" t="s">
        <v>15</v>
      </c>
    </row>
    <row r="3183" ht="15.15" spans="1:7">
      <c r="A3183" s="20">
        <v>3182</v>
      </c>
      <c r="B3183" s="20">
        <v>2549</v>
      </c>
      <c r="C3183" s="21">
        <v>44974</v>
      </c>
      <c r="D3183" s="20">
        <v>1329.37</v>
      </c>
      <c r="E3183" s="22" t="s">
        <v>10</v>
      </c>
      <c r="F3183" s="22" t="s">
        <v>13</v>
      </c>
      <c r="G3183" s="22" t="s">
        <v>15</v>
      </c>
    </row>
    <row r="3184" ht="15.15" spans="1:7">
      <c r="A3184" s="20">
        <v>3183</v>
      </c>
      <c r="B3184" s="20">
        <v>9835</v>
      </c>
      <c r="C3184" s="21">
        <v>45132</v>
      </c>
      <c r="D3184" s="20">
        <v>1145.71</v>
      </c>
      <c r="E3184" s="22" t="s">
        <v>10</v>
      </c>
      <c r="F3184" s="22" t="s">
        <v>16</v>
      </c>
      <c r="G3184" s="22" t="s">
        <v>17</v>
      </c>
    </row>
    <row r="3185" ht="15.15" spans="1:7">
      <c r="A3185" s="20">
        <v>3184</v>
      </c>
      <c r="B3185" s="20">
        <v>4373</v>
      </c>
      <c r="C3185" s="21">
        <v>45266</v>
      </c>
      <c r="D3185" s="20">
        <v>73.61</v>
      </c>
      <c r="E3185" s="22" t="s">
        <v>10</v>
      </c>
      <c r="F3185" s="22" t="s">
        <v>18</v>
      </c>
      <c r="G3185" s="22" t="s">
        <v>20</v>
      </c>
    </row>
    <row r="3186" ht="15.15" spans="1:7">
      <c r="A3186" s="20">
        <v>3185</v>
      </c>
      <c r="B3186" s="20">
        <v>1786</v>
      </c>
      <c r="C3186" s="21">
        <v>45211</v>
      </c>
      <c r="D3186" s="20">
        <v>3955.35</v>
      </c>
      <c r="E3186" s="22" t="s">
        <v>10</v>
      </c>
      <c r="F3186" s="22" t="s">
        <v>14</v>
      </c>
      <c r="G3186" s="22" t="s">
        <v>15</v>
      </c>
    </row>
    <row r="3187" ht="15.15" spans="1:7">
      <c r="A3187" s="20">
        <v>3186</v>
      </c>
      <c r="B3187" s="20">
        <v>6498</v>
      </c>
      <c r="C3187" s="21">
        <v>45288</v>
      </c>
      <c r="D3187" s="20">
        <v>1048.86</v>
      </c>
      <c r="E3187" s="22" t="s">
        <v>10</v>
      </c>
      <c r="F3187" s="22" t="s">
        <v>16</v>
      </c>
      <c r="G3187" s="22" t="s">
        <v>20</v>
      </c>
    </row>
    <row r="3188" ht="15.15" spans="1:7">
      <c r="A3188" s="20">
        <v>3187</v>
      </c>
      <c r="B3188" s="20">
        <v>8768</v>
      </c>
      <c r="C3188" s="21">
        <v>44957</v>
      </c>
      <c r="D3188" s="20">
        <v>4101.28</v>
      </c>
      <c r="E3188" s="22" t="s">
        <v>10</v>
      </c>
      <c r="F3188" s="22" t="s">
        <v>13</v>
      </c>
      <c r="G3188" s="22" t="s">
        <v>12</v>
      </c>
    </row>
    <row r="3189" ht="15.15" spans="1:7">
      <c r="A3189" s="20">
        <v>3188</v>
      </c>
      <c r="B3189" s="20">
        <v>9047</v>
      </c>
      <c r="C3189" s="21">
        <v>45286</v>
      </c>
      <c r="D3189" s="20">
        <v>558.85</v>
      </c>
      <c r="E3189" s="22" t="s">
        <v>10</v>
      </c>
      <c r="F3189" s="22" t="s">
        <v>13</v>
      </c>
      <c r="G3189" s="22" t="s">
        <v>12</v>
      </c>
    </row>
    <row r="3190" ht="15.15" spans="1:7">
      <c r="A3190" s="20">
        <v>3189</v>
      </c>
      <c r="B3190" s="20">
        <v>206</v>
      </c>
      <c r="C3190" s="21">
        <v>45242</v>
      </c>
      <c r="D3190" s="20">
        <v>1008.02</v>
      </c>
      <c r="E3190" s="22" t="s">
        <v>10</v>
      </c>
      <c r="F3190" s="22" t="s">
        <v>18</v>
      </c>
      <c r="G3190" s="22" t="s">
        <v>17</v>
      </c>
    </row>
    <row r="3191" ht="15.15" spans="1:7">
      <c r="A3191" s="20">
        <v>3190</v>
      </c>
      <c r="B3191" s="20">
        <v>6046</v>
      </c>
      <c r="C3191" s="21">
        <v>44965</v>
      </c>
      <c r="D3191" s="20">
        <v>678.89</v>
      </c>
      <c r="E3191" s="22" t="s">
        <v>10</v>
      </c>
      <c r="F3191" s="22" t="s">
        <v>13</v>
      </c>
      <c r="G3191" s="22" t="s">
        <v>12</v>
      </c>
    </row>
    <row r="3192" ht="15.15" spans="1:7">
      <c r="A3192" s="20">
        <v>3191</v>
      </c>
      <c r="B3192" s="20">
        <v>6143</v>
      </c>
      <c r="C3192" s="21">
        <v>45106</v>
      </c>
      <c r="D3192" s="20">
        <v>1128.91</v>
      </c>
      <c r="E3192" s="22" t="s">
        <v>10</v>
      </c>
      <c r="F3192" s="22" t="s">
        <v>16</v>
      </c>
      <c r="G3192" s="22" t="s">
        <v>20</v>
      </c>
    </row>
    <row r="3193" ht="15.15" spans="1:7">
      <c r="A3193" s="20">
        <v>3192</v>
      </c>
      <c r="B3193" s="20">
        <v>9543</v>
      </c>
      <c r="C3193" s="21">
        <v>45150</v>
      </c>
      <c r="D3193" s="20">
        <v>2647.59</v>
      </c>
      <c r="E3193" s="22" t="s">
        <v>10</v>
      </c>
      <c r="F3193" s="22" t="s">
        <v>16</v>
      </c>
      <c r="G3193" s="22" t="s">
        <v>12</v>
      </c>
    </row>
    <row r="3194" ht="15.15" spans="1:7">
      <c r="A3194" s="20">
        <v>3193</v>
      </c>
      <c r="B3194" s="20">
        <v>223</v>
      </c>
      <c r="C3194" s="21">
        <v>44951</v>
      </c>
      <c r="D3194" s="20">
        <v>260.61</v>
      </c>
      <c r="E3194" s="22" t="s">
        <v>10</v>
      </c>
      <c r="F3194" s="22" t="s">
        <v>11</v>
      </c>
      <c r="G3194" s="22" t="s">
        <v>20</v>
      </c>
    </row>
    <row r="3195" ht="15.15" spans="1:7">
      <c r="A3195" s="20">
        <v>3194</v>
      </c>
      <c r="B3195" s="20">
        <v>1602</v>
      </c>
      <c r="C3195" s="21">
        <v>45262</v>
      </c>
      <c r="D3195" s="20">
        <v>658.9</v>
      </c>
      <c r="E3195" s="22" t="s">
        <v>10</v>
      </c>
      <c r="F3195" s="22" t="s">
        <v>18</v>
      </c>
      <c r="G3195" s="22" t="s">
        <v>17</v>
      </c>
    </row>
    <row r="3196" ht="15.15" spans="1:7">
      <c r="A3196" s="20">
        <v>3195</v>
      </c>
      <c r="B3196" s="20">
        <v>5453</v>
      </c>
      <c r="C3196" s="21">
        <v>45275</v>
      </c>
      <c r="D3196" s="20">
        <v>485.49</v>
      </c>
      <c r="E3196" s="22" t="s">
        <v>10</v>
      </c>
      <c r="F3196" s="22" t="s">
        <v>18</v>
      </c>
      <c r="G3196" s="22" t="s">
        <v>15</v>
      </c>
    </row>
    <row r="3197" ht="15.15" spans="1:7">
      <c r="A3197" s="20">
        <v>3196</v>
      </c>
      <c r="B3197" s="20">
        <v>2915</v>
      </c>
      <c r="C3197" s="21">
        <v>45127</v>
      </c>
      <c r="D3197" s="20">
        <v>1817.23</v>
      </c>
      <c r="E3197" s="22" t="s">
        <v>10</v>
      </c>
      <c r="F3197" s="22" t="s">
        <v>16</v>
      </c>
      <c r="G3197" s="22" t="s">
        <v>20</v>
      </c>
    </row>
    <row r="3198" ht="15.15" spans="1:7">
      <c r="A3198" s="20">
        <v>3197</v>
      </c>
      <c r="B3198" s="20">
        <v>2491</v>
      </c>
      <c r="C3198" s="21">
        <v>45206</v>
      </c>
      <c r="D3198" s="20">
        <v>1041.67</v>
      </c>
      <c r="E3198" s="22" t="s">
        <v>10</v>
      </c>
      <c r="F3198" s="22" t="s">
        <v>11</v>
      </c>
      <c r="G3198" s="22" t="s">
        <v>20</v>
      </c>
    </row>
    <row r="3199" ht="15.15" spans="1:7">
      <c r="A3199" s="20">
        <v>3198</v>
      </c>
      <c r="B3199" s="20">
        <v>3606</v>
      </c>
      <c r="C3199" s="21">
        <v>45201</v>
      </c>
      <c r="D3199" s="20">
        <v>3996.22</v>
      </c>
      <c r="E3199" s="22" t="s">
        <v>10</v>
      </c>
      <c r="F3199" s="22" t="s">
        <v>16</v>
      </c>
      <c r="G3199" s="22" t="s">
        <v>17</v>
      </c>
    </row>
    <row r="3200" ht="15.15" spans="1:7">
      <c r="A3200" s="20">
        <v>3199</v>
      </c>
      <c r="B3200" s="20">
        <v>3633</v>
      </c>
      <c r="C3200" s="21">
        <v>45151</v>
      </c>
      <c r="D3200" s="20">
        <v>759.3</v>
      </c>
      <c r="E3200" s="22" t="s">
        <v>10</v>
      </c>
      <c r="F3200" s="22" t="s">
        <v>16</v>
      </c>
      <c r="G3200" s="22" t="s">
        <v>17</v>
      </c>
    </row>
    <row r="3201" ht="15.15" spans="1:7">
      <c r="A3201" s="20">
        <v>3200</v>
      </c>
      <c r="B3201" s="20">
        <v>7264</v>
      </c>
      <c r="C3201" s="21">
        <v>45205</v>
      </c>
      <c r="D3201" s="20">
        <v>4039.15</v>
      </c>
      <c r="E3201" s="22" t="s">
        <v>10</v>
      </c>
      <c r="F3201" s="22" t="s">
        <v>16</v>
      </c>
      <c r="G3201" s="22" t="s">
        <v>12</v>
      </c>
    </row>
    <row r="3202" ht="15.15" spans="1:7">
      <c r="A3202" s="20">
        <v>3201</v>
      </c>
      <c r="B3202" s="20">
        <v>9090</v>
      </c>
      <c r="C3202" s="21">
        <v>45258</v>
      </c>
      <c r="D3202" s="20">
        <v>1098.42</v>
      </c>
      <c r="E3202" s="22" t="s">
        <v>10</v>
      </c>
      <c r="F3202" s="22" t="s">
        <v>11</v>
      </c>
      <c r="G3202" s="22" t="s">
        <v>20</v>
      </c>
    </row>
    <row r="3203" ht="15.15" spans="1:7">
      <c r="A3203" s="20">
        <v>3202</v>
      </c>
      <c r="B3203" s="20">
        <v>1975</v>
      </c>
      <c r="C3203" s="21">
        <v>45275</v>
      </c>
      <c r="D3203" s="20">
        <v>374.8</v>
      </c>
      <c r="E3203" s="22" t="s">
        <v>10</v>
      </c>
      <c r="F3203" s="22" t="s">
        <v>18</v>
      </c>
      <c r="G3203" s="22" t="s">
        <v>17</v>
      </c>
    </row>
    <row r="3204" ht="15.15" spans="1:7">
      <c r="A3204" s="20">
        <v>3203</v>
      </c>
      <c r="B3204" s="20">
        <v>7070</v>
      </c>
      <c r="C3204" s="21">
        <v>45231</v>
      </c>
      <c r="D3204" s="20">
        <v>2012.84</v>
      </c>
      <c r="E3204" s="22" t="s">
        <v>10</v>
      </c>
      <c r="F3204" s="22" t="s">
        <v>16</v>
      </c>
      <c r="G3204" s="22" t="s">
        <v>17</v>
      </c>
    </row>
    <row r="3205" ht="15.15" spans="1:7">
      <c r="A3205" s="20">
        <v>3204</v>
      </c>
      <c r="B3205" s="20">
        <v>4511</v>
      </c>
      <c r="C3205" s="21">
        <v>45146</v>
      </c>
      <c r="D3205" s="20">
        <v>131.89</v>
      </c>
      <c r="E3205" s="22" t="s">
        <v>10</v>
      </c>
      <c r="F3205" s="22" t="s">
        <v>13</v>
      </c>
      <c r="G3205" s="22" t="s">
        <v>17</v>
      </c>
    </row>
    <row r="3206" ht="15.15" spans="1:7">
      <c r="A3206" s="20">
        <v>3205</v>
      </c>
      <c r="B3206" s="20">
        <v>7908</v>
      </c>
      <c r="C3206" s="21">
        <v>45126</v>
      </c>
      <c r="D3206" s="20">
        <v>1528.46</v>
      </c>
      <c r="E3206" s="22" t="s">
        <v>10</v>
      </c>
      <c r="F3206" s="22" t="s">
        <v>16</v>
      </c>
      <c r="G3206" s="22" t="s">
        <v>15</v>
      </c>
    </row>
    <row r="3207" ht="15.15" spans="1:7">
      <c r="A3207" s="20">
        <v>3206</v>
      </c>
      <c r="B3207" s="20">
        <v>3314</v>
      </c>
      <c r="C3207" s="21">
        <v>45015</v>
      </c>
      <c r="D3207" s="20">
        <v>265.95</v>
      </c>
      <c r="E3207" s="22" t="s">
        <v>10</v>
      </c>
      <c r="F3207" s="22" t="s">
        <v>16</v>
      </c>
      <c r="G3207" s="22" t="s">
        <v>12</v>
      </c>
    </row>
    <row r="3208" ht="15.15" spans="1:7">
      <c r="A3208" s="20">
        <v>3207</v>
      </c>
      <c r="B3208" s="20">
        <v>2952</v>
      </c>
      <c r="C3208" s="21">
        <v>45117</v>
      </c>
      <c r="D3208" s="20">
        <v>1741.11</v>
      </c>
      <c r="E3208" s="22" t="s">
        <v>10</v>
      </c>
      <c r="F3208" s="22" t="s">
        <v>13</v>
      </c>
      <c r="G3208" s="22" t="s">
        <v>20</v>
      </c>
    </row>
    <row r="3209" ht="15.15" spans="1:7">
      <c r="A3209" s="20">
        <v>3208</v>
      </c>
      <c r="B3209" s="20">
        <v>4823</v>
      </c>
      <c r="C3209" s="21">
        <v>45107</v>
      </c>
      <c r="D3209" s="20">
        <v>1610.69</v>
      </c>
      <c r="E3209" s="22" t="s">
        <v>10</v>
      </c>
      <c r="F3209" s="22" t="s">
        <v>16</v>
      </c>
      <c r="G3209" s="22" t="s">
        <v>20</v>
      </c>
    </row>
    <row r="3210" ht="15.15" spans="1:7">
      <c r="A3210" s="20">
        <v>3209</v>
      </c>
      <c r="B3210" s="20">
        <v>9315</v>
      </c>
      <c r="C3210" s="21">
        <v>45170</v>
      </c>
      <c r="D3210" s="20">
        <v>1008.02</v>
      </c>
      <c r="E3210" s="22" t="s">
        <v>10</v>
      </c>
      <c r="F3210" s="22" t="s">
        <v>18</v>
      </c>
      <c r="G3210" s="22" t="s">
        <v>17</v>
      </c>
    </row>
    <row r="3211" ht="15.15" spans="1:7">
      <c r="A3211" s="20">
        <v>3210</v>
      </c>
      <c r="B3211" s="20">
        <v>5852</v>
      </c>
      <c r="C3211" s="21">
        <v>45268</v>
      </c>
      <c r="D3211" s="20">
        <v>788.31</v>
      </c>
      <c r="E3211" s="22" t="s">
        <v>10</v>
      </c>
      <c r="F3211" s="22" t="s">
        <v>16</v>
      </c>
      <c r="G3211" s="22" t="s">
        <v>20</v>
      </c>
    </row>
    <row r="3212" ht="15.15" spans="1:7">
      <c r="A3212" s="20">
        <v>3211</v>
      </c>
      <c r="B3212" s="20">
        <v>7021</v>
      </c>
      <c r="C3212" s="21">
        <v>45124</v>
      </c>
      <c r="D3212" s="20">
        <v>3570.1</v>
      </c>
      <c r="E3212" s="22" t="s">
        <v>10</v>
      </c>
      <c r="F3212" s="22" t="s">
        <v>16</v>
      </c>
      <c r="G3212" s="22" t="s">
        <v>12</v>
      </c>
    </row>
    <row r="3213" ht="15.15" spans="1:7">
      <c r="A3213" s="20">
        <v>3212</v>
      </c>
      <c r="B3213" s="20">
        <v>1921</v>
      </c>
      <c r="C3213" s="21">
        <v>45125</v>
      </c>
      <c r="D3213" s="20">
        <v>1740.3</v>
      </c>
      <c r="E3213" s="22" t="s">
        <v>10</v>
      </c>
      <c r="F3213" s="22" t="s">
        <v>18</v>
      </c>
      <c r="G3213" s="22" t="s">
        <v>17</v>
      </c>
    </row>
    <row r="3214" ht="15.15" spans="1:7">
      <c r="A3214" s="20">
        <v>3213</v>
      </c>
      <c r="B3214" s="20">
        <v>7786</v>
      </c>
      <c r="C3214" s="21">
        <v>45182</v>
      </c>
      <c r="D3214" s="20">
        <v>1081.11</v>
      </c>
      <c r="E3214" s="22" t="s">
        <v>10</v>
      </c>
      <c r="F3214" s="22" t="s">
        <v>16</v>
      </c>
      <c r="G3214" s="22" t="s">
        <v>17</v>
      </c>
    </row>
    <row r="3215" ht="15.15" spans="1:7">
      <c r="A3215" s="20">
        <v>3214</v>
      </c>
      <c r="B3215" s="20">
        <v>8194</v>
      </c>
      <c r="C3215" s="21">
        <v>45279</v>
      </c>
      <c r="D3215" s="20">
        <v>1290.76</v>
      </c>
      <c r="E3215" s="22" t="s">
        <v>10</v>
      </c>
      <c r="F3215" s="22" t="s">
        <v>14</v>
      </c>
      <c r="G3215" s="22" t="s">
        <v>20</v>
      </c>
    </row>
    <row r="3216" ht="15.15" spans="1:7">
      <c r="A3216" s="20">
        <v>3215</v>
      </c>
      <c r="B3216" s="20">
        <v>6886</v>
      </c>
      <c r="C3216" s="21">
        <v>45007</v>
      </c>
      <c r="D3216" s="20">
        <v>585.62</v>
      </c>
      <c r="E3216" s="22" t="s">
        <v>10</v>
      </c>
      <c r="F3216" s="22" t="s">
        <v>16</v>
      </c>
      <c r="G3216" s="22" t="s">
        <v>20</v>
      </c>
    </row>
    <row r="3217" ht="15.15" spans="1:7">
      <c r="A3217" s="20">
        <v>3216</v>
      </c>
      <c r="B3217" s="20">
        <v>7496</v>
      </c>
      <c r="C3217" s="21">
        <v>45182</v>
      </c>
      <c r="D3217" s="20">
        <v>361.92</v>
      </c>
      <c r="E3217" s="22" t="s">
        <v>10</v>
      </c>
      <c r="F3217" s="22" t="s">
        <v>13</v>
      </c>
      <c r="G3217" s="22" t="s">
        <v>15</v>
      </c>
    </row>
    <row r="3218" ht="15.15" spans="1:7">
      <c r="A3218" s="20">
        <v>3217</v>
      </c>
      <c r="B3218" s="20">
        <v>1240</v>
      </c>
      <c r="C3218" s="21">
        <v>45170</v>
      </c>
      <c r="D3218" s="20">
        <v>1973.9</v>
      </c>
      <c r="E3218" s="22" t="s">
        <v>10</v>
      </c>
      <c r="F3218" s="22" t="s">
        <v>11</v>
      </c>
      <c r="G3218" s="22" t="s">
        <v>17</v>
      </c>
    </row>
    <row r="3219" ht="15.15" spans="1:7">
      <c r="A3219" s="20">
        <v>3218</v>
      </c>
      <c r="B3219" s="20">
        <v>8450</v>
      </c>
      <c r="C3219" s="21">
        <v>45190</v>
      </c>
      <c r="D3219" s="20">
        <v>278.66</v>
      </c>
      <c r="E3219" s="22" t="s">
        <v>10</v>
      </c>
      <c r="F3219" s="22" t="s">
        <v>11</v>
      </c>
      <c r="G3219" s="22" t="s">
        <v>20</v>
      </c>
    </row>
    <row r="3220" ht="15.15" spans="1:7">
      <c r="A3220" s="20">
        <v>3219</v>
      </c>
      <c r="B3220" s="20">
        <v>7842</v>
      </c>
      <c r="C3220" s="21">
        <v>45236</v>
      </c>
      <c r="D3220" s="20">
        <v>201.88</v>
      </c>
      <c r="E3220" s="22" t="s">
        <v>10</v>
      </c>
      <c r="F3220" s="22" t="s">
        <v>16</v>
      </c>
      <c r="G3220" s="22" t="s">
        <v>15</v>
      </c>
    </row>
    <row r="3221" ht="15.15" spans="1:7">
      <c r="A3221" s="20">
        <v>3220</v>
      </c>
      <c r="B3221" s="20">
        <v>9503</v>
      </c>
      <c r="C3221" s="21">
        <v>44951</v>
      </c>
      <c r="D3221" s="20">
        <v>1095.96</v>
      </c>
      <c r="E3221" s="22" t="s">
        <v>10</v>
      </c>
      <c r="F3221" s="22" t="s">
        <v>14</v>
      </c>
      <c r="G3221" s="22" t="s">
        <v>12</v>
      </c>
    </row>
    <row r="3222" ht="15.15" spans="1:7">
      <c r="A3222" s="20">
        <v>3221</v>
      </c>
      <c r="B3222" s="20">
        <v>4138</v>
      </c>
      <c r="C3222" s="21">
        <v>45149</v>
      </c>
      <c r="D3222" s="20">
        <v>435.69</v>
      </c>
      <c r="E3222" s="22" t="s">
        <v>10</v>
      </c>
      <c r="F3222" s="22" t="s">
        <v>18</v>
      </c>
      <c r="G3222" s="22" t="s">
        <v>12</v>
      </c>
    </row>
    <row r="3223" ht="15.15" spans="1:7">
      <c r="A3223" s="20">
        <v>3222</v>
      </c>
      <c r="B3223" s="20">
        <v>6987</v>
      </c>
      <c r="C3223" s="21">
        <v>45253</v>
      </c>
      <c r="D3223" s="20">
        <v>284.14</v>
      </c>
      <c r="E3223" s="22" t="s">
        <v>22</v>
      </c>
      <c r="F3223" s="22" t="s">
        <v>14</v>
      </c>
      <c r="G3223" s="22" t="s">
        <v>15</v>
      </c>
    </row>
    <row r="3224" ht="15.15" spans="1:7">
      <c r="A3224" s="20">
        <v>3223</v>
      </c>
      <c r="B3224" s="20">
        <v>5899</v>
      </c>
      <c r="C3224" s="21">
        <v>45260</v>
      </c>
      <c r="D3224" s="20">
        <v>1400.18</v>
      </c>
      <c r="E3224" s="22" t="s">
        <v>10</v>
      </c>
      <c r="F3224" s="22" t="s">
        <v>13</v>
      </c>
      <c r="G3224" s="22" t="s">
        <v>12</v>
      </c>
    </row>
    <row r="3225" ht="15.15" spans="1:7">
      <c r="A3225" s="20">
        <v>3224</v>
      </c>
      <c r="B3225" s="20">
        <v>4406</v>
      </c>
      <c r="C3225" s="21">
        <v>45167</v>
      </c>
      <c r="D3225" s="20">
        <v>1076.24</v>
      </c>
      <c r="E3225" s="22" t="s">
        <v>10</v>
      </c>
      <c r="F3225" s="22" t="s">
        <v>18</v>
      </c>
      <c r="G3225" s="22" t="s">
        <v>17</v>
      </c>
    </row>
    <row r="3226" ht="15.15" spans="1:7">
      <c r="A3226" s="20">
        <v>3225</v>
      </c>
      <c r="B3226" s="20">
        <v>8087</v>
      </c>
      <c r="C3226" s="21">
        <v>45168</v>
      </c>
      <c r="D3226" s="20">
        <v>154.53</v>
      </c>
      <c r="E3226" s="22" t="s">
        <v>10</v>
      </c>
      <c r="F3226" s="22" t="s">
        <v>11</v>
      </c>
      <c r="G3226" s="22" t="s">
        <v>15</v>
      </c>
    </row>
    <row r="3227" ht="15.15" spans="1:7">
      <c r="A3227" s="20">
        <v>3226</v>
      </c>
      <c r="B3227" s="20">
        <v>4208</v>
      </c>
      <c r="C3227" s="21">
        <v>44991</v>
      </c>
      <c r="D3227" s="20">
        <v>601.45</v>
      </c>
      <c r="E3227" s="22" t="s">
        <v>10</v>
      </c>
      <c r="F3227" s="22" t="s">
        <v>13</v>
      </c>
      <c r="G3227" s="22" t="s">
        <v>17</v>
      </c>
    </row>
    <row r="3228" ht="15.15" spans="1:7">
      <c r="A3228" s="20">
        <v>3227</v>
      </c>
      <c r="B3228" s="20">
        <v>2160</v>
      </c>
      <c r="C3228" s="21">
        <v>45073</v>
      </c>
      <c r="D3228" s="20">
        <v>8646.86</v>
      </c>
      <c r="E3228" s="22" t="s">
        <v>10</v>
      </c>
      <c r="F3228" s="22" t="s">
        <v>16</v>
      </c>
      <c r="G3228" s="22" t="s">
        <v>12</v>
      </c>
    </row>
    <row r="3229" ht="15.15" spans="1:7">
      <c r="A3229" s="20">
        <v>3228</v>
      </c>
      <c r="B3229" s="20">
        <v>5825</v>
      </c>
      <c r="C3229" s="21">
        <v>45282</v>
      </c>
      <c r="D3229" s="20">
        <v>1820.65</v>
      </c>
      <c r="E3229" s="22" t="s">
        <v>10</v>
      </c>
      <c r="F3229" s="22" t="s">
        <v>14</v>
      </c>
      <c r="G3229" s="22" t="s">
        <v>20</v>
      </c>
    </row>
    <row r="3230" ht="15.15" spans="1:7">
      <c r="A3230" s="20">
        <v>3229</v>
      </c>
      <c r="B3230" s="20">
        <v>7225</v>
      </c>
      <c r="C3230" s="21">
        <v>45095</v>
      </c>
      <c r="D3230" s="20">
        <v>1063.32</v>
      </c>
      <c r="E3230" s="22" t="s">
        <v>10</v>
      </c>
      <c r="F3230" s="22" t="s">
        <v>16</v>
      </c>
      <c r="G3230" s="22" t="s">
        <v>17</v>
      </c>
    </row>
    <row r="3231" ht="15.15" spans="1:7">
      <c r="A3231" s="20">
        <v>3230</v>
      </c>
      <c r="B3231" s="20">
        <v>610</v>
      </c>
      <c r="C3231" s="21">
        <v>45131</v>
      </c>
      <c r="D3231" s="20">
        <v>748.08</v>
      </c>
      <c r="E3231" s="22" t="s">
        <v>10</v>
      </c>
      <c r="F3231" s="22" t="s">
        <v>14</v>
      </c>
      <c r="G3231" s="22" t="s">
        <v>20</v>
      </c>
    </row>
    <row r="3232" ht="15.15" spans="1:7">
      <c r="A3232" s="20">
        <v>3231</v>
      </c>
      <c r="B3232" s="20">
        <v>5208</v>
      </c>
      <c r="C3232" s="21">
        <v>45042</v>
      </c>
      <c r="D3232" s="20">
        <v>1128.91</v>
      </c>
      <c r="E3232" s="22" t="s">
        <v>10</v>
      </c>
      <c r="F3232" s="22" t="s">
        <v>14</v>
      </c>
      <c r="G3232" s="22" t="s">
        <v>20</v>
      </c>
    </row>
    <row r="3233" ht="15.15" spans="1:7">
      <c r="A3233" s="20">
        <v>3232</v>
      </c>
      <c r="B3233" s="20">
        <v>7829</v>
      </c>
      <c r="C3233" s="21">
        <v>45193</v>
      </c>
      <c r="D3233" s="20">
        <v>878.1</v>
      </c>
      <c r="E3233" s="22" t="s">
        <v>10</v>
      </c>
      <c r="F3233" s="22" t="s">
        <v>16</v>
      </c>
      <c r="G3233" s="22" t="s">
        <v>15</v>
      </c>
    </row>
    <row r="3234" ht="15.15" spans="1:7">
      <c r="A3234" s="20">
        <v>3233</v>
      </c>
      <c r="B3234" s="20">
        <v>8322</v>
      </c>
      <c r="C3234" s="21">
        <v>45032</v>
      </c>
      <c r="D3234" s="20">
        <v>30.63</v>
      </c>
      <c r="E3234" s="22" t="s">
        <v>10</v>
      </c>
      <c r="F3234" s="22" t="s">
        <v>14</v>
      </c>
      <c r="G3234" s="22" t="s">
        <v>12</v>
      </c>
    </row>
    <row r="3235" ht="15.15" spans="1:7">
      <c r="A3235" s="20">
        <v>3234</v>
      </c>
      <c r="B3235" s="20">
        <v>8759</v>
      </c>
      <c r="C3235" s="21">
        <v>45247</v>
      </c>
      <c r="D3235" s="20">
        <v>485.89</v>
      </c>
      <c r="E3235" s="22" t="s">
        <v>10</v>
      </c>
      <c r="F3235" s="22" t="s">
        <v>16</v>
      </c>
      <c r="G3235" s="22" t="s">
        <v>12</v>
      </c>
    </row>
    <row r="3236" ht="15.15" spans="1:7">
      <c r="A3236" s="20">
        <v>3235</v>
      </c>
      <c r="B3236" s="20">
        <v>7678</v>
      </c>
      <c r="C3236" s="21">
        <v>44996</v>
      </c>
      <c r="D3236" s="20">
        <v>1749.53</v>
      </c>
      <c r="E3236" s="22" t="s">
        <v>22</v>
      </c>
      <c r="F3236" s="22" t="s">
        <v>11</v>
      </c>
      <c r="G3236" s="22" t="s">
        <v>15</v>
      </c>
    </row>
    <row r="3237" ht="15.15" spans="1:7">
      <c r="A3237" s="20">
        <v>3236</v>
      </c>
      <c r="B3237" s="20">
        <v>1054</v>
      </c>
      <c r="C3237" s="21">
        <v>44999</v>
      </c>
      <c r="D3237" s="20">
        <v>986.67</v>
      </c>
      <c r="E3237" s="22" t="s">
        <v>10</v>
      </c>
      <c r="F3237" s="22" t="s">
        <v>14</v>
      </c>
      <c r="G3237" s="22" t="s">
        <v>20</v>
      </c>
    </row>
    <row r="3238" ht="15.15" spans="1:7">
      <c r="A3238" s="20">
        <v>3237</v>
      </c>
      <c r="B3238" s="20">
        <v>3835</v>
      </c>
      <c r="C3238" s="21">
        <v>45270</v>
      </c>
      <c r="D3238" s="20">
        <v>3012.22</v>
      </c>
      <c r="E3238" s="22" t="s">
        <v>10</v>
      </c>
      <c r="F3238" s="22" t="s">
        <v>14</v>
      </c>
      <c r="G3238" s="22" t="s">
        <v>17</v>
      </c>
    </row>
    <row r="3239" ht="15.15" spans="1:7">
      <c r="A3239" s="20">
        <v>3238</v>
      </c>
      <c r="B3239" s="20">
        <v>4234</v>
      </c>
      <c r="C3239" s="21">
        <v>45233</v>
      </c>
      <c r="D3239" s="20">
        <v>3809.56</v>
      </c>
      <c r="E3239" s="22" t="s">
        <v>10</v>
      </c>
      <c r="F3239" s="22" t="s">
        <v>18</v>
      </c>
      <c r="G3239" s="22" t="s">
        <v>15</v>
      </c>
    </row>
    <row r="3240" ht="15.15" spans="1:7">
      <c r="A3240" s="20">
        <v>3239</v>
      </c>
      <c r="B3240" s="20">
        <v>6322</v>
      </c>
      <c r="C3240" s="21">
        <v>45241</v>
      </c>
      <c r="D3240" s="20">
        <v>990.66</v>
      </c>
      <c r="E3240" s="22" t="s">
        <v>10</v>
      </c>
      <c r="F3240" s="22" t="s">
        <v>16</v>
      </c>
      <c r="G3240" s="22" t="s">
        <v>20</v>
      </c>
    </row>
    <row r="3241" ht="15.15" spans="1:7">
      <c r="A3241" s="20">
        <v>3240</v>
      </c>
      <c r="B3241" s="20">
        <v>7359</v>
      </c>
      <c r="C3241" s="21">
        <v>45082</v>
      </c>
      <c r="D3241" s="20">
        <v>96.07</v>
      </c>
      <c r="E3241" s="22" t="s">
        <v>10</v>
      </c>
      <c r="F3241" s="22" t="s">
        <v>11</v>
      </c>
      <c r="G3241" s="22" t="s">
        <v>20</v>
      </c>
    </row>
    <row r="3242" ht="15.15" spans="1:7">
      <c r="A3242" s="20">
        <v>3241</v>
      </c>
      <c r="B3242" s="20">
        <v>8832</v>
      </c>
      <c r="C3242" s="21">
        <v>44931</v>
      </c>
      <c r="D3242" s="20">
        <v>323.68</v>
      </c>
      <c r="E3242" s="22" t="s">
        <v>10</v>
      </c>
      <c r="F3242" s="22" t="s">
        <v>14</v>
      </c>
      <c r="G3242" s="22" t="s">
        <v>15</v>
      </c>
    </row>
    <row r="3243" ht="15.15" spans="1:7">
      <c r="A3243" s="20">
        <v>3242</v>
      </c>
      <c r="B3243" s="20">
        <v>3259</v>
      </c>
      <c r="C3243" s="21">
        <v>45285</v>
      </c>
      <c r="D3243" s="20">
        <v>213.3</v>
      </c>
      <c r="E3243" s="22" t="s">
        <v>10</v>
      </c>
      <c r="F3243" s="22" t="s">
        <v>16</v>
      </c>
      <c r="G3243" s="22" t="s">
        <v>12</v>
      </c>
    </row>
    <row r="3244" ht="15.15" spans="1:7">
      <c r="A3244" s="20">
        <v>3243</v>
      </c>
      <c r="B3244" s="20">
        <v>4710</v>
      </c>
      <c r="C3244" s="21">
        <v>45264</v>
      </c>
      <c r="D3244" s="20">
        <v>3108.81</v>
      </c>
      <c r="E3244" s="22" t="s">
        <v>10</v>
      </c>
      <c r="F3244" s="22" t="s">
        <v>14</v>
      </c>
      <c r="G3244" s="22" t="s">
        <v>17</v>
      </c>
    </row>
    <row r="3245" ht="15.15" spans="1:7">
      <c r="A3245" s="20">
        <v>3244</v>
      </c>
      <c r="B3245" s="20">
        <v>8173</v>
      </c>
      <c r="C3245" s="21">
        <v>45286</v>
      </c>
      <c r="D3245" s="20">
        <v>889.78</v>
      </c>
      <c r="E3245" s="22" t="s">
        <v>10</v>
      </c>
      <c r="F3245" s="22" t="s">
        <v>13</v>
      </c>
      <c r="G3245" s="22" t="s">
        <v>17</v>
      </c>
    </row>
    <row r="3246" ht="15.15" spans="1:7">
      <c r="A3246" s="20">
        <v>3245</v>
      </c>
      <c r="B3246" s="20">
        <v>9498</v>
      </c>
      <c r="C3246" s="21">
        <v>45282</v>
      </c>
      <c r="D3246" s="20">
        <v>193.6</v>
      </c>
      <c r="E3246" s="22" t="s">
        <v>10</v>
      </c>
      <c r="F3246" s="22" t="s">
        <v>13</v>
      </c>
      <c r="G3246" s="22" t="s">
        <v>15</v>
      </c>
    </row>
    <row r="3247" ht="15.15" spans="1:7">
      <c r="A3247" s="20">
        <v>3246</v>
      </c>
      <c r="B3247" s="20">
        <v>6315</v>
      </c>
      <c r="C3247" s="21">
        <v>45135</v>
      </c>
      <c r="D3247" s="20">
        <v>152.53</v>
      </c>
      <c r="E3247" s="22" t="s">
        <v>10</v>
      </c>
      <c r="F3247" s="22" t="s">
        <v>16</v>
      </c>
      <c r="G3247" s="22" t="s">
        <v>20</v>
      </c>
    </row>
    <row r="3248" ht="15.15" spans="1:7">
      <c r="A3248" s="20">
        <v>3247</v>
      </c>
      <c r="B3248" s="20">
        <v>8998</v>
      </c>
      <c r="C3248" s="21">
        <v>44995</v>
      </c>
      <c r="D3248" s="20">
        <v>553.5</v>
      </c>
      <c r="E3248" s="22" t="s">
        <v>10</v>
      </c>
      <c r="F3248" s="22" t="s">
        <v>16</v>
      </c>
      <c r="G3248" s="22" t="s">
        <v>12</v>
      </c>
    </row>
    <row r="3249" ht="15.15" spans="1:7">
      <c r="A3249" s="20">
        <v>3248</v>
      </c>
      <c r="B3249" s="20">
        <v>3267</v>
      </c>
      <c r="C3249" s="21">
        <v>45124</v>
      </c>
      <c r="D3249" s="20">
        <v>296.31</v>
      </c>
      <c r="E3249" s="22" t="s">
        <v>21</v>
      </c>
      <c r="F3249" s="22" t="s">
        <v>18</v>
      </c>
      <c r="G3249" s="22" t="s">
        <v>12</v>
      </c>
    </row>
    <row r="3250" ht="15.15" spans="1:7">
      <c r="A3250" s="20">
        <v>3249</v>
      </c>
      <c r="B3250" s="20">
        <v>863</v>
      </c>
      <c r="C3250" s="21">
        <v>45277</v>
      </c>
      <c r="D3250" s="20">
        <v>3868.45</v>
      </c>
      <c r="E3250" s="22" t="s">
        <v>22</v>
      </c>
      <c r="F3250" s="22" t="s">
        <v>14</v>
      </c>
      <c r="G3250" s="22" t="s">
        <v>20</v>
      </c>
    </row>
    <row r="3251" ht="15.15" spans="1:7">
      <c r="A3251" s="20">
        <v>3250</v>
      </c>
      <c r="B3251" s="20">
        <v>3102</v>
      </c>
      <c r="C3251" s="21">
        <v>44992</v>
      </c>
      <c r="D3251" s="20">
        <v>2991.16</v>
      </c>
      <c r="E3251" s="22" t="s">
        <v>10</v>
      </c>
      <c r="F3251" s="22" t="s">
        <v>18</v>
      </c>
      <c r="G3251" s="22" t="s">
        <v>12</v>
      </c>
    </row>
    <row r="3252" ht="15.15" spans="1:7">
      <c r="A3252" s="20">
        <v>3251</v>
      </c>
      <c r="B3252" s="20">
        <v>6699</v>
      </c>
      <c r="C3252" s="21">
        <v>44965</v>
      </c>
      <c r="D3252" s="20">
        <v>2171.17</v>
      </c>
      <c r="E3252" s="22" t="s">
        <v>10</v>
      </c>
      <c r="F3252" s="22" t="s">
        <v>11</v>
      </c>
      <c r="G3252" s="22" t="s">
        <v>17</v>
      </c>
    </row>
    <row r="3253" ht="15.15" spans="1:7">
      <c r="A3253" s="20">
        <v>3252</v>
      </c>
      <c r="B3253" s="20">
        <v>4713</v>
      </c>
      <c r="C3253" s="21">
        <v>45262</v>
      </c>
      <c r="D3253" s="20">
        <v>360.28</v>
      </c>
      <c r="E3253" s="22" t="s">
        <v>10</v>
      </c>
      <c r="F3253" s="22" t="s">
        <v>18</v>
      </c>
      <c r="G3253" s="22" t="s">
        <v>17</v>
      </c>
    </row>
    <row r="3254" ht="15.15" spans="1:7">
      <c r="A3254" s="20">
        <v>3253</v>
      </c>
      <c r="B3254" s="20">
        <v>1201</v>
      </c>
      <c r="C3254" s="21">
        <v>45079</v>
      </c>
      <c r="D3254" s="20">
        <v>832.01</v>
      </c>
      <c r="E3254" s="22" t="s">
        <v>10</v>
      </c>
      <c r="F3254" s="22" t="s">
        <v>11</v>
      </c>
      <c r="G3254" s="22" t="s">
        <v>20</v>
      </c>
    </row>
    <row r="3255" ht="15.15" spans="1:7">
      <c r="A3255" s="20">
        <v>3254</v>
      </c>
      <c r="B3255" s="20">
        <v>4569</v>
      </c>
      <c r="C3255" s="21">
        <v>45232</v>
      </c>
      <c r="D3255" s="20">
        <v>591.58</v>
      </c>
      <c r="E3255" s="22" t="s">
        <v>10</v>
      </c>
      <c r="F3255" s="22" t="s">
        <v>18</v>
      </c>
      <c r="G3255" s="22" t="s">
        <v>12</v>
      </c>
    </row>
    <row r="3256" ht="15.15" spans="1:7">
      <c r="A3256" s="20">
        <v>3255</v>
      </c>
      <c r="B3256" s="20">
        <v>169</v>
      </c>
      <c r="C3256" s="21">
        <v>44985</v>
      </c>
      <c r="D3256" s="20">
        <v>1129.1</v>
      </c>
      <c r="E3256" s="22" t="s">
        <v>10</v>
      </c>
      <c r="F3256" s="22" t="s">
        <v>19</v>
      </c>
      <c r="G3256" s="22" t="s">
        <v>17</v>
      </c>
    </row>
    <row r="3257" ht="15.15" spans="1:7">
      <c r="A3257" s="20">
        <v>3256</v>
      </c>
      <c r="B3257" s="20">
        <v>5837</v>
      </c>
      <c r="C3257" s="21">
        <v>45005</v>
      </c>
      <c r="D3257" s="20">
        <v>265.95</v>
      </c>
      <c r="E3257" s="22" t="s">
        <v>10</v>
      </c>
      <c r="F3257" s="22" t="s">
        <v>18</v>
      </c>
      <c r="G3257" s="22" t="s">
        <v>20</v>
      </c>
    </row>
    <row r="3258" ht="15.15" spans="1:7">
      <c r="A3258" s="20">
        <v>3257</v>
      </c>
      <c r="B3258" s="20">
        <v>4856</v>
      </c>
      <c r="C3258" s="21">
        <v>45092</v>
      </c>
      <c r="D3258" s="20">
        <v>1990.38</v>
      </c>
      <c r="E3258" s="22" t="s">
        <v>10</v>
      </c>
      <c r="F3258" s="22" t="s">
        <v>18</v>
      </c>
      <c r="G3258" s="22" t="s">
        <v>17</v>
      </c>
    </row>
    <row r="3259" ht="15.15" spans="1:7">
      <c r="A3259" s="20">
        <v>3258</v>
      </c>
      <c r="B3259" s="20">
        <v>5177</v>
      </c>
      <c r="C3259" s="21">
        <v>45279</v>
      </c>
      <c r="D3259" s="20">
        <v>295.79</v>
      </c>
      <c r="E3259" s="22" t="s">
        <v>10</v>
      </c>
      <c r="F3259" s="22" t="s">
        <v>11</v>
      </c>
      <c r="G3259" s="22" t="s">
        <v>17</v>
      </c>
    </row>
    <row r="3260" ht="15.15" spans="1:7">
      <c r="A3260" s="20">
        <v>3259</v>
      </c>
      <c r="B3260" s="20">
        <v>581</v>
      </c>
      <c r="C3260" s="21">
        <v>45289</v>
      </c>
      <c r="D3260" s="20">
        <v>265.95</v>
      </c>
      <c r="E3260" s="22" t="s">
        <v>10</v>
      </c>
      <c r="F3260" s="22" t="s">
        <v>16</v>
      </c>
      <c r="G3260" s="22" t="s">
        <v>20</v>
      </c>
    </row>
    <row r="3261" ht="15.15" spans="1:7">
      <c r="A3261" s="20">
        <v>3260</v>
      </c>
      <c r="B3261" s="20">
        <v>42</v>
      </c>
      <c r="C3261" s="21">
        <v>45009</v>
      </c>
      <c r="D3261" s="20">
        <v>412.02</v>
      </c>
      <c r="E3261" s="22" t="s">
        <v>10</v>
      </c>
      <c r="F3261" s="22" t="s">
        <v>16</v>
      </c>
      <c r="G3261" s="22" t="s">
        <v>12</v>
      </c>
    </row>
    <row r="3262" ht="15.15" spans="1:7">
      <c r="A3262" s="20">
        <v>3261</v>
      </c>
      <c r="B3262" s="20">
        <v>4492</v>
      </c>
      <c r="C3262" s="21">
        <v>44966</v>
      </c>
      <c r="D3262" s="20">
        <v>2067.4</v>
      </c>
      <c r="E3262" s="22" t="s">
        <v>10</v>
      </c>
      <c r="F3262" s="22" t="s">
        <v>11</v>
      </c>
      <c r="G3262" s="22" t="s">
        <v>12</v>
      </c>
    </row>
    <row r="3263" ht="15.15" spans="1:7">
      <c r="A3263" s="20">
        <v>3262</v>
      </c>
      <c r="B3263" s="20">
        <v>2523</v>
      </c>
      <c r="C3263" s="21">
        <v>45123</v>
      </c>
      <c r="D3263" s="20">
        <v>3328.5</v>
      </c>
      <c r="E3263" s="22" t="s">
        <v>10</v>
      </c>
      <c r="F3263" s="22" t="s">
        <v>11</v>
      </c>
      <c r="G3263" s="22" t="s">
        <v>12</v>
      </c>
    </row>
    <row r="3264" ht="15.15" spans="1:7">
      <c r="A3264" s="20">
        <v>3263</v>
      </c>
      <c r="B3264" s="20">
        <v>9009</v>
      </c>
      <c r="C3264" s="21">
        <v>45070</v>
      </c>
      <c r="D3264" s="20">
        <v>1185.27</v>
      </c>
      <c r="E3264" s="22" t="s">
        <v>10</v>
      </c>
      <c r="F3264" s="22" t="s">
        <v>11</v>
      </c>
      <c r="G3264" s="22" t="s">
        <v>12</v>
      </c>
    </row>
    <row r="3265" ht="15.15" spans="1:7">
      <c r="A3265" s="20">
        <v>3264</v>
      </c>
      <c r="B3265" s="20">
        <v>3513</v>
      </c>
      <c r="C3265" s="21">
        <v>45136</v>
      </c>
      <c r="D3265" s="20">
        <v>861.87</v>
      </c>
      <c r="E3265" s="22" t="s">
        <v>10</v>
      </c>
      <c r="F3265" s="22" t="s">
        <v>11</v>
      </c>
      <c r="G3265" s="22" t="s">
        <v>12</v>
      </c>
    </row>
    <row r="3266" ht="15.15" spans="1:7">
      <c r="A3266" s="20">
        <v>3265</v>
      </c>
      <c r="B3266" s="20">
        <v>1921</v>
      </c>
      <c r="C3266" s="21">
        <v>45049</v>
      </c>
      <c r="D3266" s="20">
        <v>2881.98</v>
      </c>
      <c r="E3266" s="22" t="s">
        <v>10</v>
      </c>
      <c r="F3266" s="22" t="s">
        <v>18</v>
      </c>
      <c r="G3266" s="22" t="s">
        <v>12</v>
      </c>
    </row>
    <row r="3267" ht="15.15" spans="1:7">
      <c r="A3267" s="20">
        <v>3266</v>
      </c>
      <c r="B3267" s="20">
        <v>9732</v>
      </c>
      <c r="C3267" s="21">
        <v>45258</v>
      </c>
      <c r="D3267" s="20">
        <v>250.59</v>
      </c>
      <c r="E3267" s="22" t="s">
        <v>10</v>
      </c>
      <c r="F3267" s="22" t="s">
        <v>11</v>
      </c>
      <c r="G3267" s="22" t="s">
        <v>12</v>
      </c>
    </row>
    <row r="3268" ht="15.15" spans="1:7">
      <c r="A3268" s="20">
        <v>3267</v>
      </c>
      <c r="B3268" s="20">
        <v>7155</v>
      </c>
      <c r="C3268" s="21">
        <v>45225</v>
      </c>
      <c r="D3268" s="20">
        <v>998.96</v>
      </c>
      <c r="E3268" s="22" t="s">
        <v>10</v>
      </c>
      <c r="F3268" s="22" t="s">
        <v>16</v>
      </c>
      <c r="G3268" s="22" t="s">
        <v>20</v>
      </c>
    </row>
    <row r="3269" ht="15.15" spans="1:7">
      <c r="A3269" s="20">
        <v>3268</v>
      </c>
      <c r="B3269" s="20">
        <v>5289</v>
      </c>
      <c r="C3269" s="21">
        <v>44948</v>
      </c>
      <c r="D3269" s="20">
        <v>325.76</v>
      </c>
      <c r="E3269" s="22" t="s">
        <v>10</v>
      </c>
      <c r="F3269" s="22" t="s">
        <v>16</v>
      </c>
      <c r="G3269" s="22" t="s">
        <v>20</v>
      </c>
    </row>
    <row r="3270" ht="15.15" spans="1:7">
      <c r="A3270" s="20">
        <v>3269</v>
      </c>
      <c r="B3270" s="20">
        <v>4419</v>
      </c>
      <c r="C3270" s="21">
        <v>45185</v>
      </c>
      <c r="D3270" s="20">
        <v>1153.5</v>
      </c>
      <c r="E3270" s="22" t="s">
        <v>10</v>
      </c>
      <c r="F3270" s="22" t="s">
        <v>16</v>
      </c>
      <c r="G3270" s="22" t="s">
        <v>15</v>
      </c>
    </row>
    <row r="3271" ht="15.15" spans="1:7">
      <c r="A3271" s="20">
        <v>3270</v>
      </c>
      <c r="B3271" s="20">
        <v>5246</v>
      </c>
      <c r="C3271" s="21">
        <v>45274</v>
      </c>
      <c r="D3271" s="20">
        <v>3104.26</v>
      </c>
      <c r="E3271" s="22" t="s">
        <v>10</v>
      </c>
      <c r="F3271" s="22" t="s">
        <v>19</v>
      </c>
      <c r="G3271" s="22" t="s">
        <v>17</v>
      </c>
    </row>
    <row r="3272" ht="15.15" spans="1:7">
      <c r="A3272" s="20">
        <v>3271</v>
      </c>
      <c r="B3272" s="20">
        <v>4847</v>
      </c>
      <c r="C3272" s="21">
        <v>45011</v>
      </c>
      <c r="D3272" s="20">
        <v>851.74</v>
      </c>
      <c r="E3272" s="22" t="s">
        <v>10</v>
      </c>
      <c r="F3272" s="22" t="s">
        <v>14</v>
      </c>
      <c r="G3272" s="22" t="s">
        <v>20</v>
      </c>
    </row>
    <row r="3273" ht="15.15" spans="1:7">
      <c r="A3273" s="20">
        <v>3272</v>
      </c>
      <c r="B3273" s="20">
        <v>2627</v>
      </c>
      <c r="C3273" s="21">
        <v>45283</v>
      </c>
      <c r="D3273" s="20">
        <v>2312.54</v>
      </c>
      <c r="E3273" s="22" t="s">
        <v>10</v>
      </c>
      <c r="F3273" s="22" t="s">
        <v>11</v>
      </c>
      <c r="G3273" s="22" t="s">
        <v>15</v>
      </c>
    </row>
    <row r="3274" ht="15.15" spans="1:7">
      <c r="A3274" s="20">
        <v>3273</v>
      </c>
      <c r="B3274" s="20">
        <v>4110</v>
      </c>
      <c r="C3274" s="21">
        <v>45203</v>
      </c>
      <c r="D3274" s="20">
        <v>803.38</v>
      </c>
      <c r="E3274" s="22" t="s">
        <v>10</v>
      </c>
      <c r="F3274" s="22" t="s">
        <v>14</v>
      </c>
      <c r="G3274" s="22" t="s">
        <v>12</v>
      </c>
    </row>
    <row r="3275" ht="15.15" spans="1:7">
      <c r="A3275" s="20">
        <v>3274</v>
      </c>
      <c r="B3275" s="20">
        <v>9923</v>
      </c>
      <c r="C3275" s="21">
        <v>45072</v>
      </c>
      <c r="D3275" s="20">
        <v>954.37</v>
      </c>
      <c r="E3275" s="22" t="s">
        <v>10</v>
      </c>
      <c r="F3275" s="22" t="s">
        <v>14</v>
      </c>
      <c r="G3275" s="22" t="s">
        <v>17</v>
      </c>
    </row>
    <row r="3276" ht="15.15" spans="1:7">
      <c r="A3276" s="20">
        <v>3275</v>
      </c>
      <c r="B3276" s="20">
        <v>4208</v>
      </c>
      <c r="C3276" s="21">
        <v>45060</v>
      </c>
      <c r="D3276" s="20">
        <v>1717.35</v>
      </c>
      <c r="E3276" s="22" t="s">
        <v>10</v>
      </c>
      <c r="F3276" s="22" t="s">
        <v>13</v>
      </c>
      <c r="G3276" s="22" t="s">
        <v>20</v>
      </c>
    </row>
    <row r="3277" ht="15.15" spans="1:7">
      <c r="A3277" s="20">
        <v>3276</v>
      </c>
      <c r="B3277" s="20">
        <v>5635</v>
      </c>
      <c r="C3277" s="21">
        <v>45242</v>
      </c>
      <c r="D3277" s="20">
        <v>1220.28</v>
      </c>
      <c r="E3277" s="22" t="s">
        <v>10</v>
      </c>
      <c r="F3277" s="22" t="s">
        <v>16</v>
      </c>
      <c r="G3277" s="22" t="s">
        <v>15</v>
      </c>
    </row>
    <row r="3278" ht="15.15" spans="1:7">
      <c r="A3278" s="20">
        <v>3277</v>
      </c>
      <c r="B3278" s="20">
        <v>8741</v>
      </c>
      <c r="C3278" s="21">
        <v>45267</v>
      </c>
      <c r="D3278" s="20">
        <v>928.58</v>
      </c>
      <c r="E3278" s="22" t="s">
        <v>10</v>
      </c>
      <c r="F3278" s="22" t="s">
        <v>16</v>
      </c>
      <c r="G3278" s="22" t="s">
        <v>12</v>
      </c>
    </row>
    <row r="3279" ht="15.15" spans="1:7">
      <c r="A3279" s="20">
        <v>3278</v>
      </c>
      <c r="B3279" s="20">
        <v>253</v>
      </c>
      <c r="C3279" s="21">
        <v>45143</v>
      </c>
      <c r="D3279" s="20">
        <v>276.75</v>
      </c>
      <c r="E3279" s="22" t="s">
        <v>10</v>
      </c>
      <c r="F3279" s="22" t="s">
        <v>11</v>
      </c>
      <c r="G3279" s="22" t="s">
        <v>15</v>
      </c>
    </row>
    <row r="3280" ht="15.15" spans="1:7">
      <c r="A3280" s="20">
        <v>3279</v>
      </c>
      <c r="B3280" s="20">
        <v>7875</v>
      </c>
      <c r="C3280" s="21">
        <v>44933</v>
      </c>
      <c r="D3280" s="20">
        <v>1786.37</v>
      </c>
      <c r="E3280" s="22" t="s">
        <v>10</v>
      </c>
      <c r="F3280" s="22" t="s">
        <v>14</v>
      </c>
      <c r="G3280" s="22" t="s">
        <v>17</v>
      </c>
    </row>
    <row r="3281" ht="15.15" spans="1:7">
      <c r="A3281" s="20">
        <v>3280</v>
      </c>
      <c r="B3281" s="20">
        <v>8099</v>
      </c>
      <c r="C3281" s="21">
        <v>45168</v>
      </c>
      <c r="D3281" s="20">
        <v>204.06</v>
      </c>
      <c r="E3281" s="22" t="s">
        <v>10</v>
      </c>
      <c r="F3281" s="22" t="s">
        <v>13</v>
      </c>
      <c r="G3281" s="22" t="s">
        <v>12</v>
      </c>
    </row>
    <row r="3282" ht="15.15" spans="1:7">
      <c r="A3282" s="20">
        <v>3281</v>
      </c>
      <c r="B3282" s="20">
        <v>6232</v>
      </c>
      <c r="C3282" s="21">
        <v>45290</v>
      </c>
      <c r="D3282" s="20">
        <v>1883.33</v>
      </c>
      <c r="E3282" s="22" t="s">
        <v>10</v>
      </c>
      <c r="F3282" s="22" t="s">
        <v>11</v>
      </c>
      <c r="G3282" s="22" t="s">
        <v>20</v>
      </c>
    </row>
    <row r="3283" ht="15.15" spans="1:7">
      <c r="A3283" s="20">
        <v>3282</v>
      </c>
      <c r="B3283" s="20">
        <v>9281</v>
      </c>
      <c r="C3283" s="21">
        <v>45260</v>
      </c>
      <c r="D3283" s="20">
        <v>2674.63</v>
      </c>
      <c r="E3283" s="22" t="s">
        <v>10</v>
      </c>
      <c r="F3283" s="22" t="s">
        <v>14</v>
      </c>
      <c r="G3283" s="22" t="s">
        <v>12</v>
      </c>
    </row>
    <row r="3284" ht="15.15" spans="1:7">
      <c r="A3284" s="20">
        <v>3283</v>
      </c>
      <c r="B3284" s="20">
        <v>3520</v>
      </c>
      <c r="C3284" s="21">
        <v>45121</v>
      </c>
      <c r="D3284" s="20">
        <v>1077.95</v>
      </c>
      <c r="E3284" s="22" t="s">
        <v>10</v>
      </c>
      <c r="F3284" s="22" t="s">
        <v>18</v>
      </c>
      <c r="G3284" s="22" t="s">
        <v>17</v>
      </c>
    </row>
    <row r="3285" ht="15.15" spans="1:7">
      <c r="A3285" s="20">
        <v>3284</v>
      </c>
      <c r="B3285" s="20">
        <v>8260</v>
      </c>
      <c r="C3285" s="21">
        <v>45206</v>
      </c>
      <c r="D3285" s="20">
        <v>3440.85</v>
      </c>
      <c r="E3285" s="22" t="s">
        <v>10</v>
      </c>
      <c r="F3285" s="22" t="s">
        <v>18</v>
      </c>
      <c r="G3285" s="22" t="s">
        <v>17</v>
      </c>
    </row>
    <row r="3286" ht="15.15" spans="1:7">
      <c r="A3286" s="20">
        <v>3285</v>
      </c>
      <c r="B3286" s="20">
        <v>5188</v>
      </c>
      <c r="C3286" s="21">
        <v>45078</v>
      </c>
      <c r="D3286" s="20">
        <v>183.34</v>
      </c>
      <c r="E3286" s="22" t="s">
        <v>10</v>
      </c>
      <c r="F3286" s="22" t="s">
        <v>14</v>
      </c>
      <c r="G3286" s="22" t="s">
        <v>17</v>
      </c>
    </row>
    <row r="3287" ht="15.15" spans="1:7">
      <c r="A3287" s="20">
        <v>3286</v>
      </c>
      <c r="B3287" s="20">
        <v>5862</v>
      </c>
      <c r="C3287" s="21">
        <v>45050</v>
      </c>
      <c r="D3287" s="20">
        <v>142.43</v>
      </c>
      <c r="E3287" s="22" t="s">
        <v>10</v>
      </c>
      <c r="F3287" s="22" t="s">
        <v>11</v>
      </c>
      <c r="G3287" s="22" t="s">
        <v>20</v>
      </c>
    </row>
    <row r="3288" ht="15.15" spans="1:7">
      <c r="A3288" s="20">
        <v>3287</v>
      </c>
      <c r="B3288" s="20">
        <v>954</v>
      </c>
      <c r="C3288" s="21">
        <v>44927</v>
      </c>
      <c r="D3288" s="20">
        <v>1725.27</v>
      </c>
      <c r="E3288" s="22" t="s">
        <v>10</v>
      </c>
      <c r="F3288" s="22" t="s">
        <v>16</v>
      </c>
      <c r="G3288" s="22" t="s">
        <v>15</v>
      </c>
    </row>
    <row r="3289" ht="15.15" spans="1:7">
      <c r="A3289" s="20">
        <v>3288</v>
      </c>
      <c r="B3289" s="20">
        <v>8691</v>
      </c>
      <c r="C3289" s="21">
        <v>45268</v>
      </c>
      <c r="D3289" s="20">
        <v>2086.72</v>
      </c>
      <c r="E3289" s="22" t="s">
        <v>21</v>
      </c>
      <c r="F3289" s="22" t="s">
        <v>13</v>
      </c>
      <c r="G3289" s="22" t="s">
        <v>17</v>
      </c>
    </row>
    <row r="3290" ht="15.15" spans="1:7">
      <c r="A3290" s="20">
        <v>3289</v>
      </c>
      <c r="B3290" s="20">
        <v>3123</v>
      </c>
      <c r="C3290" s="21">
        <v>45243</v>
      </c>
      <c r="D3290" s="20">
        <v>904.97</v>
      </c>
      <c r="E3290" s="22" t="s">
        <v>10</v>
      </c>
      <c r="F3290" s="22" t="s">
        <v>18</v>
      </c>
      <c r="G3290" s="22" t="s">
        <v>15</v>
      </c>
    </row>
    <row r="3291" ht="15.15" spans="1:7">
      <c r="A3291" s="20">
        <v>3290</v>
      </c>
      <c r="B3291" s="20">
        <v>8445</v>
      </c>
      <c r="C3291" s="21">
        <v>45237</v>
      </c>
      <c r="D3291" s="20">
        <v>1696.03</v>
      </c>
      <c r="E3291" s="22" t="s">
        <v>10</v>
      </c>
      <c r="F3291" s="22" t="s">
        <v>13</v>
      </c>
      <c r="G3291" s="22" t="s">
        <v>15</v>
      </c>
    </row>
    <row r="3292" ht="15.15" spans="1:7">
      <c r="A3292" s="20">
        <v>3291</v>
      </c>
      <c r="B3292" s="20">
        <v>7286</v>
      </c>
      <c r="C3292" s="21">
        <v>44997</v>
      </c>
      <c r="D3292" s="20">
        <v>225.98</v>
      </c>
      <c r="E3292" s="22" t="s">
        <v>10</v>
      </c>
      <c r="F3292" s="22" t="s">
        <v>18</v>
      </c>
      <c r="G3292" s="22" t="s">
        <v>15</v>
      </c>
    </row>
    <row r="3293" ht="15.15" spans="1:7">
      <c r="A3293" s="20">
        <v>3292</v>
      </c>
      <c r="B3293" s="20">
        <v>498</v>
      </c>
      <c r="C3293" s="21">
        <v>45096</v>
      </c>
      <c r="D3293" s="20">
        <v>587.97</v>
      </c>
      <c r="E3293" s="22" t="s">
        <v>10</v>
      </c>
      <c r="F3293" s="22" t="s">
        <v>14</v>
      </c>
      <c r="G3293" s="22" t="s">
        <v>15</v>
      </c>
    </row>
    <row r="3294" ht="15.15" spans="1:7">
      <c r="A3294" s="20">
        <v>3293</v>
      </c>
      <c r="B3294" s="20">
        <v>1059</v>
      </c>
      <c r="C3294" s="21">
        <v>45183</v>
      </c>
      <c r="D3294" s="20">
        <v>2081.24</v>
      </c>
      <c r="E3294" s="22" t="s">
        <v>10</v>
      </c>
      <c r="F3294" s="22" t="s">
        <v>18</v>
      </c>
      <c r="G3294" s="22" t="s">
        <v>20</v>
      </c>
    </row>
    <row r="3295" ht="15.15" spans="1:7">
      <c r="A3295" s="20">
        <v>3294</v>
      </c>
      <c r="B3295" s="20">
        <v>9630</v>
      </c>
      <c r="C3295" s="21">
        <v>45219</v>
      </c>
      <c r="D3295" s="20">
        <v>980.48</v>
      </c>
      <c r="E3295" s="22" t="s">
        <v>10</v>
      </c>
      <c r="F3295" s="22" t="s">
        <v>16</v>
      </c>
      <c r="G3295" s="22" t="s">
        <v>17</v>
      </c>
    </row>
    <row r="3296" ht="15.15" spans="1:7">
      <c r="A3296" s="20">
        <v>3295</v>
      </c>
      <c r="B3296" s="20">
        <v>8464</v>
      </c>
      <c r="C3296" s="21">
        <v>45048</v>
      </c>
      <c r="D3296" s="20">
        <v>3292.73</v>
      </c>
      <c r="E3296" s="22" t="s">
        <v>22</v>
      </c>
      <c r="F3296" s="22" t="s">
        <v>13</v>
      </c>
      <c r="G3296" s="22" t="s">
        <v>20</v>
      </c>
    </row>
    <row r="3297" ht="15.15" spans="1:7">
      <c r="A3297" s="20">
        <v>3296</v>
      </c>
      <c r="B3297" s="20">
        <v>2319</v>
      </c>
      <c r="C3297" s="21">
        <v>45013</v>
      </c>
      <c r="D3297" s="20">
        <v>470.26</v>
      </c>
      <c r="E3297" s="22" t="s">
        <v>10</v>
      </c>
      <c r="F3297" s="22" t="s">
        <v>11</v>
      </c>
      <c r="G3297" s="22" t="s">
        <v>20</v>
      </c>
    </row>
    <row r="3298" ht="15.15" spans="1:7">
      <c r="A3298" s="20">
        <v>3297</v>
      </c>
      <c r="B3298" s="20">
        <v>1926</v>
      </c>
      <c r="C3298" s="21">
        <v>44943</v>
      </c>
      <c r="D3298" s="20">
        <v>2758.47</v>
      </c>
      <c r="E3298" s="22" t="s">
        <v>10</v>
      </c>
      <c r="F3298" s="22" t="s">
        <v>16</v>
      </c>
      <c r="G3298" s="22" t="s">
        <v>17</v>
      </c>
    </row>
    <row r="3299" ht="15.15" spans="1:7">
      <c r="A3299" s="20">
        <v>3298</v>
      </c>
      <c r="B3299" s="20">
        <v>2411</v>
      </c>
      <c r="C3299" s="21">
        <v>44999</v>
      </c>
      <c r="D3299" s="20">
        <v>2955.17</v>
      </c>
      <c r="E3299" s="22" t="s">
        <v>22</v>
      </c>
      <c r="F3299" s="22" t="s">
        <v>13</v>
      </c>
      <c r="G3299" s="22" t="s">
        <v>12</v>
      </c>
    </row>
    <row r="3300" ht="15.15" spans="1:7">
      <c r="A3300" s="20">
        <v>3299</v>
      </c>
      <c r="B3300" s="20">
        <v>4829</v>
      </c>
      <c r="C3300" s="21">
        <v>45045</v>
      </c>
      <c r="D3300" s="20">
        <v>867.36</v>
      </c>
      <c r="E3300" s="22" t="s">
        <v>10</v>
      </c>
      <c r="F3300" s="22" t="s">
        <v>13</v>
      </c>
      <c r="G3300" s="22" t="s">
        <v>20</v>
      </c>
    </row>
    <row r="3301" ht="15.15" spans="1:7">
      <c r="A3301" s="20">
        <v>3300</v>
      </c>
      <c r="B3301" s="20">
        <v>3692</v>
      </c>
      <c r="C3301" s="21">
        <v>45024</v>
      </c>
      <c r="D3301" s="20">
        <v>927.33</v>
      </c>
      <c r="E3301" s="22" t="s">
        <v>10</v>
      </c>
      <c r="F3301" s="22" t="s">
        <v>13</v>
      </c>
      <c r="G3301" s="22" t="s">
        <v>12</v>
      </c>
    </row>
    <row r="3302" ht="15.15" spans="1:7">
      <c r="A3302" s="20">
        <v>3301</v>
      </c>
      <c r="B3302" s="20">
        <v>5504</v>
      </c>
      <c r="C3302" s="21">
        <v>45258</v>
      </c>
      <c r="D3302" s="20">
        <v>627.3</v>
      </c>
      <c r="E3302" s="22" t="s">
        <v>10</v>
      </c>
      <c r="F3302" s="22" t="s">
        <v>14</v>
      </c>
      <c r="G3302" s="22" t="s">
        <v>12</v>
      </c>
    </row>
    <row r="3303" ht="15.15" spans="1:7">
      <c r="A3303" s="20">
        <v>3302</v>
      </c>
      <c r="B3303" s="20">
        <v>516</v>
      </c>
      <c r="C3303" s="21">
        <v>45141</v>
      </c>
      <c r="D3303" s="20">
        <v>2307</v>
      </c>
      <c r="E3303" s="22" t="s">
        <v>10</v>
      </c>
      <c r="F3303" s="22" t="s">
        <v>14</v>
      </c>
      <c r="G3303" s="22" t="s">
        <v>15</v>
      </c>
    </row>
    <row r="3304" ht="15.15" spans="1:7">
      <c r="A3304" s="20">
        <v>3303</v>
      </c>
      <c r="B3304" s="20">
        <v>461</v>
      </c>
      <c r="C3304" s="21">
        <v>45097</v>
      </c>
      <c r="D3304" s="20">
        <v>3631.99</v>
      </c>
      <c r="E3304" s="22" t="s">
        <v>10</v>
      </c>
      <c r="F3304" s="22" t="s">
        <v>13</v>
      </c>
      <c r="G3304" s="22" t="s">
        <v>20</v>
      </c>
    </row>
    <row r="3305" ht="15.15" spans="1:7">
      <c r="A3305" s="20">
        <v>3304</v>
      </c>
      <c r="B3305" s="20">
        <v>1265</v>
      </c>
      <c r="C3305" s="21">
        <v>45211</v>
      </c>
      <c r="D3305" s="20">
        <v>1629.76</v>
      </c>
      <c r="E3305" s="22" t="s">
        <v>10</v>
      </c>
      <c r="F3305" s="22" t="s">
        <v>13</v>
      </c>
      <c r="G3305" s="22" t="s">
        <v>20</v>
      </c>
    </row>
    <row r="3306" ht="15.15" spans="1:7">
      <c r="A3306" s="20">
        <v>3305</v>
      </c>
      <c r="B3306" s="20">
        <v>2422</v>
      </c>
      <c r="C3306" s="21">
        <v>45028</v>
      </c>
      <c r="D3306" s="20">
        <v>3365.54</v>
      </c>
      <c r="E3306" s="22" t="s">
        <v>10</v>
      </c>
      <c r="F3306" s="22" t="s">
        <v>11</v>
      </c>
      <c r="G3306" s="22" t="s">
        <v>15</v>
      </c>
    </row>
    <row r="3307" ht="15.15" spans="1:7">
      <c r="A3307" s="20">
        <v>3306</v>
      </c>
      <c r="B3307" s="20">
        <v>9197</v>
      </c>
      <c r="C3307" s="21">
        <v>44972</v>
      </c>
      <c r="D3307" s="20">
        <v>2662.19</v>
      </c>
      <c r="E3307" s="22" t="s">
        <v>10</v>
      </c>
      <c r="F3307" s="22" t="s">
        <v>11</v>
      </c>
      <c r="G3307" s="22" t="s">
        <v>17</v>
      </c>
    </row>
    <row r="3308" ht="15.15" spans="1:7">
      <c r="A3308" s="20">
        <v>3307</v>
      </c>
      <c r="B3308" s="20">
        <v>4783</v>
      </c>
      <c r="C3308" s="21">
        <v>45279</v>
      </c>
      <c r="D3308" s="20">
        <v>1267.28</v>
      </c>
      <c r="E3308" s="22" t="s">
        <v>10</v>
      </c>
      <c r="F3308" s="22" t="s">
        <v>16</v>
      </c>
      <c r="G3308" s="22" t="s">
        <v>20</v>
      </c>
    </row>
    <row r="3309" ht="15.15" spans="1:7">
      <c r="A3309" s="20">
        <v>3308</v>
      </c>
      <c r="B3309" s="20">
        <v>7352</v>
      </c>
      <c r="C3309" s="21">
        <v>45241</v>
      </c>
      <c r="D3309" s="20">
        <v>2930.53</v>
      </c>
      <c r="E3309" s="22" t="s">
        <v>10</v>
      </c>
      <c r="F3309" s="22" t="s">
        <v>18</v>
      </c>
      <c r="G3309" s="22" t="s">
        <v>20</v>
      </c>
    </row>
    <row r="3310" ht="15.15" spans="1:7">
      <c r="A3310" s="20">
        <v>3309</v>
      </c>
      <c r="B3310" s="20">
        <v>2132</v>
      </c>
      <c r="C3310" s="21">
        <v>44930</v>
      </c>
      <c r="D3310" s="20">
        <v>1262.36</v>
      </c>
      <c r="E3310" s="22" t="s">
        <v>10</v>
      </c>
      <c r="F3310" s="22" t="s">
        <v>16</v>
      </c>
      <c r="G3310" s="22" t="s">
        <v>17</v>
      </c>
    </row>
    <row r="3311" ht="15.15" spans="1:7">
      <c r="A3311" s="20">
        <v>3310</v>
      </c>
      <c r="B3311" s="20">
        <v>8657</v>
      </c>
      <c r="C3311" s="21">
        <v>45267</v>
      </c>
      <c r="D3311" s="20">
        <v>228.45</v>
      </c>
      <c r="E3311" s="22" t="s">
        <v>10</v>
      </c>
      <c r="F3311" s="22" t="s">
        <v>13</v>
      </c>
      <c r="G3311" s="22" t="s">
        <v>20</v>
      </c>
    </row>
    <row r="3312" ht="15.15" spans="1:7">
      <c r="A3312" s="20">
        <v>3311</v>
      </c>
      <c r="B3312" s="20">
        <v>4321</v>
      </c>
      <c r="C3312" s="21">
        <v>45146</v>
      </c>
      <c r="D3312" s="20">
        <v>1249.64</v>
      </c>
      <c r="E3312" s="22" t="s">
        <v>10</v>
      </c>
      <c r="F3312" s="22" t="s">
        <v>18</v>
      </c>
      <c r="G3312" s="22" t="s">
        <v>12</v>
      </c>
    </row>
    <row r="3313" ht="15.15" spans="1:7">
      <c r="A3313" s="20">
        <v>3312</v>
      </c>
      <c r="B3313" s="20">
        <v>9522</v>
      </c>
      <c r="C3313" s="21">
        <v>45041</v>
      </c>
      <c r="D3313" s="20">
        <v>439.45</v>
      </c>
      <c r="E3313" s="22" t="s">
        <v>10</v>
      </c>
      <c r="F3313" s="22" t="s">
        <v>14</v>
      </c>
      <c r="G3313" s="22" t="s">
        <v>20</v>
      </c>
    </row>
    <row r="3314" ht="15.15" spans="1:7">
      <c r="A3314" s="20">
        <v>3313</v>
      </c>
      <c r="B3314" s="20">
        <v>2841</v>
      </c>
      <c r="C3314" s="21">
        <v>45004</v>
      </c>
      <c r="D3314" s="20">
        <v>1647.27</v>
      </c>
      <c r="E3314" s="22" t="s">
        <v>10</v>
      </c>
      <c r="F3314" s="22" t="s">
        <v>18</v>
      </c>
      <c r="G3314" s="22" t="s">
        <v>20</v>
      </c>
    </row>
    <row r="3315" ht="15.15" spans="1:7">
      <c r="A3315" s="20">
        <v>3314</v>
      </c>
      <c r="B3315" s="20">
        <v>7307</v>
      </c>
      <c r="C3315" s="21">
        <v>44994</v>
      </c>
      <c r="D3315" s="20">
        <v>2281.16</v>
      </c>
      <c r="E3315" s="22" t="s">
        <v>10</v>
      </c>
      <c r="F3315" s="22" t="s">
        <v>14</v>
      </c>
      <c r="G3315" s="22" t="s">
        <v>17</v>
      </c>
    </row>
    <row r="3316" ht="15.15" spans="1:7">
      <c r="A3316" s="20">
        <v>3315</v>
      </c>
      <c r="B3316" s="20">
        <v>8183</v>
      </c>
      <c r="C3316" s="21">
        <v>45055</v>
      </c>
      <c r="D3316" s="20">
        <v>798.99</v>
      </c>
      <c r="E3316" s="22" t="s">
        <v>10</v>
      </c>
      <c r="F3316" s="22" t="s">
        <v>16</v>
      </c>
      <c r="G3316" s="22" t="s">
        <v>15</v>
      </c>
    </row>
    <row r="3317" ht="15.15" spans="1:7">
      <c r="A3317" s="20">
        <v>3316</v>
      </c>
      <c r="B3317" s="20">
        <v>7688</v>
      </c>
      <c r="C3317" s="21">
        <v>44977</v>
      </c>
      <c r="D3317" s="20">
        <v>1146.95</v>
      </c>
      <c r="E3317" s="22" t="s">
        <v>10</v>
      </c>
      <c r="F3317" s="22" t="s">
        <v>18</v>
      </c>
      <c r="G3317" s="22" t="s">
        <v>17</v>
      </c>
    </row>
    <row r="3318" ht="15.15" spans="1:7">
      <c r="A3318" s="20">
        <v>3317</v>
      </c>
      <c r="B3318" s="20">
        <v>5692</v>
      </c>
      <c r="C3318" s="21">
        <v>45135</v>
      </c>
      <c r="D3318" s="20">
        <v>325.76</v>
      </c>
      <c r="E3318" s="22" t="s">
        <v>10</v>
      </c>
      <c r="F3318" s="22" t="s">
        <v>13</v>
      </c>
      <c r="G3318" s="22" t="s">
        <v>20</v>
      </c>
    </row>
    <row r="3319" ht="15.15" spans="1:7">
      <c r="A3319" s="20">
        <v>3318</v>
      </c>
      <c r="B3319" s="20">
        <v>3252</v>
      </c>
      <c r="C3319" s="21">
        <v>44967</v>
      </c>
      <c r="D3319" s="20">
        <v>3188.65</v>
      </c>
      <c r="E3319" s="22" t="s">
        <v>10</v>
      </c>
      <c r="F3319" s="22" t="s">
        <v>14</v>
      </c>
      <c r="G3319" s="22" t="s">
        <v>15</v>
      </c>
    </row>
    <row r="3320" ht="15.15" spans="1:7">
      <c r="A3320" s="20">
        <v>3319</v>
      </c>
      <c r="B3320" s="20">
        <v>8046</v>
      </c>
      <c r="C3320" s="21">
        <v>45225</v>
      </c>
      <c r="D3320" s="20">
        <v>657.03</v>
      </c>
      <c r="E3320" s="22" t="s">
        <v>10</v>
      </c>
      <c r="F3320" s="22" t="s">
        <v>18</v>
      </c>
      <c r="G3320" s="22" t="s">
        <v>15</v>
      </c>
    </row>
    <row r="3321" ht="15.15" spans="1:7">
      <c r="A3321" s="20">
        <v>3320</v>
      </c>
      <c r="B3321" s="20">
        <v>8286</v>
      </c>
      <c r="C3321" s="21">
        <v>45130</v>
      </c>
      <c r="D3321" s="20">
        <v>1179.04</v>
      </c>
      <c r="E3321" s="22" t="s">
        <v>10</v>
      </c>
      <c r="F3321" s="22" t="s">
        <v>16</v>
      </c>
      <c r="G3321" s="22" t="s">
        <v>12</v>
      </c>
    </row>
    <row r="3322" ht="15.15" spans="1:7">
      <c r="A3322" s="20">
        <v>3321</v>
      </c>
      <c r="B3322" s="20">
        <v>3891</v>
      </c>
      <c r="C3322" s="21">
        <v>44952</v>
      </c>
      <c r="D3322" s="20">
        <v>4414.47</v>
      </c>
      <c r="E3322" s="22" t="s">
        <v>10</v>
      </c>
      <c r="F3322" s="22" t="s">
        <v>14</v>
      </c>
      <c r="G3322" s="22" t="s">
        <v>15</v>
      </c>
    </row>
    <row r="3323" ht="15.15" spans="1:7">
      <c r="A3323" s="20">
        <v>3322</v>
      </c>
      <c r="B3323" s="20">
        <v>6125</v>
      </c>
      <c r="C3323" s="21">
        <v>45081</v>
      </c>
      <c r="D3323" s="20">
        <v>2254.46</v>
      </c>
      <c r="E3323" s="22" t="s">
        <v>10</v>
      </c>
      <c r="F3323" s="22" t="s">
        <v>18</v>
      </c>
      <c r="G3323" s="22" t="s">
        <v>12</v>
      </c>
    </row>
    <row r="3324" ht="15.15" spans="1:7">
      <c r="A3324" s="20">
        <v>3323</v>
      </c>
      <c r="B3324" s="20">
        <v>6309</v>
      </c>
      <c r="C3324" s="21">
        <v>45022</v>
      </c>
      <c r="D3324" s="20">
        <v>1263.69</v>
      </c>
      <c r="E3324" s="22" t="s">
        <v>10</v>
      </c>
      <c r="F3324" s="22" t="s">
        <v>13</v>
      </c>
      <c r="G3324" s="22" t="s">
        <v>15</v>
      </c>
    </row>
    <row r="3325" ht="15.15" spans="1:7">
      <c r="A3325" s="20">
        <v>3324</v>
      </c>
      <c r="B3325" s="20">
        <v>4042</v>
      </c>
      <c r="C3325" s="21">
        <v>44965</v>
      </c>
      <c r="D3325" s="20">
        <v>1432.69</v>
      </c>
      <c r="E3325" s="22" t="s">
        <v>10</v>
      </c>
      <c r="F3325" s="22" t="s">
        <v>11</v>
      </c>
      <c r="G3325" s="22" t="s">
        <v>15</v>
      </c>
    </row>
    <row r="3326" ht="15.15" spans="1:7">
      <c r="A3326" s="20">
        <v>3325</v>
      </c>
      <c r="B3326" s="20">
        <v>2198</v>
      </c>
      <c r="C3326" s="21">
        <v>45199</v>
      </c>
      <c r="D3326" s="20">
        <v>1011.06</v>
      </c>
      <c r="E3326" s="22" t="s">
        <v>10</v>
      </c>
      <c r="F3326" s="22" t="s">
        <v>14</v>
      </c>
      <c r="G3326" s="22" t="s">
        <v>12</v>
      </c>
    </row>
    <row r="3327" ht="15.15" spans="1:7">
      <c r="A3327" s="20">
        <v>3326</v>
      </c>
      <c r="B3327" s="20">
        <v>1045</v>
      </c>
      <c r="C3327" s="21">
        <v>45244</v>
      </c>
      <c r="D3327" s="20">
        <v>323.68</v>
      </c>
      <c r="E3327" s="22" t="s">
        <v>10</v>
      </c>
      <c r="F3327" s="22" t="s">
        <v>16</v>
      </c>
      <c r="G3327" s="22" t="s">
        <v>12</v>
      </c>
    </row>
    <row r="3328" ht="15.15" spans="1:7">
      <c r="A3328" s="20">
        <v>3327</v>
      </c>
      <c r="B3328" s="20">
        <v>2107</v>
      </c>
      <c r="C3328" s="21">
        <v>45150</v>
      </c>
      <c r="D3328" s="20">
        <v>318.74</v>
      </c>
      <c r="E3328" s="22" t="s">
        <v>10</v>
      </c>
      <c r="F3328" s="22" t="s">
        <v>11</v>
      </c>
      <c r="G3328" s="22" t="s">
        <v>20</v>
      </c>
    </row>
    <row r="3329" ht="15.15" spans="1:7">
      <c r="A3329" s="20">
        <v>3328</v>
      </c>
      <c r="B3329" s="20">
        <v>431</v>
      </c>
      <c r="C3329" s="21">
        <v>45024</v>
      </c>
      <c r="D3329" s="20">
        <v>517.32</v>
      </c>
      <c r="E3329" s="22" t="s">
        <v>10</v>
      </c>
      <c r="F3329" s="22" t="s">
        <v>16</v>
      </c>
      <c r="G3329" s="22" t="s">
        <v>15</v>
      </c>
    </row>
    <row r="3330" ht="15.15" spans="1:7">
      <c r="A3330" s="20">
        <v>3329</v>
      </c>
      <c r="B3330" s="20">
        <v>5451</v>
      </c>
      <c r="C3330" s="21">
        <v>45214</v>
      </c>
      <c r="D3330" s="20">
        <v>1872.99</v>
      </c>
      <c r="E3330" s="22" t="s">
        <v>10</v>
      </c>
      <c r="F3330" s="22" t="s">
        <v>14</v>
      </c>
      <c r="G3330" s="22" t="s">
        <v>20</v>
      </c>
    </row>
    <row r="3331" ht="15.15" spans="1:7">
      <c r="A3331" s="20">
        <v>3330</v>
      </c>
      <c r="B3331" s="20">
        <v>9706</v>
      </c>
      <c r="C3331" s="21">
        <v>44946</v>
      </c>
      <c r="D3331" s="20">
        <v>402.39</v>
      </c>
      <c r="E3331" s="22" t="s">
        <v>10</v>
      </c>
      <c r="F3331" s="22" t="s">
        <v>14</v>
      </c>
      <c r="G3331" s="22" t="s">
        <v>17</v>
      </c>
    </row>
    <row r="3332" ht="15.15" spans="1:7">
      <c r="A3332" s="20">
        <v>3331</v>
      </c>
      <c r="B3332" s="20">
        <v>1441</v>
      </c>
      <c r="C3332" s="21">
        <v>45246</v>
      </c>
      <c r="D3332" s="20">
        <v>1612.58</v>
      </c>
      <c r="E3332" s="22" t="s">
        <v>10</v>
      </c>
      <c r="F3332" s="22" t="s">
        <v>11</v>
      </c>
      <c r="G3332" s="22" t="s">
        <v>20</v>
      </c>
    </row>
    <row r="3333" ht="15.15" spans="1:7">
      <c r="A3333" s="20">
        <v>3332</v>
      </c>
      <c r="B3333" s="20">
        <v>584</v>
      </c>
      <c r="C3333" s="21">
        <v>45163</v>
      </c>
      <c r="D3333" s="20">
        <v>1165.12</v>
      </c>
      <c r="E3333" s="22" t="s">
        <v>10</v>
      </c>
      <c r="F3333" s="22" t="s">
        <v>18</v>
      </c>
      <c r="G3333" s="22" t="s">
        <v>15</v>
      </c>
    </row>
    <row r="3334" ht="15.15" spans="1:7">
      <c r="A3334" s="20">
        <v>3333</v>
      </c>
      <c r="B3334" s="20">
        <v>4278</v>
      </c>
      <c r="C3334" s="21">
        <v>45181</v>
      </c>
      <c r="D3334" s="20">
        <v>366.68</v>
      </c>
      <c r="E3334" s="22" t="s">
        <v>10</v>
      </c>
      <c r="F3334" s="22" t="s">
        <v>11</v>
      </c>
      <c r="G3334" s="22" t="s">
        <v>17</v>
      </c>
    </row>
    <row r="3335" ht="15.15" spans="1:7">
      <c r="A3335" s="20">
        <v>3334</v>
      </c>
      <c r="B3335" s="20">
        <v>3236</v>
      </c>
      <c r="C3335" s="21">
        <v>45054</v>
      </c>
      <c r="D3335" s="20">
        <v>312.74</v>
      </c>
      <c r="E3335" s="22" t="s">
        <v>10</v>
      </c>
      <c r="F3335" s="22" t="s">
        <v>18</v>
      </c>
      <c r="G3335" s="22" t="s">
        <v>12</v>
      </c>
    </row>
    <row r="3336" ht="15.15" spans="1:7">
      <c r="A3336" s="20">
        <v>3335</v>
      </c>
      <c r="B3336" s="20">
        <v>2292</v>
      </c>
      <c r="C3336" s="21">
        <v>45222</v>
      </c>
      <c r="D3336" s="20">
        <v>323.68</v>
      </c>
      <c r="E3336" s="22" t="s">
        <v>10</v>
      </c>
      <c r="F3336" s="22" t="s">
        <v>16</v>
      </c>
      <c r="G3336" s="22" t="s">
        <v>17</v>
      </c>
    </row>
    <row r="3337" ht="15.15" spans="1:7">
      <c r="A3337" s="20">
        <v>3336</v>
      </c>
      <c r="B3337" s="20">
        <v>7621</v>
      </c>
      <c r="C3337" s="21">
        <v>45193</v>
      </c>
      <c r="D3337" s="20">
        <v>1153.15</v>
      </c>
      <c r="E3337" s="22" t="s">
        <v>10</v>
      </c>
      <c r="F3337" s="22" t="s">
        <v>14</v>
      </c>
      <c r="G3337" s="22" t="s">
        <v>20</v>
      </c>
    </row>
    <row r="3338" ht="15.15" spans="1:7">
      <c r="A3338" s="20">
        <v>3337</v>
      </c>
      <c r="B3338" s="20">
        <v>2136</v>
      </c>
      <c r="C3338" s="21">
        <v>45267</v>
      </c>
      <c r="D3338" s="20">
        <v>423.91</v>
      </c>
      <c r="E3338" s="22" t="s">
        <v>10</v>
      </c>
      <c r="F3338" s="22" t="s">
        <v>18</v>
      </c>
      <c r="G3338" s="22" t="s">
        <v>15</v>
      </c>
    </row>
    <row r="3339" ht="15.15" spans="1:7">
      <c r="A3339" s="20">
        <v>3338</v>
      </c>
      <c r="B3339" s="20">
        <v>6833</v>
      </c>
      <c r="C3339" s="21">
        <v>44942</v>
      </c>
      <c r="D3339" s="20">
        <v>1146.95</v>
      </c>
      <c r="E3339" s="22" t="s">
        <v>10</v>
      </c>
      <c r="F3339" s="22" t="s">
        <v>16</v>
      </c>
      <c r="G3339" s="22" t="s">
        <v>20</v>
      </c>
    </row>
    <row r="3340" ht="15.15" spans="1:7">
      <c r="A3340" s="20">
        <v>3339</v>
      </c>
      <c r="B3340" s="20">
        <v>2094</v>
      </c>
      <c r="C3340" s="21">
        <v>45127</v>
      </c>
      <c r="D3340" s="20">
        <v>228.45</v>
      </c>
      <c r="E3340" s="22" t="s">
        <v>10</v>
      </c>
      <c r="F3340" s="22" t="s">
        <v>18</v>
      </c>
      <c r="G3340" s="22" t="s">
        <v>15</v>
      </c>
    </row>
    <row r="3341" ht="15.15" spans="1:7">
      <c r="A3341" s="20">
        <v>3340</v>
      </c>
      <c r="B3341" s="20">
        <v>1954</v>
      </c>
      <c r="C3341" s="21">
        <v>45166</v>
      </c>
      <c r="D3341" s="20">
        <v>1231.17</v>
      </c>
      <c r="E3341" s="22" t="s">
        <v>10</v>
      </c>
      <c r="F3341" s="22" t="s">
        <v>16</v>
      </c>
      <c r="G3341" s="22" t="s">
        <v>12</v>
      </c>
    </row>
    <row r="3342" ht="15.15" spans="1:7">
      <c r="A3342" s="20">
        <v>3341</v>
      </c>
      <c r="B3342" s="20">
        <v>2583</v>
      </c>
      <c r="C3342" s="21">
        <v>45258</v>
      </c>
      <c r="D3342" s="20">
        <v>1071.23</v>
      </c>
      <c r="E3342" s="22" t="s">
        <v>10</v>
      </c>
      <c r="F3342" s="22" t="s">
        <v>13</v>
      </c>
      <c r="G3342" s="22" t="s">
        <v>15</v>
      </c>
    </row>
    <row r="3343" ht="15.15" spans="1:7">
      <c r="A3343" s="20">
        <v>3342</v>
      </c>
      <c r="B3343" s="20">
        <v>3397</v>
      </c>
      <c r="C3343" s="21">
        <v>45112</v>
      </c>
      <c r="D3343" s="20">
        <v>352.84</v>
      </c>
      <c r="E3343" s="22" t="s">
        <v>10</v>
      </c>
      <c r="F3343" s="22" t="s">
        <v>11</v>
      </c>
      <c r="G3343" s="22" t="s">
        <v>12</v>
      </c>
    </row>
    <row r="3344" ht="15.15" spans="1:7">
      <c r="A3344" s="20">
        <v>3343</v>
      </c>
      <c r="B3344" s="20">
        <v>3896</v>
      </c>
      <c r="C3344" s="21">
        <v>45126</v>
      </c>
      <c r="D3344" s="20">
        <v>444.23</v>
      </c>
      <c r="E3344" s="22" t="s">
        <v>21</v>
      </c>
      <c r="F3344" s="22" t="s">
        <v>14</v>
      </c>
      <c r="G3344" s="22" t="s">
        <v>20</v>
      </c>
    </row>
    <row r="3345" ht="15.15" spans="1:7">
      <c r="A3345" s="20">
        <v>3344</v>
      </c>
      <c r="B3345" s="20">
        <v>6526</v>
      </c>
      <c r="C3345" s="21">
        <v>44946</v>
      </c>
      <c r="D3345" s="20">
        <v>1252.29</v>
      </c>
      <c r="E3345" s="22" t="s">
        <v>10</v>
      </c>
      <c r="F3345" s="22" t="s">
        <v>11</v>
      </c>
      <c r="G3345" s="22" t="s">
        <v>17</v>
      </c>
    </row>
    <row r="3346" ht="15.15" spans="1:7">
      <c r="A3346" s="20">
        <v>3345</v>
      </c>
      <c r="B3346" s="20">
        <v>1263</v>
      </c>
      <c r="C3346" s="21">
        <v>45022</v>
      </c>
      <c r="D3346" s="20">
        <v>2014.38</v>
      </c>
      <c r="E3346" s="22" t="s">
        <v>10</v>
      </c>
      <c r="F3346" s="22" t="s">
        <v>11</v>
      </c>
      <c r="G3346" s="22" t="s">
        <v>15</v>
      </c>
    </row>
    <row r="3347" ht="15.15" spans="1:7">
      <c r="A3347" s="20">
        <v>3346</v>
      </c>
      <c r="B3347" s="20">
        <v>9865</v>
      </c>
      <c r="C3347" s="21">
        <v>45289</v>
      </c>
      <c r="D3347" s="20">
        <v>4565.09</v>
      </c>
      <c r="E3347" s="22" t="s">
        <v>10</v>
      </c>
      <c r="F3347" s="22" t="s">
        <v>13</v>
      </c>
      <c r="G3347" s="22" t="s">
        <v>12</v>
      </c>
    </row>
    <row r="3348" ht="15.15" spans="1:7">
      <c r="A3348" s="20">
        <v>3347</v>
      </c>
      <c r="B3348" s="20">
        <v>5511</v>
      </c>
      <c r="C3348" s="21">
        <v>45040</v>
      </c>
      <c r="D3348" s="20">
        <v>705.39</v>
      </c>
      <c r="E3348" s="22" t="s">
        <v>21</v>
      </c>
      <c r="F3348" s="22" t="s">
        <v>14</v>
      </c>
      <c r="G3348" s="22" t="s">
        <v>17</v>
      </c>
    </row>
    <row r="3349" ht="15.15" spans="1:7">
      <c r="A3349" s="20">
        <v>3348</v>
      </c>
      <c r="B3349" s="20">
        <v>4252</v>
      </c>
      <c r="C3349" s="21">
        <v>45276</v>
      </c>
      <c r="D3349" s="20">
        <v>2807.1</v>
      </c>
      <c r="E3349" s="22" t="s">
        <v>10</v>
      </c>
      <c r="F3349" s="22" t="s">
        <v>11</v>
      </c>
      <c r="G3349" s="22" t="s">
        <v>12</v>
      </c>
    </row>
    <row r="3350" ht="15.15" spans="1:7">
      <c r="A3350" s="20">
        <v>3349</v>
      </c>
      <c r="B3350" s="20">
        <v>4298</v>
      </c>
      <c r="C3350" s="21">
        <v>45220</v>
      </c>
      <c r="D3350" s="20">
        <v>96.07</v>
      </c>
      <c r="E3350" s="22" t="s">
        <v>10</v>
      </c>
      <c r="F3350" s="22" t="s">
        <v>14</v>
      </c>
      <c r="G3350" s="22" t="s">
        <v>15</v>
      </c>
    </row>
    <row r="3351" ht="15.15" spans="1:7">
      <c r="A3351" s="20">
        <v>3350</v>
      </c>
      <c r="B3351" s="20">
        <v>2074</v>
      </c>
      <c r="C3351" s="21">
        <v>45063</v>
      </c>
      <c r="D3351" s="20">
        <v>528.79</v>
      </c>
      <c r="E3351" s="22" t="s">
        <v>10</v>
      </c>
      <c r="F3351" s="22" t="s">
        <v>14</v>
      </c>
      <c r="G3351" s="22" t="s">
        <v>12</v>
      </c>
    </row>
    <row r="3352" ht="15.15" spans="1:7">
      <c r="A3352" s="20">
        <v>3351</v>
      </c>
      <c r="B3352" s="20">
        <v>347</v>
      </c>
      <c r="C3352" s="21">
        <v>45027</v>
      </c>
      <c r="D3352" s="20">
        <v>1176.57</v>
      </c>
      <c r="E3352" s="22" t="s">
        <v>10</v>
      </c>
      <c r="F3352" s="22" t="s">
        <v>16</v>
      </c>
      <c r="G3352" s="22" t="s">
        <v>20</v>
      </c>
    </row>
    <row r="3353" ht="15.15" spans="1:7">
      <c r="A3353" s="20">
        <v>3352</v>
      </c>
      <c r="B3353" s="20">
        <v>5495</v>
      </c>
      <c r="C3353" s="21">
        <v>44935</v>
      </c>
      <c r="D3353" s="20">
        <v>242.5</v>
      </c>
      <c r="E3353" s="22" t="s">
        <v>10</v>
      </c>
      <c r="F3353" s="22" t="s">
        <v>14</v>
      </c>
      <c r="G3353" s="22" t="s">
        <v>20</v>
      </c>
    </row>
    <row r="3354" ht="15.15" spans="1:7">
      <c r="A3354" s="20">
        <v>3353</v>
      </c>
      <c r="B3354" s="20">
        <v>476</v>
      </c>
      <c r="C3354" s="21">
        <v>45194</v>
      </c>
      <c r="D3354" s="20">
        <v>3120.27</v>
      </c>
      <c r="E3354" s="22" t="s">
        <v>10</v>
      </c>
      <c r="F3354" s="22" t="s">
        <v>16</v>
      </c>
      <c r="G3354" s="22" t="s">
        <v>17</v>
      </c>
    </row>
    <row r="3355" ht="15.15" spans="1:7">
      <c r="A3355" s="20">
        <v>3354</v>
      </c>
      <c r="B3355" s="20">
        <v>5073</v>
      </c>
      <c r="C3355" s="21">
        <v>45278</v>
      </c>
      <c r="D3355" s="20">
        <v>290.79</v>
      </c>
      <c r="E3355" s="22" t="s">
        <v>10</v>
      </c>
      <c r="F3355" s="22" t="s">
        <v>18</v>
      </c>
      <c r="G3355" s="22" t="s">
        <v>12</v>
      </c>
    </row>
    <row r="3356" ht="15.15" spans="1:7">
      <c r="A3356" s="20">
        <v>3355</v>
      </c>
      <c r="B3356" s="20">
        <v>6233</v>
      </c>
      <c r="C3356" s="21">
        <v>45246</v>
      </c>
      <c r="D3356" s="20">
        <v>260.61</v>
      </c>
      <c r="E3356" s="22" t="s">
        <v>10</v>
      </c>
      <c r="F3356" s="22" t="s">
        <v>14</v>
      </c>
      <c r="G3356" s="22" t="s">
        <v>12</v>
      </c>
    </row>
    <row r="3357" ht="15.15" spans="1:7">
      <c r="A3357" s="20">
        <v>3356</v>
      </c>
      <c r="B3357" s="20">
        <v>6733</v>
      </c>
      <c r="C3357" s="21">
        <v>45146</v>
      </c>
      <c r="D3357" s="20">
        <v>716.89</v>
      </c>
      <c r="E3357" s="22" t="s">
        <v>10</v>
      </c>
      <c r="F3357" s="22" t="s">
        <v>11</v>
      </c>
      <c r="G3357" s="22" t="s">
        <v>12</v>
      </c>
    </row>
    <row r="3358" ht="15.15" spans="1:7">
      <c r="A3358" s="20">
        <v>3357</v>
      </c>
      <c r="B3358" s="20">
        <v>6046</v>
      </c>
      <c r="C3358" s="21">
        <v>45251</v>
      </c>
      <c r="D3358" s="20">
        <v>768.39</v>
      </c>
      <c r="E3358" s="22" t="s">
        <v>10</v>
      </c>
      <c r="F3358" s="22" t="s">
        <v>13</v>
      </c>
      <c r="G3358" s="22" t="s">
        <v>17</v>
      </c>
    </row>
    <row r="3359" ht="15.15" spans="1:7">
      <c r="A3359" s="20">
        <v>3358</v>
      </c>
      <c r="B3359" s="20">
        <v>768</v>
      </c>
      <c r="C3359" s="21">
        <v>45244</v>
      </c>
      <c r="D3359" s="20">
        <v>406.76</v>
      </c>
      <c r="E3359" s="22" t="s">
        <v>10</v>
      </c>
      <c r="F3359" s="22" t="s">
        <v>11</v>
      </c>
      <c r="G3359" s="22" t="s">
        <v>15</v>
      </c>
    </row>
    <row r="3360" ht="15.15" spans="1:7">
      <c r="A3360" s="20">
        <v>3359</v>
      </c>
      <c r="B3360" s="20">
        <v>1556</v>
      </c>
      <c r="C3360" s="21">
        <v>45226</v>
      </c>
      <c r="D3360" s="20">
        <v>1215.89</v>
      </c>
      <c r="E3360" s="22" t="s">
        <v>10</v>
      </c>
      <c r="F3360" s="22" t="s">
        <v>13</v>
      </c>
      <c r="G3360" s="22" t="s">
        <v>12</v>
      </c>
    </row>
    <row r="3361" ht="15.15" spans="1:7">
      <c r="A3361" s="20">
        <v>3360</v>
      </c>
      <c r="B3361" s="20">
        <v>3573</v>
      </c>
      <c r="C3361" s="21">
        <v>45158</v>
      </c>
      <c r="D3361" s="20">
        <v>3457.61</v>
      </c>
      <c r="E3361" s="22" t="s">
        <v>10</v>
      </c>
      <c r="F3361" s="22" t="s">
        <v>13</v>
      </c>
      <c r="G3361" s="22" t="s">
        <v>17</v>
      </c>
    </row>
    <row r="3362" ht="15.15" spans="1:7">
      <c r="A3362" s="20">
        <v>3361</v>
      </c>
      <c r="B3362" s="20">
        <v>297</v>
      </c>
      <c r="C3362" s="21">
        <v>45275</v>
      </c>
      <c r="D3362" s="20">
        <v>325.76</v>
      </c>
      <c r="E3362" s="22" t="s">
        <v>10</v>
      </c>
      <c r="F3362" s="22" t="s">
        <v>11</v>
      </c>
      <c r="G3362" s="22" t="s">
        <v>15</v>
      </c>
    </row>
    <row r="3363" ht="15.15" spans="1:7">
      <c r="A3363" s="20">
        <v>3362</v>
      </c>
      <c r="B3363" s="20">
        <v>7569</v>
      </c>
      <c r="C3363" s="21">
        <v>45242</v>
      </c>
      <c r="D3363" s="20">
        <v>507.96</v>
      </c>
      <c r="E3363" s="22" t="s">
        <v>10</v>
      </c>
      <c r="F3363" s="22" t="s">
        <v>11</v>
      </c>
      <c r="G3363" s="22" t="s">
        <v>20</v>
      </c>
    </row>
    <row r="3364" ht="15.15" spans="1:7">
      <c r="A3364" s="20">
        <v>3363</v>
      </c>
      <c r="B3364" s="20">
        <v>8541</v>
      </c>
      <c r="C3364" s="21">
        <v>45236</v>
      </c>
      <c r="D3364" s="20">
        <v>1356.25</v>
      </c>
      <c r="E3364" s="22" t="s">
        <v>10</v>
      </c>
      <c r="F3364" s="22" t="s">
        <v>14</v>
      </c>
      <c r="G3364" s="22" t="s">
        <v>15</v>
      </c>
    </row>
    <row r="3365" ht="15.15" spans="1:7">
      <c r="A3365" s="20">
        <v>3364</v>
      </c>
      <c r="B3365" s="20">
        <v>7235</v>
      </c>
      <c r="C3365" s="21">
        <v>45074</v>
      </c>
      <c r="D3365" s="20">
        <v>564.26</v>
      </c>
      <c r="E3365" s="22" t="s">
        <v>10</v>
      </c>
      <c r="F3365" s="22" t="s">
        <v>13</v>
      </c>
      <c r="G3365" s="22" t="s">
        <v>20</v>
      </c>
    </row>
    <row r="3366" ht="15.15" spans="1:7">
      <c r="A3366" s="20">
        <v>3365</v>
      </c>
      <c r="B3366" s="20">
        <v>18</v>
      </c>
      <c r="C3366" s="21">
        <v>45268</v>
      </c>
      <c r="D3366" s="20">
        <v>2399.9</v>
      </c>
      <c r="E3366" s="22" t="s">
        <v>10</v>
      </c>
      <c r="F3366" s="22" t="s">
        <v>16</v>
      </c>
      <c r="G3366" s="22" t="s">
        <v>15</v>
      </c>
    </row>
    <row r="3367" ht="15.15" spans="1:7">
      <c r="A3367" s="20">
        <v>3366</v>
      </c>
      <c r="B3367" s="20">
        <v>1648</v>
      </c>
      <c r="C3367" s="21">
        <v>45141</v>
      </c>
      <c r="D3367" s="20">
        <v>3132.09</v>
      </c>
      <c r="E3367" s="22" t="s">
        <v>10</v>
      </c>
      <c r="F3367" s="22" t="s">
        <v>18</v>
      </c>
      <c r="G3367" s="22" t="s">
        <v>17</v>
      </c>
    </row>
    <row r="3368" ht="15.15" spans="1:7">
      <c r="A3368" s="20">
        <v>3367</v>
      </c>
      <c r="B3368" s="20">
        <v>1744</v>
      </c>
      <c r="C3368" s="21">
        <v>44959</v>
      </c>
      <c r="D3368" s="20">
        <v>2053.64</v>
      </c>
      <c r="E3368" s="22" t="s">
        <v>10</v>
      </c>
      <c r="F3368" s="22" t="s">
        <v>16</v>
      </c>
      <c r="G3368" s="22" t="s">
        <v>15</v>
      </c>
    </row>
    <row r="3369" ht="15.15" spans="1:7">
      <c r="A3369" s="20">
        <v>3368</v>
      </c>
      <c r="B3369" s="20">
        <v>4121</v>
      </c>
      <c r="C3369" s="21">
        <v>45114</v>
      </c>
      <c r="D3369" s="20">
        <v>151.46</v>
      </c>
      <c r="E3369" s="22" t="s">
        <v>10</v>
      </c>
      <c r="F3369" s="22" t="s">
        <v>18</v>
      </c>
      <c r="G3369" s="22" t="s">
        <v>20</v>
      </c>
    </row>
    <row r="3370" ht="15.15" spans="1:7">
      <c r="A3370" s="20">
        <v>3369</v>
      </c>
      <c r="B3370" s="20">
        <v>5687</v>
      </c>
      <c r="C3370" s="21">
        <v>45283</v>
      </c>
      <c r="D3370" s="20">
        <v>2820.72</v>
      </c>
      <c r="E3370" s="22" t="s">
        <v>10</v>
      </c>
      <c r="F3370" s="22" t="s">
        <v>14</v>
      </c>
      <c r="G3370" s="22" t="s">
        <v>15</v>
      </c>
    </row>
    <row r="3371" ht="15.15" spans="1:7">
      <c r="A3371" s="20">
        <v>3370</v>
      </c>
      <c r="B3371" s="20">
        <v>4896</v>
      </c>
      <c r="C3371" s="21">
        <v>45164</v>
      </c>
      <c r="D3371" s="20">
        <v>1624.59</v>
      </c>
      <c r="E3371" s="22" t="s">
        <v>10</v>
      </c>
      <c r="F3371" s="22" t="s">
        <v>16</v>
      </c>
      <c r="G3371" s="22" t="s">
        <v>15</v>
      </c>
    </row>
    <row r="3372" ht="15.15" spans="1:7">
      <c r="A3372" s="20">
        <v>3371</v>
      </c>
      <c r="B3372" s="20">
        <v>7388</v>
      </c>
      <c r="C3372" s="21">
        <v>45284</v>
      </c>
      <c r="D3372" s="20">
        <v>4570.87</v>
      </c>
      <c r="E3372" s="22" t="s">
        <v>10</v>
      </c>
      <c r="F3372" s="22" t="s">
        <v>11</v>
      </c>
      <c r="G3372" s="22" t="s">
        <v>12</v>
      </c>
    </row>
    <row r="3373" ht="15.15" spans="1:7">
      <c r="A3373" s="20">
        <v>3372</v>
      </c>
      <c r="B3373" s="20">
        <v>2674</v>
      </c>
      <c r="C3373" s="21">
        <v>45266</v>
      </c>
      <c r="D3373" s="20">
        <v>468.13</v>
      </c>
      <c r="E3373" s="22" t="s">
        <v>10</v>
      </c>
      <c r="F3373" s="22" t="s">
        <v>19</v>
      </c>
      <c r="G3373" s="22" t="s">
        <v>12</v>
      </c>
    </row>
    <row r="3374" ht="15.15" spans="1:7">
      <c r="A3374" s="20">
        <v>3373</v>
      </c>
      <c r="B3374" s="20">
        <v>9749</v>
      </c>
      <c r="C3374" s="21">
        <v>45021</v>
      </c>
      <c r="D3374" s="20">
        <v>1468.07</v>
      </c>
      <c r="E3374" s="22" t="s">
        <v>10</v>
      </c>
      <c r="F3374" s="22" t="s">
        <v>16</v>
      </c>
      <c r="G3374" s="22" t="s">
        <v>12</v>
      </c>
    </row>
    <row r="3375" ht="15.15" spans="1:7">
      <c r="A3375" s="20">
        <v>3374</v>
      </c>
      <c r="B3375" s="20">
        <v>3483</v>
      </c>
      <c r="C3375" s="21">
        <v>45226</v>
      </c>
      <c r="D3375" s="20">
        <v>1190.01</v>
      </c>
      <c r="E3375" s="22" t="s">
        <v>21</v>
      </c>
      <c r="F3375" s="22" t="s">
        <v>16</v>
      </c>
      <c r="G3375" s="22" t="s">
        <v>20</v>
      </c>
    </row>
    <row r="3376" ht="15.15" spans="1:7">
      <c r="A3376" s="20">
        <v>3375</v>
      </c>
      <c r="B3376" s="20">
        <v>4538</v>
      </c>
      <c r="C3376" s="21">
        <v>44942</v>
      </c>
      <c r="D3376" s="20">
        <v>943.48</v>
      </c>
      <c r="E3376" s="22" t="s">
        <v>10</v>
      </c>
      <c r="F3376" s="22" t="s">
        <v>14</v>
      </c>
      <c r="G3376" s="22" t="s">
        <v>17</v>
      </c>
    </row>
    <row r="3377" ht="15.15" spans="1:7">
      <c r="A3377" s="20">
        <v>3376</v>
      </c>
      <c r="B3377" s="20">
        <v>5124</v>
      </c>
      <c r="C3377" s="21">
        <v>45263</v>
      </c>
      <c r="D3377" s="20">
        <v>256.68</v>
      </c>
      <c r="E3377" s="22" t="s">
        <v>10</v>
      </c>
      <c r="F3377" s="22" t="s">
        <v>16</v>
      </c>
      <c r="G3377" s="22" t="s">
        <v>12</v>
      </c>
    </row>
    <row r="3378" ht="15.15" spans="1:7">
      <c r="A3378" s="20">
        <v>3377</v>
      </c>
      <c r="B3378" s="20">
        <v>7914</v>
      </c>
      <c r="C3378" s="21">
        <v>45174</v>
      </c>
      <c r="D3378" s="20">
        <v>1263.82</v>
      </c>
      <c r="E3378" s="22" t="s">
        <v>10</v>
      </c>
      <c r="F3378" s="22" t="s">
        <v>11</v>
      </c>
      <c r="G3378" s="22" t="s">
        <v>15</v>
      </c>
    </row>
    <row r="3379" ht="15.15" spans="1:7">
      <c r="A3379" s="20">
        <v>3378</v>
      </c>
      <c r="B3379" s="20">
        <v>7968</v>
      </c>
      <c r="C3379" s="21">
        <v>45213</v>
      </c>
      <c r="D3379" s="20">
        <v>901.51</v>
      </c>
      <c r="E3379" s="22" t="s">
        <v>10</v>
      </c>
      <c r="F3379" s="22" t="s">
        <v>14</v>
      </c>
      <c r="G3379" s="22" t="s">
        <v>12</v>
      </c>
    </row>
    <row r="3380" ht="15.15" spans="1:7">
      <c r="A3380" s="20">
        <v>3379</v>
      </c>
      <c r="B3380" s="20">
        <v>3714</v>
      </c>
      <c r="C3380" s="21">
        <v>44963</v>
      </c>
      <c r="D3380" s="20">
        <v>284.73</v>
      </c>
      <c r="E3380" s="22" t="s">
        <v>22</v>
      </c>
      <c r="F3380" s="22" t="s">
        <v>18</v>
      </c>
      <c r="G3380" s="22" t="s">
        <v>17</v>
      </c>
    </row>
    <row r="3381" ht="15.15" spans="1:7">
      <c r="A3381" s="20">
        <v>3380</v>
      </c>
      <c r="B3381" s="20">
        <v>5251</v>
      </c>
      <c r="C3381" s="21">
        <v>45214</v>
      </c>
      <c r="D3381" s="20">
        <v>781.07</v>
      </c>
      <c r="E3381" s="22" t="s">
        <v>10</v>
      </c>
      <c r="F3381" s="22" t="s">
        <v>13</v>
      </c>
      <c r="G3381" s="22" t="s">
        <v>12</v>
      </c>
    </row>
    <row r="3382" ht="15.15" spans="1:7">
      <c r="A3382" s="20">
        <v>3381</v>
      </c>
      <c r="B3382" s="20">
        <v>7395</v>
      </c>
      <c r="C3382" s="21">
        <v>45191</v>
      </c>
      <c r="D3382" s="20">
        <v>3255.06</v>
      </c>
      <c r="E3382" s="22" t="s">
        <v>10</v>
      </c>
      <c r="F3382" s="22" t="s">
        <v>13</v>
      </c>
      <c r="G3382" s="22" t="s">
        <v>15</v>
      </c>
    </row>
    <row r="3383" ht="15.15" spans="1:7">
      <c r="A3383" s="20">
        <v>3382</v>
      </c>
      <c r="B3383" s="20">
        <v>954</v>
      </c>
      <c r="C3383" s="21">
        <v>45052</v>
      </c>
      <c r="D3383" s="20">
        <v>2403.41</v>
      </c>
      <c r="E3383" s="22" t="s">
        <v>10</v>
      </c>
      <c r="F3383" s="22" t="s">
        <v>16</v>
      </c>
      <c r="G3383" s="22" t="s">
        <v>12</v>
      </c>
    </row>
    <row r="3384" ht="15.15" spans="1:7">
      <c r="A3384" s="20">
        <v>3383</v>
      </c>
      <c r="B3384" s="20">
        <v>3006</v>
      </c>
      <c r="C3384" s="21">
        <v>45219</v>
      </c>
      <c r="D3384" s="20">
        <v>1854.98</v>
      </c>
      <c r="E3384" s="22" t="s">
        <v>10</v>
      </c>
      <c r="F3384" s="22" t="s">
        <v>16</v>
      </c>
      <c r="G3384" s="22" t="s">
        <v>17</v>
      </c>
    </row>
    <row r="3385" ht="15.15" spans="1:7">
      <c r="A3385" s="20">
        <v>3384</v>
      </c>
      <c r="B3385" s="20">
        <v>4786</v>
      </c>
      <c r="C3385" s="21">
        <v>45137</v>
      </c>
      <c r="D3385" s="20">
        <v>698</v>
      </c>
      <c r="E3385" s="22" t="s">
        <v>10</v>
      </c>
      <c r="F3385" s="22" t="s">
        <v>13</v>
      </c>
      <c r="G3385" s="22" t="s">
        <v>15</v>
      </c>
    </row>
    <row r="3386" ht="15.15" spans="1:7">
      <c r="A3386" s="20">
        <v>3385</v>
      </c>
      <c r="B3386" s="20">
        <v>8730</v>
      </c>
      <c r="C3386" s="21">
        <v>45140</v>
      </c>
      <c r="D3386" s="20">
        <v>486.42</v>
      </c>
      <c r="E3386" s="22" t="s">
        <v>10</v>
      </c>
      <c r="F3386" s="22" t="s">
        <v>11</v>
      </c>
      <c r="G3386" s="22" t="s">
        <v>17</v>
      </c>
    </row>
    <row r="3387" ht="15.15" spans="1:7">
      <c r="A3387" s="20">
        <v>3386</v>
      </c>
      <c r="B3387" s="20">
        <v>1047</v>
      </c>
      <c r="C3387" s="21">
        <v>44998</v>
      </c>
      <c r="D3387" s="20">
        <v>364.61</v>
      </c>
      <c r="E3387" s="22" t="s">
        <v>22</v>
      </c>
      <c r="F3387" s="22" t="s">
        <v>14</v>
      </c>
      <c r="G3387" s="22" t="s">
        <v>20</v>
      </c>
    </row>
    <row r="3388" ht="15.15" spans="1:7">
      <c r="A3388" s="20">
        <v>3387</v>
      </c>
      <c r="B3388" s="20">
        <v>3406</v>
      </c>
      <c r="C3388" s="21">
        <v>44952</v>
      </c>
      <c r="D3388" s="20">
        <v>651.52</v>
      </c>
      <c r="E3388" s="22" t="s">
        <v>10</v>
      </c>
      <c r="F3388" s="22" t="s">
        <v>13</v>
      </c>
      <c r="G3388" s="22" t="s">
        <v>12</v>
      </c>
    </row>
    <row r="3389" ht="15.15" spans="1:7">
      <c r="A3389" s="20">
        <v>3388</v>
      </c>
      <c r="B3389" s="20">
        <v>5206</v>
      </c>
      <c r="C3389" s="21">
        <v>45241</v>
      </c>
      <c r="D3389" s="20">
        <v>1512.73</v>
      </c>
      <c r="E3389" s="22" t="s">
        <v>10</v>
      </c>
      <c r="F3389" s="22" t="s">
        <v>16</v>
      </c>
      <c r="G3389" s="22" t="s">
        <v>15</v>
      </c>
    </row>
    <row r="3390" ht="15.15" spans="1:7">
      <c r="A3390" s="20">
        <v>3389</v>
      </c>
      <c r="B3390" s="20">
        <v>678</v>
      </c>
      <c r="C3390" s="21">
        <v>45042</v>
      </c>
      <c r="D3390" s="20">
        <v>1796.94</v>
      </c>
      <c r="E3390" s="22" t="s">
        <v>10</v>
      </c>
      <c r="F3390" s="22" t="s">
        <v>13</v>
      </c>
      <c r="G3390" s="22" t="s">
        <v>20</v>
      </c>
    </row>
    <row r="3391" ht="15.15" spans="1:7">
      <c r="A3391" s="20">
        <v>3390</v>
      </c>
      <c r="B3391" s="20">
        <v>4328</v>
      </c>
      <c r="C3391" s="21">
        <v>45225</v>
      </c>
      <c r="D3391" s="20">
        <v>776.21</v>
      </c>
      <c r="E3391" s="22" t="s">
        <v>10</v>
      </c>
      <c r="F3391" s="22" t="s">
        <v>18</v>
      </c>
      <c r="G3391" s="22" t="s">
        <v>17</v>
      </c>
    </row>
    <row r="3392" ht="15.15" spans="1:7">
      <c r="A3392" s="20">
        <v>3391</v>
      </c>
      <c r="B3392" s="20">
        <v>7197</v>
      </c>
      <c r="C3392" s="21">
        <v>44974</v>
      </c>
      <c r="D3392" s="20">
        <v>1306.74</v>
      </c>
      <c r="E3392" s="22" t="s">
        <v>10</v>
      </c>
      <c r="F3392" s="22" t="s">
        <v>16</v>
      </c>
      <c r="G3392" s="22" t="s">
        <v>15</v>
      </c>
    </row>
    <row r="3393" ht="15.15" spans="1:7">
      <c r="A3393" s="20">
        <v>3392</v>
      </c>
      <c r="B3393" s="20">
        <v>4367</v>
      </c>
      <c r="C3393" s="21">
        <v>45183</v>
      </c>
      <c r="D3393" s="20">
        <v>758.08</v>
      </c>
      <c r="E3393" s="22" t="s">
        <v>10</v>
      </c>
      <c r="F3393" s="22" t="s">
        <v>16</v>
      </c>
      <c r="G3393" s="22" t="s">
        <v>20</v>
      </c>
    </row>
    <row r="3394" ht="15.15" spans="1:7">
      <c r="A3394" s="20">
        <v>3393</v>
      </c>
      <c r="B3394" s="20">
        <v>8728</v>
      </c>
      <c r="C3394" s="21">
        <v>45022</v>
      </c>
      <c r="D3394" s="20">
        <v>1553.05</v>
      </c>
      <c r="E3394" s="22" t="s">
        <v>10</v>
      </c>
      <c r="F3394" s="22" t="s">
        <v>13</v>
      </c>
      <c r="G3394" s="22" t="s">
        <v>20</v>
      </c>
    </row>
    <row r="3395" ht="15.15" spans="1:7">
      <c r="A3395" s="20">
        <v>3394</v>
      </c>
      <c r="B3395" s="20">
        <v>4090</v>
      </c>
      <c r="C3395" s="21">
        <v>45094</v>
      </c>
      <c r="D3395" s="20">
        <v>1925.76</v>
      </c>
      <c r="E3395" s="22" t="s">
        <v>10</v>
      </c>
      <c r="F3395" s="22" t="s">
        <v>16</v>
      </c>
      <c r="G3395" s="22" t="s">
        <v>20</v>
      </c>
    </row>
    <row r="3396" ht="15.15" spans="1:7">
      <c r="A3396" s="20">
        <v>3395</v>
      </c>
      <c r="B3396" s="20">
        <v>2830</v>
      </c>
      <c r="C3396" s="21">
        <v>45289</v>
      </c>
      <c r="D3396" s="20">
        <v>1443.41</v>
      </c>
      <c r="E3396" s="22" t="s">
        <v>10</v>
      </c>
      <c r="F3396" s="22" t="s">
        <v>13</v>
      </c>
      <c r="G3396" s="22" t="s">
        <v>15</v>
      </c>
    </row>
    <row r="3397" ht="15.15" spans="1:7">
      <c r="A3397" s="20">
        <v>3396</v>
      </c>
      <c r="B3397" s="20">
        <v>6766</v>
      </c>
      <c r="C3397" s="21">
        <v>44934</v>
      </c>
      <c r="D3397" s="20">
        <v>1802.19</v>
      </c>
      <c r="E3397" s="22" t="s">
        <v>10</v>
      </c>
      <c r="F3397" s="22" t="s">
        <v>11</v>
      </c>
      <c r="G3397" s="22" t="s">
        <v>20</v>
      </c>
    </row>
    <row r="3398" ht="15.15" spans="1:7">
      <c r="A3398" s="20">
        <v>3397</v>
      </c>
      <c r="B3398" s="20">
        <v>4603</v>
      </c>
      <c r="C3398" s="21">
        <v>45288</v>
      </c>
      <c r="D3398" s="20">
        <v>1320.15</v>
      </c>
      <c r="E3398" s="22" t="s">
        <v>10</v>
      </c>
      <c r="F3398" s="22" t="s">
        <v>19</v>
      </c>
      <c r="G3398" s="22" t="s">
        <v>17</v>
      </c>
    </row>
    <row r="3399" ht="15.15" spans="1:7">
      <c r="A3399" s="20">
        <v>3398</v>
      </c>
      <c r="B3399" s="20">
        <v>4299</v>
      </c>
      <c r="C3399" s="21">
        <v>45251</v>
      </c>
      <c r="D3399" s="20">
        <v>2254.14</v>
      </c>
      <c r="E3399" s="22" t="s">
        <v>10</v>
      </c>
      <c r="F3399" s="22" t="s">
        <v>16</v>
      </c>
      <c r="G3399" s="22" t="s">
        <v>20</v>
      </c>
    </row>
    <row r="3400" ht="15.15" spans="1:7">
      <c r="A3400" s="20">
        <v>3399</v>
      </c>
      <c r="B3400" s="20">
        <v>3400</v>
      </c>
      <c r="C3400" s="21">
        <v>45201</v>
      </c>
      <c r="D3400" s="20">
        <v>296.31</v>
      </c>
      <c r="E3400" s="22" t="s">
        <v>10</v>
      </c>
      <c r="F3400" s="22" t="s">
        <v>14</v>
      </c>
      <c r="G3400" s="22" t="s">
        <v>15</v>
      </c>
    </row>
    <row r="3401" ht="15.15" spans="1:7">
      <c r="A3401" s="20">
        <v>3400</v>
      </c>
      <c r="B3401" s="20">
        <v>9731</v>
      </c>
      <c r="C3401" s="21">
        <v>45190</v>
      </c>
      <c r="D3401" s="20">
        <v>760.2</v>
      </c>
      <c r="E3401" s="22" t="s">
        <v>10</v>
      </c>
      <c r="F3401" s="22" t="s">
        <v>18</v>
      </c>
      <c r="G3401" s="22" t="s">
        <v>17</v>
      </c>
    </row>
    <row r="3402" ht="15.15" spans="1:7">
      <c r="A3402" s="20">
        <v>3401</v>
      </c>
      <c r="B3402" s="20">
        <v>5458</v>
      </c>
      <c r="C3402" s="21">
        <v>45286</v>
      </c>
      <c r="D3402" s="20">
        <v>471.55</v>
      </c>
      <c r="E3402" s="22" t="s">
        <v>10</v>
      </c>
      <c r="F3402" s="22" t="s">
        <v>16</v>
      </c>
      <c r="G3402" s="22" t="s">
        <v>15</v>
      </c>
    </row>
    <row r="3403" ht="15.15" spans="1:7">
      <c r="A3403" s="20">
        <v>3402</v>
      </c>
      <c r="B3403" s="20">
        <v>5654</v>
      </c>
      <c r="C3403" s="21">
        <v>45161</v>
      </c>
      <c r="D3403" s="20">
        <v>2731.92</v>
      </c>
      <c r="E3403" s="22" t="s">
        <v>10</v>
      </c>
      <c r="F3403" s="22" t="s">
        <v>13</v>
      </c>
      <c r="G3403" s="22" t="s">
        <v>15</v>
      </c>
    </row>
    <row r="3404" ht="15.15" spans="1:7">
      <c r="A3404" s="20">
        <v>3403</v>
      </c>
      <c r="B3404" s="20">
        <v>4788</v>
      </c>
      <c r="C3404" s="21">
        <v>45130</v>
      </c>
      <c r="D3404" s="20">
        <v>595.7</v>
      </c>
      <c r="E3404" s="22" t="s">
        <v>10</v>
      </c>
      <c r="F3404" s="22" t="s">
        <v>18</v>
      </c>
      <c r="G3404" s="22" t="s">
        <v>15</v>
      </c>
    </row>
    <row r="3405" ht="15.15" spans="1:7">
      <c r="A3405" s="20">
        <v>3404</v>
      </c>
      <c r="B3405" s="20">
        <v>7255</v>
      </c>
      <c r="C3405" s="21">
        <v>45001</v>
      </c>
      <c r="D3405" s="20">
        <v>1041.67</v>
      </c>
      <c r="E3405" s="22" t="s">
        <v>10</v>
      </c>
      <c r="F3405" s="22" t="s">
        <v>14</v>
      </c>
      <c r="G3405" s="22" t="s">
        <v>17</v>
      </c>
    </row>
    <row r="3406" ht="15.15" spans="1:7">
      <c r="A3406" s="20">
        <v>3405</v>
      </c>
      <c r="B3406" s="20">
        <v>3250</v>
      </c>
      <c r="C3406" s="21">
        <v>45238</v>
      </c>
      <c r="D3406" s="20">
        <v>2139.91</v>
      </c>
      <c r="E3406" s="22" t="s">
        <v>10</v>
      </c>
      <c r="F3406" s="22" t="s">
        <v>16</v>
      </c>
      <c r="G3406" s="22" t="s">
        <v>12</v>
      </c>
    </row>
    <row r="3407" ht="15.15" spans="1:7">
      <c r="A3407" s="20">
        <v>3406</v>
      </c>
      <c r="B3407" s="20">
        <v>946</v>
      </c>
      <c r="C3407" s="21">
        <v>45228</v>
      </c>
      <c r="D3407" s="20">
        <v>414.6</v>
      </c>
      <c r="E3407" s="22" t="s">
        <v>10</v>
      </c>
      <c r="F3407" s="22" t="s">
        <v>14</v>
      </c>
      <c r="G3407" s="22" t="s">
        <v>20</v>
      </c>
    </row>
    <row r="3408" ht="15.15" spans="1:7">
      <c r="A3408" s="20">
        <v>3407</v>
      </c>
      <c r="B3408" s="20">
        <v>3601</v>
      </c>
      <c r="C3408" s="21">
        <v>45130</v>
      </c>
      <c r="D3408" s="20">
        <v>1786.37</v>
      </c>
      <c r="E3408" s="22" t="s">
        <v>10</v>
      </c>
      <c r="F3408" s="22" t="s">
        <v>18</v>
      </c>
      <c r="G3408" s="22" t="s">
        <v>12</v>
      </c>
    </row>
    <row r="3409" ht="15.15" spans="1:7">
      <c r="A3409" s="20">
        <v>3408</v>
      </c>
      <c r="B3409" s="20">
        <v>8498</v>
      </c>
      <c r="C3409" s="21">
        <v>45248</v>
      </c>
      <c r="D3409" s="20">
        <v>193.6</v>
      </c>
      <c r="E3409" s="22" t="s">
        <v>21</v>
      </c>
      <c r="F3409" s="22" t="s">
        <v>18</v>
      </c>
      <c r="G3409" s="22" t="s">
        <v>12</v>
      </c>
    </row>
    <row r="3410" ht="15.15" spans="1:7">
      <c r="A3410" s="20">
        <v>3409</v>
      </c>
      <c r="B3410" s="20">
        <v>9069</v>
      </c>
      <c r="C3410" s="21">
        <v>44994</v>
      </c>
      <c r="D3410" s="20">
        <v>965.83</v>
      </c>
      <c r="E3410" s="22" t="s">
        <v>10</v>
      </c>
      <c r="F3410" s="22" t="s">
        <v>16</v>
      </c>
      <c r="G3410" s="22" t="s">
        <v>15</v>
      </c>
    </row>
    <row r="3411" ht="15.15" spans="1:7">
      <c r="A3411" s="20">
        <v>3410</v>
      </c>
      <c r="B3411" s="20">
        <v>822</v>
      </c>
      <c r="C3411" s="21">
        <v>45081</v>
      </c>
      <c r="D3411" s="20">
        <v>806.03</v>
      </c>
      <c r="E3411" s="22" t="s">
        <v>10</v>
      </c>
      <c r="F3411" s="22" t="s">
        <v>11</v>
      </c>
      <c r="G3411" s="22" t="s">
        <v>15</v>
      </c>
    </row>
    <row r="3412" ht="15.15" spans="1:7">
      <c r="A3412" s="20">
        <v>3411</v>
      </c>
      <c r="B3412" s="20">
        <v>7210</v>
      </c>
      <c r="C3412" s="21">
        <v>44986</v>
      </c>
      <c r="D3412" s="20">
        <v>235.13</v>
      </c>
      <c r="E3412" s="22" t="s">
        <v>10</v>
      </c>
      <c r="F3412" s="22" t="s">
        <v>16</v>
      </c>
      <c r="G3412" s="22" t="s">
        <v>15</v>
      </c>
    </row>
    <row r="3413" ht="15.15" spans="1:7">
      <c r="A3413" s="20">
        <v>3412</v>
      </c>
      <c r="B3413" s="20">
        <v>44</v>
      </c>
      <c r="C3413" s="21">
        <v>44964</v>
      </c>
      <c r="D3413" s="20">
        <v>367.55</v>
      </c>
      <c r="E3413" s="22" t="s">
        <v>10</v>
      </c>
      <c r="F3413" s="22" t="s">
        <v>13</v>
      </c>
      <c r="G3413" s="22" t="s">
        <v>15</v>
      </c>
    </row>
    <row r="3414" ht="15.15" spans="1:7">
      <c r="A3414" s="20">
        <v>3413</v>
      </c>
      <c r="B3414" s="20">
        <v>2624</v>
      </c>
      <c r="C3414" s="21">
        <v>44963</v>
      </c>
      <c r="D3414" s="20">
        <v>4760.78</v>
      </c>
      <c r="E3414" s="22" t="s">
        <v>10</v>
      </c>
      <c r="F3414" s="22" t="s">
        <v>16</v>
      </c>
      <c r="G3414" s="22" t="s">
        <v>17</v>
      </c>
    </row>
    <row r="3415" ht="15.15" spans="1:7">
      <c r="A3415" s="20">
        <v>3414</v>
      </c>
      <c r="B3415" s="20">
        <v>2219</v>
      </c>
      <c r="C3415" s="21">
        <v>45244</v>
      </c>
      <c r="D3415" s="20">
        <v>2877.54</v>
      </c>
      <c r="E3415" s="22" t="s">
        <v>10</v>
      </c>
      <c r="F3415" s="22" t="s">
        <v>18</v>
      </c>
      <c r="G3415" s="22" t="s">
        <v>12</v>
      </c>
    </row>
    <row r="3416" ht="15.15" spans="1:7">
      <c r="A3416" s="20">
        <v>3415</v>
      </c>
      <c r="B3416" s="20">
        <v>4379</v>
      </c>
      <c r="C3416" s="21">
        <v>45220</v>
      </c>
      <c r="D3416" s="20">
        <v>189.69</v>
      </c>
      <c r="E3416" s="22" t="s">
        <v>10</v>
      </c>
      <c r="F3416" s="22" t="s">
        <v>11</v>
      </c>
      <c r="G3416" s="22" t="s">
        <v>17</v>
      </c>
    </row>
    <row r="3417" ht="15.15" spans="1:7">
      <c r="A3417" s="20">
        <v>3416</v>
      </c>
      <c r="B3417" s="20">
        <v>220</v>
      </c>
      <c r="C3417" s="21">
        <v>45029</v>
      </c>
      <c r="D3417" s="20">
        <v>439.45</v>
      </c>
      <c r="E3417" s="22" t="s">
        <v>10</v>
      </c>
      <c r="F3417" s="22" t="s">
        <v>13</v>
      </c>
      <c r="G3417" s="22" t="s">
        <v>17</v>
      </c>
    </row>
    <row r="3418" ht="15.15" spans="1:7">
      <c r="A3418" s="20">
        <v>3417</v>
      </c>
      <c r="B3418" s="20">
        <v>1617</v>
      </c>
      <c r="C3418" s="21">
        <v>45243</v>
      </c>
      <c r="D3418" s="20">
        <v>2648.51</v>
      </c>
      <c r="E3418" s="22" t="s">
        <v>10</v>
      </c>
      <c r="F3418" s="22" t="s">
        <v>16</v>
      </c>
      <c r="G3418" s="22" t="s">
        <v>17</v>
      </c>
    </row>
    <row r="3419" ht="15.15" spans="1:7">
      <c r="A3419" s="20">
        <v>3418</v>
      </c>
      <c r="B3419" s="20">
        <v>5169</v>
      </c>
      <c r="C3419" s="21">
        <v>45241</v>
      </c>
      <c r="D3419" s="20">
        <v>968.37</v>
      </c>
      <c r="E3419" s="22" t="s">
        <v>10</v>
      </c>
      <c r="F3419" s="22" t="s">
        <v>11</v>
      </c>
      <c r="G3419" s="22" t="s">
        <v>12</v>
      </c>
    </row>
    <row r="3420" ht="15.15" spans="1:7">
      <c r="A3420" s="20">
        <v>3419</v>
      </c>
      <c r="B3420" s="20">
        <v>1482</v>
      </c>
      <c r="C3420" s="21">
        <v>45107</v>
      </c>
      <c r="D3420" s="20">
        <v>1023.58</v>
      </c>
      <c r="E3420" s="22" t="s">
        <v>10</v>
      </c>
      <c r="F3420" s="22" t="s">
        <v>18</v>
      </c>
      <c r="G3420" s="22" t="s">
        <v>17</v>
      </c>
    </row>
    <row r="3421" ht="15.15" spans="1:7">
      <c r="A3421" s="20">
        <v>3420</v>
      </c>
      <c r="B3421" s="20">
        <v>720</v>
      </c>
      <c r="C3421" s="21">
        <v>45014</v>
      </c>
      <c r="D3421" s="20">
        <v>228.45</v>
      </c>
      <c r="E3421" s="22" t="s">
        <v>10</v>
      </c>
      <c r="F3421" s="22" t="s">
        <v>18</v>
      </c>
      <c r="G3421" s="22" t="s">
        <v>15</v>
      </c>
    </row>
    <row r="3422" ht="15.15" spans="1:7">
      <c r="A3422" s="20">
        <v>3421</v>
      </c>
      <c r="B3422" s="20">
        <v>8005</v>
      </c>
      <c r="C3422" s="21">
        <v>45097</v>
      </c>
      <c r="D3422" s="20">
        <v>1144.41</v>
      </c>
      <c r="E3422" s="22" t="s">
        <v>10</v>
      </c>
      <c r="F3422" s="22" t="s">
        <v>13</v>
      </c>
      <c r="G3422" s="22" t="s">
        <v>20</v>
      </c>
    </row>
    <row r="3423" ht="15.15" spans="1:7">
      <c r="A3423" s="20">
        <v>3422</v>
      </c>
      <c r="B3423" s="20">
        <v>7807</v>
      </c>
      <c r="C3423" s="21">
        <v>45079</v>
      </c>
      <c r="D3423" s="20">
        <v>318.02</v>
      </c>
      <c r="E3423" s="22" t="s">
        <v>10</v>
      </c>
      <c r="F3423" s="22" t="s">
        <v>18</v>
      </c>
      <c r="G3423" s="22" t="s">
        <v>12</v>
      </c>
    </row>
    <row r="3424" ht="15.15" spans="1:7">
      <c r="A3424" s="20">
        <v>3423</v>
      </c>
      <c r="B3424" s="20">
        <v>2301</v>
      </c>
      <c r="C3424" s="21">
        <v>45135</v>
      </c>
      <c r="D3424" s="20">
        <v>480.81</v>
      </c>
      <c r="E3424" s="22" t="s">
        <v>10</v>
      </c>
      <c r="F3424" s="22" t="s">
        <v>11</v>
      </c>
      <c r="G3424" s="22" t="s">
        <v>17</v>
      </c>
    </row>
    <row r="3425" ht="15.15" spans="1:7">
      <c r="A3425" s="20">
        <v>3424</v>
      </c>
      <c r="B3425" s="20">
        <v>13</v>
      </c>
      <c r="C3425" s="21">
        <v>45227</v>
      </c>
      <c r="D3425" s="20">
        <v>2220.21</v>
      </c>
      <c r="E3425" s="22" t="s">
        <v>10</v>
      </c>
      <c r="F3425" s="22" t="s">
        <v>11</v>
      </c>
      <c r="G3425" s="22" t="s">
        <v>17</v>
      </c>
    </row>
    <row r="3426" ht="15.15" spans="1:7">
      <c r="A3426" s="20">
        <v>3425</v>
      </c>
      <c r="B3426" s="20">
        <v>7882</v>
      </c>
      <c r="C3426" s="21">
        <v>45226</v>
      </c>
      <c r="D3426" s="20">
        <v>753.32</v>
      </c>
      <c r="E3426" s="22" t="s">
        <v>10</v>
      </c>
      <c r="F3426" s="22" t="s">
        <v>14</v>
      </c>
      <c r="G3426" s="22" t="s">
        <v>17</v>
      </c>
    </row>
    <row r="3427" ht="15.15" spans="1:7">
      <c r="A3427" s="20">
        <v>3426</v>
      </c>
      <c r="B3427" s="20">
        <v>9442</v>
      </c>
      <c r="C3427" s="21">
        <v>45210</v>
      </c>
      <c r="D3427" s="20">
        <v>1041.86</v>
      </c>
      <c r="E3427" s="22" t="s">
        <v>10</v>
      </c>
      <c r="F3427" s="22" t="s">
        <v>14</v>
      </c>
      <c r="G3427" s="22" t="s">
        <v>15</v>
      </c>
    </row>
    <row r="3428" ht="15.15" spans="1:7">
      <c r="A3428" s="20">
        <v>3427</v>
      </c>
      <c r="B3428" s="20">
        <v>6950</v>
      </c>
      <c r="C3428" s="21">
        <v>45076</v>
      </c>
      <c r="D3428" s="20">
        <v>3609.65</v>
      </c>
      <c r="E3428" s="22" t="s">
        <v>10</v>
      </c>
      <c r="F3428" s="22" t="s">
        <v>18</v>
      </c>
      <c r="G3428" s="22" t="s">
        <v>17</v>
      </c>
    </row>
    <row r="3429" ht="15.15" spans="1:7">
      <c r="A3429" s="20">
        <v>3428</v>
      </c>
      <c r="B3429" s="20">
        <v>426</v>
      </c>
      <c r="C3429" s="21">
        <v>45051</v>
      </c>
      <c r="D3429" s="20">
        <v>949.36</v>
      </c>
      <c r="E3429" s="22" t="s">
        <v>10</v>
      </c>
      <c r="F3429" s="22" t="s">
        <v>16</v>
      </c>
      <c r="G3429" s="22" t="s">
        <v>20</v>
      </c>
    </row>
    <row r="3430" ht="15.15" spans="1:7">
      <c r="A3430" s="20">
        <v>3429</v>
      </c>
      <c r="B3430" s="20">
        <v>8695</v>
      </c>
      <c r="C3430" s="21">
        <v>45242</v>
      </c>
      <c r="D3430" s="20">
        <v>2300.67</v>
      </c>
      <c r="E3430" s="22" t="s">
        <v>10</v>
      </c>
      <c r="F3430" s="22" t="s">
        <v>14</v>
      </c>
      <c r="G3430" s="22" t="s">
        <v>12</v>
      </c>
    </row>
    <row r="3431" ht="15.15" spans="1:7">
      <c r="A3431" s="20">
        <v>3430</v>
      </c>
      <c r="B3431" s="20">
        <v>2924</v>
      </c>
      <c r="C3431" s="21">
        <v>45150</v>
      </c>
      <c r="D3431" s="20">
        <v>3123.85</v>
      </c>
      <c r="E3431" s="22" t="s">
        <v>10</v>
      </c>
      <c r="F3431" s="22" t="s">
        <v>18</v>
      </c>
      <c r="G3431" s="22" t="s">
        <v>15</v>
      </c>
    </row>
    <row r="3432" ht="15.15" spans="1:7">
      <c r="A3432" s="20">
        <v>3431</v>
      </c>
      <c r="B3432" s="20">
        <v>5992</v>
      </c>
      <c r="C3432" s="21">
        <v>45162</v>
      </c>
      <c r="D3432" s="20">
        <v>3653.84</v>
      </c>
      <c r="E3432" s="22" t="s">
        <v>10</v>
      </c>
      <c r="F3432" s="22" t="s">
        <v>13</v>
      </c>
      <c r="G3432" s="22" t="s">
        <v>20</v>
      </c>
    </row>
    <row r="3433" ht="15.15" spans="1:7">
      <c r="A3433" s="20">
        <v>3432</v>
      </c>
      <c r="B3433" s="20">
        <v>4808</v>
      </c>
      <c r="C3433" s="21">
        <v>45211</v>
      </c>
      <c r="D3433" s="20">
        <v>2094.07</v>
      </c>
      <c r="E3433" s="22" t="s">
        <v>10</v>
      </c>
      <c r="F3433" s="22" t="s">
        <v>19</v>
      </c>
      <c r="G3433" s="22" t="s">
        <v>12</v>
      </c>
    </row>
    <row r="3434" ht="15.15" spans="1:7">
      <c r="A3434" s="20">
        <v>3433</v>
      </c>
      <c r="B3434" s="20">
        <v>9956</v>
      </c>
      <c r="C3434" s="21">
        <v>45103</v>
      </c>
      <c r="D3434" s="20">
        <v>884.41</v>
      </c>
      <c r="E3434" s="22" t="s">
        <v>10</v>
      </c>
      <c r="F3434" s="22" t="s">
        <v>16</v>
      </c>
      <c r="G3434" s="22" t="s">
        <v>15</v>
      </c>
    </row>
    <row r="3435" ht="15.15" spans="1:7">
      <c r="A3435" s="20">
        <v>3434</v>
      </c>
      <c r="B3435" s="20">
        <v>24</v>
      </c>
      <c r="C3435" s="21">
        <v>45164</v>
      </c>
      <c r="D3435" s="20">
        <v>239.64</v>
      </c>
      <c r="E3435" s="22" t="s">
        <v>10</v>
      </c>
      <c r="F3435" s="22" t="s">
        <v>14</v>
      </c>
      <c r="G3435" s="22" t="s">
        <v>20</v>
      </c>
    </row>
    <row r="3436" ht="15.15" spans="1:7">
      <c r="A3436" s="20">
        <v>3435</v>
      </c>
      <c r="B3436" s="20">
        <v>4031</v>
      </c>
      <c r="C3436" s="21">
        <v>45074</v>
      </c>
      <c r="D3436" s="20">
        <v>1151.87</v>
      </c>
      <c r="E3436" s="22" t="s">
        <v>10</v>
      </c>
      <c r="F3436" s="22" t="s">
        <v>18</v>
      </c>
      <c r="G3436" s="22" t="s">
        <v>15</v>
      </c>
    </row>
    <row r="3437" ht="15.15" spans="1:7">
      <c r="A3437" s="20">
        <v>3436</v>
      </c>
      <c r="B3437" s="20">
        <v>875</v>
      </c>
      <c r="C3437" s="21">
        <v>45128</v>
      </c>
      <c r="D3437" s="20">
        <v>361.97</v>
      </c>
      <c r="E3437" s="22" t="s">
        <v>10</v>
      </c>
      <c r="F3437" s="22" t="s">
        <v>18</v>
      </c>
      <c r="G3437" s="22" t="s">
        <v>12</v>
      </c>
    </row>
    <row r="3438" ht="15.15" spans="1:7">
      <c r="A3438" s="20">
        <v>3437</v>
      </c>
      <c r="B3438" s="20">
        <v>4105</v>
      </c>
      <c r="C3438" s="21">
        <v>44976</v>
      </c>
      <c r="D3438" s="20">
        <v>2899.98</v>
      </c>
      <c r="E3438" s="22" t="s">
        <v>10</v>
      </c>
      <c r="F3438" s="22" t="s">
        <v>18</v>
      </c>
      <c r="G3438" s="22" t="s">
        <v>17</v>
      </c>
    </row>
    <row r="3439" ht="15.15" spans="1:7">
      <c r="A3439" s="20">
        <v>3438</v>
      </c>
      <c r="B3439" s="20">
        <v>1654</v>
      </c>
      <c r="C3439" s="21">
        <v>45169</v>
      </c>
      <c r="D3439" s="20">
        <v>748.01</v>
      </c>
      <c r="E3439" s="22" t="s">
        <v>10</v>
      </c>
      <c r="F3439" s="22" t="s">
        <v>16</v>
      </c>
      <c r="G3439" s="22" t="s">
        <v>17</v>
      </c>
    </row>
    <row r="3440" ht="15.15" spans="1:7">
      <c r="A3440" s="20">
        <v>3439</v>
      </c>
      <c r="B3440" s="20">
        <v>3234</v>
      </c>
      <c r="C3440" s="21">
        <v>44929</v>
      </c>
      <c r="D3440" s="20">
        <v>2381.98</v>
      </c>
      <c r="E3440" s="22" t="s">
        <v>10</v>
      </c>
      <c r="F3440" s="22" t="s">
        <v>16</v>
      </c>
      <c r="G3440" s="22" t="s">
        <v>17</v>
      </c>
    </row>
    <row r="3441" ht="15.15" spans="1:7">
      <c r="A3441" s="20">
        <v>3440</v>
      </c>
      <c r="B3441" s="20">
        <v>4642</v>
      </c>
      <c r="C3441" s="21">
        <v>44993</v>
      </c>
      <c r="D3441" s="20">
        <v>1128.91</v>
      </c>
      <c r="E3441" s="22" t="s">
        <v>10</v>
      </c>
      <c r="F3441" s="22" t="s">
        <v>18</v>
      </c>
      <c r="G3441" s="22" t="s">
        <v>20</v>
      </c>
    </row>
    <row r="3442" ht="15.15" spans="1:7">
      <c r="A3442" s="20">
        <v>3441</v>
      </c>
      <c r="B3442" s="20">
        <v>315</v>
      </c>
      <c r="C3442" s="21">
        <v>45225</v>
      </c>
      <c r="D3442" s="20">
        <v>2296.65</v>
      </c>
      <c r="E3442" s="22" t="s">
        <v>10</v>
      </c>
      <c r="F3442" s="22" t="s">
        <v>16</v>
      </c>
      <c r="G3442" s="22" t="s">
        <v>12</v>
      </c>
    </row>
    <row r="3443" ht="15.15" spans="1:7">
      <c r="A3443" s="20">
        <v>3442</v>
      </c>
      <c r="B3443" s="20">
        <v>168</v>
      </c>
      <c r="C3443" s="21">
        <v>45214</v>
      </c>
      <c r="D3443" s="20">
        <v>1591.44</v>
      </c>
      <c r="E3443" s="22" t="s">
        <v>10</v>
      </c>
      <c r="F3443" s="22" t="s">
        <v>16</v>
      </c>
      <c r="G3443" s="22" t="s">
        <v>17</v>
      </c>
    </row>
    <row r="3444" ht="15.15" spans="1:7">
      <c r="A3444" s="20">
        <v>3443</v>
      </c>
      <c r="B3444" s="20">
        <v>8234</v>
      </c>
      <c r="C3444" s="21">
        <v>45254</v>
      </c>
      <c r="D3444" s="20">
        <v>2379.81</v>
      </c>
      <c r="E3444" s="22" t="s">
        <v>10</v>
      </c>
      <c r="F3444" s="22" t="s">
        <v>11</v>
      </c>
      <c r="G3444" s="22" t="s">
        <v>12</v>
      </c>
    </row>
    <row r="3445" ht="15.15" spans="1:7">
      <c r="A3445" s="20">
        <v>3444</v>
      </c>
      <c r="B3445" s="20">
        <v>7681</v>
      </c>
      <c r="C3445" s="21">
        <v>45189</v>
      </c>
      <c r="D3445" s="20">
        <v>827.1</v>
      </c>
      <c r="E3445" s="22" t="s">
        <v>10</v>
      </c>
      <c r="F3445" s="22" t="s">
        <v>16</v>
      </c>
      <c r="G3445" s="22" t="s">
        <v>20</v>
      </c>
    </row>
    <row r="3446" ht="15.15" spans="1:7">
      <c r="A3446" s="20">
        <v>3445</v>
      </c>
      <c r="B3446" s="20">
        <v>4810</v>
      </c>
      <c r="C3446" s="21">
        <v>45178</v>
      </c>
      <c r="D3446" s="20">
        <v>1780.48</v>
      </c>
      <c r="E3446" s="22" t="s">
        <v>22</v>
      </c>
      <c r="F3446" s="22" t="s">
        <v>16</v>
      </c>
      <c r="G3446" s="22" t="s">
        <v>15</v>
      </c>
    </row>
    <row r="3447" ht="15.15" spans="1:7">
      <c r="A3447" s="20">
        <v>3446</v>
      </c>
      <c r="B3447" s="20">
        <v>3093</v>
      </c>
      <c r="C3447" s="21">
        <v>45142</v>
      </c>
      <c r="D3447" s="20">
        <v>1490.74</v>
      </c>
      <c r="E3447" s="22" t="s">
        <v>10</v>
      </c>
      <c r="F3447" s="22" t="s">
        <v>13</v>
      </c>
      <c r="G3447" s="22" t="s">
        <v>17</v>
      </c>
    </row>
    <row r="3448" ht="15.15" spans="1:7">
      <c r="A3448" s="20">
        <v>3447</v>
      </c>
      <c r="B3448" s="20">
        <v>2118</v>
      </c>
      <c r="C3448" s="21">
        <v>45183</v>
      </c>
      <c r="D3448" s="20">
        <v>151.46</v>
      </c>
      <c r="E3448" s="22" t="s">
        <v>10</v>
      </c>
      <c r="F3448" s="22" t="s">
        <v>11</v>
      </c>
      <c r="G3448" s="22" t="s">
        <v>12</v>
      </c>
    </row>
    <row r="3449" ht="15.15" spans="1:7">
      <c r="A3449" s="20">
        <v>3448</v>
      </c>
      <c r="B3449" s="20">
        <v>1227</v>
      </c>
      <c r="C3449" s="21">
        <v>45258</v>
      </c>
      <c r="D3449" s="20">
        <v>157.92</v>
      </c>
      <c r="E3449" s="22" t="s">
        <v>10</v>
      </c>
      <c r="F3449" s="22" t="s">
        <v>13</v>
      </c>
      <c r="G3449" s="22" t="s">
        <v>15</v>
      </c>
    </row>
    <row r="3450" ht="15.15" spans="1:7">
      <c r="A3450" s="20">
        <v>3449</v>
      </c>
      <c r="B3450" s="20">
        <v>1117</v>
      </c>
      <c r="C3450" s="21">
        <v>45225</v>
      </c>
      <c r="D3450" s="20">
        <v>260.61</v>
      </c>
      <c r="E3450" s="22" t="s">
        <v>10</v>
      </c>
      <c r="F3450" s="22" t="s">
        <v>16</v>
      </c>
      <c r="G3450" s="22" t="s">
        <v>20</v>
      </c>
    </row>
    <row r="3451" ht="15.15" spans="1:7">
      <c r="A3451" s="20">
        <v>3450</v>
      </c>
      <c r="B3451" s="20">
        <v>7339</v>
      </c>
      <c r="C3451" s="21">
        <v>45246</v>
      </c>
      <c r="D3451" s="20">
        <v>280.61</v>
      </c>
      <c r="E3451" s="22" t="s">
        <v>10</v>
      </c>
      <c r="F3451" s="22" t="s">
        <v>16</v>
      </c>
      <c r="G3451" s="22" t="s">
        <v>17</v>
      </c>
    </row>
    <row r="3452" ht="15.15" spans="1:7">
      <c r="A3452" s="20">
        <v>3451</v>
      </c>
      <c r="B3452" s="20">
        <v>3858</v>
      </c>
      <c r="C3452" s="21">
        <v>45142</v>
      </c>
      <c r="D3452" s="20">
        <v>29817.33</v>
      </c>
      <c r="E3452" s="22" t="s">
        <v>10</v>
      </c>
      <c r="F3452" s="22" t="s">
        <v>14</v>
      </c>
      <c r="G3452" s="22" t="s">
        <v>17</v>
      </c>
    </row>
    <row r="3453" ht="15.15" spans="1:7">
      <c r="A3453" s="20">
        <v>3452</v>
      </c>
      <c r="B3453" s="20">
        <v>7493</v>
      </c>
      <c r="C3453" s="21">
        <v>45124</v>
      </c>
      <c r="D3453" s="20">
        <v>2325.73</v>
      </c>
      <c r="E3453" s="22" t="s">
        <v>10</v>
      </c>
      <c r="F3453" s="22" t="s">
        <v>11</v>
      </c>
      <c r="G3453" s="22" t="s">
        <v>15</v>
      </c>
    </row>
    <row r="3454" ht="15.15" spans="1:7">
      <c r="A3454" s="20">
        <v>3453</v>
      </c>
      <c r="B3454" s="20">
        <v>2798</v>
      </c>
      <c r="C3454" s="21">
        <v>44957</v>
      </c>
      <c r="D3454" s="20">
        <v>826.1</v>
      </c>
      <c r="E3454" s="22" t="s">
        <v>10</v>
      </c>
      <c r="F3454" s="22" t="s">
        <v>13</v>
      </c>
      <c r="G3454" s="22" t="s">
        <v>20</v>
      </c>
    </row>
    <row r="3455" ht="15.15" spans="1:7">
      <c r="A3455" s="20">
        <v>3454</v>
      </c>
      <c r="B3455" s="20">
        <v>2468</v>
      </c>
      <c r="C3455" s="21">
        <v>45201</v>
      </c>
      <c r="D3455" s="20">
        <v>1777.24</v>
      </c>
      <c r="E3455" s="22" t="s">
        <v>10</v>
      </c>
      <c r="F3455" s="22" t="s">
        <v>14</v>
      </c>
      <c r="G3455" s="22" t="s">
        <v>17</v>
      </c>
    </row>
    <row r="3456" ht="15.15" spans="1:7">
      <c r="A3456" s="20">
        <v>3455</v>
      </c>
      <c r="B3456" s="20">
        <v>3439</v>
      </c>
      <c r="C3456" s="21">
        <v>44946</v>
      </c>
      <c r="D3456" s="20">
        <v>1557.72</v>
      </c>
      <c r="E3456" s="22" t="s">
        <v>10</v>
      </c>
      <c r="F3456" s="22" t="s">
        <v>13</v>
      </c>
      <c r="G3456" s="22" t="s">
        <v>12</v>
      </c>
    </row>
    <row r="3457" ht="15.15" spans="1:7">
      <c r="A3457" s="20">
        <v>3456</v>
      </c>
      <c r="B3457" s="20">
        <v>3748</v>
      </c>
      <c r="C3457" s="21">
        <v>45189</v>
      </c>
      <c r="D3457" s="20">
        <v>3820.69</v>
      </c>
      <c r="E3457" s="22" t="s">
        <v>10</v>
      </c>
      <c r="F3457" s="22" t="s">
        <v>16</v>
      </c>
      <c r="G3457" s="22" t="s">
        <v>17</v>
      </c>
    </row>
    <row r="3458" ht="15.15" spans="1:7">
      <c r="A3458" s="20">
        <v>3457</v>
      </c>
      <c r="B3458" s="20">
        <v>4745</v>
      </c>
      <c r="C3458" s="21">
        <v>45017</v>
      </c>
      <c r="D3458" s="20">
        <v>2004.37</v>
      </c>
      <c r="E3458" s="22" t="s">
        <v>10</v>
      </c>
      <c r="F3458" s="22" t="s">
        <v>13</v>
      </c>
      <c r="G3458" s="22" t="s">
        <v>15</v>
      </c>
    </row>
    <row r="3459" ht="15.15" spans="1:7">
      <c r="A3459" s="20">
        <v>3458</v>
      </c>
      <c r="B3459" s="20">
        <v>5162</v>
      </c>
      <c r="C3459" s="21">
        <v>45048</v>
      </c>
      <c r="D3459" s="20">
        <v>958.2</v>
      </c>
      <c r="E3459" s="22" t="s">
        <v>10</v>
      </c>
      <c r="F3459" s="22" t="s">
        <v>13</v>
      </c>
      <c r="G3459" s="22" t="s">
        <v>20</v>
      </c>
    </row>
    <row r="3460" ht="15.15" spans="1:7">
      <c r="A3460" s="20">
        <v>3459</v>
      </c>
      <c r="B3460" s="20">
        <v>23</v>
      </c>
      <c r="C3460" s="21">
        <v>45163</v>
      </c>
      <c r="D3460" s="20">
        <v>1146.85</v>
      </c>
      <c r="E3460" s="22" t="s">
        <v>10</v>
      </c>
      <c r="F3460" s="22" t="s">
        <v>13</v>
      </c>
      <c r="G3460" s="22" t="s">
        <v>17</v>
      </c>
    </row>
    <row r="3461" ht="15.15" spans="1:7">
      <c r="A3461" s="20">
        <v>3460</v>
      </c>
      <c r="B3461" s="20">
        <v>4502</v>
      </c>
      <c r="C3461" s="21">
        <v>45217</v>
      </c>
      <c r="D3461" s="20">
        <v>2152.09</v>
      </c>
      <c r="E3461" s="22" t="s">
        <v>10</v>
      </c>
      <c r="F3461" s="22" t="s">
        <v>16</v>
      </c>
      <c r="G3461" s="22" t="s">
        <v>15</v>
      </c>
    </row>
    <row r="3462" ht="15.15" spans="1:7">
      <c r="A3462" s="20">
        <v>3461</v>
      </c>
      <c r="B3462" s="20">
        <v>5391</v>
      </c>
      <c r="C3462" s="21">
        <v>44999</v>
      </c>
      <c r="D3462" s="20">
        <v>1461.34</v>
      </c>
      <c r="E3462" s="22" t="s">
        <v>10</v>
      </c>
      <c r="F3462" s="22" t="s">
        <v>14</v>
      </c>
      <c r="G3462" s="22" t="s">
        <v>20</v>
      </c>
    </row>
    <row r="3463" ht="15.15" spans="1:7">
      <c r="A3463" s="20">
        <v>3462</v>
      </c>
      <c r="B3463" s="20">
        <v>5612</v>
      </c>
      <c r="C3463" s="21">
        <v>45141</v>
      </c>
      <c r="D3463" s="20">
        <v>816.7</v>
      </c>
      <c r="E3463" s="22" t="s">
        <v>10</v>
      </c>
      <c r="F3463" s="22" t="s">
        <v>14</v>
      </c>
      <c r="G3463" s="22" t="s">
        <v>20</v>
      </c>
    </row>
    <row r="3464" ht="15.15" spans="1:7">
      <c r="A3464" s="20">
        <v>3463</v>
      </c>
      <c r="B3464" s="20">
        <v>9178</v>
      </c>
      <c r="C3464" s="21">
        <v>45239</v>
      </c>
      <c r="D3464" s="20">
        <v>1793.72</v>
      </c>
      <c r="E3464" s="22" t="s">
        <v>10</v>
      </c>
      <c r="F3464" s="22" t="s">
        <v>18</v>
      </c>
      <c r="G3464" s="22" t="s">
        <v>15</v>
      </c>
    </row>
    <row r="3465" ht="15.15" spans="1:7">
      <c r="A3465" s="20">
        <v>3464</v>
      </c>
      <c r="B3465" s="20">
        <v>2219</v>
      </c>
      <c r="C3465" s="21">
        <v>44989</v>
      </c>
      <c r="D3465" s="20">
        <v>632.91</v>
      </c>
      <c r="E3465" s="22" t="s">
        <v>10</v>
      </c>
      <c r="F3465" s="22" t="s">
        <v>18</v>
      </c>
      <c r="G3465" s="22" t="s">
        <v>12</v>
      </c>
    </row>
    <row r="3466" ht="15.15" spans="1:7">
      <c r="A3466" s="20">
        <v>3465</v>
      </c>
      <c r="B3466" s="20">
        <v>9904</v>
      </c>
      <c r="C3466" s="21">
        <v>44990</v>
      </c>
      <c r="D3466" s="20">
        <v>377.58</v>
      </c>
      <c r="E3466" s="22" t="s">
        <v>10</v>
      </c>
      <c r="F3466" s="22" t="s">
        <v>18</v>
      </c>
      <c r="G3466" s="22" t="s">
        <v>15</v>
      </c>
    </row>
    <row r="3467" ht="15.15" spans="1:7">
      <c r="A3467" s="20">
        <v>3466</v>
      </c>
      <c r="B3467" s="20">
        <v>7520</v>
      </c>
      <c r="C3467" s="21">
        <v>45001</v>
      </c>
      <c r="D3467" s="20">
        <v>744.5</v>
      </c>
      <c r="E3467" s="22" t="s">
        <v>10</v>
      </c>
      <c r="F3467" s="22" t="s">
        <v>11</v>
      </c>
      <c r="G3467" s="22" t="s">
        <v>12</v>
      </c>
    </row>
    <row r="3468" ht="15.15" spans="1:7">
      <c r="A3468" s="20">
        <v>3467</v>
      </c>
      <c r="B3468" s="20">
        <v>1952</v>
      </c>
      <c r="C3468" s="21">
        <v>45200</v>
      </c>
      <c r="D3468" s="20">
        <v>1102.88</v>
      </c>
      <c r="E3468" s="22" t="s">
        <v>10</v>
      </c>
      <c r="F3468" s="22" t="s">
        <v>14</v>
      </c>
      <c r="G3468" s="22" t="s">
        <v>17</v>
      </c>
    </row>
    <row r="3469" ht="15.15" spans="1:7">
      <c r="A3469" s="20">
        <v>3468</v>
      </c>
      <c r="B3469" s="20">
        <v>7235</v>
      </c>
      <c r="C3469" s="21">
        <v>45190</v>
      </c>
      <c r="D3469" s="20">
        <v>1214.91</v>
      </c>
      <c r="E3469" s="22" t="s">
        <v>10</v>
      </c>
      <c r="F3469" s="22" t="s">
        <v>13</v>
      </c>
      <c r="G3469" s="22" t="s">
        <v>15</v>
      </c>
    </row>
    <row r="3470" ht="15.15" spans="1:7">
      <c r="A3470" s="20">
        <v>3469</v>
      </c>
      <c r="B3470" s="20">
        <v>7863</v>
      </c>
      <c r="C3470" s="21">
        <v>45110</v>
      </c>
      <c r="D3470" s="20">
        <v>898.06</v>
      </c>
      <c r="E3470" s="22" t="s">
        <v>10</v>
      </c>
      <c r="F3470" s="22" t="s">
        <v>13</v>
      </c>
      <c r="G3470" s="22" t="s">
        <v>12</v>
      </c>
    </row>
    <row r="3471" ht="15.15" spans="1:7">
      <c r="A3471" s="20">
        <v>3470</v>
      </c>
      <c r="B3471" s="20">
        <v>1583</v>
      </c>
      <c r="C3471" s="21">
        <v>45005</v>
      </c>
      <c r="D3471" s="20">
        <v>1072.43</v>
      </c>
      <c r="E3471" s="22" t="s">
        <v>10</v>
      </c>
      <c r="F3471" s="22" t="s">
        <v>16</v>
      </c>
      <c r="G3471" s="22" t="s">
        <v>12</v>
      </c>
    </row>
    <row r="3472" ht="15.15" spans="1:7">
      <c r="A3472" s="20">
        <v>3471</v>
      </c>
      <c r="B3472" s="20">
        <v>1402</v>
      </c>
      <c r="C3472" s="21">
        <v>45051</v>
      </c>
      <c r="D3472" s="20">
        <v>772.53</v>
      </c>
      <c r="E3472" s="22" t="s">
        <v>21</v>
      </c>
      <c r="F3472" s="22" t="s">
        <v>11</v>
      </c>
      <c r="G3472" s="22" t="s">
        <v>15</v>
      </c>
    </row>
    <row r="3473" ht="15.15" spans="1:7">
      <c r="A3473" s="20">
        <v>3472</v>
      </c>
      <c r="B3473" s="20">
        <v>4125</v>
      </c>
      <c r="C3473" s="21">
        <v>45258</v>
      </c>
      <c r="D3473" s="20">
        <v>152.53</v>
      </c>
      <c r="E3473" s="22" t="s">
        <v>10</v>
      </c>
      <c r="F3473" s="22" t="s">
        <v>18</v>
      </c>
      <c r="G3473" s="22" t="s">
        <v>20</v>
      </c>
    </row>
    <row r="3474" ht="15.15" spans="1:7">
      <c r="A3474" s="20">
        <v>3473</v>
      </c>
      <c r="B3474" s="20">
        <v>4344</v>
      </c>
      <c r="C3474" s="21">
        <v>45195</v>
      </c>
      <c r="D3474" s="20">
        <v>1374.61</v>
      </c>
      <c r="E3474" s="22" t="s">
        <v>10</v>
      </c>
      <c r="F3474" s="22" t="s">
        <v>13</v>
      </c>
      <c r="G3474" s="22" t="s">
        <v>12</v>
      </c>
    </row>
    <row r="3475" ht="15.15" spans="1:7">
      <c r="A3475" s="20">
        <v>3474</v>
      </c>
      <c r="B3475" s="20">
        <v>6740</v>
      </c>
      <c r="C3475" s="21">
        <v>45044</v>
      </c>
      <c r="D3475" s="20">
        <v>2121.66</v>
      </c>
      <c r="E3475" s="22" t="s">
        <v>10</v>
      </c>
      <c r="F3475" s="22" t="s">
        <v>14</v>
      </c>
      <c r="G3475" s="22" t="s">
        <v>12</v>
      </c>
    </row>
    <row r="3476" ht="15.15" spans="1:7">
      <c r="A3476" s="20">
        <v>3475</v>
      </c>
      <c r="B3476" s="20">
        <v>5126</v>
      </c>
      <c r="C3476" s="21">
        <v>45246</v>
      </c>
      <c r="D3476" s="20">
        <v>1128.91</v>
      </c>
      <c r="E3476" s="22" t="s">
        <v>10</v>
      </c>
      <c r="F3476" s="22" t="s">
        <v>11</v>
      </c>
      <c r="G3476" s="22" t="s">
        <v>12</v>
      </c>
    </row>
    <row r="3477" ht="15.15" spans="1:7">
      <c r="A3477" s="20">
        <v>3476</v>
      </c>
      <c r="B3477" s="20">
        <v>6412</v>
      </c>
      <c r="C3477" s="21">
        <v>44933</v>
      </c>
      <c r="D3477" s="20">
        <v>1148.94</v>
      </c>
      <c r="E3477" s="22" t="s">
        <v>10</v>
      </c>
      <c r="F3477" s="22" t="s">
        <v>14</v>
      </c>
      <c r="G3477" s="22" t="s">
        <v>12</v>
      </c>
    </row>
    <row r="3478" ht="15.15" spans="1:7">
      <c r="A3478" s="20">
        <v>3477</v>
      </c>
      <c r="B3478" s="20">
        <v>1400</v>
      </c>
      <c r="C3478" s="21">
        <v>45187</v>
      </c>
      <c r="D3478" s="20">
        <v>193.27</v>
      </c>
      <c r="E3478" s="22" t="s">
        <v>10</v>
      </c>
      <c r="F3478" s="22" t="s">
        <v>13</v>
      </c>
      <c r="G3478" s="22" t="s">
        <v>17</v>
      </c>
    </row>
    <row r="3479" ht="15.15" spans="1:7">
      <c r="A3479" s="20">
        <v>3478</v>
      </c>
      <c r="B3479" s="20">
        <v>163</v>
      </c>
      <c r="C3479" s="21">
        <v>45282</v>
      </c>
      <c r="D3479" s="20">
        <v>2257.82</v>
      </c>
      <c r="E3479" s="22" t="s">
        <v>10</v>
      </c>
      <c r="F3479" s="22" t="s">
        <v>11</v>
      </c>
      <c r="G3479" s="22" t="s">
        <v>17</v>
      </c>
    </row>
    <row r="3480" ht="15.15" spans="1:7">
      <c r="A3480" s="20">
        <v>3479</v>
      </c>
      <c r="B3480" s="20">
        <v>4650</v>
      </c>
      <c r="C3480" s="21">
        <v>44963</v>
      </c>
      <c r="D3480" s="20">
        <v>3189.55</v>
      </c>
      <c r="E3480" s="22" t="s">
        <v>10</v>
      </c>
      <c r="F3480" s="22" t="s">
        <v>11</v>
      </c>
      <c r="G3480" s="22" t="s">
        <v>12</v>
      </c>
    </row>
    <row r="3481" ht="15.15" spans="1:7">
      <c r="A3481" s="20">
        <v>3480</v>
      </c>
      <c r="B3481" s="20">
        <v>7087</v>
      </c>
      <c r="C3481" s="21">
        <v>45267</v>
      </c>
      <c r="D3481" s="20">
        <v>2001.06</v>
      </c>
      <c r="E3481" s="22" t="s">
        <v>10</v>
      </c>
      <c r="F3481" s="22" t="s">
        <v>13</v>
      </c>
      <c r="G3481" s="22" t="s">
        <v>15</v>
      </c>
    </row>
    <row r="3482" ht="15.15" spans="1:7">
      <c r="A3482" s="20">
        <v>3481</v>
      </c>
      <c r="B3482" s="20">
        <v>6205</v>
      </c>
      <c r="C3482" s="21">
        <v>44985</v>
      </c>
      <c r="D3482" s="20">
        <v>1072.43</v>
      </c>
      <c r="E3482" s="22" t="s">
        <v>10</v>
      </c>
      <c r="F3482" s="22" t="s">
        <v>18</v>
      </c>
      <c r="G3482" s="22" t="s">
        <v>12</v>
      </c>
    </row>
    <row r="3483" ht="15.15" spans="1:7">
      <c r="A3483" s="20">
        <v>3482</v>
      </c>
      <c r="B3483" s="20">
        <v>3410</v>
      </c>
      <c r="C3483" s="21">
        <v>45049</v>
      </c>
      <c r="D3483" s="20">
        <v>1257.96</v>
      </c>
      <c r="E3483" s="22" t="s">
        <v>10</v>
      </c>
      <c r="F3483" s="22" t="s">
        <v>18</v>
      </c>
      <c r="G3483" s="22" t="s">
        <v>12</v>
      </c>
    </row>
    <row r="3484" ht="15.15" spans="1:7">
      <c r="A3484" s="20">
        <v>3483</v>
      </c>
      <c r="B3484" s="20">
        <v>1319</v>
      </c>
      <c r="C3484" s="21">
        <v>45225</v>
      </c>
      <c r="D3484" s="20">
        <v>2301.8</v>
      </c>
      <c r="E3484" s="22" t="s">
        <v>10</v>
      </c>
      <c r="F3484" s="22" t="s">
        <v>13</v>
      </c>
      <c r="G3484" s="22" t="s">
        <v>12</v>
      </c>
    </row>
    <row r="3485" ht="15.15" spans="1:7">
      <c r="A3485" s="20">
        <v>3484</v>
      </c>
      <c r="B3485" s="20">
        <v>3896</v>
      </c>
      <c r="C3485" s="21">
        <v>45044</v>
      </c>
      <c r="D3485" s="20">
        <v>4130.89</v>
      </c>
      <c r="E3485" s="22" t="s">
        <v>10</v>
      </c>
      <c r="F3485" s="22" t="s">
        <v>14</v>
      </c>
      <c r="G3485" s="22" t="s">
        <v>12</v>
      </c>
    </row>
    <row r="3486" ht="15.15" spans="1:7">
      <c r="A3486" s="20">
        <v>3485</v>
      </c>
      <c r="B3486" s="20">
        <v>7726</v>
      </c>
      <c r="C3486" s="21">
        <v>45126</v>
      </c>
      <c r="D3486" s="20">
        <v>422.21</v>
      </c>
      <c r="E3486" s="22" t="s">
        <v>10</v>
      </c>
      <c r="F3486" s="22" t="s">
        <v>11</v>
      </c>
      <c r="G3486" s="22" t="s">
        <v>15</v>
      </c>
    </row>
    <row r="3487" ht="15.15" spans="1:7">
      <c r="A3487" s="20">
        <v>3486</v>
      </c>
      <c r="B3487" s="20">
        <v>6670</v>
      </c>
      <c r="C3487" s="21">
        <v>45099</v>
      </c>
      <c r="D3487" s="20">
        <v>1257.18</v>
      </c>
      <c r="E3487" s="22" t="s">
        <v>10</v>
      </c>
      <c r="F3487" s="22" t="s">
        <v>16</v>
      </c>
      <c r="G3487" s="22" t="s">
        <v>15</v>
      </c>
    </row>
    <row r="3488" ht="15.15" spans="1:7">
      <c r="A3488" s="20">
        <v>3487</v>
      </c>
      <c r="B3488" s="20">
        <v>7843</v>
      </c>
      <c r="C3488" s="21">
        <v>45190</v>
      </c>
      <c r="D3488" s="20">
        <v>1354.25</v>
      </c>
      <c r="E3488" s="22" t="s">
        <v>10</v>
      </c>
      <c r="F3488" s="22" t="s">
        <v>19</v>
      </c>
      <c r="G3488" s="22" t="s">
        <v>17</v>
      </c>
    </row>
    <row r="3489" ht="15.15" spans="1:7">
      <c r="A3489" s="20">
        <v>3488</v>
      </c>
      <c r="B3489" s="20">
        <v>2665</v>
      </c>
      <c r="C3489" s="21">
        <v>44980</v>
      </c>
      <c r="D3489" s="20">
        <v>336.84</v>
      </c>
      <c r="E3489" s="22" t="s">
        <v>10</v>
      </c>
      <c r="F3489" s="22" t="s">
        <v>16</v>
      </c>
      <c r="G3489" s="22" t="s">
        <v>20</v>
      </c>
    </row>
    <row r="3490" ht="15.15" spans="1:7">
      <c r="A3490" s="20">
        <v>3489</v>
      </c>
      <c r="B3490" s="20">
        <v>3825</v>
      </c>
      <c r="C3490" s="21">
        <v>44986</v>
      </c>
      <c r="D3490" s="20">
        <v>512.52</v>
      </c>
      <c r="E3490" s="22" t="s">
        <v>10</v>
      </c>
      <c r="F3490" s="22" t="s">
        <v>18</v>
      </c>
      <c r="G3490" s="22" t="s">
        <v>15</v>
      </c>
    </row>
    <row r="3491" ht="15.15" spans="1:7">
      <c r="A3491" s="20">
        <v>3490</v>
      </c>
      <c r="B3491" s="20">
        <v>9529</v>
      </c>
      <c r="C3491" s="21">
        <v>45272</v>
      </c>
      <c r="D3491" s="20">
        <v>3276.92</v>
      </c>
      <c r="E3491" s="22" t="s">
        <v>10</v>
      </c>
      <c r="F3491" s="22" t="s">
        <v>18</v>
      </c>
      <c r="G3491" s="22" t="s">
        <v>15</v>
      </c>
    </row>
    <row r="3492" ht="15.15" spans="1:7">
      <c r="A3492" s="20">
        <v>3491</v>
      </c>
      <c r="B3492" s="20">
        <v>2592</v>
      </c>
      <c r="C3492" s="21">
        <v>44953</v>
      </c>
      <c r="D3492" s="20">
        <v>278.26</v>
      </c>
      <c r="E3492" s="22" t="s">
        <v>10</v>
      </c>
      <c r="F3492" s="22" t="s">
        <v>11</v>
      </c>
      <c r="G3492" s="22" t="s">
        <v>12</v>
      </c>
    </row>
    <row r="3493" ht="15.15" spans="1:7">
      <c r="A3493" s="20">
        <v>3492</v>
      </c>
      <c r="B3493" s="20">
        <v>2626</v>
      </c>
      <c r="C3493" s="21">
        <v>45001</v>
      </c>
      <c r="D3493" s="20">
        <v>1468.48</v>
      </c>
      <c r="E3493" s="22" t="s">
        <v>10</v>
      </c>
      <c r="F3493" s="22" t="s">
        <v>16</v>
      </c>
      <c r="G3493" s="22" t="s">
        <v>20</v>
      </c>
    </row>
    <row r="3494" ht="15.15" spans="1:7">
      <c r="A3494" s="20">
        <v>3493</v>
      </c>
      <c r="B3494" s="20">
        <v>7366</v>
      </c>
      <c r="C3494" s="21">
        <v>45170</v>
      </c>
      <c r="D3494" s="20">
        <v>1257.96</v>
      </c>
      <c r="E3494" s="22" t="s">
        <v>10</v>
      </c>
      <c r="F3494" s="22" t="s">
        <v>13</v>
      </c>
      <c r="G3494" s="22" t="s">
        <v>12</v>
      </c>
    </row>
    <row r="3495" ht="15.15" spans="1:7">
      <c r="A3495" s="20">
        <v>3494</v>
      </c>
      <c r="B3495" s="20">
        <v>6773</v>
      </c>
      <c r="C3495" s="21">
        <v>45222</v>
      </c>
      <c r="D3495" s="20">
        <v>518.12</v>
      </c>
      <c r="E3495" s="22" t="s">
        <v>10</v>
      </c>
      <c r="F3495" s="22" t="s">
        <v>11</v>
      </c>
      <c r="G3495" s="22" t="s">
        <v>12</v>
      </c>
    </row>
    <row r="3496" ht="15.15" spans="1:7">
      <c r="A3496" s="20">
        <v>3495</v>
      </c>
      <c r="B3496" s="20">
        <v>1250</v>
      </c>
      <c r="C3496" s="21">
        <v>45038</v>
      </c>
      <c r="D3496" s="20">
        <v>1527.31</v>
      </c>
      <c r="E3496" s="22" t="s">
        <v>22</v>
      </c>
      <c r="F3496" s="22" t="s">
        <v>16</v>
      </c>
      <c r="G3496" s="22" t="s">
        <v>12</v>
      </c>
    </row>
    <row r="3497" ht="15.15" spans="1:7">
      <c r="A3497" s="20">
        <v>3496</v>
      </c>
      <c r="B3497" s="20">
        <v>2504</v>
      </c>
      <c r="C3497" s="21">
        <v>45140</v>
      </c>
      <c r="D3497" s="20">
        <v>4703.22</v>
      </c>
      <c r="E3497" s="22" t="s">
        <v>10</v>
      </c>
      <c r="F3497" s="22" t="s">
        <v>18</v>
      </c>
      <c r="G3497" s="22" t="s">
        <v>15</v>
      </c>
    </row>
    <row r="3498" ht="15.15" spans="1:7">
      <c r="A3498" s="20">
        <v>3497</v>
      </c>
      <c r="B3498" s="20">
        <v>2871</v>
      </c>
      <c r="C3498" s="21">
        <v>44955</v>
      </c>
      <c r="D3498" s="20">
        <v>802.78</v>
      </c>
      <c r="E3498" s="22" t="s">
        <v>10</v>
      </c>
      <c r="F3498" s="22" t="s">
        <v>14</v>
      </c>
      <c r="G3498" s="22" t="s">
        <v>12</v>
      </c>
    </row>
    <row r="3499" ht="15.15" spans="1:7">
      <c r="A3499" s="20">
        <v>3498</v>
      </c>
      <c r="B3499" s="20">
        <v>7859</v>
      </c>
      <c r="C3499" s="21">
        <v>45217</v>
      </c>
      <c r="D3499" s="20">
        <v>3645.8</v>
      </c>
      <c r="E3499" s="22" t="s">
        <v>10</v>
      </c>
      <c r="F3499" s="22" t="s">
        <v>14</v>
      </c>
      <c r="G3499" s="22" t="s">
        <v>12</v>
      </c>
    </row>
    <row r="3500" ht="15.15" spans="1:7">
      <c r="A3500" s="20">
        <v>3499</v>
      </c>
      <c r="B3500" s="20">
        <v>4763</v>
      </c>
      <c r="C3500" s="21">
        <v>45225</v>
      </c>
      <c r="D3500" s="20">
        <v>1919.68</v>
      </c>
      <c r="E3500" s="22" t="s">
        <v>10</v>
      </c>
      <c r="F3500" s="22" t="s">
        <v>14</v>
      </c>
      <c r="G3500" s="22" t="s">
        <v>17</v>
      </c>
    </row>
    <row r="3501" ht="15.15" spans="1:7">
      <c r="A3501" s="20">
        <v>3500</v>
      </c>
      <c r="B3501" s="20">
        <v>2749</v>
      </c>
      <c r="C3501" s="21">
        <v>45284</v>
      </c>
      <c r="D3501" s="20">
        <v>1014.35</v>
      </c>
      <c r="E3501" s="22" t="s">
        <v>10</v>
      </c>
      <c r="F3501" s="22" t="s">
        <v>11</v>
      </c>
      <c r="G3501" s="22" t="s">
        <v>12</v>
      </c>
    </row>
    <row r="3502" ht="15.15" spans="1:7">
      <c r="A3502" s="20">
        <v>3501</v>
      </c>
      <c r="B3502" s="20">
        <v>4912</v>
      </c>
      <c r="C3502" s="21">
        <v>45086</v>
      </c>
      <c r="D3502" s="20">
        <v>661.44</v>
      </c>
      <c r="E3502" s="22" t="s">
        <v>22</v>
      </c>
      <c r="F3502" s="22" t="s">
        <v>13</v>
      </c>
      <c r="G3502" s="22" t="s">
        <v>15</v>
      </c>
    </row>
    <row r="3503" ht="15.15" spans="1:7">
      <c r="A3503" s="20">
        <v>3502</v>
      </c>
      <c r="B3503" s="20">
        <v>3514</v>
      </c>
      <c r="C3503" s="21">
        <v>45041</v>
      </c>
      <c r="D3503" s="20">
        <v>554.44</v>
      </c>
      <c r="E3503" s="22" t="s">
        <v>10</v>
      </c>
      <c r="F3503" s="22" t="s">
        <v>18</v>
      </c>
      <c r="G3503" s="22" t="s">
        <v>20</v>
      </c>
    </row>
    <row r="3504" ht="15.15" spans="1:7">
      <c r="A3504" s="20">
        <v>3503</v>
      </c>
      <c r="B3504" s="20">
        <v>6825</v>
      </c>
      <c r="C3504" s="21">
        <v>45289</v>
      </c>
      <c r="D3504" s="20">
        <v>1880.46</v>
      </c>
      <c r="E3504" s="22" t="s">
        <v>10</v>
      </c>
      <c r="F3504" s="22" t="s">
        <v>13</v>
      </c>
      <c r="G3504" s="22" t="s">
        <v>12</v>
      </c>
    </row>
    <row r="3505" ht="15.15" spans="1:7">
      <c r="A3505" s="20">
        <v>3504</v>
      </c>
      <c r="B3505" s="20">
        <v>8046</v>
      </c>
      <c r="C3505" s="21">
        <v>45254</v>
      </c>
      <c r="D3505" s="20">
        <v>931.71</v>
      </c>
      <c r="E3505" s="22" t="s">
        <v>10</v>
      </c>
      <c r="F3505" s="22" t="s">
        <v>18</v>
      </c>
      <c r="G3505" s="22" t="s">
        <v>12</v>
      </c>
    </row>
    <row r="3506" ht="15.15" spans="1:7">
      <c r="A3506" s="20">
        <v>3505</v>
      </c>
      <c r="B3506" s="20">
        <v>9927</v>
      </c>
      <c r="C3506" s="21">
        <v>45225</v>
      </c>
      <c r="D3506" s="20">
        <v>3007.57</v>
      </c>
      <c r="E3506" s="22" t="s">
        <v>10</v>
      </c>
      <c r="F3506" s="22" t="s">
        <v>11</v>
      </c>
      <c r="G3506" s="22" t="s">
        <v>12</v>
      </c>
    </row>
    <row r="3507" ht="15.15" spans="1:7">
      <c r="A3507" s="20">
        <v>3506</v>
      </c>
      <c r="B3507" s="20">
        <v>1864</v>
      </c>
      <c r="C3507" s="21">
        <v>45145</v>
      </c>
      <c r="D3507" s="20">
        <v>366.31</v>
      </c>
      <c r="E3507" s="22" t="s">
        <v>10</v>
      </c>
      <c r="F3507" s="22" t="s">
        <v>13</v>
      </c>
      <c r="G3507" s="22" t="s">
        <v>20</v>
      </c>
    </row>
    <row r="3508" ht="15.15" spans="1:7">
      <c r="A3508" s="20">
        <v>3507</v>
      </c>
      <c r="B3508" s="20">
        <v>8814</v>
      </c>
      <c r="C3508" s="21">
        <v>45036</v>
      </c>
      <c r="D3508" s="20">
        <v>639.26</v>
      </c>
      <c r="E3508" s="22" t="s">
        <v>10</v>
      </c>
      <c r="F3508" s="22" t="s">
        <v>11</v>
      </c>
      <c r="G3508" s="22" t="s">
        <v>20</v>
      </c>
    </row>
    <row r="3509" ht="15.15" spans="1:7">
      <c r="A3509" s="20">
        <v>3508</v>
      </c>
      <c r="B3509" s="20">
        <v>657</v>
      </c>
      <c r="C3509" s="21">
        <v>45139</v>
      </c>
      <c r="D3509" s="20">
        <v>766.48</v>
      </c>
      <c r="E3509" s="22" t="s">
        <v>10</v>
      </c>
      <c r="F3509" s="22" t="s">
        <v>11</v>
      </c>
      <c r="G3509" s="22" t="s">
        <v>20</v>
      </c>
    </row>
    <row r="3510" ht="15.15" spans="1:7">
      <c r="A3510" s="20">
        <v>3509</v>
      </c>
      <c r="B3510" s="20">
        <v>5688</v>
      </c>
      <c r="C3510" s="21">
        <v>45134</v>
      </c>
      <c r="D3510" s="20">
        <v>442.69</v>
      </c>
      <c r="E3510" s="22" t="s">
        <v>10</v>
      </c>
      <c r="F3510" s="22" t="s">
        <v>14</v>
      </c>
      <c r="G3510" s="22" t="s">
        <v>17</v>
      </c>
    </row>
    <row r="3511" ht="15.15" spans="1:7">
      <c r="A3511" s="20">
        <v>3510</v>
      </c>
      <c r="B3511" s="20">
        <v>1807</v>
      </c>
      <c r="C3511" s="21">
        <v>45024</v>
      </c>
      <c r="D3511" s="20">
        <v>254.47</v>
      </c>
      <c r="E3511" s="22" t="s">
        <v>10</v>
      </c>
      <c r="F3511" s="22" t="s">
        <v>18</v>
      </c>
      <c r="G3511" s="22" t="s">
        <v>20</v>
      </c>
    </row>
    <row r="3512" ht="15.15" spans="1:7">
      <c r="A3512" s="20">
        <v>3511</v>
      </c>
      <c r="B3512" s="20">
        <v>1295</v>
      </c>
      <c r="C3512" s="21">
        <v>45123</v>
      </c>
      <c r="D3512" s="20">
        <v>1602.32</v>
      </c>
      <c r="E3512" s="22" t="s">
        <v>10</v>
      </c>
      <c r="F3512" s="22" t="s">
        <v>19</v>
      </c>
      <c r="G3512" s="22" t="s">
        <v>17</v>
      </c>
    </row>
    <row r="3513" ht="15.15" spans="1:7">
      <c r="A3513" s="20">
        <v>3512</v>
      </c>
      <c r="B3513" s="20">
        <v>5396</v>
      </c>
      <c r="C3513" s="21">
        <v>45021</v>
      </c>
      <c r="D3513" s="20">
        <v>996.13</v>
      </c>
      <c r="E3513" s="22" t="s">
        <v>10</v>
      </c>
      <c r="F3513" s="22" t="s">
        <v>11</v>
      </c>
      <c r="G3513" s="22" t="s">
        <v>15</v>
      </c>
    </row>
    <row r="3514" ht="15.15" spans="1:7">
      <c r="A3514" s="20">
        <v>3513</v>
      </c>
      <c r="B3514" s="20">
        <v>4085</v>
      </c>
      <c r="C3514" s="21">
        <v>45234</v>
      </c>
      <c r="D3514" s="20">
        <v>644.55</v>
      </c>
      <c r="E3514" s="22" t="s">
        <v>10</v>
      </c>
      <c r="F3514" s="22" t="s">
        <v>18</v>
      </c>
      <c r="G3514" s="22" t="s">
        <v>12</v>
      </c>
    </row>
    <row r="3515" ht="15.15" spans="1:7">
      <c r="A3515" s="20">
        <v>3514</v>
      </c>
      <c r="B3515" s="20">
        <v>5508</v>
      </c>
      <c r="C3515" s="21">
        <v>45252</v>
      </c>
      <c r="D3515" s="20">
        <v>1364.93</v>
      </c>
      <c r="E3515" s="22" t="s">
        <v>10</v>
      </c>
      <c r="F3515" s="22" t="s">
        <v>13</v>
      </c>
      <c r="G3515" s="22" t="s">
        <v>17</v>
      </c>
    </row>
    <row r="3516" ht="15.15" spans="1:7">
      <c r="A3516" s="20">
        <v>3515</v>
      </c>
      <c r="B3516" s="20">
        <v>5517</v>
      </c>
      <c r="C3516" s="21">
        <v>45154</v>
      </c>
      <c r="D3516" s="20">
        <v>1600.75</v>
      </c>
      <c r="E3516" s="22" t="s">
        <v>10</v>
      </c>
      <c r="F3516" s="22" t="s">
        <v>18</v>
      </c>
      <c r="G3516" s="22" t="s">
        <v>20</v>
      </c>
    </row>
    <row r="3517" ht="15.15" spans="1:7">
      <c r="A3517" s="20">
        <v>3516</v>
      </c>
      <c r="B3517" s="20">
        <v>5240</v>
      </c>
      <c r="C3517" s="21">
        <v>45103</v>
      </c>
      <c r="D3517" s="20">
        <v>2122.62</v>
      </c>
      <c r="E3517" s="22" t="s">
        <v>10</v>
      </c>
      <c r="F3517" s="22" t="s">
        <v>11</v>
      </c>
      <c r="G3517" s="22" t="s">
        <v>12</v>
      </c>
    </row>
    <row r="3518" ht="15.15" spans="1:7">
      <c r="A3518" s="20">
        <v>3517</v>
      </c>
      <c r="B3518" s="20">
        <v>6462</v>
      </c>
      <c r="C3518" s="21">
        <v>44982</v>
      </c>
      <c r="D3518" s="20">
        <v>2018.07</v>
      </c>
      <c r="E3518" s="22" t="s">
        <v>10</v>
      </c>
      <c r="F3518" s="22" t="s">
        <v>13</v>
      </c>
      <c r="G3518" s="22" t="s">
        <v>12</v>
      </c>
    </row>
    <row r="3519" ht="15.15" spans="1:7">
      <c r="A3519" s="20">
        <v>3518</v>
      </c>
      <c r="B3519" s="20">
        <v>6443</v>
      </c>
      <c r="C3519" s="21">
        <v>44957</v>
      </c>
      <c r="D3519" s="20">
        <v>1524.03</v>
      </c>
      <c r="E3519" s="22" t="s">
        <v>10</v>
      </c>
      <c r="F3519" s="22" t="s">
        <v>13</v>
      </c>
      <c r="G3519" s="22" t="s">
        <v>12</v>
      </c>
    </row>
    <row r="3520" ht="15.15" spans="1:7">
      <c r="A3520" s="20">
        <v>3519</v>
      </c>
      <c r="B3520" s="20">
        <v>1056</v>
      </c>
      <c r="C3520" s="21">
        <v>45268</v>
      </c>
      <c r="D3520" s="20">
        <v>2612.24</v>
      </c>
      <c r="E3520" s="22" t="s">
        <v>22</v>
      </c>
      <c r="F3520" s="22" t="s">
        <v>16</v>
      </c>
      <c r="G3520" s="22" t="s">
        <v>17</v>
      </c>
    </row>
    <row r="3521" ht="15.15" spans="1:7">
      <c r="A3521" s="20">
        <v>3520</v>
      </c>
      <c r="B3521" s="20">
        <v>7847</v>
      </c>
      <c r="C3521" s="21">
        <v>45098</v>
      </c>
      <c r="D3521" s="20">
        <v>361.97</v>
      </c>
      <c r="E3521" s="22" t="s">
        <v>10</v>
      </c>
      <c r="F3521" s="22" t="s">
        <v>11</v>
      </c>
      <c r="G3521" s="22" t="s">
        <v>20</v>
      </c>
    </row>
    <row r="3522" ht="15.15" spans="1:7">
      <c r="A3522" s="20">
        <v>3521</v>
      </c>
      <c r="B3522" s="20">
        <v>2505</v>
      </c>
      <c r="C3522" s="21">
        <v>45107</v>
      </c>
      <c r="D3522" s="20">
        <v>394.17</v>
      </c>
      <c r="E3522" s="22" t="s">
        <v>10</v>
      </c>
      <c r="F3522" s="22" t="s">
        <v>13</v>
      </c>
      <c r="G3522" s="22" t="s">
        <v>20</v>
      </c>
    </row>
    <row r="3523" ht="15.15" spans="1:7">
      <c r="A3523" s="20">
        <v>3522</v>
      </c>
      <c r="B3523" s="20">
        <v>8509</v>
      </c>
      <c r="C3523" s="21">
        <v>45276</v>
      </c>
      <c r="D3523" s="20">
        <v>1212.17</v>
      </c>
      <c r="E3523" s="22" t="s">
        <v>10</v>
      </c>
      <c r="F3523" s="22" t="s">
        <v>11</v>
      </c>
      <c r="G3523" s="22" t="s">
        <v>12</v>
      </c>
    </row>
    <row r="3524" ht="15.15" spans="1:7">
      <c r="A3524" s="20">
        <v>3523</v>
      </c>
      <c r="B3524" s="20">
        <v>6408</v>
      </c>
      <c r="C3524" s="21">
        <v>45280</v>
      </c>
      <c r="D3524" s="20">
        <v>1357.9</v>
      </c>
      <c r="E3524" s="22" t="s">
        <v>10</v>
      </c>
      <c r="F3524" s="22" t="s">
        <v>18</v>
      </c>
      <c r="G3524" s="22" t="s">
        <v>12</v>
      </c>
    </row>
    <row r="3525" ht="15.15" spans="1:7">
      <c r="A3525" s="20">
        <v>3524</v>
      </c>
      <c r="B3525" s="20">
        <v>7135</v>
      </c>
      <c r="C3525" s="21">
        <v>45028</v>
      </c>
      <c r="D3525" s="20">
        <v>112.48</v>
      </c>
      <c r="E3525" s="22" t="s">
        <v>10</v>
      </c>
      <c r="F3525" s="22" t="s">
        <v>18</v>
      </c>
      <c r="G3525" s="22" t="s">
        <v>12</v>
      </c>
    </row>
    <row r="3526" ht="15.15" spans="1:7">
      <c r="A3526" s="20">
        <v>3525</v>
      </c>
      <c r="B3526" s="20">
        <v>5590</v>
      </c>
      <c r="C3526" s="21">
        <v>45202</v>
      </c>
      <c r="D3526" s="20">
        <v>379.38</v>
      </c>
      <c r="E3526" s="22" t="s">
        <v>10</v>
      </c>
      <c r="F3526" s="22" t="s">
        <v>18</v>
      </c>
      <c r="G3526" s="22" t="s">
        <v>12</v>
      </c>
    </row>
    <row r="3527" ht="15.15" spans="1:7">
      <c r="A3527" s="20">
        <v>3526</v>
      </c>
      <c r="B3527" s="20">
        <v>2491</v>
      </c>
      <c r="C3527" s="21">
        <v>45084</v>
      </c>
      <c r="D3527" s="20">
        <v>3560.01</v>
      </c>
      <c r="E3527" s="22" t="s">
        <v>10</v>
      </c>
      <c r="F3527" s="22" t="s">
        <v>11</v>
      </c>
      <c r="G3527" s="22" t="s">
        <v>17</v>
      </c>
    </row>
    <row r="3528" ht="15.15" spans="1:7">
      <c r="A3528" s="20">
        <v>3527</v>
      </c>
      <c r="B3528" s="20">
        <v>3121</v>
      </c>
      <c r="C3528" s="21">
        <v>45230</v>
      </c>
      <c r="D3528" s="20">
        <v>2333.73</v>
      </c>
      <c r="E3528" s="22" t="s">
        <v>10</v>
      </c>
      <c r="F3528" s="22" t="s">
        <v>13</v>
      </c>
      <c r="G3528" s="22" t="s">
        <v>17</v>
      </c>
    </row>
    <row r="3529" ht="15.15" spans="1:7">
      <c r="A3529" s="20">
        <v>3528</v>
      </c>
      <c r="B3529" s="20">
        <v>4684</v>
      </c>
      <c r="C3529" s="21">
        <v>45201</v>
      </c>
      <c r="D3529" s="20">
        <v>1285.75</v>
      </c>
      <c r="E3529" s="22" t="s">
        <v>10</v>
      </c>
      <c r="F3529" s="22" t="s">
        <v>13</v>
      </c>
      <c r="G3529" s="22" t="s">
        <v>20</v>
      </c>
    </row>
    <row r="3530" ht="15.15" spans="1:7">
      <c r="A3530" s="20">
        <v>3529</v>
      </c>
      <c r="B3530" s="20">
        <v>8</v>
      </c>
      <c r="C3530" s="21">
        <v>45136</v>
      </c>
      <c r="D3530" s="20">
        <v>1064.65</v>
      </c>
      <c r="E3530" s="22" t="s">
        <v>10</v>
      </c>
      <c r="F3530" s="22" t="s">
        <v>16</v>
      </c>
      <c r="G3530" s="22" t="s">
        <v>15</v>
      </c>
    </row>
    <row r="3531" ht="15.15" spans="1:7">
      <c r="A3531" s="20">
        <v>3530</v>
      </c>
      <c r="B3531" s="20">
        <v>5333</v>
      </c>
      <c r="C3531" s="21">
        <v>45121</v>
      </c>
      <c r="D3531" s="20">
        <v>1430.96</v>
      </c>
      <c r="E3531" s="22" t="s">
        <v>10</v>
      </c>
      <c r="F3531" s="22" t="s">
        <v>16</v>
      </c>
      <c r="G3531" s="22" t="s">
        <v>15</v>
      </c>
    </row>
    <row r="3532" ht="15.15" spans="1:7">
      <c r="A3532" s="20">
        <v>3531</v>
      </c>
      <c r="B3532" s="20">
        <v>4004</v>
      </c>
      <c r="C3532" s="21">
        <v>45113</v>
      </c>
      <c r="D3532" s="20">
        <v>744.15</v>
      </c>
      <c r="E3532" s="22" t="s">
        <v>10</v>
      </c>
      <c r="F3532" s="22" t="s">
        <v>14</v>
      </c>
      <c r="G3532" s="22" t="s">
        <v>12</v>
      </c>
    </row>
    <row r="3533" ht="15.15" spans="1:7">
      <c r="A3533" s="20">
        <v>3532</v>
      </c>
      <c r="B3533" s="20">
        <v>6311</v>
      </c>
      <c r="C3533" s="21">
        <v>45239</v>
      </c>
      <c r="D3533" s="20">
        <v>2798.88</v>
      </c>
      <c r="E3533" s="22" t="s">
        <v>21</v>
      </c>
      <c r="F3533" s="22" t="s">
        <v>11</v>
      </c>
      <c r="G3533" s="22" t="s">
        <v>20</v>
      </c>
    </row>
    <row r="3534" ht="15.15" spans="1:7">
      <c r="A3534" s="20">
        <v>3533</v>
      </c>
      <c r="B3534" s="20">
        <v>819</v>
      </c>
      <c r="C3534" s="21">
        <v>45248</v>
      </c>
      <c r="D3534" s="20">
        <v>1448.19</v>
      </c>
      <c r="E3534" s="22" t="s">
        <v>10</v>
      </c>
      <c r="F3534" s="22" t="s">
        <v>13</v>
      </c>
      <c r="G3534" s="22" t="s">
        <v>15</v>
      </c>
    </row>
    <row r="3535" ht="15.15" spans="1:7">
      <c r="A3535" s="20">
        <v>3534</v>
      </c>
      <c r="B3535" s="20">
        <v>6328</v>
      </c>
      <c r="C3535" s="21">
        <v>45224</v>
      </c>
      <c r="D3535" s="20">
        <v>159.92</v>
      </c>
      <c r="E3535" s="22" t="s">
        <v>10</v>
      </c>
      <c r="F3535" s="22" t="s">
        <v>18</v>
      </c>
      <c r="G3535" s="22" t="s">
        <v>20</v>
      </c>
    </row>
    <row r="3536" ht="15.15" spans="1:7">
      <c r="A3536" s="20">
        <v>3535</v>
      </c>
      <c r="B3536" s="20">
        <v>8442</v>
      </c>
      <c r="C3536" s="21">
        <v>45142</v>
      </c>
      <c r="D3536" s="20">
        <v>902.21</v>
      </c>
      <c r="E3536" s="22" t="s">
        <v>10</v>
      </c>
      <c r="F3536" s="22" t="s">
        <v>14</v>
      </c>
      <c r="G3536" s="22" t="s">
        <v>17</v>
      </c>
    </row>
    <row r="3537" ht="15.15" spans="1:7">
      <c r="A3537" s="20">
        <v>3536</v>
      </c>
      <c r="B3537" s="20">
        <v>9977</v>
      </c>
      <c r="C3537" s="21">
        <v>45142</v>
      </c>
      <c r="D3537" s="20">
        <v>3100.64</v>
      </c>
      <c r="E3537" s="22" t="s">
        <v>10</v>
      </c>
      <c r="F3537" s="22" t="s">
        <v>16</v>
      </c>
      <c r="G3537" s="22" t="s">
        <v>15</v>
      </c>
    </row>
    <row r="3538" ht="15.15" spans="1:7">
      <c r="A3538" s="20">
        <v>3537</v>
      </c>
      <c r="B3538" s="20">
        <v>8814</v>
      </c>
      <c r="C3538" s="21">
        <v>45240</v>
      </c>
      <c r="D3538" s="20">
        <v>892.57</v>
      </c>
      <c r="E3538" s="22" t="s">
        <v>10</v>
      </c>
      <c r="F3538" s="22" t="s">
        <v>11</v>
      </c>
      <c r="G3538" s="22" t="s">
        <v>12</v>
      </c>
    </row>
    <row r="3539" ht="15.15" spans="1:7">
      <c r="A3539" s="20">
        <v>3538</v>
      </c>
      <c r="B3539" s="20">
        <v>1392</v>
      </c>
      <c r="C3539" s="21">
        <v>45143</v>
      </c>
      <c r="D3539" s="20">
        <v>509.98</v>
      </c>
      <c r="E3539" s="22" t="s">
        <v>10</v>
      </c>
      <c r="F3539" s="22" t="s">
        <v>14</v>
      </c>
      <c r="G3539" s="22" t="s">
        <v>15</v>
      </c>
    </row>
    <row r="3540" ht="15.15" spans="1:7">
      <c r="A3540" s="20">
        <v>3539</v>
      </c>
      <c r="B3540" s="20">
        <v>3935</v>
      </c>
      <c r="C3540" s="21">
        <v>45261</v>
      </c>
      <c r="D3540" s="20">
        <v>1262.36</v>
      </c>
      <c r="E3540" s="22" t="s">
        <v>10</v>
      </c>
      <c r="F3540" s="22" t="s">
        <v>16</v>
      </c>
      <c r="G3540" s="22" t="s">
        <v>20</v>
      </c>
    </row>
    <row r="3541" ht="15.15" spans="1:7">
      <c r="A3541" s="20">
        <v>3540</v>
      </c>
      <c r="B3541" s="20">
        <v>3470</v>
      </c>
      <c r="C3541" s="21">
        <v>45203</v>
      </c>
      <c r="D3541" s="20">
        <v>257.17</v>
      </c>
      <c r="E3541" s="22" t="s">
        <v>10</v>
      </c>
      <c r="F3541" s="22" t="s">
        <v>18</v>
      </c>
      <c r="G3541" s="22" t="s">
        <v>12</v>
      </c>
    </row>
    <row r="3542" ht="15.15" spans="1:7">
      <c r="A3542" s="20">
        <v>3541</v>
      </c>
      <c r="B3542" s="20">
        <v>7395</v>
      </c>
      <c r="C3542" s="21">
        <v>45222</v>
      </c>
      <c r="D3542" s="20">
        <v>1617.7</v>
      </c>
      <c r="E3542" s="22" t="s">
        <v>10</v>
      </c>
      <c r="F3542" s="22" t="s">
        <v>13</v>
      </c>
      <c r="G3542" s="22" t="s">
        <v>15</v>
      </c>
    </row>
    <row r="3543" ht="15.15" spans="1:7">
      <c r="A3543" s="20">
        <v>3542</v>
      </c>
      <c r="B3543" s="20">
        <v>7063</v>
      </c>
      <c r="C3543" s="21">
        <v>45095</v>
      </c>
      <c r="D3543" s="20">
        <v>1771.42</v>
      </c>
      <c r="E3543" s="22" t="s">
        <v>10</v>
      </c>
      <c r="F3543" s="22" t="s">
        <v>13</v>
      </c>
      <c r="G3543" s="22" t="s">
        <v>12</v>
      </c>
    </row>
    <row r="3544" ht="15.15" spans="1:7">
      <c r="A3544" s="20">
        <v>3543</v>
      </c>
      <c r="B3544" s="20">
        <v>5454</v>
      </c>
      <c r="C3544" s="21">
        <v>45283</v>
      </c>
      <c r="D3544" s="20">
        <v>580</v>
      </c>
      <c r="E3544" s="22" t="s">
        <v>10</v>
      </c>
      <c r="F3544" s="22" t="s">
        <v>14</v>
      </c>
      <c r="G3544" s="22" t="s">
        <v>20</v>
      </c>
    </row>
    <row r="3545" ht="15.15" spans="1:7">
      <c r="A3545" s="20">
        <v>3544</v>
      </c>
      <c r="B3545" s="20">
        <v>1054</v>
      </c>
      <c r="C3545" s="21">
        <v>44999</v>
      </c>
      <c r="D3545" s="20">
        <v>499.65</v>
      </c>
      <c r="E3545" s="22" t="s">
        <v>10</v>
      </c>
      <c r="F3545" s="22" t="s">
        <v>14</v>
      </c>
      <c r="G3545" s="22" t="s">
        <v>15</v>
      </c>
    </row>
    <row r="3546" ht="15.15" spans="1:7">
      <c r="A3546" s="20">
        <v>3545</v>
      </c>
      <c r="B3546" s="20">
        <v>8270</v>
      </c>
      <c r="C3546" s="21">
        <v>45257</v>
      </c>
      <c r="D3546" s="20">
        <v>5989.26</v>
      </c>
      <c r="E3546" s="22" t="s">
        <v>10</v>
      </c>
      <c r="F3546" s="22" t="s">
        <v>14</v>
      </c>
      <c r="G3546" s="22" t="s">
        <v>17</v>
      </c>
    </row>
    <row r="3547" ht="15.15" spans="1:7">
      <c r="A3547" s="20">
        <v>3546</v>
      </c>
      <c r="B3547" s="20">
        <v>3931</v>
      </c>
      <c r="C3547" s="21">
        <v>45001</v>
      </c>
      <c r="D3547" s="20">
        <v>1634.62</v>
      </c>
      <c r="E3547" s="22" t="s">
        <v>10</v>
      </c>
      <c r="F3547" s="22" t="s">
        <v>18</v>
      </c>
      <c r="G3547" s="22" t="s">
        <v>20</v>
      </c>
    </row>
    <row r="3548" ht="15.15" spans="1:7">
      <c r="A3548" s="20">
        <v>3547</v>
      </c>
      <c r="B3548" s="20">
        <v>4018</v>
      </c>
      <c r="C3548" s="21">
        <v>45267</v>
      </c>
      <c r="D3548" s="20">
        <v>4289.57</v>
      </c>
      <c r="E3548" s="22" t="s">
        <v>10</v>
      </c>
      <c r="F3548" s="22" t="s">
        <v>18</v>
      </c>
      <c r="G3548" s="22" t="s">
        <v>20</v>
      </c>
    </row>
    <row r="3549" ht="15.15" spans="1:7">
      <c r="A3549" s="20">
        <v>3548</v>
      </c>
      <c r="B3549" s="20">
        <v>3115</v>
      </c>
      <c r="C3549" s="21">
        <v>45148</v>
      </c>
      <c r="D3549" s="20">
        <v>196.53</v>
      </c>
      <c r="E3549" s="22" t="s">
        <v>10</v>
      </c>
      <c r="F3549" s="22" t="s">
        <v>13</v>
      </c>
      <c r="G3549" s="22" t="s">
        <v>15</v>
      </c>
    </row>
    <row r="3550" ht="15.15" spans="1:7">
      <c r="A3550" s="20">
        <v>3549</v>
      </c>
      <c r="B3550" s="20">
        <v>7832</v>
      </c>
      <c r="C3550" s="21">
        <v>45086</v>
      </c>
      <c r="D3550" s="20">
        <v>514.55</v>
      </c>
      <c r="E3550" s="22" t="s">
        <v>10</v>
      </c>
      <c r="F3550" s="22" t="s">
        <v>13</v>
      </c>
      <c r="G3550" s="22" t="s">
        <v>20</v>
      </c>
    </row>
    <row r="3551" ht="15.15" spans="1:7">
      <c r="A3551" s="20">
        <v>3550</v>
      </c>
      <c r="B3551" s="20">
        <v>1857</v>
      </c>
      <c r="C3551" s="21">
        <v>45259</v>
      </c>
      <c r="D3551" s="20">
        <v>411.99</v>
      </c>
      <c r="E3551" s="22" t="s">
        <v>10</v>
      </c>
      <c r="F3551" s="22" t="s">
        <v>13</v>
      </c>
      <c r="G3551" s="22" t="s">
        <v>20</v>
      </c>
    </row>
    <row r="3552" ht="15.15" spans="1:7">
      <c r="A3552" s="20">
        <v>3551</v>
      </c>
      <c r="B3552" s="20">
        <v>9935</v>
      </c>
      <c r="C3552" s="21">
        <v>45043</v>
      </c>
      <c r="D3552" s="20">
        <v>2990.11</v>
      </c>
      <c r="E3552" s="22" t="s">
        <v>10</v>
      </c>
      <c r="F3552" s="22" t="s">
        <v>18</v>
      </c>
      <c r="G3552" s="22" t="s">
        <v>12</v>
      </c>
    </row>
    <row r="3553" ht="15.15" spans="1:7">
      <c r="A3553" s="20">
        <v>3552</v>
      </c>
      <c r="B3553" s="20">
        <v>2165</v>
      </c>
      <c r="C3553" s="21">
        <v>45264</v>
      </c>
      <c r="D3553" s="20">
        <v>90.27</v>
      </c>
      <c r="E3553" s="22" t="s">
        <v>10</v>
      </c>
      <c r="F3553" s="22" t="s">
        <v>18</v>
      </c>
      <c r="G3553" s="22" t="s">
        <v>17</v>
      </c>
    </row>
    <row r="3554" ht="15.15" spans="1:7">
      <c r="A3554" s="20">
        <v>3553</v>
      </c>
      <c r="B3554" s="20">
        <v>8891</v>
      </c>
      <c r="C3554" s="21">
        <v>44998</v>
      </c>
      <c r="D3554" s="20">
        <v>1008.23</v>
      </c>
      <c r="E3554" s="22" t="s">
        <v>10</v>
      </c>
      <c r="F3554" s="22" t="s">
        <v>11</v>
      </c>
      <c r="G3554" s="22" t="s">
        <v>12</v>
      </c>
    </row>
    <row r="3555" ht="15.15" spans="1:7">
      <c r="A3555" s="20">
        <v>3554</v>
      </c>
      <c r="B3555" s="20">
        <v>3558</v>
      </c>
      <c r="C3555" s="21">
        <v>45281</v>
      </c>
      <c r="D3555" s="20">
        <v>952.33</v>
      </c>
      <c r="E3555" s="22" t="s">
        <v>10</v>
      </c>
      <c r="F3555" s="22" t="s">
        <v>18</v>
      </c>
      <c r="G3555" s="22" t="s">
        <v>20</v>
      </c>
    </row>
    <row r="3556" ht="15.15" spans="1:7">
      <c r="A3556" s="20">
        <v>3555</v>
      </c>
      <c r="B3556" s="20">
        <v>4548</v>
      </c>
      <c r="C3556" s="21">
        <v>45286</v>
      </c>
      <c r="D3556" s="20">
        <v>2023.99</v>
      </c>
      <c r="E3556" s="22" t="s">
        <v>10</v>
      </c>
      <c r="F3556" s="22" t="s">
        <v>11</v>
      </c>
      <c r="G3556" s="22" t="s">
        <v>20</v>
      </c>
    </row>
    <row r="3557" ht="15.15" spans="1:7">
      <c r="A3557" s="20">
        <v>3556</v>
      </c>
      <c r="B3557" s="20">
        <v>4122</v>
      </c>
      <c r="C3557" s="21">
        <v>44980</v>
      </c>
      <c r="D3557" s="20">
        <v>2341.77</v>
      </c>
      <c r="E3557" s="22" t="s">
        <v>10</v>
      </c>
      <c r="F3557" s="22" t="s">
        <v>13</v>
      </c>
      <c r="G3557" s="22" t="s">
        <v>15</v>
      </c>
    </row>
    <row r="3558" ht="15.15" spans="1:7">
      <c r="A3558" s="20">
        <v>3557</v>
      </c>
      <c r="B3558" s="20">
        <v>2007</v>
      </c>
      <c r="C3558" s="21">
        <v>45284</v>
      </c>
      <c r="D3558" s="20">
        <v>608.39</v>
      </c>
      <c r="E3558" s="22" t="s">
        <v>10</v>
      </c>
      <c r="F3558" s="22" t="s">
        <v>19</v>
      </c>
      <c r="G3558" s="22" t="s">
        <v>17</v>
      </c>
    </row>
    <row r="3559" ht="15.15" spans="1:7">
      <c r="A3559" s="20">
        <v>3558</v>
      </c>
      <c r="B3559" s="20">
        <v>1541</v>
      </c>
      <c r="C3559" s="21">
        <v>45044</v>
      </c>
      <c r="D3559" s="20">
        <v>187.89</v>
      </c>
      <c r="E3559" s="22" t="s">
        <v>10</v>
      </c>
      <c r="F3559" s="22" t="s">
        <v>11</v>
      </c>
      <c r="G3559" s="22" t="s">
        <v>20</v>
      </c>
    </row>
    <row r="3560" ht="15.15" spans="1:7">
      <c r="A3560" s="20">
        <v>3559</v>
      </c>
      <c r="B3560" s="20">
        <v>1476</v>
      </c>
      <c r="C3560" s="21">
        <v>45289</v>
      </c>
      <c r="D3560" s="20">
        <v>928.25</v>
      </c>
      <c r="E3560" s="22" t="s">
        <v>10</v>
      </c>
      <c r="F3560" s="22" t="s">
        <v>13</v>
      </c>
      <c r="G3560" s="22" t="s">
        <v>12</v>
      </c>
    </row>
    <row r="3561" ht="15.15" spans="1:7">
      <c r="A3561" s="20">
        <v>3560</v>
      </c>
      <c r="B3561" s="20">
        <v>8228</v>
      </c>
      <c r="C3561" s="21">
        <v>45135</v>
      </c>
      <c r="D3561" s="20">
        <v>1016.02</v>
      </c>
      <c r="E3561" s="22" t="s">
        <v>10</v>
      </c>
      <c r="F3561" s="22" t="s">
        <v>16</v>
      </c>
      <c r="G3561" s="22" t="s">
        <v>20</v>
      </c>
    </row>
    <row r="3562" ht="15.15" spans="1:7">
      <c r="A3562" s="20">
        <v>3561</v>
      </c>
      <c r="B3562" s="20">
        <v>2970</v>
      </c>
      <c r="C3562" s="21">
        <v>44950</v>
      </c>
      <c r="D3562" s="20">
        <v>2601.56</v>
      </c>
      <c r="E3562" s="22" t="s">
        <v>10</v>
      </c>
      <c r="F3562" s="22" t="s">
        <v>16</v>
      </c>
      <c r="G3562" s="22" t="s">
        <v>17</v>
      </c>
    </row>
    <row r="3563" ht="15.15" spans="1:7">
      <c r="A3563" s="20">
        <v>3562</v>
      </c>
      <c r="B3563" s="20">
        <v>2995</v>
      </c>
      <c r="C3563" s="21">
        <v>45185</v>
      </c>
      <c r="D3563" s="20">
        <v>4062.75</v>
      </c>
      <c r="E3563" s="22" t="s">
        <v>10</v>
      </c>
      <c r="F3563" s="22" t="s">
        <v>14</v>
      </c>
      <c r="G3563" s="22" t="s">
        <v>12</v>
      </c>
    </row>
    <row r="3564" ht="15.15" spans="1:7">
      <c r="A3564" s="20">
        <v>3563</v>
      </c>
      <c r="B3564" s="20">
        <v>6677</v>
      </c>
      <c r="C3564" s="21">
        <v>45090</v>
      </c>
      <c r="D3564" s="20">
        <v>2620.65</v>
      </c>
      <c r="E3564" s="22" t="s">
        <v>10</v>
      </c>
      <c r="F3564" s="22" t="s">
        <v>14</v>
      </c>
      <c r="G3564" s="22" t="s">
        <v>15</v>
      </c>
    </row>
    <row r="3565" ht="15.15" spans="1:7">
      <c r="A3565" s="20">
        <v>3564</v>
      </c>
      <c r="B3565" s="20">
        <v>3585</v>
      </c>
      <c r="C3565" s="21">
        <v>45164</v>
      </c>
      <c r="D3565" s="20">
        <v>258.66</v>
      </c>
      <c r="E3565" s="22" t="s">
        <v>10</v>
      </c>
      <c r="F3565" s="22" t="s">
        <v>16</v>
      </c>
      <c r="G3565" s="22" t="s">
        <v>17</v>
      </c>
    </row>
    <row r="3566" ht="15.15" spans="1:7">
      <c r="A3566" s="20">
        <v>3565</v>
      </c>
      <c r="B3566" s="20">
        <v>7589</v>
      </c>
      <c r="C3566" s="21">
        <v>45211</v>
      </c>
      <c r="D3566" s="20">
        <v>1009.99</v>
      </c>
      <c r="E3566" s="22" t="s">
        <v>10</v>
      </c>
      <c r="F3566" s="22" t="s">
        <v>11</v>
      </c>
      <c r="G3566" s="22" t="s">
        <v>20</v>
      </c>
    </row>
    <row r="3567" ht="15.15" spans="1:7">
      <c r="A3567" s="20">
        <v>3566</v>
      </c>
      <c r="B3567" s="20">
        <v>3771</v>
      </c>
      <c r="C3567" s="21">
        <v>45179</v>
      </c>
      <c r="D3567" s="20">
        <v>392.24</v>
      </c>
      <c r="E3567" s="22" t="s">
        <v>10</v>
      </c>
      <c r="F3567" s="22" t="s">
        <v>14</v>
      </c>
      <c r="G3567" s="22" t="s">
        <v>15</v>
      </c>
    </row>
    <row r="3568" ht="15.15" spans="1:7">
      <c r="A3568" s="20">
        <v>3567</v>
      </c>
      <c r="B3568" s="20">
        <v>8361</v>
      </c>
      <c r="C3568" s="21">
        <v>45228</v>
      </c>
      <c r="D3568" s="20">
        <v>2248.81</v>
      </c>
      <c r="E3568" s="22" t="s">
        <v>10</v>
      </c>
      <c r="F3568" s="22" t="s">
        <v>13</v>
      </c>
      <c r="G3568" s="22" t="s">
        <v>20</v>
      </c>
    </row>
    <row r="3569" ht="15.15" spans="1:7">
      <c r="A3569" s="20">
        <v>3568</v>
      </c>
      <c r="B3569" s="20">
        <v>1225</v>
      </c>
      <c r="C3569" s="21">
        <v>45069</v>
      </c>
      <c r="D3569" s="20">
        <v>1241.17</v>
      </c>
      <c r="E3569" s="22" t="s">
        <v>10</v>
      </c>
      <c r="F3569" s="22" t="s">
        <v>16</v>
      </c>
      <c r="G3569" s="22" t="s">
        <v>15</v>
      </c>
    </row>
    <row r="3570" ht="15.15" spans="1:7">
      <c r="A3570" s="20">
        <v>3569</v>
      </c>
      <c r="B3570" s="20">
        <v>3832</v>
      </c>
      <c r="C3570" s="21">
        <v>45110</v>
      </c>
      <c r="D3570" s="20">
        <v>2726.91</v>
      </c>
      <c r="E3570" s="22" t="s">
        <v>10</v>
      </c>
      <c r="F3570" s="22" t="s">
        <v>14</v>
      </c>
      <c r="G3570" s="22" t="s">
        <v>17</v>
      </c>
    </row>
    <row r="3571" ht="15.15" spans="1:7">
      <c r="A3571" s="20">
        <v>3570</v>
      </c>
      <c r="B3571" s="20">
        <v>1127</v>
      </c>
      <c r="C3571" s="21">
        <v>45161</v>
      </c>
      <c r="D3571" s="20">
        <v>300.98</v>
      </c>
      <c r="E3571" s="22" t="s">
        <v>10</v>
      </c>
      <c r="F3571" s="22" t="s">
        <v>18</v>
      </c>
      <c r="G3571" s="22" t="s">
        <v>17</v>
      </c>
    </row>
    <row r="3572" ht="15.15" spans="1:7">
      <c r="A3572" s="20">
        <v>3571</v>
      </c>
      <c r="B3572" s="20">
        <v>8759</v>
      </c>
      <c r="C3572" s="21">
        <v>45082</v>
      </c>
      <c r="D3572" s="20">
        <v>30.63</v>
      </c>
      <c r="E3572" s="22" t="s">
        <v>10</v>
      </c>
      <c r="F3572" s="22" t="s">
        <v>16</v>
      </c>
      <c r="G3572" s="22" t="s">
        <v>12</v>
      </c>
    </row>
    <row r="3573" ht="15.15" spans="1:7">
      <c r="A3573" s="20">
        <v>3572</v>
      </c>
      <c r="B3573" s="20">
        <v>954</v>
      </c>
      <c r="C3573" s="21">
        <v>44995</v>
      </c>
      <c r="D3573" s="20">
        <v>1239.3</v>
      </c>
      <c r="E3573" s="22" t="s">
        <v>10</v>
      </c>
      <c r="F3573" s="22" t="s">
        <v>16</v>
      </c>
      <c r="G3573" s="22" t="s">
        <v>20</v>
      </c>
    </row>
    <row r="3574" ht="15.15" spans="1:7">
      <c r="A3574" s="20">
        <v>3573</v>
      </c>
      <c r="B3574" s="20">
        <v>4247</v>
      </c>
      <c r="C3574" s="21">
        <v>44975</v>
      </c>
      <c r="D3574" s="20">
        <v>2745.93</v>
      </c>
      <c r="E3574" s="22" t="s">
        <v>10</v>
      </c>
      <c r="F3574" s="22" t="s">
        <v>18</v>
      </c>
      <c r="G3574" s="22" t="s">
        <v>20</v>
      </c>
    </row>
    <row r="3575" ht="15.15" spans="1:7">
      <c r="A3575" s="20">
        <v>3574</v>
      </c>
      <c r="B3575" s="20">
        <v>5852</v>
      </c>
      <c r="C3575" s="21">
        <v>45103</v>
      </c>
      <c r="D3575" s="20">
        <v>2162.99</v>
      </c>
      <c r="E3575" s="22" t="s">
        <v>10</v>
      </c>
      <c r="F3575" s="22" t="s">
        <v>16</v>
      </c>
      <c r="G3575" s="22" t="s">
        <v>17</v>
      </c>
    </row>
    <row r="3576" ht="15.15" spans="1:7">
      <c r="A3576" s="20">
        <v>3575</v>
      </c>
      <c r="B3576" s="20">
        <v>6046</v>
      </c>
      <c r="C3576" s="21">
        <v>45237</v>
      </c>
      <c r="D3576" s="20">
        <v>1033.01</v>
      </c>
      <c r="E3576" s="22" t="s">
        <v>10</v>
      </c>
      <c r="F3576" s="22" t="s">
        <v>13</v>
      </c>
      <c r="G3576" s="22" t="s">
        <v>12</v>
      </c>
    </row>
    <row r="3577" ht="15.15" spans="1:7">
      <c r="A3577" s="20">
        <v>3576</v>
      </c>
      <c r="B3577" s="20">
        <v>6852</v>
      </c>
      <c r="C3577" s="21">
        <v>45137</v>
      </c>
      <c r="D3577" s="20">
        <v>1658.68</v>
      </c>
      <c r="E3577" s="22" t="s">
        <v>10</v>
      </c>
      <c r="F3577" s="22" t="s">
        <v>14</v>
      </c>
      <c r="G3577" s="22" t="s">
        <v>20</v>
      </c>
    </row>
    <row r="3578" ht="15.15" spans="1:7">
      <c r="A3578" s="20">
        <v>3577</v>
      </c>
      <c r="B3578" s="20">
        <v>1019</v>
      </c>
      <c r="C3578" s="21">
        <v>45287</v>
      </c>
      <c r="D3578" s="20">
        <v>1912.17</v>
      </c>
      <c r="E3578" s="22" t="s">
        <v>10</v>
      </c>
      <c r="F3578" s="22" t="s">
        <v>13</v>
      </c>
      <c r="G3578" s="22" t="s">
        <v>17</v>
      </c>
    </row>
    <row r="3579" ht="15.15" spans="1:7">
      <c r="A3579" s="20">
        <v>3578</v>
      </c>
      <c r="B3579" s="20">
        <v>5009</v>
      </c>
      <c r="C3579" s="21">
        <v>45221</v>
      </c>
      <c r="D3579" s="20">
        <v>943.31</v>
      </c>
      <c r="E3579" s="22" t="s">
        <v>10</v>
      </c>
      <c r="F3579" s="22" t="s">
        <v>11</v>
      </c>
      <c r="G3579" s="22" t="s">
        <v>17</v>
      </c>
    </row>
    <row r="3580" ht="15.15" spans="1:7">
      <c r="A3580" s="20">
        <v>3579</v>
      </c>
      <c r="B3580" s="20">
        <v>2177</v>
      </c>
      <c r="C3580" s="21">
        <v>45234</v>
      </c>
      <c r="D3580" s="20">
        <v>2731.92</v>
      </c>
      <c r="E3580" s="22" t="s">
        <v>10</v>
      </c>
      <c r="F3580" s="22" t="s">
        <v>16</v>
      </c>
      <c r="G3580" s="22" t="s">
        <v>20</v>
      </c>
    </row>
    <row r="3581" ht="15.15" spans="1:7">
      <c r="A3581" s="20">
        <v>3580</v>
      </c>
      <c r="B3581" s="20">
        <v>595</v>
      </c>
      <c r="C3581" s="21">
        <v>45022</v>
      </c>
      <c r="D3581" s="20">
        <v>1388.85</v>
      </c>
      <c r="E3581" s="22" t="s">
        <v>10</v>
      </c>
      <c r="F3581" s="22" t="s">
        <v>19</v>
      </c>
      <c r="G3581" s="22" t="s">
        <v>17</v>
      </c>
    </row>
    <row r="3582" ht="15.15" spans="1:7">
      <c r="A3582" s="20">
        <v>3581</v>
      </c>
      <c r="B3582" s="20">
        <v>3129</v>
      </c>
      <c r="C3582" s="21">
        <v>45083</v>
      </c>
      <c r="D3582" s="20">
        <v>2213.17</v>
      </c>
      <c r="E3582" s="22" t="s">
        <v>10</v>
      </c>
      <c r="F3582" s="22" t="s">
        <v>14</v>
      </c>
      <c r="G3582" s="22" t="s">
        <v>12</v>
      </c>
    </row>
    <row r="3583" ht="15.15" spans="1:7">
      <c r="A3583" s="20">
        <v>3582</v>
      </c>
      <c r="B3583" s="20">
        <v>499</v>
      </c>
      <c r="C3583" s="21">
        <v>45188</v>
      </c>
      <c r="D3583" s="20">
        <v>2161.45</v>
      </c>
      <c r="E3583" s="22" t="s">
        <v>10</v>
      </c>
      <c r="F3583" s="22" t="s">
        <v>16</v>
      </c>
      <c r="G3583" s="22" t="s">
        <v>12</v>
      </c>
    </row>
    <row r="3584" ht="15.15" spans="1:7">
      <c r="A3584" s="20">
        <v>3583</v>
      </c>
      <c r="B3584" s="20">
        <v>4532</v>
      </c>
      <c r="C3584" s="21">
        <v>45070</v>
      </c>
      <c r="D3584" s="20">
        <v>1148</v>
      </c>
      <c r="E3584" s="22" t="s">
        <v>10</v>
      </c>
      <c r="F3584" s="22" t="s">
        <v>11</v>
      </c>
      <c r="G3584" s="22" t="s">
        <v>12</v>
      </c>
    </row>
    <row r="3585" ht="15.15" spans="1:7">
      <c r="A3585" s="20">
        <v>3584</v>
      </c>
      <c r="B3585" s="20">
        <v>6668</v>
      </c>
      <c r="C3585" s="21">
        <v>44996</v>
      </c>
      <c r="D3585" s="20">
        <v>596.71</v>
      </c>
      <c r="E3585" s="22" t="s">
        <v>10</v>
      </c>
      <c r="F3585" s="22" t="s">
        <v>14</v>
      </c>
      <c r="G3585" s="22" t="s">
        <v>20</v>
      </c>
    </row>
    <row r="3586" ht="15.15" spans="1:7">
      <c r="A3586" s="20">
        <v>3585</v>
      </c>
      <c r="B3586" s="20">
        <v>3236</v>
      </c>
      <c r="C3586" s="21">
        <v>45171</v>
      </c>
      <c r="D3586" s="20">
        <v>1980.53</v>
      </c>
      <c r="E3586" s="22" t="s">
        <v>10</v>
      </c>
      <c r="F3586" s="22" t="s">
        <v>18</v>
      </c>
      <c r="G3586" s="22" t="s">
        <v>12</v>
      </c>
    </row>
    <row r="3587" ht="15.15" spans="1:7">
      <c r="A3587" s="20">
        <v>3586</v>
      </c>
      <c r="B3587" s="20">
        <v>4000</v>
      </c>
      <c r="C3587" s="21">
        <v>45108</v>
      </c>
      <c r="D3587" s="20">
        <v>914.09</v>
      </c>
      <c r="E3587" s="22" t="s">
        <v>10</v>
      </c>
      <c r="F3587" s="22" t="s">
        <v>18</v>
      </c>
      <c r="G3587" s="22" t="s">
        <v>20</v>
      </c>
    </row>
    <row r="3588" ht="15.15" spans="1:7">
      <c r="A3588" s="20">
        <v>3587</v>
      </c>
      <c r="B3588" s="20">
        <v>6859</v>
      </c>
      <c r="C3588" s="21">
        <v>45243</v>
      </c>
      <c r="D3588" s="20">
        <v>3598.27</v>
      </c>
      <c r="E3588" s="22" t="s">
        <v>10</v>
      </c>
      <c r="F3588" s="22" t="s">
        <v>14</v>
      </c>
      <c r="G3588" s="22" t="s">
        <v>15</v>
      </c>
    </row>
    <row r="3589" ht="15.15" spans="1:7">
      <c r="A3589" s="20">
        <v>3588</v>
      </c>
      <c r="B3589" s="20">
        <v>7421</v>
      </c>
      <c r="C3589" s="21">
        <v>45046</v>
      </c>
      <c r="D3589" s="20">
        <v>641.61</v>
      </c>
      <c r="E3589" s="22" t="s">
        <v>10</v>
      </c>
      <c r="F3589" s="22" t="s">
        <v>19</v>
      </c>
      <c r="G3589" s="22" t="s">
        <v>15</v>
      </c>
    </row>
    <row r="3590" ht="15.15" spans="1:7">
      <c r="A3590" s="20">
        <v>3589</v>
      </c>
      <c r="B3590" s="20">
        <v>61</v>
      </c>
      <c r="C3590" s="21">
        <v>45155</v>
      </c>
      <c r="D3590" s="20">
        <v>534.33</v>
      </c>
      <c r="E3590" s="22" t="s">
        <v>10</v>
      </c>
      <c r="F3590" s="22" t="s">
        <v>14</v>
      </c>
      <c r="G3590" s="22" t="s">
        <v>17</v>
      </c>
    </row>
    <row r="3591" ht="15.15" spans="1:7">
      <c r="A3591" s="20">
        <v>3590</v>
      </c>
      <c r="B3591" s="20">
        <v>8422</v>
      </c>
      <c r="C3591" s="21">
        <v>45192</v>
      </c>
      <c r="D3591" s="20">
        <v>2257.82</v>
      </c>
      <c r="E3591" s="22" t="s">
        <v>10</v>
      </c>
      <c r="F3591" s="22" t="s">
        <v>16</v>
      </c>
      <c r="G3591" s="22" t="s">
        <v>17</v>
      </c>
    </row>
    <row r="3592" ht="15.15" spans="1:7">
      <c r="A3592" s="20">
        <v>3591</v>
      </c>
      <c r="B3592" s="20">
        <v>8963</v>
      </c>
      <c r="C3592" s="21">
        <v>45253</v>
      </c>
      <c r="D3592" s="20">
        <v>2590.37</v>
      </c>
      <c r="E3592" s="22" t="s">
        <v>10</v>
      </c>
      <c r="F3592" s="22" t="s">
        <v>18</v>
      </c>
      <c r="G3592" s="22" t="s">
        <v>20</v>
      </c>
    </row>
    <row r="3593" ht="15.15" spans="1:7">
      <c r="A3593" s="20">
        <v>3592</v>
      </c>
      <c r="B3593" s="20">
        <v>6567</v>
      </c>
      <c r="C3593" s="21">
        <v>44969</v>
      </c>
      <c r="D3593" s="20">
        <v>150.49</v>
      </c>
      <c r="E3593" s="22" t="s">
        <v>10</v>
      </c>
      <c r="F3593" s="22" t="s">
        <v>13</v>
      </c>
      <c r="G3593" s="22" t="s">
        <v>17</v>
      </c>
    </row>
    <row r="3594" ht="15.15" spans="1:7">
      <c r="A3594" s="20">
        <v>3593</v>
      </c>
      <c r="B3594" s="20">
        <v>1440</v>
      </c>
      <c r="C3594" s="21">
        <v>45009</v>
      </c>
      <c r="D3594" s="20">
        <v>647.09</v>
      </c>
      <c r="E3594" s="22" t="s">
        <v>10</v>
      </c>
      <c r="F3594" s="22" t="s">
        <v>18</v>
      </c>
      <c r="G3594" s="22" t="s">
        <v>15</v>
      </c>
    </row>
    <row r="3595" ht="15.15" spans="1:7">
      <c r="A3595" s="20">
        <v>3594</v>
      </c>
      <c r="B3595" s="20">
        <v>1944</v>
      </c>
      <c r="C3595" s="21">
        <v>45145</v>
      </c>
      <c r="D3595" s="20">
        <v>235.02</v>
      </c>
      <c r="E3595" s="22" t="s">
        <v>10</v>
      </c>
      <c r="F3595" s="22" t="s">
        <v>14</v>
      </c>
      <c r="G3595" s="22" t="s">
        <v>12</v>
      </c>
    </row>
    <row r="3596" ht="15.15" spans="1:7">
      <c r="A3596" s="20">
        <v>3595</v>
      </c>
      <c r="B3596" s="20">
        <v>431</v>
      </c>
      <c r="C3596" s="21">
        <v>44975</v>
      </c>
      <c r="D3596" s="20">
        <v>3054.62</v>
      </c>
      <c r="E3596" s="22" t="s">
        <v>10</v>
      </c>
      <c r="F3596" s="22" t="s">
        <v>16</v>
      </c>
      <c r="G3596" s="22" t="s">
        <v>17</v>
      </c>
    </row>
    <row r="3597" ht="15.15" spans="1:7">
      <c r="A3597" s="20">
        <v>3596</v>
      </c>
      <c r="B3597" s="20">
        <v>3439</v>
      </c>
      <c r="C3597" s="21">
        <v>45123</v>
      </c>
      <c r="D3597" s="20">
        <v>693.27</v>
      </c>
      <c r="E3597" s="22" t="s">
        <v>10</v>
      </c>
      <c r="F3597" s="22" t="s">
        <v>13</v>
      </c>
      <c r="G3597" s="22" t="s">
        <v>17</v>
      </c>
    </row>
    <row r="3598" ht="15.15" spans="1:7">
      <c r="A3598" s="20">
        <v>3597</v>
      </c>
      <c r="B3598" s="20">
        <v>4108</v>
      </c>
      <c r="C3598" s="21">
        <v>45273</v>
      </c>
      <c r="D3598" s="20">
        <v>560.19</v>
      </c>
      <c r="E3598" s="22" t="s">
        <v>10</v>
      </c>
      <c r="F3598" s="22" t="s">
        <v>16</v>
      </c>
      <c r="G3598" s="22" t="s">
        <v>17</v>
      </c>
    </row>
    <row r="3599" ht="15.15" spans="1:7">
      <c r="A3599" s="20">
        <v>3598</v>
      </c>
      <c r="B3599" s="20">
        <v>4865</v>
      </c>
      <c r="C3599" s="21">
        <v>45084</v>
      </c>
      <c r="D3599" s="20">
        <v>2157.01</v>
      </c>
      <c r="E3599" s="22" t="s">
        <v>10</v>
      </c>
      <c r="F3599" s="22" t="s">
        <v>11</v>
      </c>
      <c r="G3599" s="22" t="s">
        <v>15</v>
      </c>
    </row>
    <row r="3600" ht="15.15" spans="1:7">
      <c r="A3600" s="20">
        <v>3599</v>
      </c>
      <c r="B3600" s="20">
        <v>6517</v>
      </c>
      <c r="C3600" s="21">
        <v>45181</v>
      </c>
      <c r="D3600" s="20">
        <v>1686.91</v>
      </c>
      <c r="E3600" s="22" t="s">
        <v>10</v>
      </c>
      <c r="F3600" s="22" t="s">
        <v>18</v>
      </c>
      <c r="G3600" s="22" t="s">
        <v>12</v>
      </c>
    </row>
    <row r="3601" ht="15.15" spans="1:7">
      <c r="A3601" s="20">
        <v>3600</v>
      </c>
      <c r="B3601" s="20">
        <v>7157</v>
      </c>
      <c r="C3601" s="21">
        <v>45173</v>
      </c>
      <c r="D3601" s="20">
        <v>1847.41</v>
      </c>
      <c r="E3601" s="22" t="s">
        <v>10</v>
      </c>
      <c r="F3601" s="22" t="s">
        <v>14</v>
      </c>
      <c r="G3601" s="22" t="s">
        <v>12</v>
      </c>
    </row>
    <row r="3602" ht="15.15" spans="1:7">
      <c r="A3602" s="20">
        <v>3601</v>
      </c>
      <c r="B3602" s="20">
        <v>4074</v>
      </c>
      <c r="C3602" s="21">
        <v>45276</v>
      </c>
      <c r="D3602" s="20">
        <v>1071.23</v>
      </c>
      <c r="E3602" s="22" t="s">
        <v>10</v>
      </c>
      <c r="F3602" s="22" t="s">
        <v>16</v>
      </c>
      <c r="G3602" s="22" t="s">
        <v>20</v>
      </c>
    </row>
    <row r="3603" ht="15.15" spans="1:7">
      <c r="A3603" s="20">
        <v>3602</v>
      </c>
      <c r="B3603" s="20">
        <v>3425</v>
      </c>
      <c r="C3603" s="21">
        <v>45157</v>
      </c>
      <c r="D3603" s="20">
        <v>1992.71</v>
      </c>
      <c r="E3603" s="22" t="s">
        <v>10</v>
      </c>
      <c r="F3603" s="22" t="s">
        <v>18</v>
      </c>
      <c r="G3603" s="22" t="s">
        <v>20</v>
      </c>
    </row>
    <row r="3604" ht="15.15" spans="1:7">
      <c r="A3604" s="20">
        <v>3603</v>
      </c>
      <c r="B3604" s="20">
        <v>4869</v>
      </c>
      <c r="C3604" s="21">
        <v>45005</v>
      </c>
      <c r="D3604" s="20">
        <v>1777.25</v>
      </c>
      <c r="E3604" s="22" t="s">
        <v>10</v>
      </c>
      <c r="F3604" s="22" t="s">
        <v>16</v>
      </c>
      <c r="G3604" s="22" t="s">
        <v>15</v>
      </c>
    </row>
    <row r="3605" ht="15.15" spans="1:7">
      <c r="A3605" s="20">
        <v>3604</v>
      </c>
      <c r="B3605" s="20">
        <v>4991</v>
      </c>
      <c r="C3605" s="21">
        <v>45197</v>
      </c>
      <c r="D3605" s="20">
        <v>1798.99</v>
      </c>
      <c r="E3605" s="22" t="s">
        <v>10</v>
      </c>
      <c r="F3605" s="22" t="s">
        <v>14</v>
      </c>
      <c r="G3605" s="22" t="s">
        <v>17</v>
      </c>
    </row>
    <row r="3606" ht="15.15" spans="1:7">
      <c r="A3606" s="20">
        <v>3605</v>
      </c>
      <c r="B3606" s="20">
        <v>9661</v>
      </c>
      <c r="C3606" s="21">
        <v>45277</v>
      </c>
      <c r="D3606" s="20">
        <v>3119.43</v>
      </c>
      <c r="E3606" s="22" t="s">
        <v>10</v>
      </c>
      <c r="F3606" s="22" t="s">
        <v>11</v>
      </c>
      <c r="G3606" s="22" t="s">
        <v>15</v>
      </c>
    </row>
    <row r="3607" ht="15.15" spans="1:7">
      <c r="A3607" s="20">
        <v>3606</v>
      </c>
      <c r="B3607" s="20">
        <v>804</v>
      </c>
      <c r="C3607" s="21">
        <v>45269</v>
      </c>
      <c r="D3607" s="20">
        <v>618.93</v>
      </c>
      <c r="E3607" s="22" t="s">
        <v>10</v>
      </c>
      <c r="F3607" s="22" t="s">
        <v>18</v>
      </c>
      <c r="G3607" s="22" t="s">
        <v>17</v>
      </c>
    </row>
    <row r="3608" ht="15.15" spans="1:7">
      <c r="A3608" s="20">
        <v>3607</v>
      </c>
      <c r="B3608" s="20">
        <v>9479</v>
      </c>
      <c r="C3608" s="21">
        <v>45006</v>
      </c>
      <c r="D3608" s="20">
        <v>1294.62</v>
      </c>
      <c r="E3608" s="22" t="s">
        <v>10</v>
      </c>
      <c r="F3608" s="22" t="s">
        <v>13</v>
      </c>
      <c r="G3608" s="22" t="s">
        <v>15</v>
      </c>
    </row>
    <row r="3609" ht="15.15" spans="1:7">
      <c r="A3609" s="20">
        <v>3608</v>
      </c>
      <c r="B3609" s="20">
        <v>5466</v>
      </c>
      <c r="C3609" s="21">
        <v>45047</v>
      </c>
      <c r="D3609" s="20">
        <v>3253.68</v>
      </c>
      <c r="E3609" s="22" t="s">
        <v>10</v>
      </c>
      <c r="F3609" s="22" t="s">
        <v>13</v>
      </c>
      <c r="G3609" s="22" t="s">
        <v>15</v>
      </c>
    </row>
    <row r="3610" ht="15.15" spans="1:7">
      <c r="A3610" s="20">
        <v>3609</v>
      </c>
      <c r="B3610" s="20">
        <v>5812</v>
      </c>
      <c r="C3610" s="21">
        <v>45045</v>
      </c>
      <c r="D3610" s="20">
        <v>1589.14</v>
      </c>
      <c r="E3610" s="22" t="s">
        <v>10</v>
      </c>
      <c r="F3610" s="22" t="s">
        <v>11</v>
      </c>
      <c r="G3610" s="22" t="s">
        <v>17</v>
      </c>
    </row>
    <row r="3611" ht="15.15" spans="1:7">
      <c r="A3611" s="20">
        <v>3610</v>
      </c>
      <c r="B3611" s="20">
        <v>4038</v>
      </c>
      <c r="C3611" s="21">
        <v>45136</v>
      </c>
      <c r="D3611" s="20">
        <v>1664.48</v>
      </c>
      <c r="E3611" s="22" t="s">
        <v>10</v>
      </c>
      <c r="F3611" s="22" t="s">
        <v>14</v>
      </c>
      <c r="G3611" s="22" t="s">
        <v>20</v>
      </c>
    </row>
    <row r="3612" ht="15.15" spans="1:7">
      <c r="A3612" s="20">
        <v>3611</v>
      </c>
      <c r="B3612" s="20">
        <v>6489</v>
      </c>
      <c r="C3612" s="21">
        <v>44983</v>
      </c>
      <c r="D3612" s="20">
        <v>394.17</v>
      </c>
      <c r="E3612" s="22" t="s">
        <v>10</v>
      </c>
      <c r="F3612" s="22" t="s">
        <v>18</v>
      </c>
      <c r="G3612" s="22" t="s">
        <v>17</v>
      </c>
    </row>
    <row r="3613" ht="15.15" spans="1:7">
      <c r="A3613" s="20">
        <v>3612</v>
      </c>
      <c r="B3613" s="20">
        <v>3542</v>
      </c>
      <c r="C3613" s="21">
        <v>45207</v>
      </c>
      <c r="D3613" s="20">
        <v>1187.45</v>
      </c>
      <c r="E3613" s="22" t="s">
        <v>10</v>
      </c>
      <c r="F3613" s="22" t="s">
        <v>14</v>
      </c>
      <c r="G3613" s="22" t="s">
        <v>17</v>
      </c>
    </row>
    <row r="3614" ht="15.15" spans="1:7">
      <c r="A3614" s="20">
        <v>3613</v>
      </c>
      <c r="B3614" s="20">
        <v>4616</v>
      </c>
      <c r="C3614" s="21">
        <v>45186</v>
      </c>
      <c r="D3614" s="20">
        <v>1164.5</v>
      </c>
      <c r="E3614" s="22" t="s">
        <v>10</v>
      </c>
      <c r="F3614" s="22" t="s">
        <v>16</v>
      </c>
      <c r="G3614" s="22" t="s">
        <v>17</v>
      </c>
    </row>
    <row r="3615" ht="15.15" spans="1:7">
      <c r="A3615" s="20">
        <v>3614</v>
      </c>
      <c r="B3615" s="20">
        <v>2570</v>
      </c>
      <c r="C3615" s="21">
        <v>45069</v>
      </c>
      <c r="D3615" s="20">
        <v>759.37</v>
      </c>
      <c r="E3615" s="22" t="s">
        <v>10</v>
      </c>
      <c r="F3615" s="22" t="s">
        <v>14</v>
      </c>
      <c r="G3615" s="22" t="s">
        <v>12</v>
      </c>
    </row>
    <row r="3616" ht="15.15" spans="1:7">
      <c r="A3616" s="20">
        <v>3615</v>
      </c>
      <c r="B3616" s="20">
        <v>4965</v>
      </c>
      <c r="C3616" s="21">
        <v>45074</v>
      </c>
      <c r="D3616" s="20">
        <v>2969.84</v>
      </c>
      <c r="E3616" s="22" t="s">
        <v>10</v>
      </c>
      <c r="F3616" s="22" t="s">
        <v>13</v>
      </c>
      <c r="G3616" s="22" t="s">
        <v>12</v>
      </c>
    </row>
    <row r="3617" ht="15.15" spans="1:7">
      <c r="A3617" s="20">
        <v>3616</v>
      </c>
      <c r="B3617" s="20">
        <v>8989</v>
      </c>
      <c r="C3617" s="21">
        <v>45285</v>
      </c>
      <c r="D3617" s="20">
        <v>3988.79</v>
      </c>
      <c r="E3617" s="22" t="s">
        <v>10</v>
      </c>
      <c r="F3617" s="22" t="s">
        <v>16</v>
      </c>
      <c r="G3617" s="22" t="s">
        <v>12</v>
      </c>
    </row>
    <row r="3618" ht="15.15" spans="1:7">
      <c r="A3618" s="20">
        <v>3617</v>
      </c>
      <c r="B3618" s="20">
        <v>5330</v>
      </c>
      <c r="C3618" s="21">
        <v>45135</v>
      </c>
      <c r="D3618" s="20">
        <v>1313.85</v>
      </c>
      <c r="E3618" s="22" t="s">
        <v>10</v>
      </c>
      <c r="F3618" s="22" t="s">
        <v>18</v>
      </c>
      <c r="G3618" s="22" t="s">
        <v>17</v>
      </c>
    </row>
    <row r="3619" ht="15.15" spans="1:7">
      <c r="A3619" s="20">
        <v>3618</v>
      </c>
      <c r="B3619" s="20">
        <v>2388</v>
      </c>
      <c r="C3619" s="21">
        <v>44935</v>
      </c>
      <c r="D3619" s="20">
        <v>270.86</v>
      </c>
      <c r="E3619" s="22" t="s">
        <v>10</v>
      </c>
      <c r="F3619" s="22" t="s">
        <v>11</v>
      </c>
      <c r="G3619" s="22" t="s">
        <v>20</v>
      </c>
    </row>
    <row r="3620" ht="15.15" spans="1:7">
      <c r="A3620" s="20">
        <v>3619</v>
      </c>
      <c r="B3620" s="20">
        <v>263</v>
      </c>
      <c r="C3620" s="21">
        <v>44962</v>
      </c>
      <c r="D3620" s="20">
        <v>852.42</v>
      </c>
      <c r="E3620" s="22" t="s">
        <v>10</v>
      </c>
      <c r="F3620" s="22" t="s">
        <v>14</v>
      </c>
      <c r="G3620" s="22" t="s">
        <v>17</v>
      </c>
    </row>
    <row r="3621" ht="15.15" spans="1:7">
      <c r="A3621" s="20">
        <v>3620</v>
      </c>
      <c r="B3621" s="20">
        <v>5828</v>
      </c>
      <c r="C3621" s="21">
        <v>45253</v>
      </c>
      <c r="D3621" s="20">
        <v>2555.85</v>
      </c>
      <c r="E3621" s="22" t="s">
        <v>10</v>
      </c>
      <c r="F3621" s="22" t="s">
        <v>16</v>
      </c>
      <c r="G3621" s="22" t="s">
        <v>12</v>
      </c>
    </row>
    <row r="3622" ht="15.15" spans="1:7">
      <c r="A3622" s="20">
        <v>3621</v>
      </c>
      <c r="B3622" s="20">
        <v>2097</v>
      </c>
      <c r="C3622" s="21">
        <v>45282</v>
      </c>
      <c r="D3622" s="20">
        <v>545.46</v>
      </c>
      <c r="E3622" s="22" t="s">
        <v>10</v>
      </c>
      <c r="F3622" s="22" t="s">
        <v>11</v>
      </c>
      <c r="G3622" s="22" t="s">
        <v>17</v>
      </c>
    </row>
    <row r="3623" ht="15.15" spans="1:7">
      <c r="A3623" s="20">
        <v>3622</v>
      </c>
      <c r="B3623" s="20">
        <v>1752</v>
      </c>
      <c r="C3623" s="21">
        <v>45149</v>
      </c>
      <c r="D3623" s="20">
        <v>140.76</v>
      </c>
      <c r="E3623" s="22" t="s">
        <v>10</v>
      </c>
      <c r="F3623" s="22" t="s">
        <v>18</v>
      </c>
      <c r="G3623" s="22" t="s">
        <v>20</v>
      </c>
    </row>
    <row r="3624" ht="15.15" spans="1:7">
      <c r="A3624" s="20">
        <v>3623</v>
      </c>
      <c r="B3624" s="20">
        <v>7040</v>
      </c>
      <c r="C3624" s="21">
        <v>44994</v>
      </c>
      <c r="D3624" s="20">
        <v>2047.9</v>
      </c>
      <c r="E3624" s="22" t="s">
        <v>10</v>
      </c>
      <c r="F3624" s="22" t="s">
        <v>16</v>
      </c>
      <c r="G3624" s="22" t="s">
        <v>12</v>
      </c>
    </row>
    <row r="3625" ht="15.15" spans="1:7">
      <c r="A3625" s="20">
        <v>3624</v>
      </c>
      <c r="B3625" s="20">
        <v>8825</v>
      </c>
      <c r="C3625" s="21">
        <v>45174</v>
      </c>
      <c r="D3625" s="20">
        <v>751.37</v>
      </c>
      <c r="E3625" s="22" t="s">
        <v>10</v>
      </c>
      <c r="F3625" s="22" t="s">
        <v>16</v>
      </c>
      <c r="G3625" s="22" t="s">
        <v>12</v>
      </c>
    </row>
    <row r="3626" ht="15.15" spans="1:7">
      <c r="A3626" s="20">
        <v>3625</v>
      </c>
      <c r="B3626" s="20">
        <v>1775</v>
      </c>
      <c r="C3626" s="21">
        <v>44956</v>
      </c>
      <c r="D3626" s="20">
        <v>1008.02</v>
      </c>
      <c r="E3626" s="22" t="s">
        <v>10</v>
      </c>
      <c r="F3626" s="22" t="s">
        <v>16</v>
      </c>
      <c r="G3626" s="22" t="s">
        <v>20</v>
      </c>
    </row>
    <row r="3627" ht="15.15" spans="1:7">
      <c r="A3627" s="20">
        <v>3626</v>
      </c>
      <c r="B3627" s="20">
        <v>1740</v>
      </c>
      <c r="C3627" s="21">
        <v>45109</v>
      </c>
      <c r="D3627" s="20">
        <v>821.31</v>
      </c>
      <c r="E3627" s="22" t="s">
        <v>10</v>
      </c>
      <c r="F3627" s="22" t="s">
        <v>16</v>
      </c>
      <c r="G3627" s="22" t="s">
        <v>17</v>
      </c>
    </row>
    <row r="3628" ht="15.15" spans="1:7">
      <c r="A3628" s="20">
        <v>3627</v>
      </c>
      <c r="B3628" s="20">
        <v>6439</v>
      </c>
      <c r="C3628" s="21">
        <v>44958</v>
      </c>
      <c r="D3628" s="20">
        <v>30.63</v>
      </c>
      <c r="E3628" s="22" t="s">
        <v>10</v>
      </c>
      <c r="F3628" s="22" t="s">
        <v>13</v>
      </c>
      <c r="G3628" s="22" t="s">
        <v>12</v>
      </c>
    </row>
    <row r="3629" ht="15.15" spans="1:7">
      <c r="A3629" s="20">
        <v>3628</v>
      </c>
      <c r="B3629" s="20">
        <v>8906</v>
      </c>
      <c r="C3629" s="21">
        <v>45255</v>
      </c>
      <c r="D3629" s="20">
        <v>366.31</v>
      </c>
      <c r="E3629" s="22" t="s">
        <v>10</v>
      </c>
      <c r="F3629" s="22" t="s">
        <v>14</v>
      </c>
      <c r="G3629" s="22" t="s">
        <v>20</v>
      </c>
    </row>
    <row r="3630" ht="15.15" spans="1:7">
      <c r="A3630" s="20">
        <v>3629</v>
      </c>
      <c r="B3630" s="20">
        <v>2109</v>
      </c>
      <c r="C3630" s="21">
        <v>45256</v>
      </c>
      <c r="D3630" s="20">
        <v>883.62</v>
      </c>
      <c r="E3630" s="22" t="s">
        <v>10</v>
      </c>
      <c r="F3630" s="22" t="s">
        <v>11</v>
      </c>
      <c r="G3630" s="22" t="s">
        <v>12</v>
      </c>
    </row>
    <row r="3631" ht="15.15" spans="1:7">
      <c r="A3631" s="20">
        <v>3630</v>
      </c>
      <c r="B3631" s="20">
        <v>4610</v>
      </c>
      <c r="C3631" s="21">
        <v>45117</v>
      </c>
      <c r="D3631" s="20">
        <v>1532.96</v>
      </c>
      <c r="E3631" s="22" t="s">
        <v>10</v>
      </c>
      <c r="F3631" s="22" t="s">
        <v>18</v>
      </c>
      <c r="G3631" s="22" t="s">
        <v>15</v>
      </c>
    </row>
    <row r="3632" ht="15.15" spans="1:7">
      <c r="A3632" s="20">
        <v>3631</v>
      </c>
      <c r="B3632" s="20">
        <v>1951</v>
      </c>
      <c r="C3632" s="21">
        <v>45189</v>
      </c>
      <c r="D3632" s="20">
        <v>2171.29</v>
      </c>
      <c r="E3632" s="22" t="s">
        <v>10</v>
      </c>
      <c r="F3632" s="22" t="s">
        <v>13</v>
      </c>
      <c r="G3632" s="22" t="s">
        <v>17</v>
      </c>
    </row>
    <row r="3633" ht="15.15" spans="1:7">
      <c r="A3633" s="20">
        <v>3632</v>
      </c>
      <c r="B3633" s="20">
        <v>8656</v>
      </c>
      <c r="C3633" s="21">
        <v>45148</v>
      </c>
      <c r="D3633" s="20">
        <v>2490.74</v>
      </c>
      <c r="E3633" s="22" t="s">
        <v>10</v>
      </c>
      <c r="F3633" s="22" t="s">
        <v>11</v>
      </c>
      <c r="G3633" s="22" t="s">
        <v>20</v>
      </c>
    </row>
    <row r="3634" ht="15.15" spans="1:7">
      <c r="A3634" s="20">
        <v>3633</v>
      </c>
      <c r="B3634" s="20">
        <v>5546</v>
      </c>
      <c r="C3634" s="21">
        <v>44951</v>
      </c>
      <c r="D3634" s="20">
        <v>539.1</v>
      </c>
      <c r="E3634" s="22" t="s">
        <v>10</v>
      </c>
      <c r="F3634" s="22" t="s">
        <v>13</v>
      </c>
      <c r="G3634" s="22" t="s">
        <v>12</v>
      </c>
    </row>
    <row r="3635" ht="15.15" spans="1:7">
      <c r="A3635" s="20">
        <v>3634</v>
      </c>
      <c r="B3635" s="20">
        <v>1354</v>
      </c>
      <c r="C3635" s="21">
        <v>44971</v>
      </c>
      <c r="D3635" s="20">
        <v>623.21</v>
      </c>
      <c r="E3635" s="22" t="s">
        <v>10</v>
      </c>
      <c r="F3635" s="22" t="s">
        <v>11</v>
      </c>
      <c r="G3635" s="22" t="s">
        <v>20</v>
      </c>
    </row>
    <row r="3636" ht="15.15" spans="1:7">
      <c r="A3636" s="20">
        <v>3635</v>
      </c>
      <c r="B3636" s="20">
        <v>9071</v>
      </c>
      <c r="C3636" s="21">
        <v>45095</v>
      </c>
      <c r="D3636" s="20">
        <v>2142.46</v>
      </c>
      <c r="E3636" s="22" t="s">
        <v>10</v>
      </c>
      <c r="F3636" s="22" t="s">
        <v>11</v>
      </c>
      <c r="G3636" s="22" t="s">
        <v>20</v>
      </c>
    </row>
    <row r="3637" ht="15.15" spans="1:7">
      <c r="A3637" s="20">
        <v>3636</v>
      </c>
      <c r="B3637" s="20">
        <v>6287</v>
      </c>
      <c r="C3637" s="21">
        <v>45122</v>
      </c>
      <c r="D3637" s="20">
        <v>1052.75</v>
      </c>
      <c r="E3637" s="22" t="s">
        <v>10</v>
      </c>
      <c r="F3637" s="22" t="s">
        <v>18</v>
      </c>
      <c r="G3637" s="22" t="s">
        <v>15</v>
      </c>
    </row>
    <row r="3638" ht="15.15" spans="1:7">
      <c r="A3638" s="20">
        <v>3637</v>
      </c>
      <c r="B3638" s="20">
        <v>8327</v>
      </c>
      <c r="C3638" s="21">
        <v>45133</v>
      </c>
      <c r="D3638" s="20">
        <v>615.07</v>
      </c>
      <c r="E3638" s="22" t="s">
        <v>10</v>
      </c>
      <c r="F3638" s="22" t="s">
        <v>14</v>
      </c>
      <c r="G3638" s="22" t="s">
        <v>17</v>
      </c>
    </row>
    <row r="3639" ht="15.15" spans="1:7">
      <c r="A3639" s="20">
        <v>3638</v>
      </c>
      <c r="B3639" s="20">
        <v>8242</v>
      </c>
      <c r="C3639" s="21">
        <v>45179</v>
      </c>
      <c r="D3639" s="20">
        <v>258.66</v>
      </c>
      <c r="E3639" s="22" t="s">
        <v>10</v>
      </c>
      <c r="F3639" s="22" t="s">
        <v>13</v>
      </c>
      <c r="G3639" s="22" t="s">
        <v>20</v>
      </c>
    </row>
    <row r="3640" ht="15.15" spans="1:7">
      <c r="A3640" s="20">
        <v>3639</v>
      </c>
      <c r="B3640" s="20">
        <v>5888</v>
      </c>
      <c r="C3640" s="21">
        <v>45199</v>
      </c>
      <c r="D3640" s="20">
        <v>2328.01</v>
      </c>
      <c r="E3640" s="22" t="s">
        <v>10</v>
      </c>
      <c r="F3640" s="22" t="s">
        <v>14</v>
      </c>
      <c r="G3640" s="22" t="s">
        <v>15</v>
      </c>
    </row>
    <row r="3641" ht="15.15" spans="1:7">
      <c r="A3641" s="20">
        <v>3640</v>
      </c>
      <c r="B3641" s="20">
        <v>5399</v>
      </c>
      <c r="C3641" s="21">
        <v>45148</v>
      </c>
      <c r="D3641" s="20">
        <v>608.58</v>
      </c>
      <c r="E3641" s="22" t="s">
        <v>10</v>
      </c>
      <c r="F3641" s="22" t="s">
        <v>16</v>
      </c>
      <c r="G3641" s="22" t="s">
        <v>15</v>
      </c>
    </row>
    <row r="3642" ht="15.15" spans="1:7">
      <c r="A3642" s="20">
        <v>3641</v>
      </c>
      <c r="B3642" s="20">
        <v>1882</v>
      </c>
      <c r="C3642" s="21">
        <v>44942</v>
      </c>
      <c r="D3642" s="20">
        <v>898.16</v>
      </c>
      <c r="E3642" s="22" t="s">
        <v>10</v>
      </c>
      <c r="F3642" s="22" t="s">
        <v>14</v>
      </c>
      <c r="G3642" s="22" t="s">
        <v>12</v>
      </c>
    </row>
    <row r="3643" ht="15.15" spans="1:7">
      <c r="A3643" s="20">
        <v>3642</v>
      </c>
      <c r="B3643" s="20">
        <v>8465</v>
      </c>
      <c r="C3643" s="21">
        <v>45265</v>
      </c>
      <c r="D3643" s="20">
        <v>273.77</v>
      </c>
      <c r="E3643" s="22" t="s">
        <v>10</v>
      </c>
      <c r="F3643" s="22" t="s">
        <v>18</v>
      </c>
      <c r="G3643" s="22" t="s">
        <v>17</v>
      </c>
    </row>
    <row r="3644" ht="15.15" spans="1:7">
      <c r="A3644" s="20">
        <v>3643</v>
      </c>
      <c r="B3644" s="20">
        <v>764</v>
      </c>
      <c r="C3644" s="21">
        <v>45029</v>
      </c>
      <c r="D3644" s="20">
        <v>1034.84</v>
      </c>
      <c r="E3644" s="22" t="s">
        <v>10</v>
      </c>
      <c r="F3644" s="22" t="s">
        <v>11</v>
      </c>
      <c r="G3644" s="22" t="s">
        <v>20</v>
      </c>
    </row>
    <row r="3645" ht="15.15" spans="1:7">
      <c r="A3645" s="20">
        <v>3644</v>
      </c>
      <c r="B3645" s="20">
        <v>9419</v>
      </c>
      <c r="C3645" s="21">
        <v>45085</v>
      </c>
      <c r="D3645" s="20">
        <v>3303.03</v>
      </c>
      <c r="E3645" s="22" t="s">
        <v>10</v>
      </c>
      <c r="F3645" s="22" t="s">
        <v>18</v>
      </c>
      <c r="G3645" s="22" t="s">
        <v>20</v>
      </c>
    </row>
    <row r="3646" ht="15.15" spans="1:7">
      <c r="A3646" s="20">
        <v>3645</v>
      </c>
      <c r="B3646" s="20">
        <v>4395</v>
      </c>
      <c r="C3646" s="21">
        <v>44995</v>
      </c>
      <c r="D3646" s="20">
        <v>209.84</v>
      </c>
      <c r="E3646" s="22" t="s">
        <v>10</v>
      </c>
      <c r="F3646" s="22" t="s">
        <v>13</v>
      </c>
      <c r="G3646" s="22" t="s">
        <v>20</v>
      </c>
    </row>
    <row r="3647" ht="15.15" spans="1:7">
      <c r="A3647" s="20">
        <v>3646</v>
      </c>
      <c r="B3647" s="20">
        <v>8059</v>
      </c>
      <c r="C3647" s="21">
        <v>45239</v>
      </c>
      <c r="D3647" s="20">
        <v>2593.62</v>
      </c>
      <c r="E3647" s="22" t="s">
        <v>10</v>
      </c>
      <c r="F3647" s="22" t="s">
        <v>13</v>
      </c>
      <c r="G3647" s="22" t="s">
        <v>20</v>
      </c>
    </row>
    <row r="3648" ht="15.15" spans="1:7">
      <c r="A3648" s="20">
        <v>3647</v>
      </c>
      <c r="B3648" s="20">
        <v>3648</v>
      </c>
      <c r="C3648" s="21">
        <v>45105</v>
      </c>
      <c r="D3648" s="20">
        <v>1778.77</v>
      </c>
      <c r="E3648" s="22" t="s">
        <v>10</v>
      </c>
      <c r="F3648" s="22" t="s">
        <v>14</v>
      </c>
      <c r="G3648" s="22" t="s">
        <v>15</v>
      </c>
    </row>
    <row r="3649" ht="15.15" spans="1:7">
      <c r="A3649" s="20">
        <v>3648</v>
      </c>
      <c r="B3649" s="20">
        <v>1028</v>
      </c>
      <c r="C3649" s="21">
        <v>44945</v>
      </c>
      <c r="D3649" s="20">
        <v>230.8</v>
      </c>
      <c r="E3649" s="22" t="s">
        <v>10</v>
      </c>
      <c r="F3649" s="22" t="s">
        <v>13</v>
      </c>
      <c r="G3649" s="22" t="s">
        <v>20</v>
      </c>
    </row>
    <row r="3650" ht="15.15" spans="1:7">
      <c r="A3650" s="20">
        <v>3649</v>
      </c>
      <c r="B3650" s="20">
        <v>5389</v>
      </c>
      <c r="C3650" s="21">
        <v>45252</v>
      </c>
      <c r="D3650" s="20">
        <v>278.93</v>
      </c>
      <c r="E3650" s="22" t="s">
        <v>10</v>
      </c>
      <c r="F3650" s="22" t="s">
        <v>16</v>
      </c>
      <c r="G3650" s="22" t="s">
        <v>17</v>
      </c>
    </row>
    <row r="3651" ht="15.15" spans="1:7">
      <c r="A3651" s="20">
        <v>3650</v>
      </c>
      <c r="B3651" s="20">
        <v>7430</v>
      </c>
      <c r="C3651" s="21">
        <v>45271</v>
      </c>
      <c r="D3651" s="20">
        <v>602.3</v>
      </c>
      <c r="E3651" s="22" t="s">
        <v>10</v>
      </c>
      <c r="F3651" s="22" t="s">
        <v>18</v>
      </c>
      <c r="G3651" s="22" t="s">
        <v>12</v>
      </c>
    </row>
    <row r="3652" ht="15.15" spans="1:7">
      <c r="A3652" s="20">
        <v>3651</v>
      </c>
      <c r="B3652" s="20">
        <v>810</v>
      </c>
      <c r="C3652" s="21">
        <v>44991</v>
      </c>
      <c r="D3652" s="20">
        <v>1802.19</v>
      </c>
      <c r="E3652" s="22" t="s">
        <v>10</v>
      </c>
      <c r="F3652" s="22" t="s">
        <v>18</v>
      </c>
      <c r="G3652" s="22" t="s">
        <v>15</v>
      </c>
    </row>
    <row r="3653" ht="15.15" spans="1:7">
      <c r="A3653" s="20">
        <v>3652</v>
      </c>
      <c r="B3653" s="20">
        <v>9774</v>
      </c>
      <c r="C3653" s="21">
        <v>45087</v>
      </c>
      <c r="D3653" s="20">
        <v>183.34</v>
      </c>
      <c r="E3653" s="22" t="s">
        <v>10</v>
      </c>
      <c r="F3653" s="22" t="s">
        <v>14</v>
      </c>
      <c r="G3653" s="22" t="s">
        <v>15</v>
      </c>
    </row>
    <row r="3654" ht="15.15" spans="1:7">
      <c r="A3654" s="20">
        <v>3653</v>
      </c>
      <c r="B3654" s="20">
        <v>1727</v>
      </c>
      <c r="C3654" s="21">
        <v>45240</v>
      </c>
      <c r="D3654" s="20">
        <v>3820.84</v>
      </c>
      <c r="E3654" s="22" t="s">
        <v>10</v>
      </c>
      <c r="F3654" s="22" t="s">
        <v>18</v>
      </c>
      <c r="G3654" s="22" t="s">
        <v>15</v>
      </c>
    </row>
    <row r="3655" ht="15.15" spans="1:7">
      <c r="A3655" s="20">
        <v>3654</v>
      </c>
      <c r="B3655" s="20">
        <v>8898</v>
      </c>
      <c r="C3655" s="21">
        <v>45062</v>
      </c>
      <c r="D3655" s="20">
        <v>437.93</v>
      </c>
      <c r="E3655" s="22" t="s">
        <v>10</v>
      </c>
      <c r="F3655" s="22" t="s">
        <v>13</v>
      </c>
      <c r="G3655" s="22" t="s">
        <v>17</v>
      </c>
    </row>
    <row r="3656" ht="15.15" spans="1:7">
      <c r="A3656" s="20">
        <v>3655</v>
      </c>
      <c r="B3656" s="20">
        <v>1627</v>
      </c>
      <c r="C3656" s="21">
        <v>45123</v>
      </c>
      <c r="D3656" s="20">
        <v>1740.47</v>
      </c>
      <c r="E3656" s="22" t="s">
        <v>10</v>
      </c>
      <c r="F3656" s="22" t="s">
        <v>11</v>
      </c>
      <c r="G3656" s="22" t="s">
        <v>12</v>
      </c>
    </row>
    <row r="3657" ht="15.15" spans="1:7">
      <c r="A3657" s="20">
        <v>3656</v>
      </c>
      <c r="B3657" s="20">
        <v>7903</v>
      </c>
      <c r="C3657" s="21">
        <v>45093</v>
      </c>
      <c r="D3657" s="20">
        <v>156.65</v>
      </c>
      <c r="E3657" s="22" t="s">
        <v>10</v>
      </c>
      <c r="F3657" s="22" t="s">
        <v>16</v>
      </c>
      <c r="G3657" s="22" t="s">
        <v>12</v>
      </c>
    </row>
    <row r="3658" ht="15.15" spans="1:7">
      <c r="A3658" s="20">
        <v>3657</v>
      </c>
      <c r="B3658" s="20">
        <v>3678</v>
      </c>
      <c r="C3658" s="21">
        <v>45215</v>
      </c>
      <c r="D3658" s="20">
        <v>293.51</v>
      </c>
      <c r="E3658" s="22" t="s">
        <v>22</v>
      </c>
      <c r="F3658" s="22" t="s">
        <v>11</v>
      </c>
      <c r="G3658" s="22" t="s">
        <v>12</v>
      </c>
    </row>
    <row r="3659" ht="15.15" spans="1:7">
      <c r="A3659" s="20">
        <v>3658</v>
      </c>
      <c r="B3659" s="20">
        <v>5338</v>
      </c>
      <c r="C3659" s="21">
        <v>45266</v>
      </c>
      <c r="D3659" s="20">
        <v>2279.91</v>
      </c>
      <c r="E3659" s="22" t="s">
        <v>10</v>
      </c>
      <c r="F3659" s="22" t="s">
        <v>11</v>
      </c>
      <c r="G3659" s="22" t="s">
        <v>12</v>
      </c>
    </row>
    <row r="3660" ht="15.15" spans="1:7">
      <c r="A3660" s="20">
        <v>3659</v>
      </c>
      <c r="B3660" s="20">
        <v>2267</v>
      </c>
      <c r="C3660" s="21">
        <v>45272</v>
      </c>
      <c r="D3660" s="20">
        <v>278.93</v>
      </c>
      <c r="E3660" s="22" t="s">
        <v>10</v>
      </c>
      <c r="F3660" s="22" t="s">
        <v>18</v>
      </c>
      <c r="G3660" s="22" t="s">
        <v>20</v>
      </c>
    </row>
    <row r="3661" ht="15.15" spans="1:7">
      <c r="A3661" s="20">
        <v>3660</v>
      </c>
      <c r="B3661" s="20">
        <v>1189</v>
      </c>
      <c r="C3661" s="21">
        <v>44933</v>
      </c>
      <c r="D3661" s="20">
        <v>3441.17</v>
      </c>
      <c r="E3661" s="22" t="s">
        <v>10</v>
      </c>
      <c r="F3661" s="22" t="s">
        <v>13</v>
      </c>
      <c r="G3661" s="22" t="s">
        <v>12</v>
      </c>
    </row>
    <row r="3662" ht="15.15" spans="1:7">
      <c r="A3662" s="20">
        <v>3661</v>
      </c>
      <c r="B3662" s="20">
        <v>9187</v>
      </c>
      <c r="C3662" s="21">
        <v>45176</v>
      </c>
      <c r="D3662" s="20">
        <v>204.06</v>
      </c>
      <c r="E3662" s="22" t="s">
        <v>10</v>
      </c>
      <c r="F3662" s="22" t="s">
        <v>19</v>
      </c>
      <c r="G3662" s="22" t="s">
        <v>12</v>
      </c>
    </row>
    <row r="3663" ht="15.15" spans="1:7">
      <c r="A3663" s="20">
        <v>3662</v>
      </c>
      <c r="B3663" s="20">
        <v>8052</v>
      </c>
      <c r="C3663" s="21">
        <v>45289</v>
      </c>
      <c r="D3663" s="20">
        <v>917.64</v>
      </c>
      <c r="E3663" s="22" t="s">
        <v>10</v>
      </c>
      <c r="F3663" s="22" t="s">
        <v>11</v>
      </c>
      <c r="G3663" s="22" t="s">
        <v>17</v>
      </c>
    </row>
    <row r="3664" ht="15.15" spans="1:7">
      <c r="A3664" s="20">
        <v>3663</v>
      </c>
      <c r="B3664" s="20">
        <v>5251</v>
      </c>
      <c r="C3664" s="21">
        <v>45014</v>
      </c>
      <c r="D3664" s="20">
        <v>1332.38</v>
      </c>
      <c r="E3664" s="22" t="s">
        <v>10</v>
      </c>
      <c r="F3664" s="22" t="s">
        <v>13</v>
      </c>
      <c r="G3664" s="22" t="s">
        <v>20</v>
      </c>
    </row>
    <row r="3665" ht="15.15" spans="1:7">
      <c r="A3665" s="20">
        <v>3664</v>
      </c>
      <c r="B3665" s="20">
        <v>8215</v>
      </c>
      <c r="C3665" s="21">
        <v>44966</v>
      </c>
      <c r="D3665" s="20">
        <v>182.78</v>
      </c>
      <c r="E3665" s="22" t="s">
        <v>10</v>
      </c>
      <c r="F3665" s="22" t="s">
        <v>13</v>
      </c>
      <c r="G3665" s="22" t="s">
        <v>17</v>
      </c>
    </row>
    <row r="3666" ht="15.15" spans="1:7">
      <c r="A3666" s="20">
        <v>3665</v>
      </c>
      <c r="B3666" s="20">
        <v>3759</v>
      </c>
      <c r="C3666" s="21">
        <v>45130</v>
      </c>
      <c r="D3666" s="20">
        <v>1153.5</v>
      </c>
      <c r="E3666" s="22" t="s">
        <v>10</v>
      </c>
      <c r="F3666" s="22" t="s">
        <v>11</v>
      </c>
      <c r="G3666" s="22" t="s">
        <v>20</v>
      </c>
    </row>
    <row r="3667" ht="15.15" spans="1:7">
      <c r="A3667" s="20">
        <v>3666</v>
      </c>
      <c r="B3667" s="20">
        <v>8621</v>
      </c>
      <c r="C3667" s="21">
        <v>44960</v>
      </c>
      <c r="D3667" s="20">
        <v>1797.47</v>
      </c>
      <c r="E3667" s="22" t="s">
        <v>10</v>
      </c>
      <c r="F3667" s="22" t="s">
        <v>13</v>
      </c>
      <c r="G3667" s="22" t="s">
        <v>17</v>
      </c>
    </row>
    <row r="3668" ht="15.15" spans="1:7">
      <c r="A3668" s="20">
        <v>3667</v>
      </c>
      <c r="B3668" s="20">
        <v>9655</v>
      </c>
      <c r="C3668" s="21">
        <v>45276</v>
      </c>
      <c r="D3668" s="20">
        <v>459.12</v>
      </c>
      <c r="E3668" s="22" t="s">
        <v>10</v>
      </c>
      <c r="F3668" s="22" t="s">
        <v>11</v>
      </c>
      <c r="G3668" s="22" t="s">
        <v>15</v>
      </c>
    </row>
    <row r="3669" ht="15.15" spans="1:7">
      <c r="A3669" s="20">
        <v>3668</v>
      </c>
      <c r="B3669" s="20">
        <v>6846</v>
      </c>
      <c r="C3669" s="21">
        <v>45254</v>
      </c>
      <c r="D3669" s="20">
        <v>1600.46</v>
      </c>
      <c r="E3669" s="22" t="s">
        <v>10</v>
      </c>
      <c r="F3669" s="22" t="s">
        <v>11</v>
      </c>
      <c r="G3669" s="22" t="s">
        <v>12</v>
      </c>
    </row>
    <row r="3670" ht="15.15" spans="1:7">
      <c r="A3670" s="20">
        <v>3669</v>
      </c>
      <c r="B3670" s="20">
        <v>5496</v>
      </c>
      <c r="C3670" s="21">
        <v>45189</v>
      </c>
      <c r="D3670" s="20">
        <v>4078.86</v>
      </c>
      <c r="E3670" s="22" t="s">
        <v>10</v>
      </c>
      <c r="F3670" s="22" t="s">
        <v>16</v>
      </c>
      <c r="G3670" s="22" t="s">
        <v>17</v>
      </c>
    </row>
    <row r="3671" ht="15.15" spans="1:7">
      <c r="A3671" s="20">
        <v>3670</v>
      </c>
      <c r="B3671" s="20">
        <v>7554</v>
      </c>
      <c r="C3671" s="21">
        <v>45289</v>
      </c>
      <c r="D3671" s="20">
        <v>3708.6</v>
      </c>
      <c r="E3671" s="22" t="s">
        <v>10</v>
      </c>
      <c r="F3671" s="22" t="s">
        <v>11</v>
      </c>
      <c r="G3671" s="22" t="s">
        <v>15</v>
      </c>
    </row>
    <row r="3672" ht="15.15" spans="1:7">
      <c r="A3672" s="20">
        <v>3671</v>
      </c>
      <c r="B3672" s="20">
        <v>4672</v>
      </c>
      <c r="C3672" s="21">
        <v>45163</v>
      </c>
      <c r="D3672" s="20">
        <v>1527.31</v>
      </c>
      <c r="E3672" s="22" t="s">
        <v>10</v>
      </c>
      <c r="F3672" s="22" t="s">
        <v>18</v>
      </c>
      <c r="G3672" s="22" t="s">
        <v>15</v>
      </c>
    </row>
    <row r="3673" ht="15.15" spans="1:7">
      <c r="A3673" s="20">
        <v>3672</v>
      </c>
      <c r="B3673" s="20">
        <v>1642</v>
      </c>
      <c r="C3673" s="21">
        <v>44939</v>
      </c>
      <c r="D3673" s="20">
        <v>1422.28</v>
      </c>
      <c r="E3673" s="22" t="s">
        <v>10</v>
      </c>
      <c r="F3673" s="22" t="s">
        <v>14</v>
      </c>
      <c r="G3673" s="22" t="s">
        <v>12</v>
      </c>
    </row>
    <row r="3674" ht="15.15" spans="1:7">
      <c r="A3674" s="20">
        <v>3673</v>
      </c>
      <c r="B3674" s="20">
        <v>9749</v>
      </c>
      <c r="C3674" s="21">
        <v>45005</v>
      </c>
      <c r="D3674" s="20">
        <v>2661.94</v>
      </c>
      <c r="E3674" s="22" t="s">
        <v>10</v>
      </c>
      <c r="F3674" s="22" t="s">
        <v>16</v>
      </c>
      <c r="G3674" s="22" t="s">
        <v>20</v>
      </c>
    </row>
    <row r="3675" ht="15.15" spans="1:7">
      <c r="A3675" s="20">
        <v>3674</v>
      </c>
      <c r="B3675" s="20">
        <v>7034</v>
      </c>
      <c r="C3675" s="21">
        <v>45216</v>
      </c>
      <c r="D3675" s="20">
        <v>448.66</v>
      </c>
      <c r="E3675" s="22" t="s">
        <v>10</v>
      </c>
      <c r="F3675" s="22" t="s">
        <v>11</v>
      </c>
      <c r="G3675" s="22" t="s">
        <v>17</v>
      </c>
    </row>
    <row r="3676" ht="15.15" spans="1:7">
      <c r="A3676" s="20">
        <v>3675</v>
      </c>
      <c r="B3676" s="20">
        <v>2725</v>
      </c>
      <c r="C3676" s="21">
        <v>45139</v>
      </c>
      <c r="D3676" s="20">
        <v>1106.47</v>
      </c>
      <c r="E3676" s="22" t="s">
        <v>10</v>
      </c>
      <c r="F3676" s="22" t="s">
        <v>16</v>
      </c>
      <c r="G3676" s="22" t="s">
        <v>15</v>
      </c>
    </row>
    <row r="3677" ht="15.15" spans="1:7">
      <c r="A3677" s="20">
        <v>3676</v>
      </c>
      <c r="B3677" s="20">
        <v>3034</v>
      </c>
      <c r="C3677" s="21">
        <v>45174</v>
      </c>
      <c r="D3677" s="20">
        <v>2361.18</v>
      </c>
      <c r="E3677" s="22" t="s">
        <v>10</v>
      </c>
      <c r="F3677" s="22" t="s">
        <v>16</v>
      </c>
      <c r="G3677" s="22" t="s">
        <v>17</v>
      </c>
    </row>
    <row r="3678" ht="15.15" spans="1:7">
      <c r="A3678" s="20">
        <v>3677</v>
      </c>
      <c r="B3678" s="20">
        <v>7066</v>
      </c>
      <c r="C3678" s="21">
        <v>45126</v>
      </c>
      <c r="D3678" s="20">
        <v>196.53</v>
      </c>
      <c r="E3678" s="22" t="s">
        <v>21</v>
      </c>
      <c r="F3678" s="22" t="s">
        <v>11</v>
      </c>
      <c r="G3678" s="22" t="s">
        <v>20</v>
      </c>
    </row>
    <row r="3679" ht="15.15" spans="1:7">
      <c r="A3679" s="20">
        <v>3678</v>
      </c>
      <c r="B3679" s="20">
        <v>9207</v>
      </c>
      <c r="C3679" s="21">
        <v>44984</v>
      </c>
      <c r="D3679" s="20">
        <v>644.55</v>
      </c>
      <c r="E3679" s="22" t="s">
        <v>10</v>
      </c>
      <c r="F3679" s="22" t="s">
        <v>18</v>
      </c>
      <c r="G3679" s="22" t="s">
        <v>20</v>
      </c>
    </row>
    <row r="3680" ht="15.15" spans="1:7">
      <c r="A3680" s="20">
        <v>3679</v>
      </c>
      <c r="B3680" s="20">
        <v>3357</v>
      </c>
      <c r="C3680" s="21">
        <v>45217</v>
      </c>
      <c r="D3680" s="20">
        <v>520.62</v>
      </c>
      <c r="E3680" s="22" t="s">
        <v>10</v>
      </c>
      <c r="F3680" s="22" t="s">
        <v>14</v>
      </c>
      <c r="G3680" s="22" t="s">
        <v>15</v>
      </c>
    </row>
    <row r="3681" ht="15.15" spans="1:7">
      <c r="A3681" s="20">
        <v>3680</v>
      </c>
      <c r="B3681" s="20">
        <v>8912</v>
      </c>
      <c r="C3681" s="21">
        <v>45168</v>
      </c>
      <c r="D3681" s="20">
        <v>361.97</v>
      </c>
      <c r="E3681" s="22" t="s">
        <v>10</v>
      </c>
      <c r="F3681" s="22" t="s">
        <v>16</v>
      </c>
      <c r="G3681" s="22" t="s">
        <v>15</v>
      </c>
    </row>
    <row r="3682" ht="15.15" spans="1:7">
      <c r="A3682" s="20">
        <v>3681</v>
      </c>
      <c r="B3682" s="20">
        <v>6334</v>
      </c>
      <c r="C3682" s="21">
        <v>44963</v>
      </c>
      <c r="D3682" s="20">
        <v>517.6</v>
      </c>
      <c r="E3682" s="22" t="s">
        <v>10</v>
      </c>
      <c r="F3682" s="22" t="s">
        <v>11</v>
      </c>
      <c r="G3682" s="22" t="s">
        <v>20</v>
      </c>
    </row>
    <row r="3683" ht="15.15" spans="1:7">
      <c r="A3683" s="20">
        <v>3682</v>
      </c>
      <c r="B3683" s="20">
        <v>5326</v>
      </c>
      <c r="C3683" s="21">
        <v>45116</v>
      </c>
      <c r="D3683" s="20">
        <v>3025.99</v>
      </c>
      <c r="E3683" s="22" t="s">
        <v>10</v>
      </c>
      <c r="F3683" s="22" t="s">
        <v>14</v>
      </c>
      <c r="G3683" s="22" t="s">
        <v>17</v>
      </c>
    </row>
    <row r="3684" ht="15.15" spans="1:7">
      <c r="A3684" s="20">
        <v>3683</v>
      </c>
      <c r="B3684" s="20">
        <v>9301</v>
      </c>
      <c r="C3684" s="21">
        <v>45266</v>
      </c>
      <c r="D3684" s="20">
        <v>439.19</v>
      </c>
      <c r="E3684" s="22" t="s">
        <v>10</v>
      </c>
      <c r="F3684" s="22" t="s">
        <v>16</v>
      </c>
      <c r="G3684" s="22" t="s">
        <v>12</v>
      </c>
    </row>
    <row r="3685" ht="15.15" spans="1:7">
      <c r="A3685" s="20">
        <v>3684</v>
      </c>
      <c r="B3685" s="20">
        <v>4812</v>
      </c>
      <c r="C3685" s="21">
        <v>45245</v>
      </c>
      <c r="D3685" s="20">
        <v>1818.93</v>
      </c>
      <c r="E3685" s="22" t="s">
        <v>10</v>
      </c>
      <c r="F3685" s="22" t="s">
        <v>11</v>
      </c>
      <c r="G3685" s="22" t="s">
        <v>20</v>
      </c>
    </row>
    <row r="3686" ht="15.15" spans="1:7">
      <c r="A3686" s="20">
        <v>3685</v>
      </c>
      <c r="B3686" s="20">
        <v>3713</v>
      </c>
      <c r="C3686" s="21">
        <v>45027</v>
      </c>
      <c r="D3686" s="20">
        <v>2029.36</v>
      </c>
      <c r="E3686" s="22" t="s">
        <v>10</v>
      </c>
      <c r="F3686" s="22" t="s">
        <v>14</v>
      </c>
      <c r="G3686" s="22" t="s">
        <v>17</v>
      </c>
    </row>
    <row r="3687" ht="15.15" spans="1:7">
      <c r="A3687" s="20">
        <v>3686</v>
      </c>
      <c r="B3687" s="20">
        <v>3841</v>
      </c>
      <c r="C3687" s="21">
        <v>45058</v>
      </c>
      <c r="D3687" s="20">
        <v>1374.61</v>
      </c>
      <c r="E3687" s="22" t="s">
        <v>10</v>
      </c>
      <c r="F3687" s="22" t="s">
        <v>18</v>
      </c>
      <c r="G3687" s="22" t="s">
        <v>12</v>
      </c>
    </row>
    <row r="3688" ht="15.15" spans="1:7">
      <c r="A3688" s="20">
        <v>3687</v>
      </c>
      <c r="B3688" s="20">
        <v>5137</v>
      </c>
      <c r="C3688" s="21">
        <v>45242</v>
      </c>
      <c r="D3688" s="20">
        <v>386.13</v>
      </c>
      <c r="E3688" s="22" t="s">
        <v>10</v>
      </c>
      <c r="F3688" s="22" t="s">
        <v>18</v>
      </c>
      <c r="G3688" s="22" t="s">
        <v>17</v>
      </c>
    </row>
    <row r="3689" ht="15.15" spans="1:7">
      <c r="A3689" s="20">
        <v>3688</v>
      </c>
      <c r="B3689" s="20">
        <v>4398</v>
      </c>
      <c r="C3689" s="21">
        <v>45132</v>
      </c>
      <c r="D3689" s="20">
        <v>1994.76</v>
      </c>
      <c r="E3689" s="22" t="s">
        <v>10</v>
      </c>
      <c r="F3689" s="22" t="s">
        <v>16</v>
      </c>
      <c r="G3689" s="22" t="s">
        <v>12</v>
      </c>
    </row>
    <row r="3690" ht="15.15" spans="1:7">
      <c r="A3690" s="20">
        <v>3689</v>
      </c>
      <c r="B3690" s="20">
        <v>6047</v>
      </c>
      <c r="C3690" s="21">
        <v>45156</v>
      </c>
      <c r="D3690" s="20">
        <v>619.65</v>
      </c>
      <c r="E3690" s="22" t="s">
        <v>10</v>
      </c>
      <c r="F3690" s="22" t="s">
        <v>11</v>
      </c>
      <c r="G3690" s="22" t="s">
        <v>17</v>
      </c>
    </row>
    <row r="3691" ht="15.15" spans="1:7">
      <c r="A3691" s="20">
        <v>3690</v>
      </c>
      <c r="B3691" s="20">
        <v>24</v>
      </c>
      <c r="C3691" s="21">
        <v>45040</v>
      </c>
      <c r="D3691" s="20">
        <v>1125.9</v>
      </c>
      <c r="E3691" s="22" t="s">
        <v>10</v>
      </c>
      <c r="F3691" s="22" t="s">
        <v>14</v>
      </c>
      <c r="G3691" s="22" t="s">
        <v>20</v>
      </c>
    </row>
    <row r="3692" ht="15.15" spans="1:7">
      <c r="A3692" s="20">
        <v>3691</v>
      </c>
      <c r="B3692" s="20">
        <v>1865</v>
      </c>
      <c r="C3692" s="21">
        <v>45233</v>
      </c>
      <c r="D3692" s="20">
        <v>1299.54</v>
      </c>
      <c r="E3692" s="22" t="s">
        <v>10</v>
      </c>
      <c r="F3692" s="22" t="s">
        <v>13</v>
      </c>
      <c r="G3692" s="22" t="s">
        <v>15</v>
      </c>
    </row>
    <row r="3693" ht="15.15" spans="1:7">
      <c r="A3693" s="20">
        <v>3692</v>
      </c>
      <c r="B3693" s="20">
        <v>846</v>
      </c>
      <c r="C3693" s="21">
        <v>44995</v>
      </c>
      <c r="D3693" s="20">
        <v>1264.57</v>
      </c>
      <c r="E3693" s="22" t="s">
        <v>10</v>
      </c>
      <c r="F3693" s="22" t="s">
        <v>16</v>
      </c>
      <c r="G3693" s="22" t="s">
        <v>17</v>
      </c>
    </row>
    <row r="3694" ht="15.15" spans="1:7">
      <c r="A3694" s="20">
        <v>3693</v>
      </c>
      <c r="B3694" s="20">
        <v>4374</v>
      </c>
      <c r="C3694" s="21">
        <v>44998</v>
      </c>
      <c r="D3694" s="20">
        <v>345.69</v>
      </c>
      <c r="E3694" s="22" t="s">
        <v>10</v>
      </c>
      <c r="F3694" s="22" t="s">
        <v>13</v>
      </c>
      <c r="G3694" s="22" t="s">
        <v>12</v>
      </c>
    </row>
    <row r="3695" ht="15.15" spans="1:7">
      <c r="A3695" s="20">
        <v>3694</v>
      </c>
      <c r="B3695" s="20">
        <v>5880</v>
      </c>
      <c r="C3695" s="21">
        <v>45191</v>
      </c>
      <c r="D3695" s="20">
        <v>154.28</v>
      </c>
      <c r="E3695" s="22" t="s">
        <v>10</v>
      </c>
      <c r="F3695" s="22" t="s">
        <v>16</v>
      </c>
      <c r="G3695" s="22" t="s">
        <v>17</v>
      </c>
    </row>
    <row r="3696" ht="15.15" spans="1:7">
      <c r="A3696" s="20">
        <v>3695</v>
      </c>
      <c r="B3696" s="20">
        <v>1268</v>
      </c>
      <c r="C3696" s="21">
        <v>44973</v>
      </c>
      <c r="D3696" s="20">
        <v>1883.98</v>
      </c>
      <c r="E3696" s="22" t="s">
        <v>10</v>
      </c>
      <c r="F3696" s="22" t="s">
        <v>16</v>
      </c>
      <c r="G3696" s="22" t="s">
        <v>17</v>
      </c>
    </row>
    <row r="3697" ht="15.15" spans="1:7">
      <c r="A3697" s="20">
        <v>3696</v>
      </c>
      <c r="B3697" s="20">
        <v>3217</v>
      </c>
      <c r="C3697" s="21">
        <v>45191</v>
      </c>
      <c r="D3697" s="20">
        <v>545.46</v>
      </c>
      <c r="E3697" s="22" t="s">
        <v>10</v>
      </c>
      <c r="F3697" s="22" t="s">
        <v>16</v>
      </c>
      <c r="G3697" s="22" t="s">
        <v>17</v>
      </c>
    </row>
    <row r="3698" ht="15.15" spans="1:7">
      <c r="A3698" s="20">
        <v>3697</v>
      </c>
      <c r="B3698" s="20">
        <v>9305</v>
      </c>
      <c r="C3698" s="21">
        <v>45278</v>
      </c>
      <c r="D3698" s="20">
        <v>686.4</v>
      </c>
      <c r="E3698" s="22" t="s">
        <v>10</v>
      </c>
      <c r="F3698" s="22" t="s">
        <v>11</v>
      </c>
      <c r="G3698" s="22" t="s">
        <v>17</v>
      </c>
    </row>
    <row r="3699" ht="15.15" spans="1:7">
      <c r="A3699" s="20">
        <v>3698</v>
      </c>
      <c r="B3699" s="20">
        <v>9708</v>
      </c>
      <c r="C3699" s="21">
        <v>45244</v>
      </c>
      <c r="D3699" s="20">
        <v>260.61</v>
      </c>
      <c r="E3699" s="22" t="s">
        <v>10</v>
      </c>
      <c r="F3699" s="22" t="s">
        <v>18</v>
      </c>
      <c r="G3699" s="22" t="s">
        <v>12</v>
      </c>
    </row>
    <row r="3700" ht="15.15" spans="1:7">
      <c r="A3700" s="20">
        <v>3699</v>
      </c>
      <c r="B3700" s="20">
        <v>2517</v>
      </c>
      <c r="C3700" s="21">
        <v>44962</v>
      </c>
      <c r="D3700" s="20">
        <v>90.33</v>
      </c>
      <c r="E3700" s="22" t="s">
        <v>10</v>
      </c>
      <c r="F3700" s="22" t="s">
        <v>14</v>
      </c>
      <c r="G3700" s="22" t="s">
        <v>15</v>
      </c>
    </row>
    <row r="3701" ht="15.15" spans="1:7">
      <c r="A3701" s="20">
        <v>3700</v>
      </c>
      <c r="B3701" s="20">
        <v>964</v>
      </c>
      <c r="C3701" s="21">
        <v>45136</v>
      </c>
      <c r="D3701" s="20">
        <v>2647.26</v>
      </c>
      <c r="E3701" s="22" t="s">
        <v>10</v>
      </c>
      <c r="F3701" s="22" t="s">
        <v>14</v>
      </c>
      <c r="G3701" s="22" t="s">
        <v>15</v>
      </c>
    </row>
    <row r="3702" ht="15.15" spans="1:7">
      <c r="A3702" s="20">
        <v>3701</v>
      </c>
      <c r="B3702" s="20">
        <v>46</v>
      </c>
      <c r="C3702" s="21">
        <v>45038</v>
      </c>
      <c r="D3702" s="20">
        <v>823.93</v>
      </c>
      <c r="E3702" s="22" t="s">
        <v>10</v>
      </c>
      <c r="F3702" s="22" t="s">
        <v>18</v>
      </c>
      <c r="G3702" s="22" t="s">
        <v>17</v>
      </c>
    </row>
    <row r="3703" ht="15.15" spans="1:7">
      <c r="A3703" s="20">
        <v>3702</v>
      </c>
      <c r="B3703" s="20">
        <v>5424</v>
      </c>
      <c r="C3703" s="21">
        <v>45079</v>
      </c>
      <c r="D3703" s="20">
        <v>1071.23</v>
      </c>
      <c r="E3703" s="22" t="s">
        <v>10</v>
      </c>
      <c r="F3703" s="22" t="s">
        <v>13</v>
      </c>
      <c r="G3703" s="22" t="s">
        <v>12</v>
      </c>
    </row>
    <row r="3704" ht="15.15" spans="1:7">
      <c r="A3704" s="20">
        <v>3703</v>
      </c>
      <c r="B3704" s="20">
        <v>3357</v>
      </c>
      <c r="C3704" s="21">
        <v>45169</v>
      </c>
      <c r="D3704" s="20">
        <v>471.55</v>
      </c>
      <c r="E3704" s="22" t="s">
        <v>10</v>
      </c>
      <c r="F3704" s="22" t="s">
        <v>14</v>
      </c>
      <c r="G3704" s="22" t="s">
        <v>17</v>
      </c>
    </row>
    <row r="3705" ht="15.15" spans="1:7">
      <c r="A3705" s="20">
        <v>3704</v>
      </c>
      <c r="B3705" s="20">
        <v>7608</v>
      </c>
      <c r="C3705" s="21">
        <v>45133</v>
      </c>
      <c r="D3705" s="20">
        <v>635.74</v>
      </c>
      <c r="E3705" s="22" t="s">
        <v>10</v>
      </c>
      <c r="F3705" s="22" t="s">
        <v>13</v>
      </c>
      <c r="G3705" s="22" t="s">
        <v>20</v>
      </c>
    </row>
    <row r="3706" ht="15.15" spans="1:7">
      <c r="A3706" s="20">
        <v>3705</v>
      </c>
      <c r="B3706" s="20">
        <v>5448</v>
      </c>
      <c r="C3706" s="21">
        <v>45060</v>
      </c>
      <c r="D3706" s="20">
        <v>971.04</v>
      </c>
      <c r="E3706" s="22" t="s">
        <v>10</v>
      </c>
      <c r="F3706" s="22" t="s">
        <v>13</v>
      </c>
      <c r="G3706" s="22" t="s">
        <v>17</v>
      </c>
    </row>
    <row r="3707" ht="15.15" spans="1:7">
      <c r="A3707" s="20">
        <v>3706</v>
      </c>
      <c r="B3707" s="20">
        <v>115</v>
      </c>
      <c r="C3707" s="21">
        <v>45109</v>
      </c>
      <c r="D3707" s="20">
        <v>2616.45</v>
      </c>
      <c r="E3707" s="22" t="s">
        <v>10</v>
      </c>
      <c r="F3707" s="22" t="s">
        <v>11</v>
      </c>
      <c r="G3707" s="22" t="s">
        <v>15</v>
      </c>
    </row>
    <row r="3708" ht="15.15" spans="1:7">
      <c r="A3708" s="20">
        <v>3707</v>
      </c>
      <c r="B3708" s="20">
        <v>3462</v>
      </c>
      <c r="C3708" s="21">
        <v>45190</v>
      </c>
      <c r="D3708" s="20">
        <v>152.53</v>
      </c>
      <c r="E3708" s="22" t="s">
        <v>10</v>
      </c>
      <c r="F3708" s="22" t="s">
        <v>19</v>
      </c>
      <c r="G3708" s="22" t="s">
        <v>17</v>
      </c>
    </row>
    <row r="3709" ht="15.15" spans="1:7">
      <c r="A3709" s="20">
        <v>3708</v>
      </c>
      <c r="B3709" s="20">
        <v>9178</v>
      </c>
      <c r="C3709" s="21">
        <v>45254</v>
      </c>
      <c r="D3709" s="20">
        <v>3444.19</v>
      </c>
      <c r="E3709" s="22" t="s">
        <v>10</v>
      </c>
      <c r="F3709" s="22" t="s">
        <v>18</v>
      </c>
      <c r="G3709" s="22" t="s">
        <v>12</v>
      </c>
    </row>
    <row r="3710" ht="15.15" spans="1:7">
      <c r="A3710" s="20">
        <v>3709</v>
      </c>
      <c r="B3710" s="20">
        <v>5017</v>
      </c>
      <c r="C3710" s="21">
        <v>45075</v>
      </c>
      <c r="D3710" s="20">
        <v>352.84</v>
      </c>
      <c r="E3710" s="22" t="s">
        <v>10</v>
      </c>
      <c r="F3710" s="22" t="s">
        <v>16</v>
      </c>
      <c r="G3710" s="22" t="s">
        <v>15</v>
      </c>
    </row>
    <row r="3711" ht="15.15" spans="1:7">
      <c r="A3711" s="20">
        <v>3710</v>
      </c>
      <c r="B3711" s="20">
        <v>9252</v>
      </c>
      <c r="C3711" s="21">
        <v>45278</v>
      </c>
      <c r="D3711" s="20">
        <v>1551.37</v>
      </c>
      <c r="E3711" s="22" t="s">
        <v>10</v>
      </c>
      <c r="F3711" s="22" t="s">
        <v>14</v>
      </c>
      <c r="G3711" s="22" t="s">
        <v>15</v>
      </c>
    </row>
    <row r="3712" ht="15.15" spans="1:7">
      <c r="A3712" s="20">
        <v>3711</v>
      </c>
      <c r="B3712" s="20">
        <v>7324</v>
      </c>
      <c r="C3712" s="21">
        <v>45237</v>
      </c>
      <c r="D3712" s="20">
        <v>1993.79</v>
      </c>
      <c r="E3712" s="22" t="s">
        <v>10</v>
      </c>
      <c r="F3712" s="22" t="s">
        <v>18</v>
      </c>
      <c r="G3712" s="22" t="s">
        <v>20</v>
      </c>
    </row>
    <row r="3713" ht="15.15" spans="1:7">
      <c r="A3713" s="20">
        <v>3712</v>
      </c>
      <c r="B3713" s="20">
        <v>8479</v>
      </c>
      <c r="C3713" s="21">
        <v>45288</v>
      </c>
      <c r="D3713" s="20">
        <v>2466.93</v>
      </c>
      <c r="E3713" s="22" t="s">
        <v>10</v>
      </c>
      <c r="F3713" s="22" t="s">
        <v>18</v>
      </c>
      <c r="G3713" s="22" t="s">
        <v>20</v>
      </c>
    </row>
    <row r="3714" ht="15.15" spans="1:7">
      <c r="A3714" s="20">
        <v>3713</v>
      </c>
      <c r="B3714" s="20">
        <v>4449</v>
      </c>
      <c r="C3714" s="21">
        <v>45253</v>
      </c>
      <c r="D3714" s="20">
        <v>2532.74</v>
      </c>
      <c r="E3714" s="22" t="s">
        <v>10</v>
      </c>
      <c r="F3714" s="22" t="s">
        <v>13</v>
      </c>
      <c r="G3714" s="22" t="s">
        <v>20</v>
      </c>
    </row>
    <row r="3715" ht="15.15" spans="1:7">
      <c r="A3715" s="20">
        <v>3714</v>
      </c>
      <c r="B3715" s="20">
        <v>6710</v>
      </c>
      <c r="C3715" s="21">
        <v>45240</v>
      </c>
      <c r="D3715" s="20">
        <v>2092.87</v>
      </c>
      <c r="E3715" s="22" t="s">
        <v>10</v>
      </c>
      <c r="F3715" s="22" t="s">
        <v>18</v>
      </c>
      <c r="G3715" s="22" t="s">
        <v>15</v>
      </c>
    </row>
    <row r="3716" ht="15.15" spans="1:7">
      <c r="A3716" s="20">
        <v>3715</v>
      </c>
      <c r="B3716" s="20">
        <v>5940</v>
      </c>
      <c r="C3716" s="21">
        <v>45170</v>
      </c>
      <c r="D3716" s="20">
        <v>1033.01</v>
      </c>
      <c r="E3716" s="22" t="s">
        <v>10</v>
      </c>
      <c r="F3716" s="22" t="s">
        <v>11</v>
      </c>
      <c r="G3716" s="22" t="s">
        <v>15</v>
      </c>
    </row>
    <row r="3717" ht="15.15" spans="1:7">
      <c r="A3717" s="20">
        <v>3716</v>
      </c>
      <c r="B3717" s="20">
        <v>2698</v>
      </c>
      <c r="C3717" s="21">
        <v>45057</v>
      </c>
      <c r="D3717" s="20">
        <v>1803.02</v>
      </c>
      <c r="E3717" s="22" t="s">
        <v>10</v>
      </c>
      <c r="F3717" s="22" t="s">
        <v>18</v>
      </c>
      <c r="G3717" s="22" t="s">
        <v>15</v>
      </c>
    </row>
    <row r="3718" ht="15.15" spans="1:7">
      <c r="A3718" s="20">
        <v>3717</v>
      </c>
      <c r="B3718" s="20">
        <v>4048</v>
      </c>
      <c r="C3718" s="21">
        <v>44953</v>
      </c>
      <c r="D3718" s="20">
        <v>1285.58</v>
      </c>
      <c r="E3718" s="22" t="s">
        <v>22</v>
      </c>
      <c r="F3718" s="22" t="s">
        <v>16</v>
      </c>
      <c r="G3718" s="22" t="s">
        <v>12</v>
      </c>
    </row>
    <row r="3719" ht="15.15" spans="1:7">
      <c r="A3719" s="20">
        <v>3718</v>
      </c>
      <c r="B3719" s="20">
        <v>8270</v>
      </c>
      <c r="C3719" s="21">
        <v>45245</v>
      </c>
      <c r="D3719" s="20">
        <v>432.51</v>
      </c>
      <c r="E3719" s="22" t="s">
        <v>10</v>
      </c>
      <c r="F3719" s="22" t="s">
        <v>14</v>
      </c>
      <c r="G3719" s="22" t="s">
        <v>12</v>
      </c>
    </row>
    <row r="3720" ht="15.15" spans="1:7">
      <c r="A3720" s="20">
        <v>3719</v>
      </c>
      <c r="B3720" s="20">
        <v>7732</v>
      </c>
      <c r="C3720" s="21">
        <v>45186</v>
      </c>
      <c r="D3720" s="20">
        <v>724.71</v>
      </c>
      <c r="E3720" s="22" t="s">
        <v>10</v>
      </c>
      <c r="F3720" s="22" t="s">
        <v>14</v>
      </c>
      <c r="G3720" s="22" t="s">
        <v>20</v>
      </c>
    </row>
    <row r="3721" ht="15.15" spans="1:7">
      <c r="A3721" s="20">
        <v>3720</v>
      </c>
      <c r="B3721" s="20">
        <v>3134</v>
      </c>
      <c r="C3721" s="21">
        <v>44927</v>
      </c>
      <c r="D3721" s="20">
        <v>413.05</v>
      </c>
      <c r="E3721" s="22" t="s">
        <v>10</v>
      </c>
      <c r="F3721" s="22" t="s">
        <v>18</v>
      </c>
      <c r="G3721" s="22" t="s">
        <v>12</v>
      </c>
    </row>
    <row r="3722" ht="15.15" spans="1:7">
      <c r="A3722" s="20">
        <v>3721</v>
      </c>
      <c r="B3722" s="20">
        <v>4442</v>
      </c>
      <c r="C3722" s="21">
        <v>45269</v>
      </c>
      <c r="D3722" s="20">
        <v>497.83</v>
      </c>
      <c r="E3722" s="22" t="s">
        <v>10</v>
      </c>
      <c r="F3722" s="22" t="s">
        <v>14</v>
      </c>
      <c r="G3722" s="22" t="s">
        <v>17</v>
      </c>
    </row>
    <row r="3723" ht="15.15" spans="1:7">
      <c r="A3723" s="20">
        <v>3722</v>
      </c>
      <c r="B3723" s="20">
        <v>3904</v>
      </c>
      <c r="C3723" s="21">
        <v>45136</v>
      </c>
      <c r="D3723" s="20">
        <v>2585.75</v>
      </c>
      <c r="E3723" s="22" t="s">
        <v>10</v>
      </c>
      <c r="F3723" s="22" t="s">
        <v>18</v>
      </c>
      <c r="G3723" s="22" t="s">
        <v>15</v>
      </c>
    </row>
    <row r="3724" ht="15.15" spans="1:7">
      <c r="A3724" s="20">
        <v>3723</v>
      </c>
      <c r="B3724" s="20">
        <v>3598</v>
      </c>
      <c r="C3724" s="21">
        <v>45140</v>
      </c>
      <c r="D3724" s="20">
        <v>797.85</v>
      </c>
      <c r="E3724" s="22" t="s">
        <v>10</v>
      </c>
      <c r="F3724" s="22" t="s">
        <v>18</v>
      </c>
      <c r="G3724" s="22" t="s">
        <v>20</v>
      </c>
    </row>
    <row r="3725" ht="15.15" spans="1:7">
      <c r="A3725" s="20">
        <v>3724</v>
      </c>
      <c r="B3725" s="20">
        <v>1291</v>
      </c>
      <c r="C3725" s="21">
        <v>45195</v>
      </c>
      <c r="D3725" s="20">
        <v>181.83</v>
      </c>
      <c r="E3725" s="22" t="s">
        <v>10</v>
      </c>
      <c r="F3725" s="22" t="s">
        <v>14</v>
      </c>
      <c r="G3725" s="22" t="s">
        <v>12</v>
      </c>
    </row>
    <row r="3726" ht="15.15" spans="1:7">
      <c r="A3726" s="20">
        <v>3725</v>
      </c>
      <c r="B3726" s="20">
        <v>2636</v>
      </c>
      <c r="C3726" s="21">
        <v>44986</v>
      </c>
      <c r="D3726" s="20">
        <v>210.74</v>
      </c>
      <c r="E3726" s="22" t="s">
        <v>10</v>
      </c>
      <c r="F3726" s="22" t="s">
        <v>11</v>
      </c>
      <c r="G3726" s="22" t="s">
        <v>15</v>
      </c>
    </row>
    <row r="3727" ht="15.15" spans="1:7">
      <c r="A3727" s="20">
        <v>3726</v>
      </c>
      <c r="B3727" s="20">
        <v>8242</v>
      </c>
      <c r="C3727" s="21">
        <v>45105</v>
      </c>
      <c r="D3727" s="20">
        <v>7876.24</v>
      </c>
      <c r="E3727" s="22" t="s">
        <v>10</v>
      </c>
      <c r="F3727" s="22" t="s">
        <v>13</v>
      </c>
      <c r="G3727" s="22" t="s">
        <v>12</v>
      </c>
    </row>
    <row r="3728" ht="15.15" spans="1:7">
      <c r="A3728" s="20">
        <v>3727</v>
      </c>
      <c r="B3728" s="20">
        <v>7908</v>
      </c>
      <c r="C3728" s="21">
        <v>44948</v>
      </c>
      <c r="D3728" s="20">
        <v>2010.33</v>
      </c>
      <c r="E3728" s="22" t="s">
        <v>10</v>
      </c>
      <c r="F3728" s="22" t="s">
        <v>16</v>
      </c>
      <c r="G3728" s="22" t="s">
        <v>12</v>
      </c>
    </row>
    <row r="3729" ht="15.15" spans="1:7">
      <c r="A3729" s="20">
        <v>3728</v>
      </c>
      <c r="B3729" s="20">
        <v>9055</v>
      </c>
      <c r="C3729" s="21">
        <v>45183</v>
      </c>
      <c r="D3729" s="20">
        <v>443.8</v>
      </c>
      <c r="E3729" s="22" t="s">
        <v>10</v>
      </c>
      <c r="F3729" s="22" t="s">
        <v>13</v>
      </c>
      <c r="G3729" s="22" t="s">
        <v>17</v>
      </c>
    </row>
    <row r="3730" ht="15.15" spans="1:7">
      <c r="A3730" s="20">
        <v>3729</v>
      </c>
      <c r="B3730" s="20">
        <v>2007</v>
      </c>
      <c r="C3730" s="21">
        <v>45247</v>
      </c>
      <c r="D3730" s="20">
        <v>250.59</v>
      </c>
      <c r="E3730" s="22" t="s">
        <v>10</v>
      </c>
      <c r="F3730" s="22" t="s">
        <v>13</v>
      </c>
      <c r="G3730" s="22" t="s">
        <v>12</v>
      </c>
    </row>
    <row r="3731" ht="15.15" spans="1:7">
      <c r="A3731" s="20">
        <v>3730</v>
      </c>
      <c r="B3731" s="20">
        <v>9947</v>
      </c>
      <c r="C3731" s="21">
        <v>45051</v>
      </c>
      <c r="D3731" s="20">
        <v>211.3</v>
      </c>
      <c r="E3731" s="22" t="s">
        <v>10</v>
      </c>
      <c r="F3731" s="22" t="s">
        <v>14</v>
      </c>
      <c r="G3731" s="22" t="s">
        <v>17</v>
      </c>
    </row>
    <row r="3732" ht="15.15" spans="1:7">
      <c r="A3732" s="20">
        <v>3731</v>
      </c>
      <c r="B3732" s="20">
        <v>5725</v>
      </c>
      <c r="C3732" s="21">
        <v>45020</v>
      </c>
      <c r="D3732" s="20">
        <v>1527.31</v>
      </c>
      <c r="E3732" s="22" t="s">
        <v>10</v>
      </c>
      <c r="F3732" s="22" t="s">
        <v>18</v>
      </c>
      <c r="G3732" s="22" t="s">
        <v>12</v>
      </c>
    </row>
    <row r="3733" ht="15.15" spans="1:7">
      <c r="A3733" s="20">
        <v>3732</v>
      </c>
      <c r="B3733" s="20">
        <v>9719</v>
      </c>
      <c r="C3733" s="21">
        <v>44962</v>
      </c>
      <c r="D3733" s="20">
        <v>2702.91</v>
      </c>
      <c r="E3733" s="22" t="s">
        <v>10</v>
      </c>
      <c r="F3733" s="22" t="s">
        <v>19</v>
      </c>
      <c r="G3733" s="22" t="s">
        <v>20</v>
      </c>
    </row>
    <row r="3734" ht="15.15" spans="1:7">
      <c r="A3734" s="20">
        <v>3733</v>
      </c>
      <c r="B3734" s="20">
        <v>5589</v>
      </c>
      <c r="C3734" s="21">
        <v>45280</v>
      </c>
      <c r="D3734" s="20">
        <v>793.22</v>
      </c>
      <c r="E3734" s="22" t="s">
        <v>10</v>
      </c>
      <c r="F3734" s="22" t="s">
        <v>14</v>
      </c>
      <c r="G3734" s="22" t="s">
        <v>12</v>
      </c>
    </row>
    <row r="3735" ht="15.15" spans="1:7">
      <c r="A3735" s="20">
        <v>3734</v>
      </c>
      <c r="B3735" s="20">
        <v>1077</v>
      </c>
      <c r="C3735" s="21">
        <v>45003</v>
      </c>
      <c r="D3735" s="20">
        <v>193.6</v>
      </c>
      <c r="E3735" s="22" t="s">
        <v>10</v>
      </c>
      <c r="F3735" s="22" t="s">
        <v>13</v>
      </c>
      <c r="G3735" s="22" t="s">
        <v>20</v>
      </c>
    </row>
    <row r="3736" ht="15.15" spans="1:7">
      <c r="A3736" s="20">
        <v>3735</v>
      </c>
      <c r="B3736" s="20">
        <v>9936</v>
      </c>
      <c r="C3736" s="21">
        <v>44933</v>
      </c>
      <c r="D3736" s="20">
        <v>1045.12</v>
      </c>
      <c r="E3736" s="22" t="s">
        <v>10</v>
      </c>
      <c r="F3736" s="22" t="s">
        <v>14</v>
      </c>
      <c r="G3736" s="22" t="s">
        <v>20</v>
      </c>
    </row>
    <row r="3737" ht="15.15" spans="1:7">
      <c r="A3737" s="20">
        <v>3736</v>
      </c>
      <c r="B3737" s="20">
        <v>5976</v>
      </c>
      <c r="C3737" s="21">
        <v>45253</v>
      </c>
      <c r="D3737" s="20">
        <v>2585.61</v>
      </c>
      <c r="E3737" s="22" t="s">
        <v>10</v>
      </c>
      <c r="F3737" s="22" t="s">
        <v>11</v>
      </c>
      <c r="G3737" s="22" t="s">
        <v>17</v>
      </c>
    </row>
    <row r="3738" ht="15.15" spans="1:7">
      <c r="A3738" s="20">
        <v>3737</v>
      </c>
      <c r="B3738" s="20">
        <v>2145</v>
      </c>
      <c r="C3738" s="21">
        <v>45102</v>
      </c>
      <c r="D3738" s="20">
        <v>1102.11</v>
      </c>
      <c r="E3738" s="22" t="s">
        <v>10</v>
      </c>
      <c r="F3738" s="22" t="s">
        <v>16</v>
      </c>
      <c r="G3738" s="22" t="s">
        <v>20</v>
      </c>
    </row>
    <row r="3739" ht="15.15" spans="1:7">
      <c r="A3739" s="20">
        <v>3738</v>
      </c>
      <c r="B3739" s="20">
        <v>6458</v>
      </c>
      <c r="C3739" s="21">
        <v>45280</v>
      </c>
      <c r="D3739" s="20">
        <v>870.15</v>
      </c>
      <c r="E3739" s="22" t="s">
        <v>22</v>
      </c>
      <c r="F3739" s="22" t="s">
        <v>18</v>
      </c>
      <c r="G3739" s="22" t="s">
        <v>15</v>
      </c>
    </row>
    <row r="3740" ht="15.15" spans="1:7">
      <c r="A3740" s="20">
        <v>3739</v>
      </c>
      <c r="B3740" s="20">
        <v>1385</v>
      </c>
      <c r="C3740" s="21">
        <v>44944</v>
      </c>
      <c r="D3740" s="20">
        <v>5782.99</v>
      </c>
      <c r="E3740" s="22" t="s">
        <v>10</v>
      </c>
      <c r="F3740" s="22" t="s">
        <v>11</v>
      </c>
      <c r="G3740" s="22" t="s">
        <v>20</v>
      </c>
    </row>
    <row r="3741" ht="15.15" spans="1:7">
      <c r="A3741" s="20">
        <v>3740</v>
      </c>
      <c r="B3741" s="20">
        <v>5172</v>
      </c>
      <c r="C3741" s="21">
        <v>45117</v>
      </c>
      <c r="D3741" s="20">
        <v>150.49</v>
      </c>
      <c r="E3741" s="22" t="s">
        <v>10</v>
      </c>
      <c r="F3741" s="22" t="s">
        <v>11</v>
      </c>
      <c r="G3741" s="22" t="s">
        <v>20</v>
      </c>
    </row>
    <row r="3742" ht="15.15" spans="1:7">
      <c r="A3742" s="20">
        <v>3741</v>
      </c>
      <c r="B3742" s="20">
        <v>7283</v>
      </c>
      <c r="C3742" s="21">
        <v>45249</v>
      </c>
      <c r="D3742" s="20">
        <v>2532.53</v>
      </c>
      <c r="E3742" s="22" t="s">
        <v>22</v>
      </c>
      <c r="F3742" s="22" t="s">
        <v>13</v>
      </c>
      <c r="G3742" s="22" t="s">
        <v>17</v>
      </c>
    </row>
    <row r="3743" ht="15.15" spans="1:7">
      <c r="A3743" s="20">
        <v>3742</v>
      </c>
      <c r="B3743" s="20">
        <v>9977</v>
      </c>
      <c r="C3743" s="21">
        <v>45227</v>
      </c>
      <c r="D3743" s="20">
        <v>2683.19</v>
      </c>
      <c r="E3743" s="22" t="s">
        <v>10</v>
      </c>
      <c r="F3743" s="22" t="s">
        <v>16</v>
      </c>
      <c r="G3743" s="22" t="s">
        <v>17</v>
      </c>
    </row>
    <row r="3744" ht="15.15" spans="1:7">
      <c r="A3744" s="20">
        <v>3743</v>
      </c>
      <c r="B3744" s="20">
        <v>8077</v>
      </c>
      <c r="C3744" s="21">
        <v>44980</v>
      </c>
      <c r="D3744" s="20">
        <v>1397.03</v>
      </c>
      <c r="E3744" s="22" t="s">
        <v>10</v>
      </c>
      <c r="F3744" s="22" t="s">
        <v>11</v>
      </c>
      <c r="G3744" s="22" t="s">
        <v>12</v>
      </c>
    </row>
    <row r="3745" ht="15.15" spans="1:7">
      <c r="A3745" s="20">
        <v>3744</v>
      </c>
      <c r="B3745" s="20">
        <v>5673</v>
      </c>
      <c r="C3745" s="21">
        <v>44939</v>
      </c>
      <c r="D3745" s="20">
        <v>256.52</v>
      </c>
      <c r="E3745" s="22" t="s">
        <v>10</v>
      </c>
      <c r="F3745" s="22" t="s">
        <v>16</v>
      </c>
      <c r="G3745" s="22" t="s">
        <v>15</v>
      </c>
    </row>
    <row r="3746" ht="15.15" spans="1:7">
      <c r="A3746" s="20">
        <v>3745</v>
      </c>
      <c r="B3746" s="20">
        <v>9251</v>
      </c>
      <c r="C3746" s="21">
        <v>45291</v>
      </c>
      <c r="D3746" s="20">
        <v>1237.86</v>
      </c>
      <c r="E3746" s="22" t="s">
        <v>10</v>
      </c>
      <c r="F3746" s="22" t="s">
        <v>13</v>
      </c>
      <c r="G3746" s="22" t="s">
        <v>20</v>
      </c>
    </row>
    <row r="3747" ht="15.15" spans="1:7">
      <c r="A3747" s="20">
        <v>3746</v>
      </c>
      <c r="B3747" s="20">
        <v>6344</v>
      </c>
      <c r="C3747" s="21">
        <v>45006</v>
      </c>
      <c r="D3747" s="20">
        <v>1665.79</v>
      </c>
      <c r="E3747" s="22" t="s">
        <v>10</v>
      </c>
      <c r="F3747" s="22" t="s">
        <v>18</v>
      </c>
      <c r="G3747" s="22" t="s">
        <v>20</v>
      </c>
    </row>
    <row r="3748" ht="15.15" spans="1:7">
      <c r="A3748" s="20">
        <v>3747</v>
      </c>
      <c r="B3748" s="20">
        <v>4081</v>
      </c>
      <c r="C3748" s="21">
        <v>45007</v>
      </c>
      <c r="D3748" s="20">
        <v>400.57</v>
      </c>
      <c r="E3748" s="22" t="s">
        <v>10</v>
      </c>
      <c r="F3748" s="22" t="s">
        <v>13</v>
      </c>
      <c r="G3748" s="22" t="s">
        <v>17</v>
      </c>
    </row>
    <row r="3749" ht="15.15" spans="1:7">
      <c r="A3749" s="20">
        <v>3748</v>
      </c>
      <c r="B3749" s="20">
        <v>498</v>
      </c>
      <c r="C3749" s="21">
        <v>45184</v>
      </c>
      <c r="D3749" s="20">
        <v>3009.47</v>
      </c>
      <c r="E3749" s="22" t="s">
        <v>10</v>
      </c>
      <c r="F3749" s="22" t="s">
        <v>14</v>
      </c>
      <c r="G3749" s="22" t="s">
        <v>17</v>
      </c>
    </row>
    <row r="3750" ht="15.15" spans="1:7">
      <c r="A3750" s="20">
        <v>3749</v>
      </c>
      <c r="B3750" s="20">
        <v>2928</v>
      </c>
      <c r="C3750" s="21">
        <v>45092</v>
      </c>
      <c r="D3750" s="20">
        <v>1657.32</v>
      </c>
      <c r="E3750" s="22" t="s">
        <v>10</v>
      </c>
      <c r="F3750" s="22" t="s">
        <v>18</v>
      </c>
      <c r="G3750" s="22" t="s">
        <v>17</v>
      </c>
    </row>
    <row r="3751" ht="15.15" spans="1:7">
      <c r="A3751" s="20">
        <v>3750</v>
      </c>
      <c r="B3751" s="20">
        <v>4249</v>
      </c>
      <c r="C3751" s="21">
        <v>45031</v>
      </c>
      <c r="D3751" s="20">
        <v>1451.07</v>
      </c>
      <c r="E3751" s="22" t="s">
        <v>10</v>
      </c>
      <c r="F3751" s="22" t="s">
        <v>16</v>
      </c>
      <c r="G3751" s="22" t="s">
        <v>12</v>
      </c>
    </row>
    <row r="3752" ht="15.15" spans="1:7">
      <c r="A3752" s="20">
        <v>3751</v>
      </c>
      <c r="B3752" s="20">
        <v>7461</v>
      </c>
      <c r="C3752" s="21">
        <v>45083</v>
      </c>
      <c r="D3752" s="20">
        <v>903.87</v>
      </c>
      <c r="E3752" s="22" t="s">
        <v>10</v>
      </c>
      <c r="F3752" s="22" t="s">
        <v>18</v>
      </c>
      <c r="G3752" s="22" t="s">
        <v>12</v>
      </c>
    </row>
    <row r="3753" ht="15.15" spans="1:7">
      <c r="A3753" s="20">
        <v>3752</v>
      </c>
      <c r="B3753" s="20">
        <v>8422</v>
      </c>
      <c r="C3753" s="21">
        <v>45019</v>
      </c>
      <c r="D3753" s="20">
        <v>673.41</v>
      </c>
      <c r="E3753" s="22" t="s">
        <v>10</v>
      </c>
      <c r="F3753" s="22" t="s">
        <v>16</v>
      </c>
      <c r="G3753" s="22" t="s">
        <v>17</v>
      </c>
    </row>
    <row r="3754" ht="15.15" spans="1:7">
      <c r="A3754" s="20">
        <v>3753</v>
      </c>
      <c r="B3754" s="20">
        <v>260</v>
      </c>
      <c r="C3754" s="21">
        <v>45285</v>
      </c>
      <c r="D3754" s="20">
        <v>1816.72</v>
      </c>
      <c r="E3754" s="22" t="s">
        <v>10</v>
      </c>
      <c r="F3754" s="22" t="s">
        <v>11</v>
      </c>
      <c r="G3754" s="22" t="s">
        <v>20</v>
      </c>
    </row>
    <row r="3755" ht="15.15" spans="1:7">
      <c r="A3755" s="20">
        <v>3754</v>
      </c>
      <c r="B3755" s="20">
        <v>9342</v>
      </c>
      <c r="C3755" s="21">
        <v>45143</v>
      </c>
      <c r="D3755" s="20">
        <v>3478.58</v>
      </c>
      <c r="E3755" s="22" t="s">
        <v>10</v>
      </c>
      <c r="F3755" s="22" t="s">
        <v>18</v>
      </c>
      <c r="G3755" s="22" t="s">
        <v>17</v>
      </c>
    </row>
    <row r="3756" ht="15.15" spans="1:7">
      <c r="A3756" s="20">
        <v>3755</v>
      </c>
      <c r="B3756" s="20">
        <v>4432</v>
      </c>
      <c r="C3756" s="21">
        <v>45248</v>
      </c>
      <c r="D3756" s="20">
        <v>665.58</v>
      </c>
      <c r="E3756" s="22" t="s">
        <v>22</v>
      </c>
      <c r="F3756" s="22" t="s">
        <v>14</v>
      </c>
      <c r="G3756" s="22" t="s">
        <v>15</v>
      </c>
    </row>
    <row r="3757" ht="15.15" spans="1:7">
      <c r="A3757" s="20">
        <v>3756</v>
      </c>
      <c r="B3757" s="20">
        <v>4695</v>
      </c>
      <c r="C3757" s="21">
        <v>45284</v>
      </c>
      <c r="D3757" s="20">
        <v>1041.67</v>
      </c>
      <c r="E3757" s="22" t="s">
        <v>10</v>
      </c>
      <c r="F3757" s="22" t="s">
        <v>16</v>
      </c>
      <c r="G3757" s="22" t="s">
        <v>15</v>
      </c>
    </row>
    <row r="3758" ht="15.15" spans="1:7">
      <c r="A3758" s="20">
        <v>3757</v>
      </c>
      <c r="B3758" s="20">
        <v>6477</v>
      </c>
      <c r="C3758" s="21">
        <v>45125</v>
      </c>
      <c r="D3758" s="20">
        <v>531.9</v>
      </c>
      <c r="E3758" s="22" t="s">
        <v>22</v>
      </c>
      <c r="F3758" s="22" t="s">
        <v>14</v>
      </c>
      <c r="G3758" s="22" t="s">
        <v>12</v>
      </c>
    </row>
    <row r="3759" ht="15.15" spans="1:7">
      <c r="A3759" s="20">
        <v>3758</v>
      </c>
      <c r="B3759" s="20">
        <v>9534</v>
      </c>
      <c r="C3759" s="21">
        <v>44992</v>
      </c>
      <c r="D3759" s="20">
        <v>2514.18</v>
      </c>
      <c r="E3759" s="22" t="s">
        <v>10</v>
      </c>
      <c r="F3759" s="22" t="s">
        <v>18</v>
      </c>
      <c r="G3759" s="22" t="s">
        <v>20</v>
      </c>
    </row>
    <row r="3760" ht="15.15" spans="1:7">
      <c r="A3760" s="20">
        <v>3759</v>
      </c>
      <c r="B3760" s="20">
        <v>2504</v>
      </c>
      <c r="C3760" s="21">
        <v>45182</v>
      </c>
      <c r="D3760" s="20">
        <v>1334.04</v>
      </c>
      <c r="E3760" s="22" t="s">
        <v>10</v>
      </c>
      <c r="F3760" s="22" t="s">
        <v>18</v>
      </c>
      <c r="G3760" s="22" t="s">
        <v>12</v>
      </c>
    </row>
    <row r="3761" ht="15.15" spans="1:7">
      <c r="A3761" s="20">
        <v>3760</v>
      </c>
      <c r="B3761" s="20">
        <v>3574</v>
      </c>
      <c r="C3761" s="21">
        <v>45059</v>
      </c>
      <c r="D3761" s="20">
        <v>180.47</v>
      </c>
      <c r="E3761" s="22" t="s">
        <v>10</v>
      </c>
      <c r="F3761" s="22" t="s">
        <v>14</v>
      </c>
      <c r="G3761" s="22" t="s">
        <v>12</v>
      </c>
    </row>
    <row r="3762" ht="15.15" spans="1:7">
      <c r="A3762" s="20">
        <v>3761</v>
      </c>
      <c r="B3762" s="20">
        <v>6474</v>
      </c>
      <c r="C3762" s="21">
        <v>45277</v>
      </c>
      <c r="D3762" s="20">
        <v>1615.99</v>
      </c>
      <c r="E3762" s="22" t="s">
        <v>22</v>
      </c>
      <c r="F3762" s="22" t="s">
        <v>11</v>
      </c>
      <c r="G3762" s="22" t="s">
        <v>20</v>
      </c>
    </row>
    <row r="3763" ht="15.15" spans="1:7">
      <c r="A3763" s="20">
        <v>3762</v>
      </c>
      <c r="B3763" s="20">
        <v>8015</v>
      </c>
      <c r="C3763" s="21">
        <v>45265</v>
      </c>
      <c r="D3763" s="20">
        <v>1218.47</v>
      </c>
      <c r="E3763" s="22" t="s">
        <v>10</v>
      </c>
      <c r="F3763" s="22" t="s">
        <v>14</v>
      </c>
      <c r="G3763" s="22" t="s">
        <v>20</v>
      </c>
    </row>
    <row r="3764" ht="15.15" spans="1:7">
      <c r="A3764" s="20">
        <v>3763</v>
      </c>
      <c r="B3764" s="20">
        <v>2909</v>
      </c>
      <c r="C3764" s="21">
        <v>45117</v>
      </c>
      <c r="D3764" s="20">
        <v>903.49</v>
      </c>
      <c r="E3764" s="22" t="s">
        <v>10</v>
      </c>
      <c r="F3764" s="22" t="s">
        <v>13</v>
      </c>
      <c r="G3764" s="22" t="s">
        <v>17</v>
      </c>
    </row>
    <row r="3765" ht="15.15" spans="1:7">
      <c r="A3765" s="20">
        <v>3764</v>
      </c>
      <c r="B3765" s="20">
        <v>2393</v>
      </c>
      <c r="C3765" s="21">
        <v>45114</v>
      </c>
      <c r="D3765" s="20">
        <v>2747.35</v>
      </c>
      <c r="E3765" s="22" t="s">
        <v>10</v>
      </c>
      <c r="F3765" s="22" t="s">
        <v>18</v>
      </c>
      <c r="G3765" s="22" t="s">
        <v>15</v>
      </c>
    </row>
    <row r="3766" ht="15.15" spans="1:7">
      <c r="A3766" s="20">
        <v>3765</v>
      </c>
      <c r="B3766" s="20">
        <v>2889</v>
      </c>
      <c r="C3766" s="21">
        <v>45188</v>
      </c>
      <c r="D3766" s="20">
        <v>17782.2</v>
      </c>
      <c r="E3766" s="22" t="s">
        <v>10</v>
      </c>
      <c r="F3766" s="22" t="s">
        <v>13</v>
      </c>
      <c r="G3766" s="22" t="s">
        <v>12</v>
      </c>
    </row>
    <row r="3767" ht="15.15" spans="1:7">
      <c r="A3767" s="20">
        <v>3766</v>
      </c>
      <c r="B3767" s="20">
        <v>4300</v>
      </c>
      <c r="C3767" s="21">
        <v>45044</v>
      </c>
      <c r="D3767" s="20">
        <v>3835.12</v>
      </c>
      <c r="E3767" s="22" t="s">
        <v>10</v>
      </c>
      <c r="F3767" s="22" t="s">
        <v>11</v>
      </c>
      <c r="G3767" s="22" t="s">
        <v>15</v>
      </c>
    </row>
    <row r="3768" ht="15.15" spans="1:7">
      <c r="A3768" s="20">
        <v>3767</v>
      </c>
      <c r="B3768" s="20">
        <v>5978</v>
      </c>
      <c r="C3768" s="21">
        <v>45203</v>
      </c>
      <c r="D3768" s="20">
        <v>154.28</v>
      </c>
      <c r="E3768" s="22" t="s">
        <v>10</v>
      </c>
      <c r="F3768" s="22" t="s">
        <v>14</v>
      </c>
      <c r="G3768" s="22" t="s">
        <v>15</v>
      </c>
    </row>
    <row r="3769" ht="15.15" spans="1:7">
      <c r="A3769" s="20">
        <v>3768</v>
      </c>
      <c r="B3769" s="20">
        <v>8594</v>
      </c>
      <c r="C3769" s="21">
        <v>45231</v>
      </c>
      <c r="D3769" s="20">
        <v>719.76</v>
      </c>
      <c r="E3769" s="22" t="s">
        <v>10</v>
      </c>
      <c r="F3769" s="22" t="s">
        <v>16</v>
      </c>
      <c r="G3769" s="22" t="s">
        <v>17</v>
      </c>
    </row>
    <row r="3770" ht="15.15" spans="1:7">
      <c r="A3770" s="20">
        <v>3769</v>
      </c>
      <c r="B3770" s="20">
        <v>9281</v>
      </c>
      <c r="C3770" s="21">
        <v>45121</v>
      </c>
      <c r="D3770" s="20">
        <v>239.38</v>
      </c>
      <c r="E3770" s="22" t="s">
        <v>10</v>
      </c>
      <c r="F3770" s="22" t="s">
        <v>14</v>
      </c>
      <c r="G3770" s="22" t="s">
        <v>15</v>
      </c>
    </row>
    <row r="3771" ht="15.15" spans="1:7">
      <c r="A3771" s="20">
        <v>3770</v>
      </c>
      <c r="B3771" s="20">
        <v>3686</v>
      </c>
      <c r="C3771" s="21">
        <v>45084</v>
      </c>
      <c r="D3771" s="20">
        <v>3172.91</v>
      </c>
      <c r="E3771" s="22" t="s">
        <v>10</v>
      </c>
      <c r="F3771" s="22" t="s">
        <v>11</v>
      </c>
      <c r="G3771" s="22" t="s">
        <v>17</v>
      </c>
    </row>
    <row r="3772" ht="15.15" spans="1:7">
      <c r="A3772" s="20">
        <v>3771</v>
      </c>
      <c r="B3772" s="20">
        <v>9395</v>
      </c>
      <c r="C3772" s="21">
        <v>44974</v>
      </c>
      <c r="D3772" s="20">
        <v>183.34</v>
      </c>
      <c r="E3772" s="22" t="s">
        <v>10</v>
      </c>
      <c r="F3772" s="22" t="s">
        <v>16</v>
      </c>
      <c r="G3772" s="22" t="s">
        <v>20</v>
      </c>
    </row>
    <row r="3773" ht="15.15" spans="1:7">
      <c r="A3773" s="20">
        <v>3772</v>
      </c>
      <c r="B3773" s="20">
        <v>1901</v>
      </c>
      <c r="C3773" s="21">
        <v>45180</v>
      </c>
      <c r="D3773" s="20">
        <v>3816.72</v>
      </c>
      <c r="E3773" s="22" t="s">
        <v>10</v>
      </c>
      <c r="F3773" s="22" t="s">
        <v>18</v>
      </c>
      <c r="G3773" s="22" t="s">
        <v>12</v>
      </c>
    </row>
    <row r="3774" ht="15.15" spans="1:7">
      <c r="A3774" s="20">
        <v>3773</v>
      </c>
      <c r="B3774" s="20">
        <v>405</v>
      </c>
      <c r="C3774" s="21">
        <v>44935</v>
      </c>
      <c r="D3774" s="20">
        <v>112.48</v>
      </c>
      <c r="E3774" s="22" t="s">
        <v>10</v>
      </c>
      <c r="F3774" s="22" t="s">
        <v>16</v>
      </c>
      <c r="G3774" s="22" t="s">
        <v>12</v>
      </c>
    </row>
    <row r="3775" ht="15.15" spans="1:7">
      <c r="A3775" s="20">
        <v>3774</v>
      </c>
      <c r="B3775" s="20">
        <v>8515</v>
      </c>
      <c r="C3775" s="21">
        <v>45252</v>
      </c>
      <c r="D3775" s="20">
        <v>2601.08</v>
      </c>
      <c r="E3775" s="22" t="s">
        <v>10</v>
      </c>
      <c r="F3775" s="22" t="s">
        <v>16</v>
      </c>
      <c r="G3775" s="22" t="s">
        <v>20</v>
      </c>
    </row>
    <row r="3776" ht="15.15" spans="1:7">
      <c r="A3776" s="20">
        <v>3775</v>
      </c>
      <c r="B3776" s="20">
        <v>6526</v>
      </c>
      <c r="C3776" s="21">
        <v>45254</v>
      </c>
      <c r="D3776" s="20">
        <v>159.37</v>
      </c>
      <c r="E3776" s="22" t="s">
        <v>10</v>
      </c>
      <c r="F3776" s="22" t="s">
        <v>11</v>
      </c>
      <c r="G3776" s="22" t="s">
        <v>12</v>
      </c>
    </row>
    <row r="3777" ht="15.15" spans="1:7">
      <c r="A3777" s="20">
        <v>3776</v>
      </c>
      <c r="B3777" s="20">
        <v>720</v>
      </c>
      <c r="C3777" s="21">
        <v>45251</v>
      </c>
      <c r="D3777" s="20">
        <v>1786.37</v>
      </c>
      <c r="E3777" s="22" t="s">
        <v>10</v>
      </c>
      <c r="F3777" s="22" t="s">
        <v>18</v>
      </c>
      <c r="G3777" s="22" t="s">
        <v>20</v>
      </c>
    </row>
    <row r="3778" ht="15.15" spans="1:7">
      <c r="A3778" s="20">
        <v>3777</v>
      </c>
      <c r="B3778" s="20">
        <v>7784</v>
      </c>
      <c r="C3778" s="21">
        <v>45125</v>
      </c>
      <c r="D3778" s="20">
        <v>1615.65</v>
      </c>
      <c r="E3778" s="22" t="s">
        <v>10</v>
      </c>
      <c r="F3778" s="22" t="s">
        <v>18</v>
      </c>
      <c r="G3778" s="22" t="s">
        <v>17</v>
      </c>
    </row>
    <row r="3779" ht="15.15" spans="1:7">
      <c r="A3779" s="20">
        <v>3778</v>
      </c>
      <c r="B3779" s="20">
        <v>5945</v>
      </c>
      <c r="C3779" s="21">
        <v>45026</v>
      </c>
      <c r="D3779" s="20">
        <v>976.73</v>
      </c>
      <c r="E3779" s="22" t="s">
        <v>10</v>
      </c>
      <c r="F3779" s="22" t="s">
        <v>13</v>
      </c>
      <c r="G3779" s="22" t="s">
        <v>17</v>
      </c>
    </row>
    <row r="3780" ht="15.15" spans="1:7">
      <c r="A3780" s="20">
        <v>3779</v>
      </c>
      <c r="B3780" s="20">
        <v>1679</v>
      </c>
      <c r="C3780" s="21">
        <v>45061</v>
      </c>
      <c r="D3780" s="20">
        <v>2105.51</v>
      </c>
      <c r="E3780" s="22" t="s">
        <v>10</v>
      </c>
      <c r="F3780" s="22" t="s">
        <v>13</v>
      </c>
      <c r="G3780" s="22" t="s">
        <v>15</v>
      </c>
    </row>
    <row r="3781" ht="15.15" spans="1:7">
      <c r="A3781" s="20">
        <v>3780</v>
      </c>
      <c r="B3781" s="20">
        <v>4832</v>
      </c>
      <c r="C3781" s="21">
        <v>45030</v>
      </c>
      <c r="D3781" s="20">
        <v>5020.1</v>
      </c>
      <c r="E3781" s="22" t="s">
        <v>10</v>
      </c>
      <c r="F3781" s="22" t="s">
        <v>14</v>
      </c>
      <c r="G3781" s="22" t="s">
        <v>15</v>
      </c>
    </row>
    <row r="3782" ht="15.15" spans="1:7">
      <c r="A3782" s="20">
        <v>3781</v>
      </c>
      <c r="B3782" s="20">
        <v>3558</v>
      </c>
      <c r="C3782" s="21">
        <v>44942</v>
      </c>
      <c r="D3782" s="20">
        <v>943.1</v>
      </c>
      <c r="E3782" s="22" t="s">
        <v>10</v>
      </c>
      <c r="F3782" s="22" t="s">
        <v>18</v>
      </c>
      <c r="G3782" s="22" t="s">
        <v>15</v>
      </c>
    </row>
    <row r="3783" ht="15.15" spans="1:7">
      <c r="A3783" s="20">
        <v>3782</v>
      </c>
      <c r="B3783" s="20">
        <v>3288</v>
      </c>
      <c r="C3783" s="21">
        <v>45091</v>
      </c>
      <c r="D3783" s="20">
        <v>613.9</v>
      </c>
      <c r="E3783" s="22" t="s">
        <v>10</v>
      </c>
      <c r="F3783" s="22" t="s">
        <v>11</v>
      </c>
      <c r="G3783" s="22" t="s">
        <v>12</v>
      </c>
    </row>
    <row r="3784" ht="15.15" spans="1:7">
      <c r="A3784" s="20">
        <v>3783</v>
      </c>
      <c r="B3784" s="20">
        <v>4874</v>
      </c>
      <c r="C3784" s="21">
        <v>45258</v>
      </c>
      <c r="D3784" s="20">
        <v>2853.08</v>
      </c>
      <c r="E3784" s="22" t="s">
        <v>10</v>
      </c>
      <c r="F3784" s="22" t="s">
        <v>14</v>
      </c>
      <c r="G3784" s="22" t="s">
        <v>15</v>
      </c>
    </row>
    <row r="3785" ht="15.15" spans="1:7">
      <c r="A3785" s="20">
        <v>3784</v>
      </c>
      <c r="B3785" s="20">
        <v>4176</v>
      </c>
      <c r="C3785" s="21">
        <v>45042</v>
      </c>
      <c r="D3785" s="20">
        <v>337.6</v>
      </c>
      <c r="E3785" s="22" t="s">
        <v>10</v>
      </c>
      <c r="F3785" s="22" t="s">
        <v>18</v>
      </c>
      <c r="G3785" s="22" t="s">
        <v>17</v>
      </c>
    </row>
    <row r="3786" ht="15.15" spans="1:7">
      <c r="A3786" s="20">
        <v>3785</v>
      </c>
      <c r="B3786" s="20">
        <v>5969</v>
      </c>
      <c r="C3786" s="21">
        <v>45259</v>
      </c>
      <c r="D3786" s="20">
        <v>2191.24</v>
      </c>
      <c r="E3786" s="22" t="s">
        <v>10</v>
      </c>
      <c r="F3786" s="22" t="s">
        <v>16</v>
      </c>
      <c r="G3786" s="22" t="s">
        <v>20</v>
      </c>
    </row>
    <row r="3787" ht="15.15" spans="1:7">
      <c r="A3787" s="20">
        <v>3786</v>
      </c>
      <c r="B3787" s="20">
        <v>1519</v>
      </c>
      <c r="C3787" s="21">
        <v>45286</v>
      </c>
      <c r="D3787" s="20">
        <v>280.61</v>
      </c>
      <c r="E3787" s="22" t="s">
        <v>10</v>
      </c>
      <c r="F3787" s="22" t="s">
        <v>13</v>
      </c>
      <c r="G3787" s="22" t="s">
        <v>15</v>
      </c>
    </row>
    <row r="3788" ht="15.15" spans="1:7">
      <c r="A3788" s="20">
        <v>3787</v>
      </c>
      <c r="B3788" s="20">
        <v>8683</v>
      </c>
      <c r="C3788" s="21">
        <v>44995</v>
      </c>
      <c r="D3788" s="20">
        <v>1951.76</v>
      </c>
      <c r="E3788" s="22" t="s">
        <v>10</v>
      </c>
      <c r="F3788" s="22" t="s">
        <v>14</v>
      </c>
      <c r="G3788" s="22" t="s">
        <v>20</v>
      </c>
    </row>
    <row r="3789" ht="15.15" spans="1:7">
      <c r="A3789" s="20">
        <v>3788</v>
      </c>
      <c r="B3789" s="20">
        <v>7094</v>
      </c>
      <c r="C3789" s="21">
        <v>45183</v>
      </c>
      <c r="D3789" s="20">
        <v>278.33</v>
      </c>
      <c r="E3789" s="22" t="s">
        <v>10</v>
      </c>
      <c r="F3789" s="22" t="s">
        <v>13</v>
      </c>
      <c r="G3789" s="22" t="s">
        <v>12</v>
      </c>
    </row>
    <row r="3790" ht="15.15" spans="1:7">
      <c r="A3790" s="20">
        <v>3789</v>
      </c>
      <c r="B3790" s="20">
        <v>8998</v>
      </c>
      <c r="C3790" s="21">
        <v>45141</v>
      </c>
      <c r="D3790" s="20">
        <v>196.53</v>
      </c>
      <c r="E3790" s="22" t="s">
        <v>10</v>
      </c>
      <c r="F3790" s="22" t="s">
        <v>16</v>
      </c>
      <c r="G3790" s="22" t="s">
        <v>15</v>
      </c>
    </row>
    <row r="3791" ht="15.15" spans="1:7">
      <c r="A3791" s="20">
        <v>3790</v>
      </c>
      <c r="B3791" s="20">
        <v>8015</v>
      </c>
      <c r="C3791" s="21">
        <v>45242</v>
      </c>
      <c r="D3791" s="20">
        <v>4314.01</v>
      </c>
      <c r="E3791" s="22" t="s">
        <v>10</v>
      </c>
      <c r="F3791" s="22" t="s">
        <v>14</v>
      </c>
      <c r="G3791" s="22" t="s">
        <v>15</v>
      </c>
    </row>
    <row r="3792" ht="15.15" spans="1:7">
      <c r="A3792" s="20">
        <v>3791</v>
      </c>
      <c r="B3792" s="20">
        <v>1179</v>
      </c>
      <c r="C3792" s="21">
        <v>45000</v>
      </c>
      <c r="D3792" s="20">
        <v>282.13</v>
      </c>
      <c r="E3792" s="22" t="s">
        <v>10</v>
      </c>
      <c r="F3792" s="22" t="s">
        <v>11</v>
      </c>
      <c r="G3792" s="22" t="s">
        <v>15</v>
      </c>
    </row>
    <row r="3793" ht="15.15" spans="1:7">
      <c r="A3793" s="20">
        <v>3792</v>
      </c>
      <c r="B3793" s="20">
        <v>7286</v>
      </c>
      <c r="C3793" s="21">
        <v>45244</v>
      </c>
      <c r="D3793" s="20">
        <v>169.04</v>
      </c>
      <c r="E3793" s="22" t="s">
        <v>10</v>
      </c>
      <c r="F3793" s="22" t="s">
        <v>18</v>
      </c>
      <c r="G3793" s="22" t="s">
        <v>20</v>
      </c>
    </row>
    <row r="3794" ht="15.15" spans="1:7">
      <c r="A3794" s="20">
        <v>3793</v>
      </c>
      <c r="B3794" s="20">
        <v>6238</v>
      </c>
      <c r="C3794" s="21">
        <v>44956</v>
      </c>
      <c r="D3794" s="20">
        <v>3255.8</v>
      </c>
      <c r="E3794" s="22" t="s">
        <v>10</v>
      </c>
      <c r="F3794" s="22" t="s">
        <v>13</v>
      </c>
      <c r="G3794" s="22" t="s">
        <v>15</v>
      </c>
    </row>
    <row r="3795" ht="15.15" spans="1:7">
      <c r="A3795" s="20">
        <v>3794</v>
      </c>
      <c r="B3795" s="20">
        <v>561</v>
      </c>
      <c r="C3795" s="21">
        <v>45238</v>
      </c>
      <c r="D3795" s="20">
        <v>1071.23</v>
      </c>
      <c r="E3795" s="22" t="s">
        <v>10</v>
      </c>
      <c r="F3795" s="22" t="s">
        <v>13</v>
      </c>
      <c r="G3795" s="22" t="s">
        <v>12</v>
      </c>
    </row>
    <row r="3796" ht="15.15" spans="1:7">
      <c r="A3796" s="20">
        <v>3795</v>
      </c>
      <c r="B3796" s="20">
        <v>4461</v>
      </c>
      <c r="C3796" s="21">
        <v>45079</v>
      </c>
      <c r="D3796" s="20">
        <v>798.94</v>
      </c>
      <c r="E3796" s="22" t="s">
        <v>10</v>
      </c>
      <c r="F3796" s="22" t="s">
        <v>16</v>
      </c>
      <c r="G3796" s="22" t="s">
        <v>20</v>
      </c>
    </row>
    <row r="3797" ht="15.15" spans="1:7">
      <c r="A3797" s="20">
        <v>3796</v>
      </c>
      <c r="B3797" s="20">
        <v>8121</v>
      </c>
      <c r="C3797" s="21">
        <v>44930</v>
      </c>
      <c r="D3797" s="20">
        <v>6565.09</v>
      </c>
      <c r="E3797" s="22" t="s">
        <v>10</v>
      </c>
      <c r="F3797" s="22" t="s">
        <v>18</v>
      </c>
      <c r="G3797" s="22" t="s">
        <v>15</v>
      </c>
    </row>
    <row r="3798" ht="15.15" spans="1:7">
      <c r="A3798" s="20">
        <v>3797</v>
      </c>
      <c r="B3798" s="20">
        <v>3397</v>
      </c>
      <c r="C3798" s="21">
        <v>45254</v>
      </c>
      <c r="D3798" s="20">
        <v>2629.75</v>
      </c>
      <c r="E3798" s="22" t="s">
        <v>10</v>
      </c>
      <c r="F3798" s="22" t="s">
        <v>11</v>
      </c>
      <c r="G3798" s="22" t="s">
        <v>17</v>
      </c>
    </row>
    <row r="3799" ht="15.15" spans="1:7">
      <c r="A3799" s="20">
        <v>3798</v>
      </c>
      <c r="B3799" s="20">
        <v>7847</v>
      </c>
      <c r="C3799" s="21">
        <v>45231</v>
      </c>
      <c r="D3799" s="20">
        <v>6981.66</v>
      </c>
      <c r="E3799" s="22" t="s">
        <v>10</v>
      </c>
      <c r="F3799" s="22" t="s">
        <v>11</v>
      </c>
      <c r="G3799" s="22" t="s">
        <v>20</v>
      </c>
    </row>
    <row r="3800" ht="15.15" spans="1:7">
      <c r="A3800" s="20">
        <v>3799</v>
      </c>
      <c r="B3800" s="20">
        <v>663</v>
      </c>
      <c r="C3800" s="21">
        <v>45261</v>
      </c>
      <c r="D3800" s="20">
        <v>2994.06</v>
      </c>
      <c r="E3800" s="22" t="s">
        <v>10</v>
      </c>
      <c r="F3800" s="22" t="s">
        <v>13</v>
      </c>
      <c r="G3800" s="22" t="s">
        <v>12</v>
      </c>
    </row>
    <row r="3801" ht="15.15" spans="1:7">
      <c r="A3801" s="20">
        <v>3800</v>
      </c>
      <c r="B3801" s="20">
        <v>8895</v>
      </c>
      <c r="C3801" s="21">
        <v>45264</v>
      </c>
      <c r="D3801" s="20">
        <v>1008.16</v>
      </c>
      <c r="E3801" s="22" t="s">
        <v>10</v>
      </c>
      <c r="F3801" s="22" t="s">
        <v>11</v>
      </c>
      <c r="G3801" s="22" t="s">
        <v>20</v>
      </c>
    </row>
    <row r="3802" ht="15.15" spans="1:7">
      <c r="A3802" s="20">
        <v>3801</v>
      </c>
      <c r="B3802" s="20">
        <v>8520</v>
      </c>
      <c r="C3802" s="21">
        <v>45030</v>
      </c>
      <c r="D3802" s="20">
        <v>875.31</v>
      </c>
      <c r="E3802" s="22" t="s">
        <v>10</v>
      </c>
      <c r="F3802" s="22" t="s">
        <v>18</v>
      </c>
      <c r="G3802" s="22" t="s">
        <v>15</v>
      </c>
    </row>
    <row r="3803" ht="15.15" spans="1:7">
      <c r="A3803" s="20">
        <v>3802</v>
      </c>
      <c r="B3803" s="20">
        <v>921</v>
      </c>
      <c r="C3803" s="21">
        <v>45029</v>
      </c>
      <c r="D3803" s="20">
        <v>562.98</v>
      </c>
      <c r="E3803" s="22" t="s">
        <v>10</v>
      </c>
      <c r="F3803" s="22" t="s">
        <v>11</v>
      </c>
      <c r="G3803" s="22" t="s">
        <v>15</v>
      </c>
    </row>
    <row r="3804" ht="15.15" spans="1:7">
      <c r="A3804" s="20">
        <v>3803</v>
      </c>
      <c r="B3804" s="20">
        <v>1752</v>
      </c>
      <c r="C3804" s="21">
        <v>45010</v>
      </c>
      <c r="D3804" s="20">
        <v>164.76</v>
      </c>
      <c r="E3804" s="22" t="s">
        <v>10</v>
      </c>
      <c r="F3804" s="22" t="s">
        <v>18</v>
      </c>
      <c r="G3804" s="22" t="s">
        <v>12</v>
      </c>
    </row>
    <row r="3805" ht="15.15" spans="1:7">
      <c r="A3805" s="20">
        <v>3804</v>
      </c>
      <c r="B3805" s="20">
        <v>5273</v>
      </c>
      <c r="C3805" s="21">
        <v>45057</v>
      </c>
      <c r="D3805" s="20">
        <v>1227.5</v>
      </c>
      <c r="E3805" s="22" t="s">
        <v>10</v>
      </c>
      <c r="F3805" s="22" t="s">
        <v>14</v>
      </c>
      <c r="G3805" s="22" t="s">
        <v>15</v>
      </c>
    </row>
    <row r="3806" ht="15.15" spans="1:7">
      <c r="A3806" s="20">
        <v>3805</v>
      </c>
      <c r="B3806" s="20">
        <v>4111</v>
      </c>
      <c r="C3806" s="21">
        <v>45012</v>
      </c>
      <c r="D3806" s="20">
        <v>1894.08</v>
      </c>
      <c r="E3806" s="22" t="s">
        <v>10</v>
      </c>
      <c r="F3806" s="22" t="s">
        <v>16</v>
      </c>
      <c r="G3806" s="22" t="s">
        <v>12</v>
      </c>
    </row>
    <row r="3807" ht="15.15" spans="1:7">
      <c r="A3807" s="20">
        <v>3806</v>
      </c>
      <c r="B3807" s="20">
        <v>8503</v>
      </c>
      <c r="C3807" s="21">
        <v>45112</v>
      </c>
      <c r="D3807" s="20">
        <v>1095.62</v>
      </c>
      <c r="E3807" s="22" t="s">
        <v>10</v>
      </c>
      <c r="F3807" s="22" t="s">
        <v>18</v>
      </c>
      <c r="G3807" s="22" t="s">
        <v>15</v>
      </c>
    </row>
    <row r="3808" ht="15.15" spans="1:7">
      <c r="A3808" s="20">
        <v>3807</v>
      </c>
      <c r="B3808" s="20">
        <v>7401</v>
      </c>
      <c r="C3808" s="21">
        <v>45264</v>
      </c>
      <c r="D3808" s="20">
        <v>2381.79</v>
      </c>
      <c r="E3808" s="22" t="s">
        <v>10</v>
      </c>
      <c r="F3808" s="22" t="s">
        <v>16</v>
      </c>
      <c r="G3808" s="22" t="s">
        <v>17</v>
      </c>
    </row>
    <row r="3809" ht="15.15" spans="1:7">
      <c r="A3809" s="20">
        <v>3808</v>
      </c>
      <c r="B3809" s="20">
        <v>1259</v>
      </c>
      <c r="C3809" s="21">
        <v>45027</v>
      </c>
      <c r="D3809" s="20">
        <v>1153.07</v>
      </c>
      <c r="E3809" s="22" t="s">
        <v>10</v>
      </c>
      <c r="F3809" s="22" t="s">
        <v>16</v>
      </c>
      <c r="G3809" s="22" t="s">
        <v>15</v>
      </c>
    </row>
    <row r="3810" ht="15.15" spans="1:7">
      <c r="A3810" s="20">
        <v>3809</v>
      </c>
      <c r="B3810" s="20">
        <v>5369</v>
      </c>
      <c r="C3810" s="21">
        <v>45174</v>
      </c>
      <c r="D3810" s="20">
        <v>2412.81</v>
      </c>
      <c r="E3810" s="22" t="s">
        <v>10</v>
      </c>
      <c r="F3810" s="22" t="s">
        <v>18</v>
      </c>
      <c r="G3810" s="22" t="s">
        <v>20</v>
      </c>
    </row>
    <row r="3811" ht="15.15" spans="1:7">
      <c r="A3811" s="20">
        <v>3810</v>
      </c>
      <c r="B3811" s="20">
        <v>461</v>
      </c>
      <c r="C3811" s="21">
        <v>45094</v>
      </c>
      <c r="D3811" s="20">
        <v>477.9</v>
      </c>
      <c r="E3811" s="22" t="s">
        <v>10</v>
      </c>
      <c r="F3811" s="22" t="s">
        <v>13</v>
      </c>
      <c r="G3811" s="22" t="s">
        <v>17</v>
      </c>
    </row>
    <row r="3812" ht="15.15" spans="1:7">
      <c r="A3812" s="20">
        <v>3811</v>
      </c>
      <c r="B3812" s="20">
        <v>5804</v>
      </c>
      <c r="C3812" s="21">
        <v>45270</v>
      </c>
      <c r="D3812" s="20">
        <v>885.8</v>
      </c>
      <c r="E3812" s="22" t="s">
        <v>10</v>
      </c>
      <c r="F3812" s="22" t="s">
        <v>11</v>
      </c>
      <c r="G3812" s="22" t="s">
        <v>12</v>
      </c>
    </row>
    <row r="3813" ht="15.15" spans="1:7">
      <c r="A3813" s="20">
        <v>3812</v>
      </c>
      <c r="B3813" s="20">
        <v>4125</v>
      </c>
      <c r="C3813" s="21">
        <v>45227</v>
      </c>
      <c r="D3813" s="20">
        <v>125.84</v>
      </c>
      <c r="E3813" s="22" t="s">
        <v>10</v>
      </c>
      <c r="F3813" s="22" t="s">
        <v>18</v>
      </c>
      <c r="G3813" s="22" t="s">
        <v>12</v>
      </c>
    </row>
    <row r="3814" ht="15.15" spans="1:7">
      <c r="A3814" s="20">
        <v>3813</v>
      </c>
      <c r="B3814" s="20">
        <v>9989</v>
      </c>
      <c r="C3814" s="21">
        <v>44968</v>
      </c>
      <c r="D3814" s="20">
        <v>980.16</v>
      </c>
      <c r="E3814" s="22" t="s">
        <v>10</v>
      </c>
      <c r="F3814" s="22" t="s">
        <v>14</v>
      </c>
      <c r="G3814" s="22" t="s">
        <v>17</v>
      </c>
    </row>
    <row r="3815" ht="15.15" spans="1:7">
      <c r="A3815" s="20">
        <v>3814</v>
      </c>
      <c r="B3815" s="20">
        <v>2306</v>
      </c>
      <c r="C3815" s="21">
        <v>45005</v>
      </c>
      <c r="D3815" s="20">
        <v>8922.53</v>
      </c>
      <c r="E3815" s="22" t="s">
        <v>10</v>
      </c>
      <c r="F3815" s="22" t="s">
        <v>14</v>
      </c>
      <c r="G3815" s="22" t="s">
        <v>12</v>
      </c>
    </row>
    <row r="3816" ht="15.15" spans="1:7">
      <c r="A3816" s="20">
        <v>3815</v>
      </c>
      <c r="B3816" s="20">
        <v>5754</v>
      </c>
      <c r="C3816" s="21">
        <v>45220</v>
      </c>
      <c r="D3816" s="20">
        <v>1295.93</v>
      </c>
      <c r="E3816" s="22" t="s">
        <v>10</v>
      </c>
      <c r="F3816" s="22" t="s">
        <v>18</v>
      </c>
      <c r="G3816" s="22" t="s">
        <v>20</v>
      </c>
    </row>
    <row r="3817" ht="15.15" spans="1:7">
      <c r="A3817" s="20">
        <v>3816</v>
      </c>
      <c r="B3817" s="20">
        <v>2770</v>
      </c>
      <c r="C3817" s="21">
        <v>45232</v>
      </c>
      <c r="D3817" s="20">
        <v>3107.66</v>
      </c>
      <c r="E3817" s="22" t="s">
        <v>10</v>
      </c>
      <c r="F3817" s="22" t="s">
        <v>16</v>
      </c>
      <c r="G3817" s="22" t="s">
        <v>15</v>
      </c>
    </row>
    <row r="3818" ht="15.15" spans="1:7">
      <c r="A3818" s="20">
        <v>3817</v>
      </c>
      <c r="B3818" s="20">
        <v>3460</v>
      </c>
      <c r="C3818" s="21">
        <v>45240</v>
      </c>
      <c r="D3818" s="20">
        <v>759.69</v>
      </c>
      <c r="E3818" s="22" t="s">
        <v>10</v>
      </c>
      <c r="F3818" s="22" t="s">
        <v>13</v>
      </c>
      <c r="G3818" s="22" t="s">
        <v>17</v>
      </c>
    </row>
    <row r="3819" ht="15.15" spans="1:7">
      <c r="A3819" s="20">
        <v>3818</v>
      </c>
      <c r="B3819" s="20">
        <v>4031</v>
      </c>
      <c r="C3819" s="21">
        <v>45079</v>
      </c>
      <c r="D3819" s="20">
        <v>1442.93</v>
      </c>
      <c r="E3819" s="22" t="s">
        <v>10</v>
      </c>
      <c r="F3819" s="22" t="s">
        <v>18</v>
      </c>
      <c r="G3819" s="22" t="s">
        <v>12</v>
      </c>
    </row>
    <row r="3820" ht="15.15" spans="1:7">
      <c r="A3820" s="20">
        <v>3819</v>
      </c>
      <c r="B3820" s="20">
        <v>7899</v>
      </c>
      <c r="C3820" s="21">
        <v>45192</v>
      </c>
      <c r="D3820" s="20">
        <v>1345.88</v>
      </c>
      <c r="E3820" s="22" t="s">
        <v>10</v>
      </c>
      <c r="F3820" s="22" t="s">
        <v>11</v>
      </c>
      <c r="G3820" s="22" t="s">
        <v>20</v>
      </c>
    </row>
    <row r="3821" ht="15.15" spans="1:7">
      <c r="A3821" s="20">
        <v>3820</v>
      </c>
      <c r="B3821" s="20">
        <v>1031</v>
      </c>
      <c r="C3821" s="21">
        <v>45257</v>
      </c>
      <c r="D3821" s="20">
        <v>579.6</v>
      </c>
      <c r="E3821" s="22" t="s">
        <v>10</v>
      </c>
      <c r="F3821" s="22" t="s">
        <v>18</v>
      </c>
      <c r="G3821" s="22" t="s">
        <v>20</v>
      </c>
    </row>
    <row r="3822" ht="15.15" spans="1:7">
      <c r="A3822" s="20">
        <v>3821</v>
      </c>
      <c r="B3822" s="20">
        <v>6085</v>
      </c>
      <c r="C3822" s="21">
        <v>45049</v>
      </c>
      <c r="D3822" s="20">
        <v>364.43</v>
      </c>
      <c r="E3822" s="22" t="s">
        <v>10</v>
      </c>
      <c r="F3822" s="22" t="s">
        <v>14</v>
      </c>
      <c r="G3822" s="22" t="s">
        <v>12</v>
      </c>
    </row>
    <row r="3823" ht="15.15" spans="1:7">
      <c r="A3823" s="20">
        <v>3822</v>
      </c>
      <c r="B3823" s="20">
        <v>4623</v>
      </c>
      <c r="C3823" s="21">
        <v>45211</v>
      </c>
      <c r="D3823" s="20">
        <v>336.84</v>
      </c>
      <c r="E3823" s="22" t="s">
        <v>10</v>
      </c>
      <c r="F3823" s="22" t="s">
        <v>16</v>
      </c>
      <c r="G3823" s="22" t="s">
        <v>12</v>
      </c>
    </row>
    <row r="3824" ht="15.15" spans="1:7">
      <c r="A3824" s="20">
        <v>3823</v>
      </c>
      <c r="B3824" s="20">
        <v>9365</v>
      </c>
      <c r="C3824" s="21">
        <v>44994</v>
      </c>
      <c r="D3824" s="20">
        <v>276.75</v>
      </c>
      <c r="E3824" s="22" t="s">
        <v>10</v>
      </c>
      <c r="F3824" s="22" t="s">
        <v>13</v>
      </c>
      <c r="G3824" s="22" t="s">
        <v>17</v>
      </c>
    </row>
    <row r="3825" ht="15.15" spans="1:7">
      <c r="A3825" s="20">
        <v>3824</v>
      </c>
      <c r="B3825" s="20">
        <v>3575</v>
      </c>
      <c r="C3825" s="21">
        <v>45213</v>
      </c>
      <c r="D3825" s="20">
        <v>899.11</v>
      </c>
      <c r="E3825" s="22" t="s">
        <v>10</v>
      </c>
      <c r="F3825" s="22" t="s">
        <v>11</v>
      </c>
      <c r="G3825" s="22" t="s">
        <v>15</v>
      </c>
    </row>
    <row r="3826" ht="15.15" spans="1:7">
      <c r="A3826" s="20">
        <v>3825</v>
      </c>
      <c r="B3826" s="20">
        <v>3754</v>
      </c>
      <c r="C3826" s="21">
        <v>45202</v>
      </c>
      <c r="D3826" s="20">
        <v>2129.3</v>
      </c>
      <c r="E3826" s="22" t="s">
        <v>10</v>
      </c>
      <c r="F3826" s="22" t="s">
        <v>18</v>
      </c>
      <c r="G3826" s="22" t="s">
        <v>20</v>
      </c>
    </row>
    <row r="3827" ht="15.15" spans="1:7">
      <c r="A3827" s="20">
        <v>3826</v>
      </c>
      <c r="B3827" s="20">
        <v>9174</v>
      </c>
      <c r="C3827" s="21">
        <v>44961</v>
      </c>
      <c r="D3827" s="20">
        <v>1399.52</v>
      </c>
      <c r="E3827" s="22" t="s">
        <v>10</v>
      </c>
      <c r="F3827" s="22" t="s">
        <v>18</v>
      </c>
      <c r="G3827" s="22" t="s">
        <v>20</v>
      </c>
    </row>
    <row r="3828" ht="15.15" spans="1:7">
      <c r="A3828" s="20">
        <v>3827</v>
      </c>
      <c r="B3828" s="20">
        <v>628</v>
      </c>
      <c r="C3828" s="21">
        <v>44972</v>
      </c>
      <c r="D3828" s="20">
        <v>929.72</v>
      </c>
      <c r="E3828" s="22" t="s">
        <v>10</v>
      </c>
      <c r="F3828" s="22" t="s">
        <v>16</v>
      </c>
      <c r="G3828" s="22" t="s">
        <v>12</v>
      </c>
    </row>
    <row r="3829" ht="15.15" spans="1:7">
      <c r="A3829" s="20">
        <v>3828</v>
      </c>
      <c r="B3829" s="20">
        <v>594</v>
      </c>
      <c r="C3829" s="21">
        <v>45266</v>
      </c>
      <c r="D3829" s="20">
        <v>1093.66</v>
      </c>
      <c r="E3829" s="22" t="s">
        <v>10</v>
      </c>
      <c r="F3829" s="22" t="s">
        <v>18</v>
      </c>
      <c r="G3829" s="22" t="s">
        <v>17</v>
      </c>
    </row>
    <row r="3830" ht="15.15" spans="1:7">
      <c r="A3830" s="20">
        <v>3829</v>
      </c>
      <c r="B3830" s="20">
        <v>2132</v>
      </c>
      <c r="C3830" s="21">
        <v>44951</v>
      </c>
      <c r="D3830" s="20">
        <v>1277.05</v>
      </c>
      <c r="E3830" s="22" t="s">
        <v>10</v>
      </c>
      <c r="F3830" s="22" t="s">
        <v>16</v>
      </c>
      <c r="G3830" s="22" t="s">
        <v>12</v>
      </c>
    </row>
    <row r="3831" ht="15.15" spans="1:7">
      <c r="A3831" s="20">
        <v>3830</v>
      </c>
      <c r="B3831" s="20">
        <v>6650</v>
      </c>
      <c r="C3831" s="21">
        <v>45220</v>
      </c>
      <c r="D3831" s="20">
        <v>2354.07</v>
      </c>
      <c r="E3831" s="22" t="s">
        <v>10</v>
      </c>
      <c r="F3831" s="22" t="s">
        <v>13</v>
      </c>
      <c r="G3831" s="22" t="s">
        <v>20</v>
      </c>
    </row>
    <row r="3832" ht="15.15" spans="1:7">
      <c r="A3832" s="20">
        <v>3831</v>
      </c>
      <c r="B3832" s="20">
        <v>1674</v>
      </c>
      <c r="C3832" s="21">
        <v>45092</v>
      </c>
      <c r="D3832" s="20">
        <v>1035.7</v>
      </c>
      <c r="E3832" s="22" t="s">
        <v>10</v>
      </c>
      <c r="F3832" s="22" t="s">
        <v>18</v>
      </c>
      <c r="G3832" s="22" t="s">
        <v>15</v>
      </c>
    </row>
    <row r="3833" ht="15.15" spans="1:7">
      <c r="A3833" s="20">
        <v>3832</v>
      </c>
      <c r="B3833" s="20">
        <v>3407</v>
      </c>
      <c r="C3833" s="21">
        <v>45052</v>
      </c>
      <c r="D3833" s="20">
        <v>448.66</v>
      </c>
      <c r="E3833" s="22" t="s">
        <v>10</v>
      </c>
      <c r="F3833" s="22" t="s">
        <v>11</v>
      </c>
      <c r="G3833" s="22" t="s">
        <v>17</v>
      </c>
    </row>
    <row r="3834" ht="15.15" spans="1:7">
      <c r="A3834" s="20">
        <v>3833</v>
      </c>
      <c r="B3834" s="20">
        <v>8165</v>
      </c>
      <c r="C3834" s="21">
        <v>45274</v>
      </c>
      <c r="D3834" s="20">
        <v>1727.94</v>
      </c>
      <c r="E3834" s="22" t="s">
        <v>21</v>
      </c>
      <c r="F3834" s="22" t="s">
        <v>11</v>
      </c>
      <c r="G3834" s="22" t="s">
        <v>15</v>
      </c>
    </row>
    <row r="3835" ht="15.15" spans="1:7">
      <c r="A3835" s="20">
        <v>3834</v>
      </c>
      <c r="B3835" s="20">
        <v>3163</v>
      </c>
      <c r="C3835" s="21">
        <v>45088</v>
      </c>
      <c r="D3835" s="20">
        <v>1629.76</v>
      </c>
      <c r="E3835" s="22" t="s">
        <v>10</v>
      </c>
      <c r="F3835" s="22" t="s">
        <v>16</v>
      </c>
      <c r="G3835" s="22" t="s">
        <v>12</v>
      </c>
    </row>
    <row r="3836" ht="15.15" spans="1:7">
      <c r="A3836" s="20">
        <v>3835</v>
      </c>
      <c r="B3836" s="20">
        <v>5846</v>
      </c>
      <c r="C3836" s="21">
        <v>45249</v>
      </c>
      <c r="D3836" s="20">
        <v>1141.84</v>
      </c>
      <c r="E3836" s="22" t="s">
        <v>21</v>
      </c>
      <c r="F3836" s="22" t="s">
        <v>11</v>
      </c>
      <c r="G3836" s="22" t="s">
        <v>17</v>
      </c>
    </row>
    <row r="3837" ht="15.15" spans="1:7">
      <c r="A3837" s="20">
        <v>3836</v>
      </c>
      <c r="B3837" s="20">
        <v>9140</v>
      </c>
      <c r="C3837" s="21">
        <v>45246</v>
      </c>
      <c r="D3837" s="20">
        <v>449.81</v>
      </c>
      <c r="E3837" s="22" t="s">
        <v>10</v>
      </c>
      <c r="F3837" s="22" t="s">
        <v>16</v>
      </c>
      <c r="G3837" s="22" t="s">
        <v>15</v>
      </c>
    </row>
    <row r="3838" ht="15.15" spans="1:7">
      <c r="A3838" s="20">
        <v>3837</v>
      </c>
      <c r="B3838" s="20">
        <v>8385</v>
      </c>
      <c r="C3838" s="21">
        <v>45235</v>
      </c>
      <c r="D3838" s="20">
        <v>476.7</v>
      </c>
      <c r="E3838" s="22" t="s">
        <v>10</v>
      </c>
      <c r="F3838" s="22" t="s">
        <v>14</v>
      </c>
      <c r="G3838" s="22" t="s">
        <v>17</v>
      </c>
    </row>
    <row r="3839" ht="15.15" spans="1:7">
      <c r="A3839" s="20">
        <v>3838</v>
      </c>
      <c r="B3839" s="20">
        <v>595</v>
      </c>
      <c r="C3839" s="21">
        <v>45213</v>
      </c>
      <c r="D3839" s="20">
        <v>1162.48</v>
      </c>
      <c r="E3839" s="22" t="s">
        <v>22</v>
      </c>
      <c r="F3839" s="22" t="s">
        <v>14</v>
      </c>
      <c r="G3839" s="22" t="s">
        <v>15</v>
      </c>
    </row>
    <row r="3840" ht="15.15" spans="1:7">
      <c r="A3840" s="20">
        <v>3839</v>
      </c>
      <c r="B3840" s="20">
        <v>645</v>
      </c>
      <c r="C3840" s="21">
        <v>45017</v>
      </c>
      <c r="D3840" s="20">
        <v>821.36</v>
      </c>
      <c r="E3840" s="22" t="s">
        <v>10</v>
      </c>
      <c r="F3840" s="22" t="s">
        <v>16</v>
      </c>
      <c r="G3840" s="22" t="s">
        <v>17</v>
      </c>
    </row>
    <row r="3841" ht="15.15" spans="1:7">
      <c r="A3841" s="20">
        <v>3840</v>
      </c>
      <c r="B3841" s="20">
        <v>7172</v>
      </c>
      <c r="C3841" s="21">
        <v>45254</v>
      </c>
      <c r="D3841" s="20">
        <v>1217.91</v>
      </c>
      <c r="E3841" s="22" t="s">
        <v>10</v>
      </c>
      <c r="F3841" s="22" t="s">
        <v>14</v>
      </c>
      <c r="G3841" s="22" t="s">
        <v>20</v>
      </c>
    </row>
    <row r="3842" ht="15.15" spans="1:7">
      <c r="A3842" s="20">
        <v>3841</v>
      </c>
      <c r="B3842" s="20">
        <v>169</v>
      </c>
      <c r="C3842" s="21">
        <v>45203</v>
      </c>
      <c r="D3842" s="20">
        <v>2807</v>
      </c>
      <c r="E3842" s="22" t="s">
        <v>10</v>
      </c>
      <c r="F3842" s="22" t="s">
        <v>16</v>
      </c>
      <c r="G3842" s="22" t="s">
        <v>12</v>
      </c>
    </row>
    <row r="3843" ht="15.15" spans="1:7">
      <c r="A3843" s="20">
        <v>3842</v>
      </c>
      <c r="B3843" s="20">
        <v>2469</v>
      </c>
      <c r="C3843" s="21">
        <v>45234</v>
      </c>
      <c r="D3843" s="20">
        <v>1335.35</v>
      </c>
      <c r="E3843" s="22" t="s">
        <v>10</v>
      </c>
      <c r="F3843" s="22" t="s">
        <v>11</v>
      </c>
      <c r="G3843" s="22" t="s">
        <v>20</v>
      </c>
    </row>
    <row r="3844" ht="15.15" spans="1:7">
      <c r="A3844" s="20">
        <v>3843</v>
      </c>
      <c r="B3844" s="20">
        <v>361</v>
      </c>
      <c r="C3844" s="21">
        <v>45018</v>
      </c>
      <c r="D3844" s="20">
        <v>580</v>
      </c>
      <c r="E3844" s="22" t="s">
        <v>10</v>
      </c>
      <c r="F3844" s="22" t="s">
        <v>14</v>
      </c>
      <c r="G3844" s="22" t="s">
        <v>15</v>
      </c>
    </row>
    <row r="3845" ht="15.15" spans="1:7">
      <c r="A3845" s="20">
        <v>3844</v>
      </c>
      <c r="B3845" s="20">
        <v>6320</v>
      </c>
      <c r="C3845" s="21">
        <v>45245</v>
      </c>
      <c r="D3845" s="20">
        <v>1126.38</v>
      </c>
      <c r="E3845" s="22" t="s">
        <v>10</v>
      </c>
      <c r="F3845" s="22" t="s">
        <v>18</v>
      </c>
      <c r="G3845" s="22" t="s">
        <v>20</v>
      </c>
    </row>
    <row r="3846" ht="15.15" spans="1:7">
      <c r="A3846" s="20">
        <v>3845</v>
      </c>
      <c r="B3846" s="20">
        <v>308</v>
      </c>
      <c r="C3846" s="21">
        <v>45220</v>
      </c>
      <c r="D3846" s="20">
        <v>193.6</v>
      </c>
      <c r="E3846" s="22" t="s">
        <v>10</v>
      </c>
      <c r="F3846" s="22" t="s">
        <v>18</v>
      </c>
      <c r="G3846" s="22" t="s">
        <v>12</v>
      </c>
    </row>
    <row r="3847" ht="15.15" spans="1:7">
      <c r="A3847" s="20">
        <v>3846</v>
      </c>
      <c r="B3847" s="20">
        <v>4002</v>
      </c>
      <c r="C3847" s="21">
        <v>45021</v>
      </c>
      <c r="D3847" s="20">
        <v>744.5</v>
      </c>
      <c r="E3847" s="22" t="s">
        <v>10</v>
      </c>
      <c r="F3847" s="22" t="s">
        <v>16</v>
      </c>
      <c r="G3847" s="22" t="s">
        <v>17</v>
      </c>
    </row>
    <row r="3848" ht="15.15" spans="1:7">
      <c r="A3848" s="20">
        <v>3847</v>
      </c>
      <c r="B3848" s="20">
        <v>2993</v>
      </c>
      <c r="C3848" s="21">
        <v>45030</v>
      </c>
      <c r="D3848" s="20">
        <v>1377.1</v>
      </c>
      <c r="E3848" s="22" t="s">
        <v>10</v>
      </c>
      <c r="F3848" s="22" t="s">
        <v>16</v>
      </c>
      <c r="G3848" s="22" t="s">
        <v>15</v>
      </c>
    </row>
    <row r="3849" ht="15.15" spans="1:7">
      <c r="A3849" s="20">
        <v>3848</v>
      </c>
      <c r="B3849" s="20">
        <v>232</v>
      </c>
      <c r="C3849" s="21">
        <v>45254</v>
      </c>
      <c r="D3849" s="20">
        <v>1064.28</v>
      </c>
      <c r="E3849" s="22" t="s">
        <v>10</v>
      </c>
      <c r="F3849" s="22" t="s">
        <v>13</v>
      </c>
      <c r="G3849" s="22" t="s">
        <v>20</v>
      </c>
    </row>
    <row r="3850" ht="15.15" spans="1:7">
      <c r="A3850" s="20">
        <v>3849</v>
      </c>
      <c r="B3850" s="20">
        <v>6725</v>
      </c>
      <c r="C3850" s="21">
        <v>45290</v>
      </c>
      <c r="D3850" s="20">
        <v>1379.81</v>
      </c>
      <c r="E3850" s="22" t="s">
        <v>10</v>
      </c>
      <c r="F3850" s="22" t="s">
        <v>16</v>
      </c>
      <c r="G3850" s="22" t="s">
        <v>15</v>
      </c>
    </row>
    <row r="3851" ht="15.15" spans="1:7">
      <c r="A3851" s="20">
        <v>3850</v>
      </c>
      <c r="B3851" s="20">
        <v>3157</v>
      </c>
      <c r="C3851" s="21">
        <v>45266</v>
      </c>
      <c r="D3851" s="20">
        <v>898.73</v>
      </c>
      <c r="E3851" s="22" t="s">
        <v>10</v>
      </c>
      <c r="F3851" s="22" t="s">
        <v>16</v>
      </c>
      <c r="G3851" s="22" t="s">
        <v>20</v>
      </c>
    </row>
    <row r="3852" ht="15.15" spans="1:7">
      <c r="A3852" s="20">
        <v>3851</v>
      </c>
      <c r="B3852" s="20">
        <v>9911</v>
      </c>
      <c r="C3852" s="21">
        <v>45202</v>
      </c>
      <c r="D3852" s="20">
        <v>1227.5</v>
      </c>
      <c r="E3852" s="22" t="s">
        <v>21</v>
      </c>
      <c r="F3852" s="22" t="s">
        <v>16</v>
      </c>
      <c r="G3852" s="22" t="s">
        <v>15</v>
      </c>
    </row>
    <row r="3853" ht="15.15" spans="1:7">
      <c r="A3853" s="20">
        <v>3852</v>
      </c>
      <c r="B3853" s="20">
        <v>4246</v>
      </c>
      <c r="C3853" s="21">
        <v>45054</v>
      </c>
      <c r="D3853" s="20">
        <v>815.03</v>
      </c>
      <c r="E3853" s="22" t="s">
        <v>10</v>
      </c>
      <c r="F3853" s="22" t="s">
        <v>14</v>
      </c>
      <c r="G3853" s="22" t="s">
        <v>15</v>
      </c>
    </row>
    <row r="3854" ht="15.15" spans="1:7">
      <c r="A3854" s="20">
        <v>3853</v>
      </c>
      <c r="B3854" s="20">
        <v>202</v>
      </c>
      <c r="C3854" s="21">
        <v>45163</v>
      </c>
      <c r="D3854" s="20">
        <v>30.63</v>
      </c>
      <c r="E3854" s="22" t="s">
        <v>10</v>
      </c>
      <c r="F3854" s="22" t="s">
        <v>16</v>
      </c>
      <c r="G3854" s="22" t="s">
        <v>15</v>
      </c>
    </row>
    <row r="3855" ht="15.15" spans="1:7">
      <c r="A3855" s="20">
        <v>3854</v>
      </c>
      <c r="B3855" s="20">
        <v>9738</v>
      </c>
      <c r="C3855" s="21">
        <v>45284</v>
      </c>
      <c r="D3855" s="20">
        <v>698.11</v>
      </c>
      <c r="E3855" s="22" t="s">
        <v>10</v>
      </c>
      <c r="F3855" s="22" t="s">
        <v>16</v>
      </c>
      <c r="G3855" s="22" t="s">
        <v>12</v>
      </c>
    </row>
    <row r="3856" ht="15.15" spans="1:7">
      <c r="A3856" s="20">
        <v>3855</v>
      </c>
      <c r="B3856" s="20">
        <v>7066</v>
      </c>
      <c r="C3856" s="21">
        <v>45199</v>
      </c>
      <c r="D3856" s="20">
        <v>447.91</v>
      </c>
      <c r="E3856" s="22" t="s">
        <v>10</v>
      </c>
      <c r="F3856" s="22" t="s">
        <v>11</v>
      </c>
      <c r="G3856" s="22" t="s">
        <v>17</v>
      </c>
    </row>
    <row r="3857" ht="15.15" spans="1:7">
      <c r="A3857" s="20">
        <v>3856</v>
      </c>
      <c r="B3857" s="20">
        <v>9444</v>
      </c>
      <c r="C3857" s="21">
        <v>45205</v>
      </c>
      <c r="D3857" s="20">
        <v>859.02</v>
      </c>
      <c r="E3857" s="22" t="s">
        <v>10</v>
      </c>
      <c r="F3857" s="22" t="s">
        <v>11</v>
      </c>
      <c r="G3857" s="22" t="s">
        <v>20</v>
      </c>
    </row>
    <row r="3858" ht="15.15" spans="1:7">
      <c r="A3858" s="20">
        <v>3857</v>
      </c>
      <c r="B3858" s="20">
        <v>4684</v>
      </c>
      <c r="C3858" s="21">
        <v>45224</v>
      </c>
      <c r="D3858" s="20">
        <v>1376.25</v>
      </c>
      <c r="E3858" s="22" t="s">
        <v>10</v>
      </c>
      <c r="F3858" s="22" t="s">
        <v>13</v>
      </c>
      <c r="G3858" s="22" t="s">
        <v>17</v>
      </c>
    </row>
    <row r="3859" ht="15.15" spans="1:7">
      <c r="A3859" s="20">
        <v>3858</v>
      </c>
      <c r="B3859" s="20">
        <v>4099</v>
      </c>
      <c r="C3859" s="21">
        <v>45043</v>
      </c>
      <c r="D3859" s="20">
        <v>130.96</v>
      </c>
      <c r="E3859" s="22" t="s">
        <v>10</v>
      </c>
      <c r="F3859" s="22" t="s">
        <v>13</v>
      </c>
      <c r="G3859" s="22" t="s">
        <v>15</v>
      </c>
    </row>
    <row r="3860" ht="15.15" spans="1:7">
      <c r="A3860" s="20">
        <v>3859</v>
      </c>
      <c r="B3860" s="20">
        <v>5729</v>
      </c>
      <c r="C3860" s="21">
        <v>45214</v>
      </c>
      <c r="D3860" s="20">
        <v>915.42</v>
      </c>
      <c r="E3860" s="22" t="s">
        <v>10</v>
      </c>
      <c r="F3860" s="22" t="s">
        <v>18</v>
      </c>
      <c r="G3860" s="22" t="s">
        <v>20</v>
      </c>
    </row>
    <row r="3861" ht="15.15" spans="1:7">
      <c r="A3861" s="20">
        <v>3860</v>
      </c>
      <c r="B3861" s="20">
        <v>4924</v>
      </c>
      <c r="C3861" s="21">
        <v>45014</v>
      </c>
      <c r="D3861" s="20">
        <v>1380.11</v>
      </c>
      <c r="E3861" s="22" t="s">
        <v>10</v>
      </c>
      <c r="F3861" s="22" t="s">
        <v>13</v>
      </c>
      <c r="G3861" s="22" t="s">
        <v>12</v>
      </c>
    </row>
    <row r="3862" ht="15.15" spans="1:7">
      <c r="A3862" s="20">
        <v>3861</v>
      </c>
      <c r="B3862" s="20">
        <v>9493</v>
      </c>
      <c r="C3862" s="21">
        <v>45258</v>
      </c>
      <c r="D3862" s="20">
        <v>1991.18</v>
      </c>
      <c r="E3862" s="22" t="s">
        <v>10</v>
      </c>
      <c r="F3862" s="22" t="s">
        <v>16</v>
      </c>
      <c r="G3862" s="22" t="s">
        <v>20</v>
      </c>
    </row>
    <row r="3863" ht="15.15" spans="1:7">
      <c r="A3863" s="20">
        <v>3862</v>
      </c>
      <c r="B3863" s="20">
        <v>6083</v>
      </c>
      <c r="C3863" s="21">
        <v>45221</v>
      </c>
      <c r="D3863" s="20">
        <v>1214.71</v>
      </c>
      <c r="E3863" s="22" t="s">
        <v>10</v>
      </c>
      <c r="F3863" s="22" t="s">
        <v>18</v>
      </c>
      <c r="G3863" s="22" t="s">
        <v>17</v>
      </c>
    </row>
    <row r="3864" ht="15.15" spans="1:7">
      <c r="A3864" s="20">
        <v>3863</v>
      </c>
      <c r="B3864" s="20">
        <v>7647</v>
      </c>
      <c r="C3864" s="21">
        <v>44976</v>
      </c>
      <c r="D3864" s="20">
        <v>1262.36</v>
      </c>
      <c r="E3864" s="22" t="s">
        <v>10</v>
      </c>
      <c r="F3864" s="22" t="s">
        <v>16</v>
      </c>
      <c r="G3864" s="22" t="s">
        <v>20</v>
      </c>
    </row>
    <row r="3865" ht="15.15" spans="1:7">
      <c r="A3865" s="20">
        <v>3864</v>
      </c>
      <c r="B3865" s="20">
        <v>4538</v>
      </c>
      <c r="C3865" s="21">
        <v>45070</v>
      </c>
      <c r="D3865" s="20">
        <v>2802.09</v>
      </c>
      <c r="E3865" s="22" t="s">
        <v>10</v>
      </c>
      <c r="F3865" s="22" t="s">
        <v>14</v>
      </c>
      <c r="G3865" s="22" t="s">
        <v>15</v>
      </c>
    </row>
    <row r="3866" ht="15.15" spans="1:7">
      <c r="A3866" s="20">
        <v>3865</v>
      </c>
      <c r="B3866" s="20">
        <v>2431</v>
      </c>
      <c r="C3866" s="21">
        <v>44962</v>
      </c>
      <c r="D3866" s="20">
        <v>1645.01</v>
      </c>
      <c r="E3866" s="22" t="s">
        <v>10</v>
      </c>
      <c r="F3866" s="22" t="s">
        <v>14</v>
      </c>
      <c r="G3866" s="22" t="s">
        <v>12</v>
      </c>
    </row>
    <row r="3867" ht="15.15" spans="1:7">
      <c r="A3867" s="20">
        <v>3866</v>
      </c>
      <c r="B3867" s="20">
        <v>303</v>
      </c>
      <c r="C3867" s="21">
        <v>45227</v>
      </c>
      <c r="D3867" s="20">
        <v>6149.05</v>
      </c>
      <c r="E3867" s="22" t="s">
        <v>10</v>
      </c>
      <c r="F3867" s="22" t="s">
        <v>11</v>
      </c>
      <c r="G3867" s="22" t="s">
        <v>12</v>
      </c>
    </row>
    <row r="3868" ht="15.15" spans="1:7">
      <c r="A3868" s="20">
        <v>3867</v>
      </c>
      <c r="B3868" s="20">
        <v>8963</v>
      </c>
      <c r="C3868" s="21">
        <v>45267</v>
      </c>
      <c r="D3868" s="20">
        <v>1349.51</v>
      </c>
      <c r="E3868" s="22" t="s">
        <v>10</v>
      </c>
      <c r="F3868" s="22" t="s">
        <v>18</v>
      </c>
      <c r="G3868" s="22" t="s">
        <v>17</v>
      </c>
    </row>
    <row r="3869" ht="15.15" spans="1:7">
      <c r="A3869" s="20">
        <v>3868</v>
      </c>
      <c r="B3869" s="20">
        <v>8428</v>
      </c>
      <c r="C3869" s="21">
        <v>45208</v>
      </c>
      <c r="D3869" s="20">
        <v>256.17</v>
      </c>
      <c r="E3869" s="22" t="s">
        <v>10</v>
      </c>
      <c r="F3869" s="22" t="s">
        <v>18</v>
      </c>
      <c r="G3869" s="22" t="s">
        <v>12</v>
      </c>
    </row>
    <row r="3870" ht="15.15" spans="1:7">
      <c r="A3870" s="20">
        <v>3869</v>
      </c>
      <c r="B3870" s="20">
        <v>4928</v>
      </c>
      <c r="C3870" s="21">
        <v>45165</v>
      </c>
      <c r="D3870" s="20">
        <v>1266.08</v>
      </c>
      <c r="E3870" s="22" t="s">
        <v>10</v>
      </c>
      <c r="F3870" s="22" t="s">
        <v>18</v>
      </c>
      <c r="G3870" s="22" t="s">
        <v>12</v>
      </c>
    </row>
    <row r="3871" ht="15.15" spans="1:7">
      <c r="A3871" s="20">
        <v>3870</v>
      </c>
      <c r="B3871" s="20">
        <v>4040</v>
      </c>
      <c r="C3871" s="21">
        <v>45256</v>
      </c>
      <c r="D3871" s="20">
        <v>884.92</v>
      </c>
      <c r="E3871" s="22" t="s">
        <v>10</v>
      </c>
      <c r="F3871" s="22" t="s">
        <v>13</v>
      </c>
      <c r="G3871" s="22" t="s">
        <v>17</v>
      </c>
    </row>
    <row r="3872" ht="15.15" spans="1:7">
      <c r="A3872" s="20">
        <v>3871</v>
      </c>
      <c r="B3872" s="20">
        <v>8954</v>
      </c>
      <c r="C3872" s="21">
        <v>45248</v>
      </c>
      <c r="D3872" s="20">
        <v>256</v>
      </c>
      <c r="E3872" s="22" t="s">
        <v>10</v>
      </c>
      <c r="F3872" s="22" t="s">
        <v>14</v>
      </c>
      <c r="G3872" s="22" t="s">
        <v>15</v>
      </c>
    </row>
    <row r="3873" ht="15.15" spans="1:7">
      <c r="A3873" s="20">
        <v>3872</v>
      </c>
      <c r="B3873" s="20">
        <v>4923</v>
      </c>
      <c r="C3873" s="21">
        <v>45026</v>
      </c>
      <c r="D3873" s="20">
        <v>3323.17</v>
      </c>
      <c r="E3873" s="22" t="s">
        <v>10</v>
      </c>
      <c r="F3873" s="22" t="s">
        <v>13</v>
      </c>
      <c r="G3873" s="22" t="s">
        <v>20</v>
      </c>
    </row>
    <row r="3874" ht="15.15" spans="1:7">
      <c r="A3874" s="20">
        <v>3873</v>
      </c>
      <c r="B3874" s="20">
        <v>4014</v>
      </c>
      <c r="C3874" s="21">
        <v>44972</v>
      </c>
      <c r="D3874" s="20">
        <v>435.69</v>
      </c>
      <c r="E3874" s="22" t="s">
        <v>10</v>
      </c>
      <c r="F3874" s="22" t="s">
        <v>16</v>
      </c>
      <c r="G3874" s="22" t="s">
        <v>17</v>
      </c>
    </row>
    <row r="3875" ht="15.15" spans="1:7">
      <c r="A3875" s="20">
        <v>3874</v>
      </c>
      <c r="B3875" s="20">
        <v>3820</v>
      </c>
      <c r="C3875" s="21">
        <v>45140</v>
      </c>
      <c r="D3875" s="20">
        <v>3985.34</v>
      </c>
      <c r="E3875" s="22" t="s">
        <v>10</v>
      </c>
      <c r="F3875" s="22" t="s">
        <v>11</v>
      </c>
      <c r="G3875" s="22" t="s">
        <v>15</v>
      </c>
    </row>
    <row r="3876" ht="15.15" spans="1:7">
      <c r="A3876" s="20">
        <v>3875</v>
      </c>
      <c r="B3876" s="20">
        <v>9335</v>
      </c>
      <c r="C3876" s="21">
        <v>45240</v>
      </c>
      <c r="D3876" s="20">
        <v>751.38</v>
      </c>
      <c r="E3876" s="22" t="s">
        <v>10</v>
      </c>
      <c r="F3876" s="22" t="s">
        <v>18</v>
      </c>
      <c r="G3876" s="22" t="s">
        <v>17</v>
      </c>
    </row>
    <row r="3877" ht="15.15" spans="1:7">
      <c r="A3877" s="20">
        <v>3876</v>
      </c>
      <c r="B3877" s="20">
        <v>9262</v>
      </c>
      <c r="C3877" s="21">
        <v>45281</v>
      </c>
      <c r="D3877" s="20">
        <v>1581.27</v>
      </c>
      <c r="E3877" s="22" t="s">
        <v>10</v>
      </c>
      <c r="F3877" s="22" t="s">
        <v>11</v>
      </c>
      <c r="G3877" s="22" t="s">
        <v>12</v>
      </c>
    </row>
    <row r="3878" ht="15.15" spans="1:7">
      <c r="A3878" s="20">
        <v>3877</v>
      </c>
      <c r="B3878" s="20">
        <v>7968</v>
      </c>
      <c r="C3878" s="21">
        <v>44959</v>
      </c>
      <c r="D3878" s="20">
        <v>890.5</v>
      </c>
      <c r="E3878" s="22" t="s">
        <v>10</v>
      </c>
      <c r="F3878" s="22" t="s">
        <v>14</v>
      </c>
      <c r="G3878" s="22" t="s">
        <v>15</v>
      </c>
    </row>
    <row r="3879" ht="15.15" spans="1:7">
      <c r="A3879" s="20">
        <v>3878</v>
      </c>
      <c r="B3879" s="20">
        <v>4536</v>
      </c>
      <c r="C3879" s="21">
        <v>45255</v>
      </c>
      <c r="D3879" s="20">
        <v>4404.05</v>
      </c>
      <c r="E3879" s="22" t="s">
        <v>10</v>
      </c>
      <c r="F3879" s="22" t="s">
        <v>14</v>
      </c>
      <c r="G3879" s="22" t="s">
        <v>17</v>
      </c>
    </row>
    <row r="3880" ht="15.15" spans="1:7">
      <c r="A3880" s="20">
        <v>3879</v>
      </c>
      <c r="B3880" s="20">
        <v>9748</v>
      </c>
      <c r="C3880" s="21">
        <v>45281</v>
      </c>
      <c r="D3880" s="20">
        <v>422.6</v>
      </c>
      <c r="E3880" s="22" t="s">
        <v>10</v>
      </c>
      <c r="F3880" s="22" t="s">
        <v>16</v>
      </c>
      <c r="G3880" s="22" t="s">
        <v>12</v>
      </c>
    </row>
    <row r="3881" ht="15.15" spans="1:7">
      <c r="A3881" s="20">
        <v>3880</v>
      </c>
      <c r="B3881" s="20">
        <v>7699</v>
      </c>
      <c r="C3881" s="21">
        <v>45074</v>
      </c>
      <c r="D3881" s="20">
        <v>376.78</v>
      </c>
      <c r="E3881" s="22" t="s">
        <v>10</v>
      </c>
      <c r="F3881" s="22" t="s">
        <v>11</v>
      </c>
      <c r="G3881" s="22" t="s">
        <v>17</v>
      </c>
    </row>
    <row r="3882" ht="15.15" spans="1:7">
      <c r="A3882" s="20">
        <v>3881</v>
      </c>
      <c r="B3882" s="20">
        <v>9111</v>
      </c>
      <c r="C3882" s="21">
        <v>45205</v>
      </c>
      <c r="D3882" s="20">
        <v>1674.72</v>
      </c>
      <c r="E3882" s="22" t="s">
        <v>10</v>
      </c>
      <c r="F3882" s="22" t="s">
        <v>16</v>
      </c>
      <c r="G3882" s="22" t="s">
        <v>12</v>
      </c>
    </row>
    <row r="3883" ht="15.15" spans="1:7">
      <c r="A3883" s="20">
        <v>3882</v>
      </c>
      <c r="B3883" s="20">
        <v>9012</v>
      </c>
      <c r="C3883" s="21">
        <v>45134</v>
      </c>
      <c r="D3883" s="20">
        <v>250.59</v>
      </c>
      <c r="E3883" s="22" t="s">
        <v>10</v>
      </c>
      <c r="F3883" s="22" t="s">
        <v>13</v>
      </c>
      <c r="G3883" s="22" t="s">
        <v>17</v>
      </c>
    </row>
    <row r="3884" ht="15.15" spans="1:7">
      <c r="A3884" s="20">
        <v>3883</v>
      </c>
      <c r="B3884" s="20">
        <v>2854</v>
      </c>
      <c r="C3884" s="21">
        <v>45285</v>
      </c>
      <c r="D3884" s="20">
        <v>143.03</v>
      </c>
      <c r="E3884" s="22" t="s">
        <v>10</v>
      </c>
      <c r="F3884" s="22" t="s">
        <v>14</v>
      </c>
      <c r="G3884" s="22" t="s">
        <v>20</v>
      </c>
    </row>
    <row r="3885" ht="15.15" spans="1:7">
      <c r="A3885" s="20">
        <v>3884</v>
      </c>
      <c r="B3885" s="20">
        <v>6215</v>
      </c>
      <c r="C3885" s="21">
        <v>45024</v>
      </c>
      <c r="D3885" s="20">
        <v>1001.6</v>
      </c>
      <c r="E3885" s="22" t="s">
        <v>10</v>
      </c>
      <c r="F3885" s="22" t="s">
        <v>18</v>
      </c>
      <c r="G3885" s="22" t="s">
        <v>20</v>
      </c>
    </row>
    <row r="3886" ht="15.15" spans="1:7">
      <c r="A3886" s="20">
        <v>3885</v>
      </c>
      <c r="B3886" s="20">
        <v>1882</v>
      </c>
      <c r="C3886" s="21">
        <v>44938</v>
      </c>
      <c r="D3886" s="20">
        <v>2662.77</v>
      </c>
      <c r="E3886" s="22" t="s">
        <v>10</v>
      </c>
      <c r="F3886" s="22" t="s">
        <v>14</v>
      </c>
      <c r="G3886" s="22" t="s">
        <v>15</v>
      </c>
    </row>
    <row r="3887" ht="15.15" spans="1:7">
      <c r="A3887" s="20">
        <v>3886</v>
      </c>
      <c r="B3887" s="20">
        <v>1941</v>
      </c>
      <c r="C3887" s="21">
        <v>45118</v>
      </c>
      <c r="D3887" s="20">
        <v>660.33</v>
      </c>
      <c r="E3887" s="22" t="s">
        <v>10</v>
      </c>
      <c r="F3887" s="22" t="s">
        <v>14</v>
      </c>
      <c r="G3887" s="22" t="s">
        <v>12</v>
      </c>
    </row>
    <row r="3888" ht="15.15" spans="1:7">
      <c r="A3888" s="20">
        <v>3887</v>
      </c>
      <c r="B3888" s="20">
        <v>3619</v>
      </c>
      <c r="C3888" s="21">
        <v>44986</v>
      </c>
      <c r="D3888" s="20">
        <v>1954.21</v>
      </c>
      <c r="E3888" s="22" t="s">
        <v>10</v>
      </c>
      <c r="F3888" s="22" t="s">
        <v>18</v>
      </c>
      <c r="G3888" s="22" t="s">
        <v>20</v>
      </c>
    </row>
    <row r="3889" ht="15.15" spans="1:7">
      <c r="A3889" s="20">
        <v>3888</v>
      </c>
      <c r="B3889" s="20">
        <v>1312</v>
      </c>
      <c r="C3889" s="21">
        <v>44942</v>
      </c>
      <c r="D3889" s="20">
        <v>422.6</v>
      </c>
      <c r="E3889" s="22" t="s">
        <v>10</v>
      </c>
      <c r="F3889" s="22" t="s">
        <v>13</v>
      </c>
      <c r="G3889" s="22" t="s">
        <v>17</v>
      </c>
    </row>
    <row r="3890" ht="15.15" spans="1:7">
      <c r="A3890" s="20">
        <v>3889</v>
      </c>
      <c r="B3890" s="20">
        <v>606</v>
      </c>
      <c r="C3890" s="21">
        <v>45062</v>
      </c>
      <c r="D3890" s="20">
        <v>8913.69</v>
      </c>
      <c r="E3890" s="22" t="s">
        <v>10</v>
      </c>
      <c r="F3890" s="22" t="s">
        <v>16</v>
      </c>
      <c r="G3890" s="22" t="s">
        <v>20</v>
      </c>
    </row>
    <row r="3891" ht="15.15" spans="1:7">
      <c r="A3891" s="20">
        <v>3890</v>
      </c>
      <c r="B3891" s="20">
        <v>7108</v>
      </c>
      <c r="C3891" s="21">
        <v>45080</v>
      </c>
      <c r="D3891" s="20">
        <v>207.19</v>
      </c>
      <c r="E3891" s="22" t="s">
        <v>10</v>
      </c>
      <c r="F3891" s="22" t="s">
        <v>16</v>
      </c>
      <c r="G3891" s="22" t="s">
        <v>17</v>
      </c>
    </row>
    <row r="3892" ht="15.15" spans="1:7">
      <c r="A3892" s="20">
        <v>3891</v>
      </c>
      <c r="B3892" s="20">
        <v>7784</v>
      </c>
      <c r="C3892" s="21">
        <v>45203</v>
      </c>
      <c r="D3892" s="20">
        <v>2224.53</v>
      </c>
      <c r="E3892" s="22" t="s">
        <v>10</v>
      </c>
      <c r="F3892" s="22" t="s">
        <v>18</v>
      </c>
      <c r="G3892" s="22" t="s">
        <v>15</v>
      </c>
    </row>
    <row r="3893" ht="15.15" spans="1:7">
      <c r="A3893" s="20">
        <v>3892</v>
      </c>
      <c r="B3893" s="20">
        <v>778</v>
      </c>
      <c r="C3893" s="21">
        <v>45287</v>
      </c>
      <c r="D3893" s="20">
        <v>493.21</v>
      </c>
      <c r="E3893" s="22" t="s">
        <v>10</v>
      </c>
      <c r="F3893" s="22" t="s">
        <v>13</v>
      </c>
      <c r="G3893" s="22" t="s">
        <v>17</v>
      </c>
    </row>
    <row r="3894" ht="15.15" spans="1:7">
      <c r="A3894" s="20">
        <v>3893</v>
      </c>
      <c r="B3894" s="20">
        <v>8015</v>
      </c>
      <c r="C3894" s="21">
        <v>45286</v>
      </c>
      <c r="D3894" s="20">
        <v>2793.22</v>
      </c>
      <c r="E3894" s="22" t="s">
        <v>10</v>
      </c>
      <c r="F3894" s="22" t="s">
        <v>14</v>
      </c>
      <c r="G3894" s="22" t="s">
        <v>20</v>
      </c>
    </row>
    <row r="3895" ht="15.15" spans="1:7">
      <c r="A3895" s="20">
        <v>3894</v>
      </c>
      <c r="B3895" s="20">
        <v>5802</v>
      </c>
      <c r="C3895" s="21">
        <v>44968</v>
      </c>
      <c r="D3895" s="20">
        <v>550.02</v>
      </c>
      <c r="E3895" s="22" t="s">
        <v>10</v>
      </c>
      <c r="F3895" s="22" t="s">
        <v>18</v>
      </c>
      <c r="G3895" s="22" t="s">
        <v>12</v>
      </c>
    </row>
    <row r="3896" ht="15.15" spans="1:7">
      <c r="A3896" s="20">
        <v>3895</v>
      </c>
      <c r="B3896" s="20">
        <v>9713</v>
      </c>
      <c r="C3896" s="21">
        <v>44995</v>
      </c>
      <c r="D3896" s="20">
        <v>751.38</v>
      </c>
      <c r="E3896" s="22" t="s">
        <v>10</v>
      </c>
      <c r="F3896" s="22" t="s">
        <v>11</v>
      </c>
      <c r="G3896" s="22" t="s">
        <v>20</v>
      </c>
    </row>
    <row r="3897" ht="15.15" spans="1:7">
      <c r="A3897" s="20">
        <v>3896</v>
      </c>
      <c r="B3897" s="20">
        <v>1320</v>
      </c>
      <c r="C3897" s="21">
        <v>45227</v>
      </c>
      <c r="D3897" s="20">
        <v>496.71</v>
      </c>
      <c r="E3897" s="22" t="s">
        <v>10</v>
      </c>
      <c r="F3897" s="22" t="s">
        <v>14</v>
      </c>
      <c r="G3897" s="22" t="s">
        <v>17</v>
      </c>
    </row>
    <row r="3898" ht="15.15" spans="1:7">
      <c r="A3898" s="20">
        <v>3897</v>
      </c>
      <c r="B3898" s="20">
        <v>7001</v>
      </c>
      <c r="C3898" s="21">
        <v>45228</v>
      </c>
      <c r="D3898" s="20">
        <v>1993.79</v>
      </c>
      <c r="E3898" s="22" t="s">
        <v>10</v>
      </c>
      <c r="F3898" s="22" t="s">
        <v>14</v>
      </c>
      <c r="G3898" s="22" t="s">
        <v>15</v>
      </c>
    </row>
    <row r="3899" ht="15.15" spans="1:7">
      <c r="A3899" s="20">
        <v>3898</v>
      </c>
      <c r="B3899" s="20">
        <v>4713</v>
      </c>
      <c r="C3899" s="21">
        <v>45094</v>
      </c>
      <c r="D3899" s="20">
        <v>346.41</v>
      </c>
      <c r="E3899" s="22" t="s">
        <v>10</v>
      </c>
      <c r="F3899" s="22" t="s">
        <v>18</v>
      </c>
      <c r="G3899" s="22" t="s">
        <v>17</v>
      </c>
    </row>
    <row r="3900" ht="15.15" spans="1:7">
      <c r="A3900" s="20">
        <v>3899</v>
      </c>
      <c r="B3900" s="20">
        <v>1913</v>
      </c>
      <c r="C3900" s="21">
        <v>44957</v>
      </c>
      <c r="D3900" s="20">
        <v>714.26</v>
      </c>
      <c r="E3900" s="22" t="s">
        <v>10</v>
      </c>
      <c r="F3900" s="22" t="s">
        <v>11</v>
      </c>
      <c r="G3900" s="22" t="s">
        <v>15</v>
      </c>
    </row>
    <row r="3901" ht="15.15" spans="1:7">
      <c r="A3901" s="20">
        <v>3900</v>
      </c>
      <c r="B3901" s="20">
        <v>2545</v>
      </c>
      <c r="C3901" s="21">
        <v>45282</v>
      </c>
      <c r="D3901" s="20">
        <v>324.77</v>
      </c>
      <c r="E3901" s="22" t="s">
        <v>10</v>
      </c>
      <c r="F3901" s="22" t="s">
        <v>18</v>
      </c>
      <c r="G3901" s="22" t="s">
        <v>20</v>
      </c>
    </row>
    <row r="3902" ht="15.15" spans="1:7">
      <c r="A3902" s="20">
        <v>3901</v>
      </c>
      <c r="B3902" s="20">
        <v>1650</v>
      </c>
      <c r="C3902" s="21">
        <v>45124</v>
      </c>
      <c r="D3902" s="20">
        <v>748.01</v>
      </c>
      <c r="E3902" s="22" t="s">
        <v>10</v>
      </c>
      <c r="F3902" s="22" t="s">
        <v>16</v>
      </c>
      <c r="G3902" s="22" t="s">
        <v>12</v>
      </c>
    </row>
    <row r="3903" ht="15.15" spans="1:7">
      <c r="A3903" s="20">
        <v>3902</v>
      </c>
      <c r="B3903" s="20">
        <v>5927</v>
      </c>
      <c r="C3903" s="21">
        <v>44994</v>
      </c>
      <c r="D3903" s="20">
        <v>2179.41</v>
      </c>
      <c r="E3903" s="22" t="s">
        <v>21</v>
      </c>
      <c r="F3903" s="22" t="s">
        <v>11</v>
      </c>
      <c r="G3903" s="22" t="s">
        <v>17</v>
      </c>
    </row>
    <row r="3904" ht="15.15" spans="1:7">
      <c r="A3904" s="20">
        <v>3903</v>
      </c>
      <c r="B3904" s="20">
        <v>8828</v>
      </c>
      <c r="C3904" s="21">
        <v>45192</v>
      </c>
      <c r="D3904" s="20">
        <v>2731.92</v>
      </c>
      <c r="E3904" s="22" t="s">
        <v>10</v>
      </c>
      <c r="F3904" s="22" t="s">
        <v>11</v>
      </c>
      <c r="G3904" s="22" t="s">
        <v>20</v>
      </c>
    </row>
    <row r="3905" ht="15.15" spans="1:7">
      <c r="A3905" s="20">
        <v>3904</v>
      </c>
      <c r="B3905" s="20">
        <v>4684</v>
      </c>
      <c r="C3905" s="21">
        <v>44936</v>
      </c>
      <c r="D3905" s="20">
        <v>139.51</v>
      </c>
      <c r="E3905" s="22" t="s">
        <v>22</v>
      </c>
      <c r="F3905" s="22" t="s">
        <v>13</v>
      </c>
      <c r="G3905" s="22" t="s">
        <v>12</v>
      </c>
    </row>
    <row r="3906" ht="15.15" spans="1:7">
      <c r="A3906" s="20">
        <v>3905</v>
      </c>
      <c r="B3906" s="20">
        <v>344</v>
      </c>
      <c r="C3906" s="21">
        <v>45267</v>
      </c>
      <c r="D3906" s="20">
        <v>4795.8</v>
      </c>
      <c r="E3906" s="22" t="s">
        <v>10</v>
      </c>
      <c r="F3906" s="22" t="s">
        <v>14</v>
      </c>
      <c r="G3906" s="22" t="s">
        <v>20</v>
      </c>
    </row>
    <row r="3907" ht="15.15" spans="1:7">
      <c r="A3907" s="20">
        <v>3906</v>
      </c>
      <c r="B3907" s="20">
        <v>1485</v>
      </c>
      <c r="C3907" s="21">
        <v>45059</v>
      </c>
      <c r="D3907" s="20">
        <v>426.73</v>
      </c>
      <c r="E3907" s="22" t="s">
        <v>10</v>
      </c>
      <c r="F3907" s="22" t="s">
        <v>11</v>
      </c>
      <c r="G3907" s="22" t="s">
        <v>12</v>
      </c>
    </row>
    <row r="3908" ht="15.15" spans="1:7">
      <c r="A3908" s="20">
        <v>3907</v>
      </c>
      <c r="B3908" s="20">
        <v>2510</v>
      </c>
      <c r="C3908" s="21">
        <v>45287</v>
      </c>
      <c r="D3908" s="20">
        <v>2947.25</v>
      </c>
      <c r="E3908" s="22" t="s">
        <v>10</v>
      </c>
      <c r="F3908" s="22" t="s">
        <v>14</v>
      </c>
      <c r="G3908" s="22" t="s">
        <v>15</v>
      </c>
    </row>
    <row r="3909" ht="15.15" spans="1:7">
      <c r="A3909" s="20">
        <v>3908</v>
      </c>
      <c r="B3909" s="20">
        <v>1595</v>
      </c>
      <c r="C3909" s="21">
        <v>45284</v>
      </c>
      <c r="D3909" s="20">
        <v>1354.25</v>
      </c>
      <c r="E3909" s="22" t="s">
        <v>10</v>
      </c>
      <c r="F3909" s="22" t="s">
        <v>13</v>
      </c>
      <c r="G3909" s="22" t="s">
        <v>15</v>
      </c>
    </row>
    <row r="3910" ht="15.15" spans="1:7">
      <c r="A3910" s="20">
        <v>3909</v>
      </c>
      <c r="B3910" s="20">
        <v>5905</v>
      </c>
      <c r="C3910" s="21">
        <v>45220</v>
      </c>
      <c r="D3910" s="20">
        <v>265.95</v>
      </c>
      <c r="E3910" s="22" t="s">
        <v>10</v>
      </c>
      <c r="F3910" s="22" t="s">
        <v>11</v>
      </c>
      <c r="G3910" s="22" t="s">
        <v>12</v>
      </c>
    </row>
    <row r="3911" ht="15.15" spans="1:7">
      <c r="A3911" s="20">
        <v>3910</v>
      </c>
      <c r="B3911" s="20">
        <v>5374</v>
      </c>
      <c r="C3911" s="21">
        <v>45278</v>
      </c>
      <c r="D3911" s="20">
        <v>30.63</v>
      </c>
      <c r="E3911" s="22" t="s">
        <v>10</v>
      </c>
      <c r="F3911" s="22" t="s">
        <v>14</v>
      </c>
      <c r="G3911" s="22" t="s">
        <v>12</v>
      </c>
    </row>
    <row r="3912" ht="15.15" spans="1:7">
      <c r="A3912" s="20">
        <v>3911</v>
      </c>
      <c r="B3912" s="20">
        <v>9192</v>
      </c>
      <c r="C3912" s="21">
        <v>45101</v>
      </c>
      <c r="D3912" s="20">
        <v>4813.63</v>
      </c>
      <c r="E3912" s="22" t="s">
        <v>10</v>
      </c>
      <c r="F3912" s="22" t="s">
        <v>18</v>
      </c>
      <c r="G3912" s="22" t="s">
        <v>12</v>
      </c>
    </row>
    <row r="3913" ht="15.15" spans="1:7">
      <c r="A3913" s="20">
        <v>3912</v>
      </c>
      <c r="B3913" s="20">
        <v>8966</v>
      </c>
      <c r="C3913" s="21">
        <v>45171</v>
      </c>
      <c r="D3913" s="20">
        <v>2231.76</v>
      </c>
      <c r="E3913" s="22" t="s">
        <v>10</v>
      </c>
      <c r="F3913" s="22" t="s">
        <v>14</v>
      </c>
      <c r="G3913" s="22" t="s">
        <v>15</v>
      </c>
    </row>
    <row r="3914" ht="15.15" spans="1:7">
      <c r="A3914" s="20">
        <v>3913</v>
      </c>
      <c r="B3914" s="20">
        <v>5703</v>
      </c>
      <c r="C3914" s="21">
        <v>45259</v>
      </c>
      <c r="D3914" s="20">
        <v>201.88</v>
      </c>
      <c r="E3914" s="22" t="s">
        <v>10</v>
      </c>
      <c r="F3914" s="22" t="s">
        <v>14</v>
      </c>
      <c r="G3914" s="22" t="s">
        <v>12</v>
      </c>
    </row>
    <row r="3915" ht="15.15" spans="1:7">
      <c r="A3915" s="20">
        <v>3914</v>
      </c>
      <c r="B3915" s="20">
        <v>6710</v>
      </c>
      <c r="C3915" s="21">
        <v>45086</v>
      </c>
      <c r="D3915" s="20">
        <v>339.07</v>
      </c>
      <c r="E3915" s="22" t="s">
        <v>10</v>
      </c>
      <c r="F3915" s="22" t="s">
        <v>18</v>
      </c>
      <c r="G3915" s="22" t="s">
        <v>12</v>
      </c>
    </row>
    <row r="3916" ht="15.15" spans="1:7">
      <c r="A3916" s="20">
        <v>3915</v>
      </c>
      <c r="B3916" s="20">
        <v>1225</v>
      </c>
      <c r="C3916" s="21">
        <v>45198</v>
      </c>
      <c r="D3916" s="20">
        <v>401.9</v>
      </c>
      <c r="E3916" s="22" t="s">
        <v>22</v>
      </c>
      <c r="F3916" s="22" t="s">
        <v>16</v>
      </c>
      <c r="G3916" s="22" t="s">
        <v>15</v>
      </c>
    </row>
    <row r="3917" ht="15.15" spans="1:7">
      <c r="A3917" s="20">
        <v>3916</v>
      </c>
      <c r="B3917" s="20">
        <v>5934</v>
      </c>
      <c r="C3917" s="21">
        <v>45136</v>
      </c>
      <c r="D3917" s="20">
        <v>861.98</v>
      </c>
      <c r="E3917" s="22" t="s">
        <v>10</v>
      </c>
      <c r="F3917" s="22" t="s">
        <v>11</v>
      </c>
      <c r="G3917" s="22" t="s">
        <v>17</v>
      </c>
    </row>
    <row r="3918" ht="15.15" spans="1:7">
      <c r="A3918" s="20">
        <v>3917</v>
      </c>
      <c r="B3918" s="20">
        <v>9584</v>
      </c>
      <c r="C3918" s="21">
        <v>45213</v>
      </c>
      <c r="D3918" s="20">
        <v>3126.77</v>
      </c>
      <c r="E3918" s="22" t="s">
        <v>10</v>
      </c>
      <c r="F3918" s="22" t="s">
        <v>14</v>
      </c>
      <c r="G3918" s="22" t="s">
        <v>15</v>
      </c>
    </row>
    <row r="3919" ht="15.15" spans="1:7">
      <c r="A3919" s="20">
        <v>3918</v>
      </c>
      <c r="B3919" s="20">
        <v>8876</v>
      </c>
      <c r="C3919" s="21">
        <v>45220</v>
      </c>
      <c r="D3919" s="20">
        <v>361.74</v>
      </c>
      <c r="E3919" s="22" t="s">
        <v>10</v>
      </c>
      <c r="F3919" s="22" t="s">
        <v>14</v>
      </c>
      <c r="G3919" s="22" t="s">
        <v>20</v>
      </c>
    </row>
    <row r="3920" ht="15.15" spans="1:7">
      <c r="A3920" s="20">
        <v>3919</v>
      </c>
      <c r="B3920" s="20">
        <v>1899</v>
      </c>
      <c r="C3920" s="21">
        <v>45107</v>
      </c>
      <c r="D3920" s="20">
        <v>638.1</v>
      </c>
      <c r="E3920" s="22" t="s">
        <v>10</v>
      </c>
      <c r="F3920" s="22" t="s">
        <v>13</v>
      </c>
      <c r="G3920" s="22" t="s">
        <v>17</v>
      </c>
    </row>
    <row r="3921" ht="15.15" spans="1:7">
      <c r="A3921" s="20">
        <v>3920</v>
      </c>
      <c r="B3921" s="20">
        <v>6456</v>
      </c>
      <c r="C3921" s="21">
        <v>44989</v>
      </c>
      <c r="D3921" s="20">
        <v>201.88</v>
      </c>
      <c r="E3921" s="22" t="s">
        <v>10</v>
      </c>
      <c r="F3921" s="22" t="s">
        <v>18</v>
      </c>
      <c r="G3921" s="22" t="s">
        <v>20</v>
      </c>
    </row>
    <row r="3922" ht="15.15" spans="1:7">
      <c r="A3922" s="20">
        <v>3921</v>
      </c>
      <c r="B3922" s="20">
        <v>9349</v>
      </c>
      <c r="C3922" s="21">
        <v>45145</v>
      </c>
      <c r="D3922" s="20">
        <v>935.74</v>
      </c>
      <c r="E3922" s="22" t="s">
        <v>10</v>
      </c>
      <c r="F3922" s="22" t="s">
        <v>16</v>
      </c>
      <c r="G3922" s="22" t="s">
        <v>17</v>
      </c>
    </row>
    <row r="3923" ht="15.15" spans="1:7">
      <c r="A3923" s="20">
        <v>3922</v>
      </c>
      <c r="B3923" s="20">
        <v>7468</v>
      </c>
      <c r="C3923" s="21">
        <v>45285</v>
      </c>
      <c r="D3923" s="20">
        <v>2271.86</v>
      </c>
      <c r="E3923" s="22" t="s">
        <v>10</v>
      </c>
      <c r="F3923" s="22" t="s">
        <v>16</v>
      </c>
      <c r="G3923" s="22" t="s">
        <v>15</v>
      </c>
    </row>
    <row r="3924" ht="15.15" spans="1:7">
      <c r="A3924" s="20">
        <v>3923</v>
      </c>
      <c r="B3924" s="20">
        <v>3288</v>
      </c>
      <c r="C3924" s="21">
        <v>45240</v>
      </c>
      <c r="D3924" s="20">
        <v>918.24</v>
      </c>
      <c r="E3924" s="22" t="s">
        <v>10</v>
      </c>
      <c r="F3924" s="22" t="s">
        <v>11</v>
      </c>
      <c r="G3924" s="22" t="s">
        <v>15</v>
      </c>
    </row>
    <row r="3925" ht="15.15" spans="1:7">
      <c r="A3925" s="20">
        <v>3924</v>
      </c>
      <c r="B3925" s="20">
        <v>7847</v>
      </c>
      <c r="C3925" s="21">
        <v>44981</v>
      </c>
      <c r="D3925" s="20">
        <v>1100.11</v>
      </c>
      <c r="E3925" s="22" t="s">
        <v>10</v>
      </c>
      <c r="F3925" s="22" t="s">
        <v>11</v>
      </c>
      <c r="G3925" s="22" t="s">
        <v>20</v>
      </c>
    </row>
    <row r="3926" ht="15.15" spans="1:7">
      <c r="A3926" s="20">
        <v>3925</v>
      </c>
      <c r="B3926" s="20">
        <v>6238</v>
      </c>
      <c r="C3926" s="21">
        <v>45288</v>
      </c>
      <c r="D3926" s="20">
        <v>2167.5</v>
      </c>
      <c r="E3926" s="22" t="s">
        <v>10</v>
      </c>
      <c r="F3926" s="22" t="s">
        <v>19</v>
      </c>
      <c r="G3926" s="22" t="s">
        <v>15</v>
      </c>
    </row>
    <row r="3927" ht="15.15" spans="1:7">
      <c r="A3927" s="20">
        <v>3926</v>
      </c>
      <c r="B3927" s="20">
        <v>2533</v>
      </c>
      <c r="C3927" s="21">
        <v>44957</v>
      </c>
      <c r="D3927" s="20">
        <v>2047.63</v>
      </c>
      <c r="E3927" s="22" t="s">
        <v>10</v>
      </c>
      <c r="F3927" s="22" t="s">
        <v>11</v>
      </c>
      <c r="G3927" s="22" t="s">
        <v>15</v>
      </c>
    </row>
    <row r="3928" ht="15.15" spans="1:7">
      <c r="A3928" s="20">
        <v>3927</v>
      </c>
      <c r="B3928" s="20">
        <v>4953</v>
      </c>
      <c r="C3928" s="21">
        <v>45169</v>
      </c>
      <c r="D3928" s="20">
        <v>1883.4</v>
      </c>
      <c r="E3928" s="22" t="s">
        <v>10</v>
      </c>
      <c r="F3928" s="22" t="s">
        <v>11</v>
      </c>
      <c r="G3928" s="22" t="s">
        <v>17</v>
      </c>
    </row>
    <row r="3929" ht="15.15" spans="1:7">
      <c r="A3929" s="20">
        <v>3928</v>
      </c>
      <c r="B3929" s="20">
        <v>3325</v>
      </c>
      <c r="C3929" s="21">
        <v>45242</v>
      </c>
      <c r="D3929" s="20">
        <v>1860.2</v>
      </c>
      <c r="E3929" s="22" t="s">
        <v>10</v>
      </c>
      <c r="F3929" s="22" t="s">
        <v>13</v>
      </c>
      <c r="G3929" s="22" t="s">
        <v>20</v>
      </c>
    </row>
    <row r="3930" ht="15.15" spans="1:7">
      <c r="A3930" s="20">
        <v>3929</v>
      </c>
      <c r="B3930" s="20">
        <v>5158</v>
      </c>
      <c r="C3930" s="21">
        <v>45283</v>
      </c>
      <c r="D3930" s="20">
        <v>496.71</v>
      </c>
      <c r="E3930" s="22" t="s">
        <v>10</v>
      </c>
      <c r="F3930" s="22" t="s">
        <v>16</v>
      </c>
      <c r="G3930" s="22" t="s">
        <v>20</v>
      </c>
    </row>
    <row r="3931" ht="15.15" spans="1:7">
      <c r="A3931" s="20">
        <v>3930</v>
      </c>
      <c r="B3931" s="20">
        <v>906</v>
      </c>
      <c r="C3931" s="21">
        <v>44944</v>
      </c>
      <c r="D3931" s="20">
        <v>479.1</v>
      </c>
      <c r="E3931" s="22" t="s">
        <v>10</v>
      </c>
      <c r="F3931" s="22" t="s">
        <v>14</v>
      </c>
      <c r="G3931" s="22" t="s">
        <v>12</v>
      </c>
    </row>
    <row r="3932" ht="15.15" spans="1:7">
      <c r="A3932" s="20">
        <v>3931</v>
      </c>
      <c r="B3932" s="20">
        <v>9804</v>
      </c>
      <c r="C3932" s="21">
        <v>44947</v>
      </c>
      <c r="D3932" s="20">
        <v>268.34</v>
      </c>
      <c r="E3932" s="22" t="s">
        <v>10</v>
      </c>
      <c r="F3932" s="22" t="s">
        <v>13</v>
      </c>
      <c r="G3932" s="22" t="s">
        <v>20</v>
      </c>
    </row>
    <row r="3933" ht="15.15" spans="1:7">
      <c r="A3933" s="20">
        <v>3932</v>
      </c>
      <c r="B3933" s="20">
        <v>4837</v>
      </c>
      <c r="C3933" s="21">
        <v>45247</v>
      </c>
      <c r="D3933" s="20">
        <v>954.65</v>
      </c>
      <c r="E3933" s="22" t="s">
        <v>10</v>
      </c>
      <c r="F3933" s="22" t="s">
        <v>16</v>
      </c>
      <c r="G3933" s="22" t="s">
        <v>20</v>
      </c>
    </row>
    <row r="3934" ht="15.15" spans="1:7">
      <c r="A3934" s="20">
        <v>3933</v>
      </c>
      <c r="B3934" s="20">
        <v>9239</v>
      </c>
      <c r="C3934" s="21">
        <v>44941</v>
      </c>
      <c r="D3934" s="20">
        <v>1269.42</v>
      </c>
      <c r="E3934" s="22" t="s">
        <v>10</v>
      </c>
      <c r="F3934" s="22" t="s">
        <v>18</v>
      </c>
      <c r="G3934" s="22" t="s">
        <v>20</v>
      </c>
    </row>
    <row r="3935" ht="15.15" spans="1:7">
      <c r="A3935" s="20">
        <v>3934</v>
      </c>
      <c r="B3935" s="20">
        <v>3720</v>
      </c>
      <c r="C3935" s="21">
        <v>44944</v>
      </c>
      <c r="D3935" s="20">
        <v>531.64</v>
      </c>
      <c r="E3935" s="22" t="s">
        <v>10</v>
      </c>
      <c r="F3935" s="22" t="s">
        <v>11</v>
      </c>
      <c r="G3935" s="22" t="s">
        <v>15</v>
      </c>
    </row>
    <row r="3936" ht="15.15" spans="1:7">
      <c r="A3936" s="20">
        <v>3935</v>
      </c>
      <c r="B3936" s="20">
        <v>2458</v>
      </c>
      <c r="C3936" s="21">
        <v>45102</v>
      </c>
      <c r="D3936" s="20">
        <v>2802.01</v>
      </c>
      <c r="E3936" s="22" t="s">
        <v>10</v>
      </c>
      <c r="F3936" s="22" t="s">
        <v>18</v>
      </c>
      <c r="G3936" s="22" t="s">
        <v>12</v>
      </c>
    </row>
    <row r="3937" ht="15.15" spans="1:7">
      <c r="A3937" s="20">
        <v>3936</v>
      </c>
      <c r="B3937" s="20">
        <v>8815</v>
      </c>
      <c r="C3937" s="21">
        <v>45242</v>
      </c>
      <c r="D3937" s="20">
        <v>1598.05</v>
      </c>
      <c r="E3937" s="22" t="s">
        <v>10</v>
      </c>
      <c r="F3937" s="22" t="s">
        <v>14</v>
      </c>
      <c r="G3937" s="22" t="s">
        <v>17</v>
      </c>
    </row>
    <row r="3938" ht="15.15" spans="1:7">
      <c r="A3938" s="20">
        <v>3937</v>
      </c>
      <c r="B3938" s="20">
        <v>7179</v>
      </c>
      <c r="C3938" s="21">
        <v>45228</v>
      </c>
      <c r="D3938" s="20">
        <v>276.75</v>
      </c>
      <c r="E3938" s="22" t="s">
        <v>10</v>
      </c>
      <c r="F3938" s="22" t="s">
        <v>13</v>
      </c>
      <c r="G3938" s="22" t="s">
        <v>15</v>
      </c>
    </row>
    <row r="3939" ht="15.15" spans="1:7">
      <c r="A3939" s="20">
        <v>3938</v>
      </c>
      <c r="B3939" s="20">
        <v>2932</v>
      </c>
      <c r="C3939" s="21">
        <v>45082</v>
      </c>
      <c r="D3939" s="20">
        <v>787.06</v>
      </c>
      <c r="E3939" s="22" t="s">
        <v>10</v>
      </c>
      <c r="F3939" s="22" t="s">
        <v>16</v>
      </c>
      <c r="G3939" s="22" t="s">
        <v>15</v>
      </c>
    </row>
    <row r="3940" ht="15.15" spans="1:7">
      <c r="A3940" s="20">
        <v>3939</v>
      </c>
      <c r="B3940" s="20">
        <v>2247</v>
      </c>
      <c r="C3940" s="21">
        <v>44928</v>
      </c>
      <c r="D3940" s="20">
        <v>3425.86</v>
      </c>
      <c r="E3940" s="22" t="s">
        <v>10</v>
      </c>
      <c r="F3940" s="22" t="s">
        <v>16</v>
      </c>
      <c r="G3940" s="22" t="s">
        <v>17</v>
      </c>
    </row>
    <row r="3941" ht="15.15" spans="1:7">
      <c r="A3941" s="20">
        <v>3940</v>
      </c>
      <c r="B3941" s="20">
        <v>8543</v>
      </c>
      <c r="C3941" s="21">
        <v>45188</v>
      </c>
      <c r="D3941" s="20">
        <v>1553.57</v>
      </c>
      <c r="E3941" s="22" t="s">
        <v>10</v>
      </c>
      <c r="F3941" s="22" t="s">
        <v>16</v>
      </c>
      <c r="G3941" s="22" t="s">
        <v>20</v>
      </c>
    </row>
    <row r="3942" ht="15.15" spans="1:7">
      <c r="A3942" s="20">
        <v>3941</v>
      </c>
      <c r="B3942" s="20">
        <v>1597</v>
      </c>
      <c r="C3942" s="21">
        <v>45243</v>
      </c>
      <c r="D3942" s="20">
        <v>2017.41</v>
      </c>
      <c r="E3942" s="22" t="s">
        <v>10</v>
      </c>
      <c r="F3942" s="22" t="s">
        <v>14</v>
      </c>
      <c r="G3942" s="22" t="s">
        <v>15</v>
      </c>
    </row>
    <row r="3943" ht="15.15" spans="1:7">
      <c r="A3943" s="20">
        <v>3942</v>
      </c>
      <c r="B3943" s="20">
        <v>3703</v>
      </c>
      <c r="C3943" s="21">
        <v>45245</v>
      </c>
      <c r="D3943" s="20">
        <v>5745.62</v>
      </c>
      <c r="E3943" s="22" t="s">
        <v>10</v>
      </c>
      <c r="F3943" s="22" t="s">
        <v>14</v>
      </c>
      <c r="G3943" s="22" t="s">
        <v>20</v>
      </c>
    </row>
    <row r="3944" ht="15.15" spans="1:7">
      <c r="A3944" s="20">
        <v>3943</v>
      </c>
      <c r="B3944" s="20">
        <v>7713</v>
      </c>
      <c r="C3944" s="21">
        <v>45262</v>
      </c>
      <c r="D3944" s="20">
        <v>183.34</v>
      </c>
      <c r="E3944" s="22" t="s">
        <v>10</v>
      </c>
      <c r="F3944" s="22" t="s">
        <v>18</v>
      </c>
      <c r="G3944" s="22" t="s">
        <v>20</v>
      </c>
    </row>
    <row r="3945" ht="15.15" spans="1:7">
      <c r="A3945" s="20">
        <v>3944</v>
      </c>
      <c r="B3945" s="20">
        <v>8722</v>
      </c>
      <c r="C3945" s="21">
        <v>45283</v>
      </c>
      <c r="D3945" s="20">
        <v>219.69</v>
      </c>
      <c r="E3945" s="22" t="s">
        <v>10</v>
      </c>
      <c r="F3945" s="22" t="s">
        <v>16</v>
      </c>
      <c r="G3945" s="22" t="s">
        <v>15</v>
      </c>
    </row>
    <row r="3946" ht="15.15" spans="1:7">
      <c r="A3946" s="20">
        <v>3945</v>
      </c>
      <c r="B3946" s="20">
        <v>5450</v>
      </c>
      <c r="C3946" s="21">
        <v>45291</v>
      </c>
      <c r="D3946" s="20">
        <v>1095.73</v>
      </c>
      <c r="E3946" s="22" t="s">
        <v>10</v>
      </c>
      <c r="F3946" s="22" t="s">
        <v>18</v>
      </c>
      <c r="G3946" s="22" t="s">
        <v>15</v>
      </c>
    </row>
    <row r="3947" ht="15.15" spans="1:7">
      <c r="A3947" s="20">
        <v>3946</v>
      </c>
      <c r="B3947" s="20">
        <v>9073</v>
      </c>
      <c r="C3947" s="21">
        <v>45273</v>
      </c>
      <c r="D3947" s="20">
        <v>412.02</v>
      </c>
      <c r="E3947" s="22" t="s">
        <v>10</v>
      </c>
      <c r="F3947" s="22" t="s">
        <v>14</v>
      </c>
      <c r="G3947" s="22" t="s">
        <v>12</v>
      </c>
    </row>
    <row r="3948" ht="15.15" spans="1:7">
      <c r="A3948" s="20">
        <v>3947</v>
      </c>
      <c r="B3948" s="20">
        <v>2423</v>
      </c>
      <c r="C3948" s="21">
        <v>45131</v>
      </c>
      <c r="D3948" s="20">
        <v>1069.59</v>
      </c>
      <c r="E3948" s="22" t="s">
        <v>10</v>
      </c>
      <c r="F3948" s="22" t="s">
        <v>13</v>
      </c>
      <c r="G3948" s="22" t="s">
        <v>17</v>
      </c>
    </row>
    <row r="3949" ht="15.15" spans="1:7">
      <c r="A3949" s="20">
        <v>3948</v>
      </c>
      <c r="B3949" s="20">
        <v>9962</v>
      </c>
      <c r="C3949" s="21">
        <v>45171</v>
      </c>
      <c r="D3949" s="20">
        <v>1506.33</v>
      </c>
      <c r="E3949" s="22" t="s">
        <v>10</v>
      </c>
      <c r="F3949" s="22" t="s">
        <v>16</v>
      </c>
      <c r="G3949" s="22" t="s">
        <v>12</v>
      </c>
    </row>
    <row r="3950" ht="15.15" spans="1:7">
      <c r="A3950" s="20">
        <v>3949</v>
      </c>
      <c r="B3950" s="20">
        <v>2209</v>
      </c>
      <c r="C3950" s="21">
        <v>45275</v>
      </c>
      <c r="D3950" s="20">
        <v>2004.83</v>
      </c>
      <c r="E3950" s="22" t="s">
        <v>10</v>
      </c>
      <c r="F3950" s="22" t="s">
        <v>14</v>
      </c>
      <c r="G3950" s="22" t="s">
        <v>17</v>
      </c>
    </row>
    <row r="3951" ht="15.15" spans="1:7">
      <c r="A3951" s="20">
        <v>3950</v>
      </c>
      <c r="B3951" s="20">
        <v>7745</v>
      </c>
      <c r="C3951" s="21">
        <v>45178</v>
      </c>
      <c r="D3951" s="20">
        <v>9942.18</v>
      </c>
      <c r="E3951" s="22" t="s">
        <v>10</v>
      </c>
      <c r="F3951" s="22" t="s">
        <v>11</v>
      </c>
      <c r="G3951" s="22" t="s">
        <v>17</v>
      </c>
    </row>
    <row r="3952" ht="15.15" spans="1:7">
      <c r="A3952" s="20">
        <v>3951</v>
      </c>
      <c r="B3952" s="20">
        <v>2707</v>
      </c>
      <c r="C3952" s="21">
        <v>45276</v>
      </c>
      <c r="D3952" s="20">
        <v>767.37</v>
      </c>
      <c r="E3952" s="22" t="s">
        <v>10</v>
      </c>
      <c r="F3952" s="22" t="s">
        <v>16</v>
      </c>
      <c r="G3952" s="22" t="s">
        <v>17</v>
      </c>
    </row>
    <row r="3953" ht="15.15" spans="1:7">
      <c r="A3953" s="20">
        <v>3952</v>
      </c>
      <c r="B3953" s="20">
        <v>4688</v>
      </c>
      <c r="C3953" s="21">
        <v>45229</v>
      </c>
      <c r="D3953" s="20">
        <v>313.3</v>
      </c>
      <c r="E3953" s="22" t="s">
        <v>22</v>
      </c>
      <c r="F3953" s="22" t="s">
        <v>13</v>
      </c>
      <c r="G3953" s="22" t="s">
        <v>12</v>
      </c>
    </row>
    <row r="3954" ht="15.15" spans="1:7">
      <c r="A3954" s="20">
        <v>3953</v>
      </c>
      <c r="B3954" s="20">
        <v>4669</v>
      </c>
      <c r="C3954" s="21">
        <v>45135</v>
      </c>
      <c r="D3954" s="20">
        <v>1146.95</v>
      </c>
      <c r="E3954" s="22" t="s">
        <v>10</v>
      </c>
      <c r="F3954" s="22" t="s">
        <v>18</v>
      </c>
      <c r="G3954" s="22" t="s">
        <v>20</v>
      </c>
    </row>
    <row r="3955" ht="15.15" spans="1:7">
      <c r="A3955" s="20">
        <v>3954</v>
      </c>
      <c r="B3955" s="20">
        <v>5550</v>
      </c>
      <c r="C3955" s="21">
        <v>44989</v>
      </c>
      <c r="D3955" s="20">
        <v>1828.18</v>
      </c>
      <c r="E3955" s="22" t="s">
        <v>10</v>
      </c>
      <c r="F3955" s="22" t="s">
        <v>11</v>
      </c>
      <c r="G3955" s="22" t="s">
        <v>17</v>
      </c>
    </row>
    <row r="3956" ht="15.15" spans="1:7">
      <c r="A3956" s="20">
        <v>3955</v>
      </c>
      <c r="B3956" s="20">
        <v>6320</v>
      </c>
      <c r="C3956" s="21">
        <v>45251</v>
      </c>
      <c r="D3956" s="20">
        <v>1735.99</v>
      </c>
      <c r="E3956" s="22" t="s">
        <v>10</v>
      </c>
      <c r="F3956" s="22" t="s">
        <v>18</v>
      </c>
      <c r="G3956" s="22" t="s">
        <v>17</v>
      </c>
    </row>
    <row r="3957" ht="15.15" spans="1:7">
      <c r="A3957" s="20">
        <v>3956</v>
      </c>
      <c r="B3957" s="20">
        <v>3697</v>
      </c>
      <c r="C3957" s="21">
        <v>44968</v>
      </c>
      <c r="D3957" s="20">
        <v>408.38</v>
      </c>
      <c r="E3957" s="22" t="s">
        <v>10</v>
      </c>
      <c r="F3957" s="22" t="s">
        <v>11</v>
      </c>
      <c r="G3957" s="22" t="s">
        <v>12</v>
      </c>
    </row>
    <row r="3958" ht="15.15" spans="1:7">
      <c r="A3958" s="20">
        <v>3957</v>
      </c>
      <c r="B3958" s="20">
        <v>4402</v>
      </c>
      <c r="C3958" s="21">
        <v>45013</v>
      </c>
      <c r="D3958" s="20">
        <v>1629.76</v>
      </c>
      <c r="E3958" s="22" t="s">
        <v>10</v>
      </c>
      <c r="F3958" s="22" t="s">
        <v>16</v>
      </c>
      <c r="G3958" s="22" t="s">
        <v>15</v>
      </c>
    </row>
    <row r="3959" ht="15.15" spans="1:7">
      <c r="A3959" s="20">
        <v>3958</v>
      </c>
      <c r="B3959" s="20">
        <v>5566</v>
      </c>
      <c r="C3959" s="21">
        <v>45243</v>
      </c>
      <c r="D3959" s="20">
        <v>1745.99</v>
      </c>
      <c r="E3959" s="22" t="s">
        <v>10</v>
      </c>
      <c r="F3959" s="22" t="s">
        <v>14</v>
      </c>
      <c r="G3959" s="22" t="s">
        <v>12</v>
      </c>
    </row>
    <row r="3960" ht="15.15" spans="1:7">
      <c r="A3960" s="20">
        <v>3959</v>
      </c>
      <c r="B3960" s="20">
        <v>2917</v>
      </c>
      <c r="C3960" s="21">
        <v>45171</v>
      </c>
      <c r="D3960" s="20">
        <v>435.81</v>
      </c>
      <c r="E3960" s="22" t="s">
        <v>10</v>
      </c>
      <c r="F3960" s="22" t="s">
        <v>11</v>
      </c>
      <c r="G3960" s="22" t="s">
        <v>20</v>
      </c>
    </row>
    <row r="3961" ht="15.15" spans="1:7">
      <c r="A3961" s="20">
        <v>3960</v>
      </c>
      <c r="B3961" s="20">
        <v>1988</v>
      </c>
      <c r="C3961" s="21">
        <v>45156</v>
      </c>
      <c r="D3961" s="20">
        <v>665.6</v>
      </c>
      <c r="E3961" s="22" t="s">
        <v>10</v>
      </c>
      <c r="F3961" s="22" t="s">
        <v>14</v>
      </c>
      <c r="G3961" s="22" t="s">
        <v>20</v>
      </c>
    </row>
    <row r="3962" ht="15.15" spans="1:7">
      <c r="A3962" s="20">
        <v>3961</v>
      </c>
      <c r="B3962" s="20">
        <v>424</v>
      </c>
      <c r="C3962" s="21">
        <v>44978</v>
      </c>
      <c r="D3962" s="20">
        <v>397.78</v>
      </c>
      <c r="E3962" s="22" t="s">
        <v>10</v>
      </c>
      <c r="F3962" s="22" t="s">
        <v>11</v>
      </c>
      <c r="G3962" s="22" t="s">
        <v>17</v>
      </c>
    </row>
    <row r="3963" ht="15.15" spans="1:7">
      <c r="A3963" s="20">
        <v>3962</v>
      </c>
      <c r="B3963" s="20">
        <v>8982</v>
      </c>
      <c r="C3963" s="21">
        <v>45003</v>
      </c>
      <c r="D3963" s="20">
        <v>869.63</v>
      </c>
      <c r="E3963" s="22" t="s">
        <v>10</v>
      </c>
      <c r="F3963" s="22" t="s">
        <v>14</v>
      </c>
      <c r="G3963" s="22" t="s">
        <v>15</v>
      </c>
    </row>
    <row r="3964" ht="15.15" spans="1:7">
      <c r="A3964" s="20">
        <v>3963</v>
      </c>
      <c r="B3964" s="20">
        <v>4725</v>
      </c>
      <c r="C3964" s="21">
        <v>45092</v>
      </c>
      <c r="D3964" s="20">
        <v>3575.65</v>
      </c>
      <c r="E3964" s="22" t="s">
        <v>10</v>
      </c>
      <c r="F3964" s="22" t="s">
        <v>14</v>
      </c>
      <c r="G3964" s="22" t="s">
        <v>15</v>
      </c>
    </row>
    <row r="3965" ht="15.15" spans="1:7">
      <c r="A3965" s="20">
        <v>3964</v>
      </c>
      <c r="B3965" s="20">
        <v>3943</v>
      </c>
      <c r="C3965" s="21">
        <v>45054</v>
      </c>
      <c r="D3965" s="20">
        <v>1072.43</v>
      </c>
      <c r="E3965" s="22" t="s">
        <v>10</v>
      </c>
      <c r="F3965" s="22" t="s">
        <v>14</v>
      </c>
      <c r="G3965" s="22" t="s">
        <v>20</v>
      </c>
    </row>
    <row r="3966" ht="15.15" spans="1:7">
      <c r="A3966" s="20">
        <v>3965</v>
      </c>
      <c r="B3966" s="20">
        <v>7789</v>
      </c>
      <c r="C3966" s="21">
        <v>45225</v>
      </c>
      <c r="D3966" s="20">
        <v>1198.83</v>
      </c>
      <c r="E3966" s="22" t="s">
        <v>21</v>
      </c>
      <c r="F3966" s="22" t="s">
        <v>19</v>
      </c>
      <c r="G3966" s="22" t="s">
        <v>20</v>
      </c>
    </row>
    <row r="3967" ht="15.15" spans="1:7">
      <c r="A3967" s="20">
        <v>3966</v>
      </c>
      <c r="B3967" s="20">
        <v>3109</v>
      </c>
      <c r="C3967" s="21">
        <v>45268</v>
      </c>
      <c r="D3967" s="20">
        <v>2239.71</v>
      </c>
      <c r="E3967" s="22" t="s">
        <v>10</v>
      </c>
      <c r="F3967" s="22" t="s">
        <v>18</v>
      </c>
      <c r="G3967" s="22" t="s">
        <v>17</v>
      </c>
    </row>
    <row r="3968" ht="15.15" spans="1:7">
      <c r="A3968" s="20">
        <v>3967</v>
      </c>
      <c r="B3968" s="20">
        <v>2397</v>
      </c>
      <c r="C3968" s="21">
        <v>45143</v>
      </c>
      <c r="D3968" s="20">
        <v>2854.53</v>
      </c>
      <c r="E3968" s="22" t="s">
        <v>10</v>
      </c>
      <c r="F3968" s="22" t="s">
        <v>16</v>
      </c>
      <c r="G3968" s="22" t="s">
        <v>15</v>
      </c>
    </row>
    <row r="3969" ht="15.15" spans="1:7">
      <c r="A3969" s="20">
        <v>3968</v>
      </c>
      <c r="B3969" s="20">
        <v>9923</v>
      </c>
      <c r="C3969" s="21">
        <v>44963</v>
      </c>
      <c r="D3969" s="20">
        <v>208.24</v>
      </c>
      <c r="E3969" s="22" t="s">
        <v>10</v>
      </c>
      <c r="F3969" s="22" t="s">
        <v>14</v>
      </c>
      <c r="G3969" s="22" t="s">
        <v>15</v>
      </c>
    </row>
    <row r="3970" ht="15.15" spans="1:7">
      <c r="A3970" s="20">
        <v>3969</v>
      </c>
      <c r="B3970" s="20">
        <v>3959</v>
      </c>
      <c r="C3970" s="21">
        <v>45166</v>
      </c>
      <c r="D3970" s="20">
        <v>1201.3</v>
      </c>
      <c r="E3970" s="22" t="s">
        <v>10</v>
      </c>
      <c r="F3970" s="22" t="s">
        <v>18</v>
      </c>
      <c r="G3970" s="22" t="s">
        <v>12</v>
      </c>
    </row>
    <row r="3971" ht="15.15" spans="1:7">
      <c r="A3971" s="20">
        <v>3970</v>
      </c>
      <c r="B3971" s="20">
        <v>3102</v>
      </c>
      <c r="C3971" s="21">
        <v>45208</v>
      </c>
      <c r="D3971" s="20">
        <v>589.62</v>
      </c>
      <c r="E3971" s="22" t="s">
        <v>10</v>
      </c>
      <c r="F3971" s="22" t="s">
        <v>18</v>
      </c>
      <c r="G3971" s="22" t="s">
        <v>12</v>
      </c>
    </row>
    <row r="3972" ht="15.15" spans="1:7">
      <c r="A3972" s="20">
        <v>3971</v>
      </c>
      <c r="B3972" s="20">
        <v>5466</v>
      </c>
      <c r="C3972" s="21">
        <v>45089</v>
      </c>
      <c r="D3972" s="20">
        <v>471.55</v>
      </c>
      <c r="E3972" s="22" t="s">
        <v>10</v>
      </c>
      <c r="F3972" s="22" t="s">
        <v>13</v>
      </c>
      <c r="G3972" s="22" t="s">
        <v>12</v>
      </c>
    </row>
    <row r="3973" ht="15.15" spans="1:7">
      <c r="A3973" s="20">
        <v>3972</v>
      </c>
      <c r="B3973" s="20">
        <v>3554</v>
      </c>
      <c r="C3973" s="21">
        <v>45140</v>
      </c>
      <c r="D3973" s="20">
        <v>471.55</v>
      </c>
      <c r="E3973" s="22" t="s">
        <v>10</v>
      </c>
      <c r="F3973" s="22" t="s">
        <v>18</v>
      </c>
      <c r="G3973" s="22" t="s">
        <v>17</v>
      </c>
    </row>
    <row r="3974" ht="15.15" spans="1:7">
      <c r="A3974" s="20">
        <v>3973</v>
      </c>
      <c r="B3974" s="20">
        <v>7454</v>
      </c>
      <c r="C3974" s="21">
        <v>45147</v>
      </c>
      <c r="D3974" s="20">
        <v>3256.47</v>
      </c>
      <c r="E3974" s="22" t="s">
        <v>10</v>
      </c>
      <c r="F3974" s="22" t="s">
        <v>16</v>
      </c>
      <c r="G3974" s="22" t="s">
        <v>17</v>
      </c>
    </row>
    <row r="3975" ht="15.15" spans="1:7">
      <c r="A3975" s="20">
        <v>3974</v>
      </c>
      <c r="B3975" s="20">
        <v>6758</v>
      </c>
      <c r="C3975" s="21">
        <v>45269</v>
      </c>
      <c r="D3975" s="20">
        <v>1300.97</v>
      </c>
      <c r="E3975" s="22" t="s">
        <v>10</v>
      </c>
      <c r="F3975" s="22" t="s">
        <v>14</v>
      </c>
      <c r="G3975" s="22" t="s">
        <v>12</v>
      </c>
    </row>
    <row r="3976" ht="15.15" spans="1:7">
      <c r="A3976" s="20">
        <v>3975</v>
      </c>
      <c r="B3976" s="20">
        <v>7426</v>
      </c>
      <c r="C3976" s="21">
        <v>45071</v>
      </c>
      <c r="D3976" s="20">
        <v>3034.04</v>
      </c>
      <c r="E3976" s="22" t="s">
        <v>10</v>
      </c>
      <c r="F3976" s="22" t="s">
        <v>11</v>
      </c>
      <c r="G3976" s="22" t="s">
        <v>17</v>
      </c>
    </row>
    <row r="3977" ht="15.15" spans="1:7">
      <c r="A3977" s="20">
        <v>3976</v>
      </c>
      <c r="B3977" s="20">
        <v>7717</v>
      </c>
      <c r="C3977" s="21">
        <v>44987</v>
      </c>
      <c r="D3977" s="20">
        <v>1491.54</v>
      </c>
      <c r="E3977" s="22" t="s">
        <v>10</v>
      </c>
      <c r="F3977" s="22" t="s">
        <v>13</v>
      </c>
      <c r="G3977" s="22" t="s">
        <v>12</v>
      </c>
    </row>
    <row r="3978" ht="15.15" spans="1:7">
      <c r="A3978" s="20">
        <v>3977</v>
      </c>
      <c r="B3978" s="20">
        <v>3939</v>
      </c>
      <c r="C3978" s="21">
        <v>45212</v>
      </c>
      <c r="D3978" s="20">
        <v>530.8</v>
      </c>
      <c r="E3978" s="22" t="s">
        <v>10</v>
      </c>
      <c r="F3978" s="22" t="s">
        <v>14</v>
      </c>
      <c r="G3978" s="22" t="s">
        <v>20</v>
      </c>
    </row>
    <row r="3979" ht="15.15" spans="1:7">
      <c r="A3979" s="20">
        <v>3978</v>
      </c>
      <c r="B3979" s="20">
        <v>8907</v>
      </c>
      <c r="C3979" s="21">
        <v>45045</v>
      </c>
      <c r="D3979" s="20">
        <v>2453.04</v>
      </c>
      <c r="E3979" s="22" t="s">
        <v>21</v>
      </c>
      <c r="F3979" s="22" t="s">
        <v>11</v>
      </c>
      <c r="G3979" s="22" t="s">
        <v>17</v>
      </c>
    </row>
    <row r="3980" ht="15.15" spans="1:7">
      <c r="A3980" s="20">
        <v>3979</v>
      </c>
      <c r="B3980" s="20">
        <v>7165</v>
      </c>
      <c r="C3980" s="21">
        <v>45286</v>
      </c>
      <c r="D3980" s="20">
        <v>948.86</v>
      </c>
      <c r="E3980" s="22" t="s">
        <v>10</v>
      </c>
      <c r="F3980" s="22" t="s">
        <v>14</v>
      </c>
      <c r="G3980" s="22" t="s">
        <v>12</v>
      </c>
    </row>
    <row r="3981" ht="15.15" spans="1:7">
      <c r="A3981" s="20">
        <v>3980</v>
      </c>
      <c r="B3981" s="20">
        <v>3078</v>
      </c>
      <c r="C3981" s="21">
        <v>45058</v>
      </c>
      <c r="D3981" s="20">
        <v>3733.87</v>
      </c>
      <c r="E3981" s="22" t="s">
        <v>10</v>
      </c>
      <c r="F3981" s="22" t="s">
        <v>18</v>
      </c>
      <c r="G3981" s="22" t="s">
        <v>20</v>
      </c>
    </row>
    <row r="3982" ht="15.15" spans="1:7">
      <c r="A3982" s="20">
        <v>3981</v>
      </c>
      <c r="B3982" s="20">
        <v>8647</v>
      </c>
      <c r="C3982" s="21">
        <v>45235</v>
      </c>
      <c r="D3982" s="20">
        <v>1216.93</v>
      </c>
      <c r="E3982" s="22" t="s">
        <v>10</v>
      </c>
      <c r="F3982" s="22" t="s">
        <v>16</v>
      </c>
      <c r="G3982" s="22" t="s">
        <v>15</v>
      </c>
    </row>
    <row r="3983" ht="15.15" spans="1:7">
      <c r="A3983" s="20">
        <v>3982</v>
      </c>
      <c r="B3983" s="20">
        <v>9054</v>
      </c>
      <c r="C3983" s="21">
        <v>45190</v>
      </c>
      <c r="D3983" s="20">
        <v>200.91</v>
      </c>
      <c r="E3983" s="22" t="s">
        <v>10</v>
      </c>
      <c r="F3983" s="22" t="s">
        <v>18</v>
      </c>
      <c r="G3983" s="22" t="s">
        <v>20</v>
      </c>
    </row>
    <row r="3984" ht="15.15" spans="1:7">
      <c r="A3984" s="20">
        <v>3983</v>
      </c>
      <c r="B3984" s="20">
        <v>2146</v>
      </c>
      <c r="C3984" s="21">
        <v>45081</v>
      </c>
      <c r="D3984" s="20">
        <v>2816.81</v>
      </c>
      <c r="E3984" s="22" t="s">
        <v>10</v>
      </c>
      <c r="F3984" s="22" t="s">
        <v>13</v>
      </c>
      <c r="G3984" s="22" t="s">
        <v>15</v>
      </c>
    </row>
    <row r="3985" ht="15.15" spans="1:7">
      <c r="A3985" s="20">
        <v>3984</v>
      </c>
      <c r="B3985" s="20">
        <v>4751</v>
      </c>
      <c r="C3985" s="21">
        <v>45255</v>
      </c>
      <c r="D3985" s="20">
        <v>1836.52</v>
      </c>
      <c r="E3985" s="22" t="s">
        <v>10</v>
      </c>
      <c r="F3985" s="22" t="s">
        <v>11</v>
      </c>
      <c r="G3985" s="22" t="s">
        <v>12</v>
      </c>
    </row>
    <row r="3986" ht="15.15" spans="1:7">
      <c r="A3986" s="20">
        <v>3985</v>
      </c>
      <c r="B3986" s="20">
        <v>5283</v>
      </c>
      <c r="C3986" s="21">
        <v>45213</v>
      </c>
      <c r="D3986" s="20">
        <v>819.79</v>
      </c>
      <c r="E3986" s="22" t="s">
        <v>10</v>
      </c>
      <c r="F3986" s="22" t="s">
        <v>18</v>
      </c>
      <c r="G3986" s="22" t="s">
        <v>17</v>
      </c>
    </row>
    <row r="3987" ht="15.15" spans="1:7">
      <c r="A3987" s="20">
        <v>3986</v>
      </c>
      <c r="B3987" s="20">
        <v>5240</v>
      </c>
      <c r="C3987" s="21">
        <v>45173</v>
      </c>
      <c r="D3987" s="20">
        <v>996.68</v>
      </c>
      <c r="E3987" s="22" t="s">
        <v>10</v>
      </c>
      <c r="F3987" s="22" t="s">
        <v>11</v>
      </c>
      <c r="G3987" s="22" t="s">
        <v>17</v>
      </c>
    </row>
    <row r="3988" ht="15.15" spans="1:7">
      <c r="A3988" s="20">
        <v>3987</v>
      </c>
      <c r="B3988" s="20">
        <v>3069</v>
      </c>
      <c r="C3988" s="21">
        <v>45051</v>
      </c>
      <c r="D3988" s="20">
        <v>1777.25</v>
      </c>
      <c r="E3988" s="22" t="s">
        <v>10</v>
      </c>
      <c r="F3988" s="22" t="s">
        <v>16</v>
      </c>
      <c r="G3988" s="22" t="s">
        <v>20</v>
      </c>
    </row>
    <row r="3989" ht="15.15" spans="1:7">
      <c r="A3989" s="20">
        <v>3988</v>
      </c>
      <c r="B3989" s="20">
        <v>2483</v>
      </c>
      <c r="C3989" s="21">
        <v>44941</v>
      </c>
      <c r="D3989" s="20">
        <v>496.71</v>
      </c>
      <c r="E3989" s="22" t="s">
        <v>10</v>
      </c>
      <c r="F3989" s="22" t="s">
        <v>11</v>
      </c>
      <c r="G3989" s="22" t="s">
        <v>15</v>
      </c>
    </row>
    <row r="3990" ht="15.15" spans="1:7">
      <c r="A3990" s="20">
        <v>3989</v>
      </c>
      <c r="B3990" s="20">
        <v>7194</v>
      </c>
      <c r="C3990" s="21">
        <v>45233</v>
      </c>
      <c r="D3990" s="20">
        <v>4295.39</v>
      </c>
      <c r="E3990" s="22" t="s">
        <v>10</v>
      </c>
      <c r="F3990" s="22" t="s">
        <v>11</v>
      </c>
      <c r="G3990" s="22" t="s">
        <v>15</v>
      </c>
    </row>
    <row r="3991" ht="15.15" spans="1:7">
      <c r="A3991" s="20">
        <v>3990</v>
      </c>
      <c r="B3991" s="20">
        <v>8072</v>
      </c>
      <c r="C3991" s="21">
        <v>44987</v>
      </c>
      <c r="D3991" s="20">
        <v>2972.47</v>
      </c>
      <c r="E3991" s="22" t="s">
        <v>10</v>
      </c>
      <c r="F3991" s="22" t="s">
        <v>13</v>
      </c>
      <c r="G3991" s="22" t="s">
        <v>15</v>
      </c>
    </row>
    <row r="3992" ht="15.15" spans="1:7">
      <c r="A3992" s="20">
        <v>3991</v>
      </c>
      <c r="B3992" s="20">
        <v>1312</v>
      </c>
      <c r="C3992" s="21">
        <v>44967</v>
      </c>
      <c r="D3992" s="20">
        <v>284.14</v>
      </c>
      <c r="E3992" s="22" t="s">
        <v>10</v>
      </c>
      <c r="F3992" s="22" t="s">
        <v>13</v>
      </c>
      <c r="G3992" s="22" t="s">
        <v>20</v>
      </c>
    </row>
    <row r="3993" ht="15.15" spans="1:7">
      <c r="A3993" s="20">
        <v>3992</v>
      </c>
      <c r="B3993" s="20">
        <v>5846</v>
      </c>
      <c r="C3993" s="21">
        <v>45128</v>
      </c>
      <c r="D3993" s="20">
        <v>1356.78</v>
      </c>
      <c r="E3993" s="22" t="s">
        <v>10</v>
      </c>
      <c r="F3993" s="22" t="s">
        <v>11</v>
      </c>
      <c r="G3993" s="22" t="s">
        <v>17</v>
      </c>
    </row>
    <row r="3994" ht="15.15" spans="1:7">
      <c r="A3994" s="20">
        <v>3993</v>
      </c>
      <c r="B3994" s="20">
        <v>5092</v>
      </c>
      <c r="C3994" s="21">
        <v>45271</v>
      </c>
      <c r="D3994" s="20">
        <v>1058.57</v>
      </c>
      <c r="E3994" s="22" t="s">
        <v>10</v>
      </c>
      <c r="F3994" s="22" t="s">
        <v>18</v>
      </c>
      <c r="G3994" s="22" t="s">
        <v>15</v>
      </c>
    </row>
    <row r="3995" ht="15.15" spans="1:7">
      <c r="A3995" s="20">
        <v>3994</v>
      </c>
      <c r="B3995" s="20">
        <v>8336</v>
      </c>
      <c r="C3995" s="21">
        <v>45276</v>
      </c>
      <c r="D3995" s="20">
        <v>918.24</v>
      </c>
      <c r="E3995" s="22" t="s">
        <v>10</v>
      </c>
      <c r="F3995" s="22" t="s">
        <v>13</v>
      </c>
      <c r="G3995" s="22" t="s">
        <v>12</v>
      </c>
    </row>
    <row r="3996" ht="15.15" spans="1:7">
      <c r="A3996" s="20">
        <v>3995</v>
      </c>
      <c r="B3996" s="20">
        <v>2640</v>
      </c>
      <c r="C3996" s="21">
        <v>45265</v>
      </c>
      <c r="D3996" s="20">
        <v>678.12</v>
      </c>
      <c r="E3996" s="22" t="s">
        <v>10</v>
      </c>
      <c r="F3996" s="22" t="s">
        <v>13</v>
      </c>
      <c r="G3996" s="22" t="s">
        <v>15</v>
      </c>
    </row>
    <row r="3997" ht="15.15" spans="1:7">
      <c r="A3997" s="20">
        <v>3996</v>
      </c>
      <c r="B3997" s="20">
        <v>3439</v>
      </c>
      <c r="C3997" s="21">
        <v>45103</v>
      </c>
      <c r="D3997" s="20">
        <v>2482.26</v>
      </c>
      <c r="E3997" s="22" t="s">
        <v>22</v>
      </c>
      <c r="F3997" s="22" t="s">
        <v>13</v>
      </c>
      <c r="G3997" s="22" t="s">
        <v>12</v>
      </c>
    </row>
    <row r="3998" ht="15.15" spans="1:7">
      <c r="A3998" s="20">
        <v>3997</v>
      </c>
      <c r="B3998" s="20">
        <v>6319</v>
      </c>
      <c r="C3998" s="21">
        <v>45214</v>
      </c>
      <c r="D3998" s="20">
        <v>641.9</v>
      </c>
      <c r="E3998" s="22" t="s">
        <v>10</v>
      </c>
      <c r="F3998" s="22" t="s">
        <v>14</v>
      </c>
      <c r="G3998" s="22" t="s">
        <v>17</v>
      </c>
    </row>
    <row r="3999" ht="15.15" spans="1:7">
      <c r="A3999" s="20">
        <v>3998</v>
      </c>
      <c r="B3999" s="20">
        <v>86</v>
      </c>
      <c r="C3999" s="21">
        <v>45120</v>
      </c>
      <c r="D3999" s="20">
        <v>340.18</v>
      </c>
      <c r="E3999" s="22" t="s">
        <v>10</v>
      </c>
      <c r="F3999" s="22" t="s">
        <v>18</v>
      </c>
      <c r="G3999" s="22" t="s">
        <v>12</v>
      </c>
    </row>
    <row r="4000" ht="15.15" spans="1:7">
      <c r="A4000" s="20">
        <v>3999</v>
      </c>
      <c r="B4000" s="20">
        <v>4669</v>
      </c>
      <c r="C4000" s="21">
        <v>45233</v>
      </c>
      <c r="D4000" s="20">
        <v>112.48</v>
      </c>
      <c r="E4000" s="22" t="s">
        <v>10</v>
      </c>
      <c r="F4000" s="22" t="s">
        <v>18</v>
      </c>
      <c r="G4000" s="22" t="s">
        <v>12</v>
      </c>
    </row>
    <row r="4001" ht="15.15" spans="1:7">
      <c r="A4001" s="20">
        <v>4000</v>
      </c>
      <c r="B4001" s="20">
        <v>1316</v>
      </c>
      <c r="C4001" s="21">
        <v>45004</v>
      </c>
      <c r="D4001" s="20">
        <v>3445.74</v>
      </c>
      <c r="E4001" s="22" t="s">
        <v>10</v>
      </c>
      <c r="F4001" s="22" t="s">
        <v>14</v>
      </c>
      <c r="G4001" s="22" t="s">
        <v>20</v>
      </c>
    </row>
    <row r="4002" ht="15.15" spans="1:7">
      <c r="A4002" s="20">
        <v>4001</v>
      </c>
      <c r="B4002" s="20">
        <v>8941</v>
      </c>
      <c r="C4002" s="21">
        <v>45219</v>
      </c>
      <c r="D4002" s="20">
        <v>2959.71</v>
      </c>
      <c r="E4002" s="22" t="s">
        <v>10</v>
      </c>
      <c r="F4002" s="22" t="s">
        <v>13</v>
      </c>
      <c r="G4002" s="22" t="s">
        <v>20</v>
      </c>
    </row>
    <row r="4003" ht="15.15" spans="1:7">
      <c r="A4003" s="20">
        <v>4002</v>
      </c>
      <c r="B4003" s="20">
        <v>1030</v>
      </c>
      <c r="C4003" s="21">
        <v>45224</v>
      </c>
      <c r="D4003" s="20">
        <v>189.69</v>
      </c>
      <c r="E4003" s="22" t="s">
        <v>10</v>
      </c>
      <c r="F4003" s="22" t="s">
        <v>13</v>
      </c>
      <c r="G4003" s="22" t="s">
        <v>12</v>
      </c>
    </row>
    <row r="4004" ht="15.15" spans="1:7">
      <c r="A4004" s="20">
        <v>4003</v>
      </c>
      <c r="B4004" s="20">
        <v>5177</v>
      </c>
      <c r="C4004" s="21">
        <v>45052</v>
      </c>
      <c r="D4004" s="20">
        <v>1146.95</v>
      </c>
      <c r="E4004" s="22" t="s">
        <v>10</v>
      </c>
      <c r="F4004" s="22" t="s">
        <v>19</v>
      </c>
      <c r="G4004" s="22" t="s">
        <v>20</v>
      </c>
    </row>
    <row r="4005" ht="15.15" spans="1:7">
      <c r="A4005" s="20">
        <v>4004</v>
      </c>
      <c r="B4005" s="20">
        <v>2854</v>
      </c>
      <c r="C4005" s="21">
        <v>45113</v>
      </c>
      <c r="D4005" s="20">
        <v>3341.48</v>
      </c>
      <c r="E4005" s="22" t="s">
        <v>10</v>
      </c>
      <c r="F4005" s="22" t="s">
        <v>14</v>
      </c>
      <c r="G4005" s="22" t="s">
        <v>12</v>
      </c>
    </row>
    <row r="4006" ht="15.15" spans="1:7">
      <c r="A4006" s="20">
        <v>4005</v>
      </c>
      <c r="B4006" s="20">
        <v>1501</v>
      </c>
      <c r="C4006" s="21">
        <v>45111</v>
      </c>
      <c r="D4006" s="20">
        <v>1239.07</v>
      </c>
      <c r="E4006" s="22" t="s">
        <v>10</v>
      </c>
      <c r="F4006" s="22" t="s">
        <v>18</v>
      </c>
      <c r="G4006" s="22" t="s">
        <v>20</v>
      </c>
    </row>
    <row r="4007" ht="15.15" spans="1:7">
      <c r="A4007" s="20">
        <v>4006</v>
      </c>
      <c r="B4007" s="20">
        <v>8277</v>
      </c>
      <c r="C4007" s="21">
        <v>44969</v>
      </c>
      <c r="D4007" s="20">
        <v>699.02</v>
      </c>
      <c r="E4007" s="22" t="s">
        <v>10</v>
      </c>
      <c r="F4007" s="22" t="s">
        <v>13</v>
      </c>
      <c r="G4007" s="22" t="s">
        <v>17</v>
      </c>
    </row>
    <row r="4008" ht="15.15" spans="1:7">
      <c r="A4008" s="20">
        <v>4007</v>
      </c>
      <c r="B4008" s="20">
        <v>9623</v>
      </c>
      <c r="C4008" s="21">
        <v>45261</v>
      </c>
      <c r="D4008" s="20">
        <v>1631.91</v>
      </c>
      <c r="E4008" s="22" t="s">
        <v>10</v>
      </c>
      <c r="F4008" s="22" t="s">
        <v>11</v>
      </c>
      <c r="G4008" s="22" t="s">
        <v>15</v>
      </c>
    </row>
    <row r="4009" ht="15.15" spans="1:7">
      <c r="A4009" s="20">
        <v>4008</v>
      </c>
      <c r="B4009" s="20">
        <v>7297</v>
      </c>
      <c r="C4009" s="21">
        <v>45057</v>
      </c>
      <c r="D4009" s="20">
        <v>952.01</v>
      </c>
      <c r="E4009" s="22" t="s">
        <v>10</v>
      </c>
      <c r="F4009" s="22" t="s">
        <v>16</v>
      </c>
      <c r="G4009" s="22" t="s">
        <v>15</v>
      </c>
    </row>
    <row r="4010" ht="15.15" spans="1:7">
      <c r="A4010" s="20">
        <v>4009</v>
      </c>
      <c r="B4010" s="20">
        <v>1341</v>
      </c>
      <c r="C4010" s="21">
        <v>45288</v>
      </c>
      <c r="D4010" s="20">
        <v>1422.76</v>
      </c>
      <c r="E4010" s="22" t="s">
        <v>10</v>
      </c>
      <c r="F4010" s="22" t="s">
        <v>16</v>
      </c>
      <c r="G4010" s="22" t="s">
        <v>17</v>
      </c>
    </row>
    <row r="4011" ht="15.15" spans="1:7">
      <c r="A4011" s="20">
        <v>4010</v>
      </c>
      <c r="B4011" s="20">
        <v>8425</v>
      </c>
      <c r="C4011" s="21">
        <v>44990</v>
      </c>
      <c r="D4011" s="20">
        <v>266.31</v>
      </c>
      <c r="E4011" s="22" t="s">
        <v>10</v>
      </c>
      <c r="F4011" s="22" t="s">
        <v>18</v>
      </c>
      <c r="G4011" s="22" t="s">
        <v>12</v>
      </c>
    </row>
    <row r="4012" ht="15.15" spans="1:7">
      <c r="A4012" s="20">
        <v>4011</v>
      </c>
      <c r="B4012" s="20">
        <v>9743</v>
      </c>
      <c r="C4012" s="21">
        <v>44973</v>
      </c>
      <c r="D4012" s="20">
        <v>1099.16</v>
      </c>
      <c r="E4012" s="22" t="s">
        <v>10</v>
      </c>
      <c r="F4012" s="22" t="s">
        <v>11</v>
      </c>
      <c r="G4012" s="22" t="s">
        <v>17</v>
      </c>
    </row>
    <row r="4013" ht="15.15" spans="1:7">
      <c r="A4013" s="20">
        <v>4012</v>
      </c>
      <c r="B4013" s="20">
        <v>4451</v>
      </c>
      <c r="C4013" s="21">
        <v>45023</v>
      </c>
      <c r="D4013" s="20">
        <v>876.81</v>
      </c>
      <c r="E4013" s="22" t="s">
        <v>10</v>
      </c>
      <c r="F4013" s="22" t="s">
        <v>14</v>
      </c>
      <c r="G4013" s="22" t="s">
        <v>20</v>
      </c>
    </row>
    <row r="4014" ht="15.15" spans="1:7">
      <c r="A4014" s="20">
        <v>4013</v>
      </c>
      <c r="B4014" s="20">
        <v>1160</v>
      </c>
      <c r="C4014" s="21">
        <v>45249</v>
      </c>
      <c r="D4014" s="20">
        <v>1374.61</v>
      </c>
      <c r="E4014" s="22" t="s">
        <v>10</v>
      </c>
      <c r="F4014" s="22" t="s">
        <v>13</v>
      </c>
      <c r="G4014" s="22" t="s">
        <v>12</v>
      </c>
    </row>
    <row r="4015" ht="15.15" spans="1:7">
      <c r="A4015" s="20">
        <v>4014</v>
      </c>
      <c r="B4015" s="20">
        <v>8991</v>
      </c>
      <c r="C4015" s="21">
        <v>45072</v>
      </c>
      <c r="D4015" s="20">
        <v>1532.85</v>
      </c>
      <c r="E4015" s="22" t="s">
        <v>10</v>
      </c>
      <c r="F4015" s="22" t="s">
        <v>16</v>
      </c>
      <c r="G4015" s="22" t="s">
        <v>12</v>
      </c>
    </row>
    <row r="4016" ht="15.15" spans="1:7">
      <c r="A4016" s="20">
        <v>4015</v>
      </c>
      <c r="B4016" s="20">
        <v>6422</v>
      </c>
      <c r="C4016" s="21">
        <v>45041</v>
      </c>
      <c r="D4016" s="20">
        <v>1351.19</v>
      </c>
      <c r="E4016" s="22" t="s">
        <v>10</v>
      </c>
      <c r="F4016" s="22" t="s">
        <v>14</v>
      </c>
      <c r="G4016" s="22" t="s">
        <v>20</v>
      </c>
    </row>
    <row r="4017" ht="15.15" spans="1:7">
      <c r="A4017" s="20">
        <v>4016</v>
      </c>
      <c r="B4017" s="20">
        <v>5643</v>
      </c>
      <c r="C4017" s="21">
        <v>45093</v>
      </c>
      <c r="D4017" s="20">
        <v>719.27</v>
      </c>
      <c r="E4017" s="22" t="s">
        <v>10</v>
      </c>
      <c r="F4017" s="22" t="s">
        <v>11</v>
      </c>
      <c r="G4017" s="22" t="s">
        <v>17</v>
      </c>
    </row>
    <row r="4018" ht="15.15" spans="1:7">
      <c r="A4018" s="20">
        <v>4017</v>
      </c>
      <c r="B4018" s="20">
        <v>9469</v>
      </c>
      <c r="C4018" s="21">
        <v>45197</v>
      </c>
      <c r="D4018" s="20">
        <v>972.84</v>
      </c>
      <c r="E4018" s="22" t="s">
        <v>10</v>
      </c>
      <c r="F4018" s="22" t="s">
        <v>11</v>
      </c>
      <c r="G4018" s="22" t="s">
        <v>12</v>
      </c>
    </row>
    <row r="4019" ht="15.15" spans="1:7">
      <c r="A4019" s="20">
        <v>4018</v>
      </c>
      <c r="B4019" s="20">
        <v>1975</v>
      </c>
      <c r="C4019" s="21">
        <v>44959</v>
      </c>
      <c r="D4019" s="20">
        <v>628.59</v>
      </c>
      <c r="E4019" s="22" t="s">
        <v>10</v>
      </c>
      <c r="F4019" s="22" t="s">
        <v>18</v>
      </c>
      <c r="G4019" s="22" t="s">
        <v>17</v>
      </c>
    </row>
    <row r="4020" ht="15.15" spans="1:7">
      <c r="A4020" s="20">
        <v>4019</v>
      </c>
      <c r="B4020" s="20">
        <v>2145</v>
      </c>
      <c r="C4020" s="21">
        <v>45186</v>
      </c>
      <c r="D4020" s="20">
        <v>1339.05</v>
      </c>
      <c r="E4020" s="22" t="s">
        <v>10</v>
      </c>
      <c r="F4020" s="22" t="s">
        <v>16</v>
      </c>
      <c r="G4020" s="22" t="s">
        <v>15</v>
      </c>
    </row>
    <row r="4021" ht="15.15" spans="1:7">
      <c r="A4021" s="20">
        <v>4020</v>
      </c>
      <c r="B4021" s="20">
        <v>7822</v>
      </c>
      <c r="C4021" s="21">
        <v>45114</v>
      </c>
      <c r="D4021" s="20">
        <v>2703.33</v>
      </c>
      <c r="E4021" s="22" t="s">
        <v>10</v>
      </c>
      <c r="F4021" s="22" t="s">
        <v>13</v>
      </c>
      <c r="G4021" s="22" t="s">
        <v>12</v>
      </c>
    </row>
    <row r="4022" ht="15.15" spans="1:7">
      <c r="A4022" s="20">
        <v>4021</v>
      </c>
      <c r="B4022" s="20">
        <v>6969</v>
      </c>
      <c r="C4022" s="21">
        <v>45206</v>
      </c>
      <c r="D4022" s="20">
        <v>965.83</v>
      </c>
      <c r="E4022" s="22" t="s">
        <v>10</v>
      </c>
      <c r="F4022" s="22" t="s">
        <v>18</v>
      </c>
      <c r="G4022" s="22" t="s">
        <v>15</v>
      </c>
    </row>
    <row r="4023" ht="15.15" spans="1:7">
      <c r="A4023" s="20">
        <v>4022</v>
      </c>
      <c r="B4023" s="20">
        <v>8695</v>
      </c>
      <c r="C4023" s="21">
        <v>45140</v>
      </c>
      <c r="D4023" s="20">
        <v>2321.33</v>
      </c>
      <c r="E4023" s="22" t="s">
        <v>10</v>
      </c>
      <c r="F4023" s="22" t="s">
        <v>14</v>
      </c>
      <c r="G4023" s="22" t="s">
        <v>17</v>
      </c>
    </row>
    <row r="4024" ht="15.15" spans="1:7">
      <c r="A4024" s="20">
        <v>4023</v>
      </c>
      <c r="B4024" s="20">
        <v>5384</v>
      </c>
      <c r="C4024" s="21">
        <v>45247</v>
      </c>
      <c r="D4024" s="20">
        <v>1095.62</v>
      </c>
      <c r="E4024" s="22" t="s">
        <v>10</v>
      </c>
      <c r="F4024" s="22" t="s">
        <v>14</v>
      </c>
      <c r="G4024" s="22" t="s">
        <v>20</v>
      </c>
    </row>
    <row r="4025" ht="15.15" spans="1:7">
      <c r="A4025" s="20">
        <v>4024</v>
      </c>
      <c r="B4025" s="20">
        <v>9047</v>
      </c>
      <c r="C4025" s="21">
        <v>44980</v>
      </c>
      <c r="D4025" s="20">
        <v>776.21</v>
      </c>
      <c r="E4025" s="22" t="s">
        <v>10</v>
      </c>
      <c r="F4025" s="22" t="s">
        <v>13</v>
      </c>
      <c r="G4025" s="22" t="s">
        <v>20</v>
      </c>
    </row>
    <row r="4026" ht="15.15" spans="1:7">
      <c r="A4026" s="20">
        <v>4025</v>
      </c>
      <c r="B4026" s="20">
        <v>8860</v>
      </c>
      <c r="C4026" s="21">
        <v>45254</v>
      </c>
      <c r="D4026" s="20">
        <v>442.46</v>
      </c>
      <c r="E4026" s="22" t="s">
        <v>10</v>
      </c>
      <c r="F4026" s="22" t="s">
        <v>18</v>
      </c>
      <c r="G4026" s="22" t="s">
        <v>12</v>
      </c>
    </row>
    <row r="4027" ht="15.15" spans="1:7">
      <c r="A4027" s="20">
        <v>4026</v>
      </c>
      <c r="B4027" s="20">
        <v>8049</v>
      </c>
      <c r="C4027" s="21">
        <v>45023</v>
      </c>
      <c r="D4027" s="20">
        <v>1611.99</v>
      </c>
      <c r="E4027" s="22" t="s">
        <v>10</v>
      </c>
      <c r="F4027" s="22" t="s">
        <v>14</v>
      </c>
      <c r="G4027" s="22" t="s">
        <v>12</v>
      </c>
    </row>
    <row r="4028" ht="15.15" spans="1:7">
      <c r="A4028" s="20">
        <v>4027</v>
      </c>
      <c r="B4028" s="20">
        <v>4403</v>
      </c>
      <c r="C4028" s="21">
        <v>45030</v>
      </c>
      <c r="D4028" s="20">
        <v>2642.89</v>
      </c>
      <c r="E4028" s="22" t="s">
        <v>10</v>
      </c>
      <c r="F4028" s="22" t="s">
        <v>11</v>
      </c>
      <c r="G4028" s="22" t="s">
        <v>20</v>
      </c>
    </row>
    <row r="4029" ht="15.15" spans="1:7">
      <c r="A4029" s="20">
        <v>4028</v>
      </c>
      <c r="B4029" s="20">
        <v>6165</v>
      </c>
      <c r="C4029" s="21">
        <v>45213</v>
      </c>
      <c r="D4029" s="20">
        <v>209.84</v>
      </c>
      <c r="E4029" s="22" t="s">
        <v>10</v>
      </c>
      <c r="F4029" s="22" t="s">
        <v>14</v>
      </c>
      <c r="G4029" s="22" t="s">
        <v>20</v>
      </c>
    </row>
    <row r="4030" ht="15.15" spans="1:7">
      <c r="A4030" s="20">
        <v>4029</v>
      </c>
      <c r="B4030" s="20">
        <v>8100</v>
      </c>
      <c r="C4030" s="21">
        <v>45273</v>
      </c>
      <c r="D4030" s="20">
        <v>4004.41</v>
      </c>
      <c r="E4030" s="22" t="s">
        <v>10</v>
      </c>
      <c r="F4030" s="22" t="s">
        <v>14</v>
      </c>
      <c r="G4030" s="22" t="s">
        <v>15</v>
      </c>
    </row>
    <row r="4031" ht="15.15" spans="1:7">
      <c r="A4031" s="20">
        <v>4030</v>
      </c>
      <c r="B4031" s="20">
        <v>3053</v>
      </c>
      <c r="C4031" s="21">
        <v>45192</v>
      </c>
      <c r="D4031" s="20">
        <v>2664.95</v>
      </c>
      <c r="E4031" s="22" t="s">
        <v>10</v>
      </c>
      <c r="F4031" s="22" t="s">
        <v>11</v>
      </c>
      <c r="G4031" s="22" t="s">
        <v>15</v>
      </c>
    </row>
    <row r="4032" ht="15.15" spans="1:7">
      <c r="A4032" s="20">
        <v>4031</v>
      </c>
      <c r="B4032" s="20">
        <v>9752</v>
      </c>
      <c r="C4032" s="21">
        <v>45132</v>
      </c>
      <c r="D4032" s="20">
        <v>1043.53</v>
      </c>
      <c r="E4032" s="22" t="s">
        <v>10</v>
      </c>
      <c r="F4032" s="22" t="s">
        <v>11</v>
      </c>
      <c r="G4032" s="22" t="s">
        <v>20</v>
      </c>
    </row>
    <row r="4033" ht="15.15" spans="1:7">
      <c r="A4033" s="20">
        <v>4032</v>
      </c>
      <c r="B4033" s="20">
        <v>1129</v>
      </c>
      <c r="C4033" s="21">
        <v>44982</v>
      </c>
      <c r="D4033" s="20">
        <v>1047.07</v>
      </c>
      <c r="E4033" s="22" t="s">
        <v>10</v>
      </c>
      <c r="F4033" s="22" t="s">
        <v>13</v>
      </c>
      <c r="G4033" s="22" t="s">
        <v>17</v>
      </c>
    </row>
    <row r="4034" ht="15.15" spans="1:7">
      <c r="A4034" s="20">
        <v>4033</v>
      </c>
      <c r="B4034" s="20">
        <v>3426</v>
      </c>
      <c r="C4034" s="21">
        <v>45239</v>
      </c>
      <c r="D4034" s="20">
        <v>689.11</v>
      </c>
      <c r="E4034" s="22" t="s">
        <v>10</v>
      </c>
      <c r="F4034" s="22" t="s">
        <v>13</v>
      </c>
      <c r="G4034" s="22" t="s">
        <v>15</v>
      </c>
    </row>
    <row r="4035" ht="15.15" spans="1:7">
      <c r="A4035" s="20">
        <v>4034</v>
      </c>
      <c r="B4035" s="20">
        <v>3426</v>
      </c>
      <c r="C4035" s="21">
        <v>45019</v>
      </c>
      <c r="D4035" s="20">
        <v>2673.23</v>
      </c>
      <c r="E4035" s="22" t="s">
        <v>10</v>
      </c>
      <c r="F4035" s="22" t="s">
        <v>13</v>
      </c>
      <c r="G4035" s="22" t="s">
        <v>12</v>
      </c>
    </row>
    <row r="4036" ht="15.15" spans="1:7">
      <c r="A4036" s="20">
        <v>4035</v>
      </c>
      <c r="B4036" s="20">
        <v>9183</v>
      </c>
      <c r="C4036" s="21">
        <v>44951</v>
      </c>
      <c r="D4036" s="20">
        <v>360.28</v>
      </c>
      <c r="E4036" s="22" t="s">
        <v>10</v>
      </c>
      <c r="F4036" s="22" t="s">
        <v>16</v>
      </c>
      <c r="G4036" s="22" t="s">
        <v>12</v>
      </c>
    </row>
    <row r="4037" ht="15.15" spans="1:7">
      <c r="A4037" s="20">
        <v>4036</v>
      </c>
      <c r="B4037" s="20">
        <v>5162</v>
      </c>
      <c r="C4037" s="21">
        <v>45212</v>
      </c>
      <c r="D4037" s="20">
        <v>323.68</v>
      </c>
      <c r="E4037" s="22" t="s">
        <v>10</v>
      </c>
      <c r="F4037" s="22" t="s">
        <v>13</v>
      </c>
      <c r="G4037" s="22" t="s">
        <v>12</v>
      </c>
    </row>
    <row r="4038" ht="15.15" spans="1:7">
      <c r="A4038" s="20">
        <v>4037</v>
      </c>
      <c r="B4038" s="20">
        <v>1274</v>
      </c>
      <c r="C4038" s="21">
        <v>45283</v>
      </c>
      <c r="D4038" s="20">
        <v>2208.86</v>
      </c>
      <c r="E4038" s="22" t="s">
        <v>21</v>
      </c>
      <c r="F4038" s="22" t="s">
        <v>11</v>
      </c>
      <c r="G4038" s="22" t="s">
        <v>20</v>
      </c>
    </row>
    <row r="4039" ht="15.15" spans="1:7">
      <c r="A4039" s="20">
        <v>4038</v>
      </c>
      <c r="B4039" s="20">
        <v>6691</v>
      </c>
      <c r="C4039" s="21">
        <v>45210</v>
      </c>
      <c r="D4039" s="20">
        <v>462.06</v>
      </c>
      <c r="E4039" s="22" t="s">
        <v>10</v>
      </c>
      <c r="F4039" s="22" t="s">
        <v>16</v>
      </c>
      <c r="G4039" s="22" t="s">
        <v>12</v>
      </c>
    </row>
    <row r="4040" ht="15.15" spans="1:7">
      <c r="A4040" s="20">
        <v>4039</v>
      </c>
      <c r="B4040" s="20">
        <v>7544</v>
      </c>
      <c r="C4040" s="21">
        <v>45029</v>
      </c>
      <c r="D4040" s="20">
        <v>1205.07</v>
      </c>
      <c r="E4040" s="22" t="s">
        <v>10</v>
      </c>
      <c r="F4040" s="22" t="s">
        <v>11</v>
      </c>
      <c r="G4040" s="22" t="s">
        <v>12</v>
      </c>
    </row>
    <row r="4041" ht="15.15" spans="1:7">
      <c r="A4041" s="20">
        <v>4040</v>
      </c>
      <c r="B4041" s="20">
        <v>2647</v>
      </c>
      <c r="C4041" s="21">
        <v>45087</v>
      </c>
      <c r="D4041" s="20">
        <v>486.42</v>
      </c>
      <c r="E4041" s="22" t="s">
        <v>10</v>
      </c>
      <c r="F4041" s="22" t="s">
        <v>11</v>
      </c>
      <c r="G4041" s="22" t="s">
        <v>20</v>
      </c>
    </row>
    <row r="4042" ht="15.15" spans="1:7">
      <c r="A4042" s="20">
        <v>4041</v>
      </c>
      <c r="B4042" s="20">
        <v>2269</v>
      </c>
      <c r="C4042" s="21">
        <v>45264</v>
      </c>
      <c r="D4042" s="20">
        <v>255.08</v>
      </c>
      <c r="E4042" s="22" t="s">
        <v>10</v>
      </c>
      <c r="F4042" s="22" t="s">
        <v>16</v>
      </c>
      <c r="G4042" s="22" t="s">
        <v>20</v>
      </c>
    </row>
    <row r="4043" ht="15.15" spans="1:7">
      <c r="A4043" s="20">
        <v>4042</v>
      </c>
      <c r="B4043" s="20">
        <v>5781</v>
      </c>
      <c r="C4043" s="21">
        <v>45163</v>
      </c>
      <c r="D4043" s="20">
        <v>240.57</v>
      </c>
      <c r="E4043" s="22" t="s">
        <v>10</v>
      </c>
      <c r="F4043" s="22" t="s">
        <v>11</v>
      </c>
      <c r="G4043" s="22" t="s">
        <v>17</v>
      </c>
    </row>
    <row r="4044" ht="15.15" spans="1:7">
      <c r="A4044" s="20">
        <v>4043</v>
      </c>
      <c r="B4044" s="20">
        <v>5815</v>
      </c>
      <c r="C4044" s="21">
        <v>45234</v>
      </c>
      <c r="D4044" s="20">
        <v>1883.98</v>
      </c>
      <c r="E4044" s="22" t="s">
        <v>10</v>
      </c>
      <c r="F4044" s="22" t="s">
        <v>14</v>
      </c>
      <c r="G4044" s="22" t="s">
        <v>15</v>
      </c>
    </row>
    <row r="4045" ht="15.15" spans="1:7">
      <c r="A4045" s="20">
        <v>4044</v>
      </c>
      <c r="B4045" s="20">
        <v>2828</v>
      </c>
      <c r="C4045" s="21">
        <v>45009</v>
      </c>
      <c r="D4045" s="20">
        <v>2336.06</v>
      </c>
      <c r="E4045" s="22" t="s">
        <v>10</v>
      </c>
      <c r="F4045" s="22" t="s">
        <v>18</v>
      </c>
      <c r="G4045" s="22" t="s">
        <v>15</v>
      </c>
    </row>
    <row r="4046" ht="15.15" spans="1:7">
      <c r="A4046" s="20">
        <v>4045</v>
      </c>
      <c r="B4046" s="20">
        <v>8781</v>
      </c>
      <c r="C4046" s="21">
        <v>45000</v>
      </c>
      <c r="D4046" s="20">
        <v>691.55</v>
      </c>
      <c r="E4046" s="22" t="s">
        <v>10</v>
      </c>
      <c r="F4046" s="22" t="s">
        <v>13</v>
      </c>
      <c r="G4046" s="22" t="s">
        <v>17</v>
      </c>
    </row>
    <row r="4047" ht="15.15" spans="1:7">
      <c r="A4047" s="20">
        <v>4046</v>
      </c>
      <c r="B4047" s="20">
        <v>6591</v>
      </c>
      <c r="C4047" s="21">
        <v>45277</v>
      </c>
      <c r="D4047" s="20">
        <v>1300.14</v>
      </c>
      <c r="E4047" s="22" t="s">
        <v>10</v>
      </c>
      <c r="F4047" s="22" t="s">
        <v>19</v>
      </c>
      <c r="G4047" s="22" t="s">
        <v>17</v>
      </c>
    </row>
    <row r="4048" ht="15.15" spans="1:7">
      <c r="A4048" s="20">
        <v>4047</v>
      </c>
      <c r="B4048" s="20">
        <v>7360</v>
      </c>
      <c r="C4048" s="21">
        <v>45177</v>
      </c>
      <c r="D4048" s="20">
        <v>1995.72</v>
      </c>
      <c r="E4048" s="22" t="s">
        <v>10</v>
      </c>
      <c r="F4048" s="22" t="s">
        <v>13</v>
      </c>
      <c r="G4048" s="22" t="s">
        <v>20</v>
      </c>
    </row>
    <row r="4049" ht="15.15" spans="1:7">
      <c r="A4049" s="20">
        <v>4048</v>
      </c>
      <c r="B4049" s="20">
        <v>5336</v>
      </c>
      <c r="C4049" s="21">
        <v>45284</v>
      </c>
      <c r="D4049" s="20">
        <v>266.31</v>
      </c>
      <c r="E4049" s="22" t="s">
        <v>10</v>
      </c>
      <c r="F4049" s="22" t="s">
        <v>11</v>
      </c>
      <c r="G4049" s="22" t="s">
        <v>12</v>
      </c>
    </row>
    <row r="4050" ht="15.15" spans="1:7">
      <c r="A4050" s="20">
        <v>4049</v>
      </c>
      <c r="B4050" s="20">
        <v>8373</v>
      </c>
      <c r="C4050" s="21">
        <v>45048</v>
      </c>
      <c r="D4050" s="20">
        <v>1629.76</v>
      </c>
      <c r="E4050" s="22" t="s">
        <v>10</v>
      </c>
      <c r="F4050" s="22" t="s">
        <v>16</v>
      </c>
      <c r="G4050" s="22" t="s">
        <v>15</v>
      </c>
    </row>
    <row r="4051" ht="15.15" spans="1:7">
      <c r="A4051" s="20">
        <v>4050</v>
      </c>
      <c r="B4051" s="20">
        <v>4284</v>
      </c>
      <c r="C4051" s="21">
        <v>45272</v>
      </c>
      <c r="D4051" s="20">
        <v>1575.79</v>
      </c>
      <c r="E4051" s="22" t="s">
        <v>10</v>
      </c>
      <c r="F4051" s="22" t="s">
        <v>13</v>
      </c>
      <c r="G4051" s="22" t="s">
        <v>12</v>
      </c>
    </row>
    <row r="4052" ht="15.15" spans="1:7">
      <c r="A4052" s="20">
        <v>4051</v>
      </c>
      <c r="B4052" s="20">
        <v>5880</v>
      </c>
      <c r="C4052" s="21">
        <v>44966</v>
      </c>
      <c r="D4052" s="20">
        <v>366.68</v>
      </c>
      <c r="E4052" s="22" t="s">
        <v>22</v>
      </c>
      <c r="F4052" s="22" t="s">
        <v>16</v>
      </c>
      <c r="G4052" s="22" t="s">
        <v>15</v>
      </c>
    </row>
    <row r="4053" ht="15.15" spans="1:7">
      <c r="A4053" s="20">
        <v>4052</v>
      </c>
      <c r="B4053" s="20">
        <v>487</v>
      </c>
      <c r="C4053" s="21">
        <v>45178</v>
      </c>
      <c r="D4053" s="20">
        <v>485.49</v>
      </c>
      <c r="E4053" s="22" t="s">
        <v>10</v>
      </c>
      <c r="F4053" s="22" t="s">
        <v>19</v>
      </c>
      <c r="G4053" s="22" t="s">
        <v>15</v>
      </c>
    </row>
    <row r="4054" ht="15.15" spans="1:7">
      <c r="A4054" s="20">
        <v>4053</v>
      </c>
      <c r="B4054" s="20">
        <v>9301</v>
      </c>
      <c r="C4054" s="21">
        <v>44932</v>
      </c>
      <c r="D4054" s="20">
        <v>395.52</v>
      </c>
      <c r="E4054" s="22" t="s">
        <v>22</v>
      </c>
      <c r="F4054" s="22" t="s">
        <v>16</v>
      </c>
      <c r="G4054" s="22" t="s">
        <v>20</v>
      </c>
    </row>
    <row r="4055" ht="15.15" spans="1:7">
      <c r="A4055" s="20">
        <v>4054</v>
      </c>
      <c r="B4055" s="20">
        <v>6369</v>
      </c>
      <c r="C4055" s="21">
        <v>45204</v>
      </c>
      <c r="D4055" s="20">
        <v>159.37</v>
      </c>
      <c r="E4055" s="22" t="s">
        <v>10</v>
      </c>
      <c r="F4055" s="22" t="s">
        <v>16</v>
      </c>
      <c r="G4055" s="22" t="s">
        <v>12</v>
      </c>
    </row>
    <row r="4056" ht="15.15" spans="1:7">
      <c r="A4056" s="20">
        <v>4055</v>
      </c>
      <c r="B4056" s="20">
        <v>7218</v>
      </c>
      <c r="C4056" s="21">
        <v>45143</v>
      </c>
      <c r="D4056" s="20">
        <v>1090.92</v>
      </c>
      <c r="E4056" s="22" t="s">
        <v>10</v>
      </c>
      <c r="F4056" s="22" t="s">
        <v>11</v>
      </c>
      <c r="G4056" s="22" t="s">
        <v>12</v>
      </c>
    </row>
    <row r="4057" ht="15.15" spans="1:7">
      <c r="A4057" s="20">
        <v>4056</v>
      </c>
      <c r="B4057" s="20">
        <v>2579</v>
      </c>
      <c r="C4057" s="21">
        <v>45002</v>
      </c>
      <c r="D4057" s="20">
        <v>1539.2</v>
      </c>
      <c r="E4057" s="22" t="s">
        <v>10</v>
      </c>
      <c r="F4057" s="22" t="s">
        <v>18</v>
      </c>
      <c r="G4057" s="22" t="s">
        <v>17</v>
      </c>
    </row>
    <row r="4058" ht="15.15" spans="1:7">
      <c r="A4058" s="20">
        <v>4057</v>
      </c>
      <c r="B4058" s="20">
        <v>8292</v>
      </c>
      <c r="C4058" s="21">
        <v>45027</v>
      </c>
      <c r="D4058" s="20">
        <v>1952.94</v>
      </c>
      <c r="E4058" s="22" t="s">
        <v>10</v>
      </c>
      <c r="F4058" s="22" t="s">
        <v>18</v>
      </c>
      <c r="G4058" s="22" t="s">
        <v>17</v>
      </c>
    </row>
    <row r="4059" ht="15.15" spans="1:7">
      <c r="A4059" s="20">
        <v>4058</v>
      </c>
      <c r="B4059" s="20">
        <v>2295</v>
      </c>
      <c r="C4059" s="21">
        <v>45290</v>
      </c>
      <c r="D4059" s="20">
        <v>3219.11</v>
      </c>
      <c r="E4059" s="22" t="s">
        <v>21</v>
      </c>
      <c r="F4059" s="22" t="s">
        <v>11</v>
      </c>
      <c r="G4059" s="22" t="s">
        <v>20</v>
      </c>
    </row>
    <row r="4060" ht="15.15" spans="1:7">
      <c r="A4060" s="20">
        <v>4059</v>
      </c>
      <c r="B4060" s="20">
        <v>846</v>
      </c>
      <c r="C4060" s="21">
        <v>45162</v>
      </c>
      <c r="D4060" s="20">
        <v>2675.33</v>
      </c>
      <c r="E4060" s="22" t="s">
        <v>10</v>
      </c>
      <c r="F4060" s="22" t="s">
        <v>16</v>
      </c>
      <c r="G4060" s="22" t="s">
        <v>15</v>
      </c>
    </row>
    <row r="4061" ht="15.15" spans="1:7">
      <c r="A4061" s="20">
        <v>4060</v>
      </c>
      <c r="B4061" s="20">
        <v>4402</v>
      </c>
      <c r="C4061" s="21">
        <v>45203</v>
      </c>
      <c r="D4061" s="20">
        <v>1240.94</v>
      </c>
      <c r="E4061" s="22" t="s">
        <v>10</v>
      </c>
      <c r="F4061" s="22" t="s">
        <v>16</v>
      </c>
      <c r="G4061" s="22" t="s">
        <v>17</v>
      </c>
    </row>
    <row r="4062" ht="15.15" spans="1:7">
      <c r="A4062" s="20">
        <v>4061</v>
      </c>
      <c r="B4062" s="20">
        <v>229</v>
      </c>
      <c r="C4062" s="21">
        <v>45074</v>
      </c>
      <c r="D4062" s="20">
        <v>702.39</v>
      </c>
      <c r="E4062" s="22" t="s">
        <v>10</v>
      </c>
      <c r="F4062" s="22" t="s">
        <v>18</v>
      </c>
      <c r="G4062" s="22" t="s">
        <v>12</v>
      </c>
    </row>
    <row r="4063" ht="15.15" spans="1:7">
      <c r="A4063" s="20">
        <v>4062</v>
      </c>
      <c r="B4063" s="20">
        <v>5993</v>
      </c>
      <c r="C4063" s="21">
        <v>45117</v>
      </c>
      <c r="D4063" s="20">
        <v>570.83</v>
      </c>
      <c r="E4063" s="22" t="s">
        <v>10</v>
      </c>
      <c r="F4063" s="22" t="s">
        <v>11</v>
      </c>
      <c r="G4063" s="22" t="s">
        <v>20</v>
      </c>
    </row>
    <row r="4064" ht="15.15" spans="1:7">
      <c r="A4064" s="20">
        <v>4063</v>
      </c>
      <c r="B4064" s="20">
        <v>839</v>
      </c>
      <c r="C4064" s="21">
        <v>45222</v>
      </c>
      <c r="D4064" s="20">
        <v>735.1</v>
      </c>
      <c r="E4064" s="22" t="s">
        <v>10</v>
      </c>
      <c r="F4064" s="22" t="s">
        <v>16</v>
      </c>
      <c r="G4064" s="22" t="s">
        <v>12</v>
      </c>
    </row>
    <row r="4065" ht="15.15" spans="1:7">
      <c r="A4065" s="20">
        <v>4064</v>
      </c>
      <c r="B4065" s="20">
        <v>5771</v>
      </c>
      <c r="C4065" s="21">
        <v>45058</v>
      </c>
      <c r="D4065" s="20">
        <v>1056.52</v>
      </c>
      <c r="E4065" s="22" t="s">
        <v>21</v>
      </c>
      <c r="F4065" s="22" t="s">
        <v>14</v>
      </c>
      <c r="G4065" s="22" t="s">
        <v>15</v>
      </c>
    </row>
    <row r="4066" ht="15.15" spans="1:7">
      <c r="A4066" s="20">
        <v>4065</v>
      </c>
      <c r="B4066" s="20">
        <v>9802</v>
      </c>
      <c r="C4066" s="21">
        <v>45038</v>
      </c>
      <c r="D4066" s="20">
        <v>120.27</v>
      </c>
      <c r="E4066" s="22" t="s">
        <v>10</v>
      </c>
      <c r="F4066" s="22" t="s">
        <v>14</v>
      </c>
      <c r="G4066" s="22" t="s">
        <v>20</v>
      </c>
    </row>
    <row r="4067" ht="15.15" spans="1:7">
      <c r="A4067" s="20">
        <v>4066</v>
      </c>
      <c r="B4067" s="20">
        <v>3371</v>
      </c>
      <c r="C4067" s="21">
        <v>45246</v>
      </c>
      <c r="D4067" s="20">
        <v>208.24</v>
      </c>
      <c r="E4067" s="22" t="s">
        <v>10</v>
      </c>
      <c r="F4067" s="22" t="s">
        <v>16</v>
      </c>
      <c r="G4067" s="22" t="s">
        <v>20</v>
      </c>
    </row>
    <row r="4068" ht="15.15" spans="1:7">
      <c r="A4068" s="20">
        <v>4067</v>
      </c>
      <c r="B4068" s="20">
        <v>4801</v>
      </c>
      <c r="C4068" s="21">
        <v>45282</v>
      </c>
      <c r="D4068" s="20">
        <v>1493.99</v>
      </c>
      <c r="E4068" s="22" t="s">
        <v>10</v>
      </c>
      <c r="F4068" s="22" t="s">
        <v>16</v>
      </c>
      <c r="G4068" s="22" t="s">
        <v>20</v>
      </c>
    </row>
    <row r="4069" ht="15.15" spans="1:7">
      <c r="A4069" s="20">
        <v>4068</v>
      </c>
      <c r="B4069" s="20">
        <v>1727</v>
      </c>
      <c r="C4069" s="21">
        <v>45230</v>
      </c>
      <c r="D4069" s="20">
        <v>2116.06</v>
      </c>
      <c r="E4069" s="22" t="s">
        <v>10</v>
      </c>
      <c r="F4069" s="22" t="s">
        <v>18</v>
      </c>
      <c r="G4069" s="22" t="s">
        <v>20</v>
      </c>
    </row>
    <row r="4070" ht="15.15" spans="1:7">
      <c r="A4070" s="20">
        <v>4069</v>
      </c>
      <c r="B4070" s="20">
        <v>7968</v>
      </c>
      <c r="C4070" s="21">
        <v>45235</v>
      </c>
      <c r="D4070" s="20">
        <v>1391.36</v>
      </c>
      <c r="E4070" s="22" t="s">
        <v>10</v>
      </c>
      <c r="F4070" s="22" t="s">
        <v>14</v>
      </c>
      <c r="G4070" s="22" t="s">
        <v>12</v>
      </c>
    </row>
    <row r="4071" ht="15.15" spans="1:7">
      <c r="A4071" s="20">
        <v>4070</v>
      </c>
      <c r="B4071" s="20">
        <v>6169</v>
      </c>
      <c r="C4071" s="21">
        <v>45083</v>
      </c>
      <c r="D4071" s="20">
        <v>745.01</v>
      </c>
      <c r="E4071" s="22" t="s">
        <v>10</v>
      </c>
      <c r="F4071" s="22" t="s">
        <v>16</v>
      </c>
      <c r="G4071" s="22" t="s">
        <v>20</v>
      </c>
    </row>
    <row r="4072" ht="15.15" spans="1:7">
      <c r="A4072" s="20">
        <v>4071</v>
      </c>
      <c r="B4072" s="20">
        <v>8798</v>
      </c>
      <c r="C4072" s="21">
        <v>44979</v>
      </c>
      <c r="D4072" s="20">
        <v>278.21</v>
      </c>
      <c r="E4072" s="22" t="s">
        <v>21</v>
      </c>
      <c r="F4072" s="22" t="s">
        <v>14</v>
      </c>
      <c r="G4072" s="22" t="s">
        <v>15</v>
      </c>
    </row>
    <row r="4073" ht="15.15" spans="1:7">
      <c r="A4073" s="20">
        <v>4072</v>
      </c>
      <c r="B4073" s="20">
        <v>5852</v>
      </c>
      <c r="C4073" s="21">
        <v>44961</v>
      </c>
      <c r="D4073" s="20">
        <v>1860.2</v>
      </c>
      <c r="E4073" s="22" t="s">
        <v>10</v>
      </c>
      <c r="F4073" s="22" t="s">
        <v>16</v>
      </c>
      <c r="G4073" s="22" t="s">
        <v>20</v>
      </c>
    </row>
    <row r="4074" ht="15.15" spans="1:7">
      <c r="A4074" s="20">
        <v>4073</v>
      </c>
      <c r="B4074" s="20">
        <v>8889</v>
      </c>
      <c r="C4074" s="21">
        <v>45280</v>
      </c>
      <c r="D4074" s="20">
        <v>2914.3</v>
      </c>
      <c r="E4074" s="22" t="s">
        <v>10</v>
      </c>
      <c r="F4074" s="22" t="s">
        <v>13</v>
      </c>
      <c r="G4074" s="22" t="s">
        <v>15</v>
      </c>
    </row>
    <row r="4075" ht="15.15" spans="1:7">
      <c r="A4075" s="20">
        <v>4074</v>
      </c>
      <c r="B4075" s="20">
        <v>690</v>
      </c>
      <c r="C4075" s="21">
        <v>45073</v>
      </c>
      <c r="D4075" s="20">
        <v>1071.23</v>
      </c>
      <c r="E4075" s="22" t="s">
        <v>22</v>
      </c>
      <c r="F4075" s="22" t="s">
        <v>16</v>
      </c>
      <c r="G4075" s="22" t="s">
        <v>20</v>
      </c>
    </row>
    <row r="4076" ht="15.15" spans="1:7">
      <c r="A4076" s="20">
        <v>4075</v>
      </c>
      <c r="B4076" s="20">
        <v>4460</v>
      </c>
      <c r="C4076" s="21">
        <v>45270</v>
      </c>
      <c r="D4076" s="20">
        <v>266.31</v>
      </c>
      <c r="E4076" s="22" t="s">
        <v>10</v>
      </c>
      <c r="F4076" s="22" t="s">
        <v>11</v>
      </c>
      <c r="G4076" s="22" t="s">
        <v>17</v>
      </c>
    </row>
    <row r="4077" ht="15.15" spans="1:7">
      <c r="A4077" s="20">
        <v>4076</v>
      </c>
      <c r="B4077" s="20">
        <v>3251</v>
      </c>
      <c r="C4077" s="21">
        <v>45035</v>
      </c>
      <c r="D4077" s="20">
        <v>1214.8</v>
      </c>
      <c r="E4077" s="22" t="s">
        <v>10</v>
      </c>
      <c r="F4077" s="22" t="s">
        <v>18</v>
      </c>
      <c r="G4077" s="22" t="s">
        <v>20</v>
      </c>
    </row>
    <row r="4078" ht="15.15" spans="1:7">
      <c r="A4078" s="20">
        <v>4077</v>
      </c>
      <c r="B4078" s="20">
        <v>4099</v>
      </c>
      <c r="C4078" s="21">
        <v>45223</v>
      </c>
      <c r="D4078" s="20">
        <v>132.23</v>
      </c>
      <c r="E4078" s="22" t="s">
        <v>10</v>
      </c>
      <c r="F4078" s="22" t="s">
        <v>13</v>
      </c>
      <c r="G4078" s="22" t="s">
        <v>20</v>
      </c>
    </row>
    <row r="4079" ht="15.15" spans="1:7">
      <c r="A4079" s="20">
        <v>4078</v>
      </c>
      <c r="B4079" s="20">
        <v>4924</v>
      </c>
      <c r="C4079" s="21">
        <v>45270</v>
      </c>
      <c r="D4079" s="20">
        <v>493.21</v>
      </c>
      <c r="E4079" s="22" t="s">
        <v>10</v>
      </c>
      <c r="F4079" s="22" t="s">
        <v>13</v>
      </c>
      <c r="G4079" s="22" t="s">
        <v>15</v>
      </c>
    </row>
    <row r="4080" ht="15.15" spans="1:7">
      <c r="A4080" s="20">
        <v>4079</v>
      </c>
      <c r="B4080" s="20">
        <v>5120</v>
      </c>
      <c r="C4080" s="21">
        <v>45021</v>
      </c>
      <c r="D4080" s="20">
        <v>2031.46</v>
      </c>
      <c r="E4080" s="22" t="s">
        <v>10</v>
      </c>
      <c r="F4080" s="22" t="s">
        <v>19</v>
      </c>
      <c r="G4080" s="22" t="s">
        <v>20</v>
      </c>
    </row>
    <row r="4081" ht="15.15" spans="1:7">
      <c r="A4081" s="20">
        <v>4080</v>
      </c>
      <c r="B4081" s="20">
        <v>7997</v>
      </c>
      <c r="C4081" s="21">
        <v>45005</v>
      </c>
      <c r="D4081" s="20">
        <v>1128.91</v>
      </c>
      <c r="E4081" s="22" t="s">
        <v>10</v>
      </c>
      <c r="F4081" s="22" t="s">
        <v>16</v>
      </c>
      <c r="G4081" s="22" t="s">
        <v>17</v>
      </c>
    </row>
    <row r="4082" ht="15.15" spans="1:7">
      <c r="A4082" s="20">
        <v>4081</v>
      </c>
      <c r="B4082" s="20">
        <v>3575</v>
      </c>
      <c r="C4082" s="21">
        <v>45291</v>
      </c>
      <c r="D4082" s="20">
        <v>1064.65</v>
      </c>
      <c r="E4082" s="22" t="s">
        <v>10</v>
      </c>
      <c r="F4082" s="22" t="s">
        <v>11</v>
      </c>
      <c r="G4082" s="22" t="s">
        <v>20</v>
      </c>
    </row>
    <row r="4083" ht="15.15" spans="1:7">
      <c r="A4083" s="20">
        <v>4082</v>
      </c>
      <c r="B4083" s="20">
        <v>3678</v>
      </c>
      <c r="C4083" s="21">
        <v>45056</v>
      </c>
      <c r="D4083" s="20">
        <v>1841.33</v>
      </c>
      <c r="E4083" s="22" t="s">
        <v>10</v>
      </c>
      <c r="F4083" s="22" t="s">
        <v>11</v>
      </c>
      <c r="G4083" s="22" t="s">
        <v>15</v>
      </c>
    </row>
    <row r="4084" ht="15.15" spans="1:7">
      <c r="A4084" s="20">
        <v>4083</v>
      </c>
      <c r="B4084" s="20">
        <v>323</v>
      </c>
      <c r="C4084" s="21">
        <v>45192</v>
      </c>
      <c r="D4084" s="20">
        <v>479.1</v>
      </c>
      <c r="E4084" s="22" t="s">
        <v>10</v>
      </c>
      <c r="F4084" s="22" t="s">
        <v>11</v>
      </c>
      <c r="G4084" s="22" t="s">
        <v>15</v>
      </c>
    </row>
    <row r="4085" ht="15.15" spans="1:7">
      <c r="A4085" s="20">
        <v>4084</v>
      </c>
      <c r="B4085" s="20">
        <v>4661</v>
      </c>
      <c r="C4085" s="21">
        <v>45049</v>
      </c>
      <c r="D4085" s="20">
        <v>1247.76</v>
      </c>
      <c r="E4085" s="22" t="s">
        <v>10</v>
      </c>
      <c r="F4085" s="22" t="s">
        <v>13</v>
      </c>
      <c r="G4085" s="22" t="s">
        <v>12</v>
      </c>
    </row>
    <row r="4086" ht="15.15" spans="1:7">
      <c r="A4086" s="20">
        <v>4085</v>
      </c>
      <c r="B4086" s="20">
        <v>9203</v>
      </c>
      <c r="C4086" s="21">
        <v>45149</v>
      </c>
      <c r="D4086" s="20">
        <v>2456.26</v>
      </c>
      <c r="E4086" s="22" t="s">
        <v>21</v>
      </c>
      <c r="F4086" s="22" t="s">
        <v>18</v>
      </c>
      <c r="G4086" s="22" t="s">
        <v>15</v>
      </c>
    </row>
    <row r="4087" ht="15.15" spans="1:7">
      <c r="A4087" s="20">
        <v>4086</v>
      </c>
      <c r="B4087" s="20">
        <v>2910</v>
      </c>
      <c r="C4087" s="21">
        <v>44951</v>
      </c>
      <c r="D4087" s="20">
        <v>154.28</v>
      </c>
      <c r="E4087" s="22" t="s">
        <v>10</v>
      </c>
      <c r="F4087" s="22" t="s">
        <v>16</v>
      </c>
      <c r="G4087" s="22" t="s">
        <v>15</v>
      </c>
    </row>
    <row r="4088" ht="15.15" spans="1:7">
      <c r="A4088" s="20">
        <v>4087</v>
      </c>
      <c r="B4088" s="20">
        <v>8600</v>
      </c>
      <c r="C4088" s="21">
        <v>44981</v>
      </c>
      <c r="D4088" s="20">
        <v>1576.09</v>
      </c>
      <c r="E4088" s="22" t="s">
        <v>10</v>
      </c>
      <c r="F4088" s="22" t="s">
        <v>16</v>
      </c>
      <c r="G4088" s="22" t="s">
        <v>20</v>
      </c>
    </row>
    <row r="4089" ht="15.15" spans="1:7">
      <c r="A4089" s="20">
        <v>4088</v>
      </c>
      <c r="B4089" s="20">
        <v>7360</v>
      </c>
      <c r="C4089" s="21">
        <v>45048</v>
      </c>
      <c r="D4089" s="20">
        <v>2432.97</v>
      </c>
      <c r="E4089" s="22" t="s">
        <v>10</v>
      </c>
      <c r="F4089" s="22" t="s">
        <v>13</v>
      </c>
      <c r="G4089" s="22" t="s">
        <v>12</v>
      </c>
    </row>
    <row r="4090" ht="15.15" spans="1:7">
      <c r="A4090" s="20">
        <v>4089</v>
      </c>
      <c r="B4090" s="20">
        <v>3312</v>
      </c>
      <c r="C4090" s="21">
        <v>45114</v>
      </c>
      <c r="D4090" s="20">
        <v>899.62</v>
      </c>
      <c r="E4090" s="22" t="s">
        <v>10</v>
      </c>
      <c r="F4090" s="22" t="s">
        <v>14</v>
      </c>
      <c r="G4090" s="22" t="s">
        <v>15</v>
      </c>
    </row>
    <row r="4091" ht="15.15" spans="1:7">
      <c r="A4091" s="20">
        <v>4090</v>
      </c>
      <c r="B4091" s="20">
        <v>9235</v>
      </c>
      <c r="C4091" s="21">
        <v>45244</v>
      </c>
      <c r="D4091" s="20">
        <v>2729.27</v>
      </c>
      <c r="E4091" s="22" t="s">
        <v>10</v>
      </c>
      <c r="F4091" s="22" t="s">
        <v>11</v>
      </c>
      <c r="G4091" s="22" t="s">
        <v>12</v>
      </c>
    </row>
    <row r="4092" ht="15.15" spans="1:7">
      <c r="A4092" s="20">
        <v>4091</v>
      </c>
      <c r="B4092" s="20">
        <v>1480</v>
      </c>
      <c r="C4092" s="21">
        <v>45055</v>
      </c>
      <c r="D4092" s="20">
        <v>265.95</v>
      </c>
      <c r="E4092" s="22" t="s">
        <v>10</v>
      </c>
      <c r="F4092" s="22" t="s">
        <v>14</v>
      </c>
      <c r="G4092" s="22" t="s">
        <v>20</v>
      </c>
    </row>
    <row r="4093" ht="15.15" spans="1:7">
      <c r="A4093" s="20">
        <v>4092</v>
      </c>
      <c r="B4093" s="20">
        <v>5125</v>
      </c>
      <c r="C4093" s="21">
        <v>45230</v>
      </c>
      <c r="D4093" s="20">
        <v>124.93</v>
      </c>
      <c r="E4093" s="22" t="s">
        <v>10</v>
      </c>
      <c r="F4093" s="22" t="s">
        <v>14</v>
      </c>
      <c r="G4093" s="22" t="s">
        <v>17</v>
      </c>
    </row>
    <row r="4094" ht="15.15" spans="1:7">
      <c r="A4094" s="20">
        <v>4093</v>
      </c>
      <c r="B4094" s="20">
        <v>1701</v>
      </c>
      <c r="C4094" s="21">
        <v>45236</v>
      </c>
      <c r="D4094" s="20">
        <v>1255.21</v>
      </c>
      <c r="E4094" s="22" t="s">
        <v>10</v>
      </c>
      <c r="F4094" s="22" t="s">
        <v>11</v>
      </c>
      <c r="G4094" s="22" t="s">
        <v>12</v>
      </c>
    </row>
    <row r="4095" ht="15.15" spans="1:7">
      <c r="A4095" s="20">
        <v>4094</v>
      </c>
      <c r="B4095" s="20">
        <v>2926</v>
      </c>
      <c r="C4095" s="21">
        <v>45233</v>
      </c>
      <c r="D4095" s="20">
        <v>2497.77</v>
      </c>
      <c r="E4095" s="22" t="s">
        <v>10</v>
      </c>
      <c r="F4095" s="22" t="s">
        <v>16</v>
      </c>
      <c r="G4095" s="22" t="s">
        <v>12</v>
      </c>
    </row>
    <row r="4096" ht="15.15" spans="1:7">
      <c r="A4096" s="20">
        <v>4095</v>
      </c>
      <c r="B4096" s="20">
        <v>7621</v>
      </c>
      <c r="C4096" s="21">
        <v>45248</v>
      </c>
      <c r="D4096" s="20">
        <v>1145.89</v>
      </c>
      <c r="E4096" s="22" t="s">
        <v>10</v>
      </c>
      <c r="F4096" s="22" t="s">
        <v>14</v>
      </c>
      <c r="G4096" s="22" t="s">
        <v>15</v>
      </c>
    </row>
    <row r="4097" ht="15.15" spans="1:7">
      <c r="A4097" s="20">
        <v>4096</v>
      </c>
      <c r="B4097" s="20">
        <v>5990</v>
      </c>
      <c r="C4097" s="21">
        <v>45286</v>
      </c>
      <c r="D4097" s="20">
        <v>1526.33</v>
      </c>
      <c r="E4097" s="22" t="s">
        <v>10</v>
      </c>
      <c r="F4097" s="22" t="s">
        <v>16</v>
      </c>
      <c r="G4097" s="22" t="s">
        <v>15</v>
      </c>
    </row>
    <row r="4098" ht="15.15" spans="1:7">
      <c r="A4098" s="20">
        <v>4097</v>
      </c>
      <c r="B4098" s="20">
        <v>6136</v>
      </c>
      <c r="C4098" s="21">
        <v>44942</v>
      </c>
      <c r="D4098" s="20">
        <v>814.25</v>
      </c>
      <c r="E4098" s="22" t="s">
        <v>10</v>
      </c>
      <c r="F4098" s="22" t="s">
        <v>13</v>
      </c>
      <c r="G4098" s="22" t="s">
        <v>17</v>
      </c>
    </row>
    <row r="4099" ht="15.15" spans="1:7">
      <c r="A4099" s="20">
        <v>4098</v>
      </c>
      <c r="B4099" s="20">
        <v>1605</v>
      </c>
      <c r="C4099" s="21">
        <v>44996</v>
      </c>
      <c r="D4099" s="20">
        <v>1870.48</v>
      </c>
      <c r="E4099" s="22" t="s">
        <v>10</v>
      </c>
      <c r="F4099" s="22" t="s">
        <v>13</v>
      </c>
      <c r="G4099" s="22" t="s">
        <v>15</v>
      </c>
    </row>
    <row r="4100" ht="15.15" spans="1:7">
      <c r="A4100" s="20">
        <v>4099</v>
      </c>
      <c r="B4100" s="20">
        <v>5760</v>
      </c>
      <c r="C4100" s="21">
        <v>45017</v>
      </c>
      <c r="D4100" s="20">
        <v>788.84</v>
      </c>
      <c r="E4100" s="22" t="s">
        <v>10</v>
      </c>
      <c r="F4100" s="22" t="s">
        <v>18</v>
      </c>
      <c r="G4100" s="22" t="s">
        <v>12</v>
      </c>
    </row>
    <row r="4101" ht="15.15" spans="1:7">
      <c r="A4101" s="20">
        <v>4100</v>
      </c>
      <c r="B4101" s="20">
        <v>7157</v>
      </c>
      <c r="C4101" s="21">
        <v>45236</v>
      </c>
      <c r="D4101" s="20">
        <v>1851.93</v>
      </c>
      <c r="E4101" s="22" t="s">
        <v>10</v>
      </c>
      <c r="F4101" s="22" t="s">
        <v>14</v>
      </c>
      <c r="G4101" s="22" t="s">
        <v>20</v>
      </c>
    </row>
    <row r="4102" ht="15.15" spans="1:7">
      <c r="A4102" s="20">
        <v>4101</v>
      </c>
      <c r="B4102" s="20">
        <v>2452</v>
      </c>
      <c r="C4102" s="21">
        <v>44966</v>
      </c>
      <c r="D4102" s="20">
        <v>308.04</v>
      </c>
      <c r="E4102" s="22" t="s">
        <v>21</v>
      </c>
      <c r="F4102" s="22" t="s">
        <v>18</v>
      </c>
      <c r="G4102" s="22" t="s">
        <v>15</v>
      </c>
    </row>
    <row r="4103" ht="15.15" spans="1:7">
      <c r="A4103" s="20">
        <v>4102</v>
      </c>
      <c r="B4103" s="20">
        <v>154</v>
      </c>
      <c r="C4103" s="21">
        <v>45067</v>
      </c>
      <c r="D4103" s="20">
        <v>503.24</v>
      </c>
      <c r="E4103" s="22" t="s">
        <v>10</v>
      </c>
      <c r="F4103" s="22" t="s">
        <v>11</v>
      </c>
      <c r="G4103" s="22" t="s">
        <v>15</v>
      </c>
    </row>
    <row r="4104" ht="15.15" spans="1:7">
      <c r="A4104" s="20">
        <v>4103</v>
      </c>
      <c r="B4104" s="20">
        <v>4713</v>
      </c>
      <c r="C4104" s="21">
        <v>45065</v>
      </c>
      <c r="D4104" s="20">
        <v>2162.63</v>
      </c>
      <c r="E4104" s="22" t="s">
        <v>10</v>
      </c>
      <c r="F4104" s="22" t="s">
        <v>18</v>
      </c>
      <c r="G4104" s="22" t="s">
        <v>15</v>
      </c>
    </row>
    <row r="4105" ht="15.15" spans="1:7">
      <c r="A4105" s="20">
        <v>4104</v>
      </c>
      <c r="B4105" s="20">
        <v>849</v>
      </c>
      <c r="C4105" s="21">
        <v>45117</v>
      </c>
      <c r="D4105" s="20">
        <v>1435.48</v>
      </c>
      <c r="E4105" s="22" t="s">
        <v>10</v>
      </c>
      <c r="F4105" s="22" t="s">
        <v>13</v>
      </c>
      <c r="G4105" s="22" t="s">
        <v>12</v>
      </c>
    </row>
    <row r="4106" ht="15.15" spans="1:7">
      <c r="A4106" s="20">
        <v>4105</v>
      </c>
      <c r="B4106" s="20">
        <v>1892</v>
      </c>
      <c r="C4106" s="21">
        <v>44943</v>
      </c>
      <c r="D4106" s="20">
        <v>4279.97</v>
      </c>
      <c r="E4106" s="22" t="s">
        <v>10</v>
      </c>
      <c r="F4106" s="22" t="s">
        <v>16</v>
      </c>
      <c r="G4106" s="22" t="s">
        <v>12</v>
      </c>
    </row>
    <row r="4107" ht="15.15" spans="1:7">
      <c r="A4107" s="20">
        <v>4106</v>
      </c>
      <c r="B4107" s="20">
        <v>9091</v>
      </c>
      <c r="C4107" s="21">
        <v>45169</v>
      </c>
      <c r="D4107" s="20">
        <v>943.87</v>
      </c>
      <c r="E4107" s="22" t="s">
        <v>10</v>
      </c>
      <c r="F4107" s="22" t="s">
        <v>13</v>
      </c>
      <c r="G4107" s="22" t="s">
        <v>12</v>
      </c>
    </row>
    <row r="4108" ht="15.15" spans="1:7">
      <c r="A4108" s="20">
        <v>4107</v>
      </c>
      <c r="B4108" s="20">
        <v>5969</v>
      </c>
      <c r="C4108" s="21">
        <v>45024</v>
      </c>
      <c r="D4108" s="20">
        <v>359.28</v>
      </c>
      <c r="E4108" s="22" t="s">
        <v>10</v>
      </c>
      <c r="F4108" s="22" t="s">
        <v>16</v>
      </c>
      <c r="G4108" s="22" t="s">
        <v>15</v>
      </c>
    </row>
    <row r="4109" ht="15.15" spans="1:7">
      <c r="A4109" s="20">
        <v>4108</v>
      </c>
      <c r="B4109" s="20">
        <v>7707</v>
      </c>
      <c r="C4109" s="21">
        <v>45143</v>
      </c>
      <c r="D4109" s="20">
        <v>691.55</v>
      </c>
      <c r="E4109" s="22" t="s">
        <v>10</v>
      </c>
      <c r="F4109" s="22" t="s">
        <v>13</v>
      </c>
      <c r="G4109" s="22" t="s">
        <v>15</v>
      </c>
    </row>
    <row r="4110" ht="15.15" spans="1:7">
      <c r="A4110" s="20">
        <v>4109</v>
      </c>
      <c r="B4110" s="20">
        <v>455</v>
      </c>
      <c r="C4110" s="21">
        <v>45232</v>
      </c>
      <c r="D4110" s="20">
        <v>5988.8</v>
      </c>
      <c r="E4110" s="22" t="s">
        <v>10</v>
      </c>
      <c r="F4110" s="22" t="s">
        <v>19</v>
      </c>
      <c r="G4110" s="22" t="s">
        <v>20</v>
      </c>
    </row>
    <row r="4111" ht="15.15" spans="1:7">
      <c r="A4111" s="20">
        <v>4110</v>
      </c>
      <c r="B4111" s="20">
        <v>1257</v>
      </c>
      <c r="C4111" s="21">
        <v>45003</v>
      </c>
      <c r="D4111" s="20">
        <v>3756.71</v>
      </c>
      <c r="E4111" s="22" t="s">
        <v>10</v>
      </c>
      <c r="F4111" s="22" t="s">
        <v>13</v>
      </c>
      <c r="G4111" s="22" t="s">
        <v>12</v>
      </c>
    </row>
    <row r="4112" ht="15.15" spans="1:7">
      <c r="A4112" s="20">
        <v>4111</v>
      </c>
      <c r="B4112" s="20">
        <v>3824</v>
      </c>
      <c r="C4112" s="21">
        <v>45185</v>
      </c>
      <c r="D4112" s="20">
        <v>1435.96</v>
      </c>
      <c r="E4112" s="22" t="s">
        <v>10</v>
      </c>
      <c r="F4112" s="22" t="s">
        <v>11</v>
      </c>
      <c r="G4112" s="22" t="s">
        <v>15</v>
      </c>
    </row>
    <row r="4113" ht="15.15" spans="1:7">
      <c r="A4113" s="20">
        <v>4112</v>
      </c>
      <c r="B4113" s="20">
        <v>510</v>
      </c>
      <c r="C4113" s="21">
        <v>45077</v>
      </c>
      <c r="D4113" s="20">
        <v>3350.5</v>
      </c>
      <c r="E4113" s="22" t="s">
        <v>10</v>
      </c>
      <c r="F4113" s="22" t="s">
        <v>18</v>
      </c>
      <c r="G4113" s="22" t="s">
        <v>15</v>
      </c>
    </row>
    <row r="4114" ht="15.15" spans="1:7">
      <c r="A4114" s="20">
        <v>4113</v>
      </c>
      <c r="B4114" s="20">
        <v>9534</v>
      </c>
      <c r="C4114" s="21">
        <v>45139</v>
      </c>
      <c r="D4114" s="20">
        <v>1530.22</v>
      </c>
      <c r="E4114" s="22" t="s">
        <v>10</v>
      </c>
      <c r="F4114" s="22" t="s">
        <v>18</v>
      </c>
      <c r="G4114" s="22" t="s">
        <v>12</v>
      </c>
    </row>
    <row r="4115" ht="15.15" spans="1:7">
      <c r="A4115" s="20">
        <v>4114</v>
      </c>
      <c r="B4115" s="20">
        <v>5578</v>
      </c>
      <c r="C4115" s="21">
        <v>45223</v>
      </c>
      <c r="D4115" s="20">
        <v>1052.4</v>
      </c>
      <c r="E4115" s="22" t="s">
        <v>10</v>
      </c>
      <c r="F4115" s="22" t="s">
        <v>11</v>
      </c>
      <c r="G4115" s="22" t="s">
        <v>20</v>
      </c>
    </row>
    <row r="4116" ht="15.15" spans="1:7">
      <c r="A4116" s="20">
        <v>4115</v>
      </c>
      <c r="B4116" s="20">
        <v>7739</v>
      </c>
      <c r="C4116" s="21">
        <v>45176</v>
      </c>
      <c r="D4116" s="20">
        <v>1330.34</v>
      </c>
      <c r="E4116" s="22" t="s">
        <v>10</v>
      </c>
      <c r="F4116" s="22" t="s">
        <v>11</v>
      </c>
      <c r="G4116" s="22" t="s">
        <v>17</v>
      </c>
    </row>
    <row r="4117" ht="15.15" spans="1:7">
      <c r="A4117" s="20">
        <v>4116</v>
      </c>
      <c r="B4117" s="20">
        <v>416</v>
      </c>
      <c r="C4117" s="21">
        <v>45223</v>
      </c>
      <c r="D4117" s="20">
        <v>187.89</v>
      </c>
      <c r="E4117" s="22" t="s">
        <v>10</v>
      </c>
      <c r="F4117" s="22" t="s">
        <v>14</v>
      </c>
      <c r="G4117" s="22" t="s">
        <v>15</v>
      </c>
    </row>
    <row r="4118" ht="15.15" spans="1:7">
      <c r="A4118" s="20">
        <v>4117</v>
      </c>
      <c r="B4118" s="20">
        <v>9865</v>
      </c>
      <c r="C4118" s="21">
        <v>45141</v>
      </c>
      <c r="D4118" s="20">
        <v>1538.58</v>
      </c>
      <c r="E4118" s="22" t="s">
        <v>10</v>
      </c>
      <c r="F4118" s="22" t="s">
        <v>13</v>
      </c>
      <c r="G4118" s="22" t="s">
        <v>17</v>
      </c>
    </row>
    <row r="4119" ht="15.15" spans="1:7">
      <c r="A4119" s="20">
        <v>4118</v>
      </c>
      <c r="B4119" s="20">
        <v>9760</v>
      </c>
      <c r="C4119" s="21">
        <v>45209</v>
      </c>
      <c r="D4119" s="20">
        <v>1169</v>
      </c>
      <c r="E4119" s="22" t="s">
        <v>10</v>
      </c>
      <c r="F4119" s="22" t="s">
        <v>13</v>
      </c>
      <c r="G4119" s="22" t="s">
        <v>15</v>
      </c>
    </row>
    <row r="4120" ht="15.15" spans="1:7">
      <c r="A4120" s="20">
        <v>4119</v>
      </c>
      <c r="B4120" s="20">
        <v>9499</v>
      </c>
      <c r="C4120" s="21">
        <v>45276</v>
      </c>
      <c r="D4120" s="20">
        <v>2298.35</v>
      </c>
      <c r="E4120" s="22" t="s">
        <v>10</v>
      </c>
      <c r="F4120" s="22" t="s">
        <v>11</v>
      </c>
      <c r="G4120" s="22" t="s">
        <v>15</v>
      </c>
    </row>
    <row r="4121" ht="15.15" spans="1:7">
      <c r="A4121" s="20">
        <v>4120</v>
      </c>
      <c r="B4121" s="20">
        <v>3946</v>
      </c>
      <c r="C4121" s="21">
        <v>45003</v>
      </c>
      <c r="D4121" s="20">
        <v>815.03</v>
      </c>
      <c r="E4121" s="22" t="s">
        <v>10</v>
      </c>
      <c r="F4121" s="22" t="s">
        <v>16</v>
      </c>
      <c r="G4121" s="22" t="s">
        <v>20</v>
      </c>
    </row>
    <row r="4122" ht="15.15" spans="1:7">
      <c r="A4122" s="20">
        <v>4121</v>
      </c>
      <c r="B4122" s="20">
        <v>9451</v>
      </c>
      <c r="C4122" s="21">
        <v>45225</v>
      </c>
      <c r="D4122" s="20">
        <v>3313.28</v>
      </c>
      <c r="E4122" s="22" t="s">
        <v>10</v>
      </c>
      <c r="F4122" s="22" t="s">
        <v>14</v>
      </c>
      <c r="G4122" s="22" t="s">
        <v>17</v>
      </c>
    </row>
    <row r="4123" ht="15.15" spans="1:7">
      <c r="A4123" s="20">
        <v>4122</v>
      </c>
      <c r="B4123" s="20">
        <v>987</v>
      </c>
      <c r="C4123" s="21">
        <v>45255</v>
      </c>
      <c r="D4123" s="20">
        <v>183.34</v>
      </c>
      <c r="E4123" s="22" t="s">
        <v>10</v>
      </c>
      <c r="F4123" s="22" t="s">
        <v>11</v>
      </c>
      <c r="G4123" s="22" t="s">
        <v>15</v>
      </c>
    </row>
    <row r="4124" ht="15.15" spans="1:7">
      <c r="A4124" s="20">
        <v>4123</v>
      </c>
      <c r="B4124" s="20">
        <v>7337</v>
      </c>
      <c r="C4124" s="21">
        <v>45273</v>
      </c>
      <c r="D4124" s="20">
        <v>327.39</v>
      </c>
      <c r="E4124" s="22" t="s">
        <v>10</v>
      </c>
      <c r="F4124" s="22" t="s">
        <v>11</v>
      </c>
      <c r="G4124" s="22" t="s">
        <v>15</v>
      </c>
    </row>
    <row r="4125" ht="15.15" spans="1:7">
      <c r="A4125" s="20">
        <v>4124</v>
      </c>
      <c r="B4125" s="20">
        <v>1126</v>
      </c>
      <c r="C4125" s="21">
        <v>45092</v>
      </c>
      <c r="D4125" s="20">
        <v>3341.15</v>
      </c>
      <c r="E4125" s="22" t="s">
        <v>10</v>
      </c>
      <c r="F4125" s="22" t="s">
        <v>11</v>
      </c>
      <c r="G4125" s="22" t="s">
        <v>15</v>
      </c>
    </row>
    <row r="4126" ht="15.15" spans="1:7">
      <c r="A4126" s="20">
        <v>4125</v>
      </c>
      <c r="B4126" s="20">
        <v>5967</v>
      </c>
      <c r="C4126" s="21">
        <v>45232</v>
      </c>
      <c r="D4126" s="20">
        <v>1127.32</v>
      </c>
      <c r="E4126" s="22" t="s">
        <v>10</v>
      </c>
      <c r="F4126" s="22" t="s">
        <v>16</v>
      </c>
      <c r="G4126" s="22" t="s">
        <v>20</v>
      </c>
    </row>
    <row r="4127" ht="15.15" spans="1:7">
      <c r="A4127" s="20">
        <v>4126</v>
      </c>
      <c r="B4127" s="20">
        <v>7773</v>
      </c>
      <c r="C4127" s="21">
        <v>45289</v>
      </c>
      <c r="D4127" s="20">
        <v>352.84</v>
      </c>
      <c r="E4127" s="22" t="s">
        <v>10</v>
      </c>
      <c r="F4127" s="22" t="s">
        <v>13</v>
      </c>
      <c r="G4127" s="22" t="s">
        <v>15</v>
      </c>
    </row>
    <row r="4128" ht="15.15" spans="1:7">
      <c r="A4128" s="20">
        <v>4127</v>
      </c>
      <c r="B4128" s="20">
        <v>1337</v>
      </c>
      <c r="C4128" s="21">
        <v>45213</v>
      </c>
      <c r="D4128" s="20">
        <v>2462.14</v>
      </c>
      <c r="E4128" s="22" t="s">
        <v>10</v>
      </c>
      <c r="F4128" s="22" t="s">
        <v>11</v>
      </c>
      <c r="G4128" s="22" t="s">
        <v>20</v>
      </c>
    </row>
    <row r="4129" ht="15.15" spans="1:7">
      <c r="A4129" s="20">
        <v>4128</v>
      </c>
      <c r="B4129" s="20">
        <v>3606</v>
      </c>
      <c r="C4129" s="21">
        <v>45155</v>
      </c>
      <c r="D4129" s="20">
        <v>1382.04</v>
      </c>
      <c r="E4129" s="22" t="s">
        <v>10</v>
      </c>
      <c r="F4129" s="22" t="s">
        <v>16</v>
      </c>
      <c r="G4129" s="22" t="s">
        <v>17</v>
      </c>
    </row>
    <row r="4130" ht="15.15" spans="1:7">
      <c r="A4130" s="20">
        <v>4129</v>
      </c>
      <c r="B4130" s="20">
        <v>6195</v>
      </c>
      <c r="C4130" s="21">
        <v>45059</v>
      </c>
      <c r="D4130" s="20">
        <v>84.52</v>
      </c>
      <c r="E4130" s="22" t="s">
        <v>10</v>
      </c>
      <c r="F4130" s="22" t="s">
        <v>11</v>
      </c>
      <c r="G4130" s="22" t="s">
        <v>15</v>
      </c>
    </row>
    <row r="4131" ht="15.15" spans="1:7">
      <c r="A4131" s="20">
        <v>4130</v>
      </c>
      <c r="B4131" s="20">
        <v>7712</v>
      </c>
      <c r="C4131" s="21">
        <v>45126</v>
      </c>
      <c r="D4131" s="20">
        <v>866.33</v>
      </c>
      <c r="E4131" s="22" t="s">
        <v>10</v>
      </c>
      <c r="F4131" s="22" t="s">
        <v>16</v>
      </c>
      <c r="G4131" s="22" t="s">
        <v>15</v>
      </c>
    </row>
    <row r="4132" ht="15.15" spans="1:7">
      <c r="A4132" s="20">
        <v>4131</v>
      </c>
      <c r="B4132" s="20">
        <v>5903</v>
      </c>
      <c r="C4132" s="21">
        <v>45285</v>
      </c>
      <c r="D4132" s="20">
        <v>278.93</v>
      </c>
      <c r="E4132" s="22" t="s">
        <v>10</v>
      </c>
      <c r="F4132" s="22" t="s">
        <v>19</v>
      </c>
      <c r="G4132" s="22" t="s">
        <v>20</v>
      </c>
    </row>
    <row r="4133" ht="15.15" spans="1:7">
      <c r="A4133" s="20">
        <v>4132</v>
      </c>
      <c r="B4133" s="20">
        <v>1116</v>
      </c>
      <c r="C4133" s="21">
        <v>45015</v>
      </c>
      <c r="D4133" s="20">
        <v>766.48</v>
      </c>
      <c r="E4133" s="22" t="s">
        <v>10</v>
      </c>
      <c r="F4133" s="22" t="s">
        <v>18</v>
      </c>
      <c r="G4133" s="22" t="s">
        <v>15</v>
      </c>
    </row>
    <row r="4134" ht="15.15" spans="1:7">
      <c r="A4134" s="20">
        <v>4133</v>
      </c>
      <c r="B4134" s="20">
        <v>6907</v>
      </c>
      <c r="C4134" s="21">
        <v>45045</v>
      </c>
      <c r="D4134" s="20">
        <v>282.13</v>
      </c>
      <c r="E4134" s="22" t="s">
        <v>10</v>
      </c>
      <c r="F4134" s="22" t="s">
        <v>14</v>
      </c>
      <c r="G4134" s="22" t="s">
        <v>15</v>
      </c>
    </row>
    <row r="4135" ht="15.15" spans="1:7">
      <c r="A4135" s="20">
        <v>4134</v>
      </c>
      <c r="B4135" s="20">
        <v>3657</v>
      </c>
      <c r="C4135" s="21">
        <v>45130</v>
      </c>
      <c r="D4135" s="20">
        <v>1025.63</v>
      </c>
      <c r="E4135" s="22" t="s">
        <v>10</v>
      </c>
      <c r="F4135" s="22" t="s">
        <v>13</v>
      </c>
      <c r="G4135" s="22" t="s">
        <v>17</v>
      </c>
    </row>
    <row r="4136" ht="15.15" spans="1:7">
      <c r="A4136" s="20">
        <v>4135</v>
      </c>
      <c r="B4136" s="20">
        <v>2558</v>
      </c>
      <c r="C4136" s="21">
        <v>44983</v>
      </c>
      <c r="D4136" s="20">
        <v>1763.74</v>
      </c>
      <c r="E4136" s="22" t="s">
        <v>10</v>
      </c>
      <c r="F4136" s="22" t="s">
        <v>16</v>
      </c>
      <c r="G4136" s="22" t="s">
        <v>15</v>
      </c>
    </row>
    <row r="4137" ht="15.15" spans="1:7">
      <c r="A4137" s="20">
        <v>4136</v>
      </c>
      <c r="B4137" s="20">
        <v>1258</v>
      </c>
      <c r="C4137" s="21">
        <v>45195</v>
      </c>
      <c r="D4137" s="20">
        <v>907.76</v>
      </c>
      <c r="E4137" s="22" t="s">
        <v>10</v>
      </c>
      <c r="F4137" s="22" t="s">
        <v>18</v>
      </c>
      <c r="G4137" s="22" t="s">
        <v>20</v>
      </c>
    </row>
    <row r="4138" ht="15.15" spans="1:7">
      <c r="A4138" s="20">
        <v>4137</v>
      </c>
      <c r="B4138" s="20">
        <v>6940</v>
      </c>
      <c r="C4138" s="21">
        <v>44930</v>
      </c>
      <c r="D4138" s="20">
        <v>360.28</v>
      </c>
      <c r="E4138" s="22" t="s">
        <v>10</v>
      </c>
      <c r="F4138" s="22" t="s">
        <v>16</v>
      </c>
      <c r="G4138" s="22" t="s">
        <v>15</v>
      </c>
    </row>
    <row r="4139" ht="15.15" spans="1:7">
      <c r="A4139" s="20">
        <v>4138</v>
      </c>
      <c r="B4139" s="20">
        <v>5458</v>
      </c>
      <c r="C4139" s="21">
        <v>45117</v>
      </c>
      <c r="D4139" s="20">
        <v>1431.05</v>
      </c>
      <c r="E4139" s="22" t="s">
        <v>10</v>
      </c>
      <c r="F4139" s="22" t="s">
        <v>16</v>
      </c>
      <c r="G4139" s="22" t="s">
        <v>12</v>
      </c>
    </row>
    <row r="4140" ht="15.15" spans="1:7">
      <c r="A4140" s="20">
        <v>4139</v>
      </c>
      <c r="B4140" s="20">
        <v>8108</v>
      </c>
      <c r="C4140" s="21">
        <v>45167</v>
      </c>
      <c r="D4140" s="20">
        <v>1084.16</v>
      </c>
      <c r="E4140" s="22" t="s">
        <v>10</v>
      </c>
      <c r="F4140" s="22" t="s">
        <v>18</v>
      </c>
      <c r="G4140" s="22" t="s">
        <v>15</v>
      </c>
    </row>
    <row r="4141" ht="15.15" spans="1:7">
      <c r="A4141" s="20">
        <v>4140</v>
      </c>
      <c r="B4141" s="20">
        <v>8630</v>
      </c>
      <c r="C4141" s="21">
        <v>45115</v>
      </c>
      <c r="D4141" s="20">
        <v>1063.4</v>
      </c>
      <c r="E4141" s="22" t="s">
        <v>22</v>
      </c>
      <c r="F4141" s="22" t="s">
        <v>18</v>
      </c>
      <c r="G4141" s="22" t="s">
        <v>15</v>
      </c>
    </row>
    <row r="4142" ht="15.15" spans="1:7">
      <c r="A4142" s="20">
        <v>4141</v>
      </c>
      <c r="B4142" s="20">
        <v>9823</v>
      </c>
      <c r="C4142" s="21">
        <v>45217</v>
      </c>
      <c r="D4142" s="20">
        <v>1246.02</v>
      </c>
      <c r="E4142" s="22" t="s">
        <v>10</v>
      </c>
      <c r="F4142" s="22" t="s">
        <v>16</v>
      </c>
      <c r="G4142" s="22" t="s">
        <v>20</v>
      </c>
    </row>
    <row r="4143" ht="15.15" spans="1:7">
      <c r="A4143" s="20">
        <v>4142</v>
      </c>
      <c r="B4143" s="20">
        <v>9488</v>
      </c>
      <c r="C4143" s="21">
        <v>45241</v>
      </c>
      <c r="D4143" s="20">
        <v>4301.98</v>
      </c>
      <c r="E4143" s="22" t="s">
        <v>10</v>
      </c>
      <c r="F4143" s="22" t="s">
        <v>18</v>
      </c>
      <c r="G4143" s="22" t="s">
        <v>12</v>
      </c>
    </row>
    <row r="4144" ht="15.15" spans="1:7">
      <c r="A4144" s="20">
        <v>4143</v>
      </c>
      <c r="B4144" s="20">
        <v>5400</v>
      </c>
      <c r="C4144" s="21">
        <v>45265</v>
      </c>
      <c r="D4144" s="20">
        <v>1325.76</v>
      </c>
      <c r="E4144" s="22" t="s">
        <v>10</v>
      </c>
      <c r="F4144" s="22" t="s">
        <v>16</v>
      </c>
      <c r="G4144" s="22" t="s">
        <v>15</v>
      </c>
    </row>
    <row r="4145" ht="15.15" spans="1:7">
      <c r="A4145" s="20">
        <v>4144</v>
      </c>
      <c r="B4145" s="20">
        <v>5170</v>
      </c>
      <c r="C4145" s="21">
        <v>45134</v>
      </c>
      <c r="D4145" s="20">
        <v>479.1</v>
      </c>
      <c r="E4145" s="22" t="s">
        <v>21</v>
      </c>
      <c r="F4145" s="22" t="s">
        <v>14</v>
      </c>
      <c r="G4145" s="22" t="s">
        <v>17</v>
      </c>
    </row>
    <row r="4146" ht="15.15" spans="1:7">
      <c r="A4146" s="20">
        <v>4145</v>
      </c>
      <c r="B4146" s="20">
        <v>7875</v>
      </c>
      <c r="C4146" s="21">
        <v>45258</v>
      </c>
      <c r="D4146" s="20">
        <v>935.74</v>
      </c>
      <c r="E4146" s="22" t="s">
        <v>10</v>
      </c>
      <c r="F4146" s="22" t="s">
        <v>14</v>
      </c>
      <c r="G4146" s="22" t="s">
        <v>15</v>
      </c>
    </row>
    <row r="4147" ht="15.15" spans="1:7">
      <c r="A4147" s="20">
        <v>4146</v>
      </c>
      <c r="B4147" s="20">
        <v>9437</v>
      </c>
      <c r="C4147" s="21">
        <v>44928</v>
      </c>
      <c r="D4147" s="20">
        <v>665.18</v>
      </c>
      <c r="E4147" s="22" t="s">
        <v>10</v>
      </c>
      <c r="F4147" s="22" t="s">
        <v>18</v>
      </c>
      <c r="G4147" s="22" t="s">
        <v>15</v>
      </c>
    </row>
    <row r="4148" ht="15.15" spans="1:7">
      <c r="A4148" s="20">
        <v>4147</v>
      </c>
      <c r="B4148" s="20">
        <v>5070</v>
      </c>
      <c r="C4148" s="21">
        <v>45055</v>
      </c>
      <c r="D4148" s="20">
        <v>291.25</v>
      </c>
      <c r="E4148" s="22" t="s">
        <v>10</v>
      </c>
      <c r="F4148" s="22" t="s">
        <v>11</v>
      </c>
      <c r="G4148" s="22" t="s">
        <v>20</v>
      </c>
    </row>
    <row r="4149" ht="15.15" spans="1:7">
      <c r="A4149" s="20">
        <v>4148</v>
      </c>
      <c r="B4149" s="20">
        <v>6062</v>
      </c>
      <c r="C4149" s="21">
        <v>44978</v>
      </c>
      <c r="D4149" s="20">
        <v>276.75</v>
      </c>
      <c r="E4149" s="22" t="s">
        <v>10</v>
      </c>
      <c r="F4149" s="22" t="s">
        <v>16</v>
      </c>
      <c r="G4149" s="22" t="s">
        <v>15</v>
      </c>
    </row>
    <row r="4150" ht="15.15" spans="1:7">
      <c r="A4150" s="20">
        <v>4149</v>
      </c>
      <c r="B4150" s="20">
        <v>4860</v>
      </c>
      <c r="C4150" s="21">
        <v>45086</v>
      </c>
      <c r="D4150" s="20">
        <v>832.07</v>
      </c>
      <c r="E4150" s="22" t="s">
        <v>10</v>
      </c>
      <c r="F4150" s="22" t="s">
        <v>18</v>
      </c>
      <c r="G4150" s="22" t="s">
        <v>20</v>
      </c>
    </row>
    <row r="4151" ht="15.15" spans="1:7">
      <c r="A4151" s="20">
        <v>4150</v>
      </c>
      <c r="B4151" s="20">
        <v>9731</v>
      </c>
      <c r="C4151" s="21">
        <v>45277</v>
      </c>
      <c r="D4151" s="20">
        <v>112.48</v>
      </c>
      <c r="E4151" s="22" t="s">
        <v>10</v>
      </c>
      <c r="F4151" s="22" t="s">
        <v>18</v>
      </c>
      <c r="G4151" s="22" t="s">
        <v>17</v>
      </c>
    </row>
    <row r="4152" ht="15.15" spans="1:7">
      <c r="A4152" s="20">
        <v>4151</v>
      </c>
      <c r="B4152" s="20">
        <v>783</v>
      </c>
      <c r="C4152" s="21">
        <v>45259</v>
      </c>
      <c r="D4152" s="20">
        <v>1227.71</v>
      </c>
      <c r="E4152" s="22" t="s">
        <v>10</v>
      </c>
      <c r="F4152" s="22" t="s">
        <v>16</v>
      </c>
      <c r="G4152" s="22" t="s">
        <v>17</v>
      </c>
    </row>
    <row r="4153" ht="15.15" spans="1:7">
      <c r="A4153" s="20">
        <v>4152</v>
      </c>
      <c r="B4153" s="20">
        <v>6010</v>
      </c>
      <c r="C4153" s="21">
        <v>44946</v>
      </c>
      <c r="D4153" s="20">
        <v>448.19</v>
      </c>
      <c r="E4153" s="22" t="s">
        <v>10</v>
      </c>
      <c r="F4153" s="22" t="s">
        <v>14</v>
      </c>
      <c r="G4153" s="22" t="s">
        <v>15</v>
      </c>
    </row>
    <row r="4154" ht="15.15" spans="1:7">
      <c r="A4154" s="20">
        <v>4153</v>
      </c>
      <c r="B4154" s="20">
        <v>1182</v>
      </c>
      <c r="C4154" s="21">
        <v>45100</v>
      </c>
      <c r="D4154" s="20">
        <v>740.8</v>
      </c>
      <c r="E4154" s="22" t="s">
        <v>10</v>
      </c>
      <c r="F4154" s="22" t="s">
        <v>14</v>
      </c>
      <c r="G4154" s="22" t="s">
        <v>20</v>
      </c>
    </row>
    <row r="4155" ht="15.15" spans="1:7">
      <c r="A4155" s="20">
        <v>4154</v>
      </c>
      <c r="B4155" s="20">
        <v>4613</v>
      </c>
      <c r="C4155" s="21">
        <v>44992</v>
      </c>
      <c r="D4155" s="20">
        <v>791.3</v>
      </c>
      <c r="E4155" s="22" t="s">
        <v>10</v>
      </c>
      <c r="F4155" s="22" t="s">
        <v>11</v>
      </c>
      <c r="G4155" s="22" t="s">
        <v>17</v>
      </c>
    </row>
    <row r="4156" ht="15.15" spans="1:7">
      <c r="A4156" s="20">
        <v>4155</v>
      </c>
      <c r="B4156" s="20">
        <v>4280</v>
      </c>
      <c r="C4156" s="21">
        <v>45214</v>
      </c>
      <c r="D4156" s="20">
        <v>733.26</v>
      </c>
      <c r="E4156" s="22" t="s">
        <v>10</v>
      </c>
      <c r="F4156" s="22" t="s">
        <v>18</v>
      </c>
      <c r="G4156" s="22" t="s">
        <v>12</v>
      </c>
    </row>
    <row r="4157" ht="15.15" spans="1:7">
      <c r="A4157" s="20">
        <v>4156</v>
      </c>
      <c r="B4157" s="20">
        <v>548</v>
      </c>
      <c r="C4157" s="21">
        <v>44942</v>
      </c>
      <c r="D4157" s="20">
        <v>235.13</v>
      </c>
      <c r="E4157" s="22" t="s">
        <v>10</v>
      </c>
      <c r="F4157" s="22" t="s">
        <v>14</v>
      </c>
      <c r="G4157" s="22" t="s">
        <v>17</v>
      </c>
    </row>
    <row r="4158" ht="15.15" spans="1:7">
      <c r="A4158" s="20">
        <v>4157</v>
      </c>
      <c r="B4158" s="20">
        <v>6690</v>
      </c>
      <c r="C4158" s="21">
        <v>45078</v>
      </c>
      <c r="D4158" s="20">
        <v>599.12</v>
      </c>
      <c r="E4158" s="22" t="s">
        <v>10</v>
      </c>
      <c r="F4158" s="22" t="s">
        <v>18</v>
      </c>
      <c r="G4158" s="22" t="s">
        <v>15</v>
      </c>
    </row>
    <row r="4159" ht="15.15" spans="1:7">
      <c r="A4159" s="20">
        <v>4158</v>
      </c>
      <c r="B4159" s="20">
        <v>4170</v>
      </c>
      <c r="C4159" s="21">
        <v>45185</v>
      </c>
      <c r="D4159" s="20">
        <v>558.07</v>
      </c>
      <c r="E4159" s="22" t="s">
        <v>10</v>
      </c>
      <c r="F4159" s="22" t="s">
        <v>11</v>
      </c>
      <c r="G4159" s="22" t="s">
        <v>17</v>
      </c>
    </row>
    <row r="4160" ht="15.15" spans="1:7">
      <c r="A4160" s="20">
        <v>4159</v>
      </c>
      <c r="B4160" s="20">
        <v>8999</v>
      </c>
      <c r="C4160" s="21">
        <v>44987</v>
      </c>
      <c r="D4160" s="20">
        <v>1670.4</v>
      </c>
      <c r="E4160" s="22" t="s">
        <v>10</v>
      </c>
      <c r="F4160" s="22" t="s">
        <v>18</v>
      </c>
      <c r="G4160" s="22" t="s">
        <v>15</v>
      </c>
    </row>
    <row r="4161" ht="15.15" spans="1:7">
      <c r="A4161" s="20">
        <v>4160</v>
      </c>
      <c r="B4161" s="20">
        <v>1695</v>
      </c>
      <c r="C4161" s="21">
        <v>45220</v>
      </c>
      <c r="D4161" s="20">
        <v>2215.12</v>
      </c>
      <c r="E4161" s="22" t="s">
        <v>10</v>
      </c>
      <c r="F4161" s="22" t="s">
        <v>14</v>
      </c>
      <c r="G4161" s="22" t="s">
        <v>20</v>
      </c>
    </row>
    <row r="4162" ht="15.15" spans="1:7">
      <c r="A4162" s="20">
        <v>4161</v>
      </c>
      <c r="B4162" s="20">
        <v>2295</v>
      </c>
      <c r="C4162" s="21">
        <v>45094</v>
      </c>
      <c r="D4162" s="20">
        <v>4894.85</v>
      </c>
      <c r="E4162" s="22" t="s">
        <v>10</v>
      </c>
      <c r="F4162" s="22" t="s">
        <v>11</v>
      </c>
      <c r="G4162" s="22" t="s">
        <v>20</v>
      </c>
    </row>
    <row r="4163" ht="15.15" spans="1:7">
      <c r="A4163" s="20">
        <v>4162</v>
      </c>
      <c r="B4163" s="20">
        <v>4695</v>
      </c>
      <c r="C4163" s="21">
        <v>45263</v>
      </c>
      <c r="D4163" s="20">
        <v>1442.77</v>
      </c>
      <c r="E4163" s="22" t="s">
        <v>10</v>
      </c>
      <c r="F4163" s="22" t="s">
        <v>16</v>
      </c>
      <c r="G4163" s="22" t="s">
        <v>12</v>
      </c>
    </row>
    <row r="4164" ht="15.15" spans="1:7">
      <c r="A4164" s="20">
        <v>4163</v>
      </c>
      <c r="B4164" s="20">
        <v>9729</v>
      </c>
      <c r="C4164" s="21">
        <v>45253</v>
      </c>
      <c r="D4164" s="20">
        <v>1438.06</v>
      </c>
      <c r="E4164" s="22" t="s">
        <v>10</v>
      </c>
      <c r="F4164" s="22" t="s">
        <v>18</v>
      </c>
      <c r="G4164" s="22" t="s">
        <v>17</v>
      </c>
    </row>
    <row r="4165" ht="15.15" spans="1:7">
      <c r="A4165" s="20">
        <v>4164</v>
      </c>
      <c r="B4165" s="20">
        <v>7589</v>
      </c>
      <c r="C4165" s="21">
        <v>44953</v>
      </c>
      <c r="D4165" s="20">
        <v>3484.34</v>
      </c>
      <c r="E4165" s="22" t="s">
        <v>10</v>
      </c>
      <c r="F4165" s="22" t="s">
        <v>11</v>
      </c>
      <c r="G4165" s="22" t="s">
        <v>17</v>
      </c>
    </row>
    <row r="4166" ht="15.15" spans="1:7">
      <c r="A4166" s="20">
        <v>4165</v>
      </c>
      <c r="B4166" s="20">
        <v>6796</v>
      </c>
      <c r="C4166" s="21">
        <v>45244</v>
      </c>
      <c r="D4166" s="20">
        <v>1050.12</v>
      </c>
      <c r="E4166" s="22" t="s">
        <v>10</v>
      </c>
      <c r="F4166" s="22" t="s">
        <v>14</v>
      </c>
      <c r="G4166" s="22" t="s">
        <v>20</v>
      </c>
    </row>
    <row r="4167" ht="15.15" spans="1:7">
      <c r="A4167" s="20">
        <v>4166</v>
      </c>
      <c r="B4167" s="20">
        <v>6828</v>
      </c>
      <c r="C4167" s="21">
        <v>45025</v>
      </c>
      <c r="D4167" s="20">
        <v>367.55</v>
      </c>
      <c r="E4167" s="22" t="s">
        <v>10</v>
      </c>
      <c r="F4167" s="22" t="s">
        <v>14</v>
      </c>
      <c r="G4167" s="22" t="s">
        <v>17</v>
      </c>
    </row>
    <row r="4168" ht="15.15" spans="1:7">
      <c r="A4168" s="20">
        <v>4167</v>
      </c>
      <c r="B4168" s="20">
        <v>6219</v>
      </c>
      <c r="C4168" s="21">
        <v>44998</v>
      </c>
      <c r="D4168" s="20">
        <v>2967.29</v>
      </c>
      <c r="E4168" s="22" t="s">
        <v>10</v>
      </c>
      <c r="F4168" s="22" t="s">
        <v>18</v>
      </c>
      <c r="G4168" s="22" t="s">
        <v>20</v>
      </c>
    </row>
    <row r="4169" ht="15.15" spans="1:7">
      <c r="A4169" s="20">
        <v>4168</v>
      </c>
      <c r="B4169" s="20">
        <v>7491</v>
      </c>
      <c r="C4169" s="21">
        <v>45235</v>
      </c>
      <c r="D4169" s="20">
        <v>748.01</v>
      </c>
      <c r="E4169" s="22" t="s">
        <v>10</v>
      </c>
      <c r="F4169" s="22" t="s">
        <v>13</v>
      </c>
      <c r="G4169" s="22" t="s">
        <v>20</v>
      </c>
    </row>
    <row r="4170" ht="15.15" spans="1:7">
      <c r="A4170" s="20">
        <v>4169</v>
      </c>
      <c r="B4170" s="20">
        <v>9707</v>
      </c>
      <c r="C4170" s="21">
        <v>45172</v>
      </c>
      <c r="D4170" s="20">
        <v>1878.6</v>
      </c>
      <c r="E4170" s="22" t="s">
        <v>10</v>
      </c>
      <c r="F4170" s="22" t="s">
        <v>16</v>
      </c>
      <c r="G4170" s="22" t="s">
        <v>17</v>
      </c>
    </row>
    <row r="4171" ht="15.15" spans="1:7">
      <c r="A4171" s="20">
        <v>4170</v>
      </c>
      <c r="B4171" s="20">
        <v>2339</v>
      </c>
      <c r="C4171" s="21">
        <v>45197</v>
      </c>
      <c r="D4171" s="20">
        <v>601.36</v>
      </c>
      <c r="E4171" s="22" t="s">
        <v>10</v>
      </c>
      <c r="F4171" s="22" t="s">
        <v>13</v>
      </c>
      <c r="G4171" s="22" t="s">
        <v>17</v>
      </c>
    </row>
    <row r="4172" ht="15.15" spans="1:7">
      <c r="A4172" s="20">
        <v>4171</v>
      </c>
      <c r="B4172" s="20">
        <v>643</v>
      </c>
      <c r="C4172" s="21">
        <v>44957</v>
      </c>
      <c r="D4172" s="20">
        <v>1579.13</v>
      </c>
      <c r="E4172" s="22" t="s">
        <v>10</v>
      </c>
      <c r="F4172" s="22" t="s">
        <v>11</v>
      </c>
      <c r="G4172" s="22" t="s">
        <v>20</v>
      </c>
    </row>
    <row r="4173" ht="15.15" spans="1:7">
      <c r="A4173" s="20">
        <v>4172</v>
      </c>
      <c r="B4173" s="20">
        <v>4626</v>
      </c>
      <c r="C4173" s="21">
        <v>45236</v>
      </c>
      <c r="D4173" s="20">
        <v>142.43</v>
      </c>
      <c r="E4173" s="22" t="s">
        <v>10</v>
      </c>
      <c r="F4173" s="22" t="s">
        <v>13</v>
      </c>
      <c r="G4173" s="22" t="s">
        <v>15</v>
      </c>
    </row>
    <row r="4174" ht="15.15" spans="1:7">
      <c r="A4174" s="20">
        <v>4173</v>
      </c>
      <c r="B4174" s="20">
        <v>1146</v>
      </c>
      <c r="C4174" s="21">
        <v>45229</v>
      </c>
      <c r="D4174" s="20">
        <v>530.5</v>
      </c>
      <c r="E4174" s="22" t="s">
        <v>21</v>
      </c>
      <c r="F4174" s="22" t="s">
        <v>14</v>
      </c>
      <c r="G4174" s="22" t="s">
        <v>12</v>
      </c>
    </row>
    <row r="4175" ht="15.15" spans="1:7">
      <c r="A4175" s="20">
        <v>4174</v>
      </c>
      <c r="B4175" s="20">
        <v>1771</v>
      </c>
      <c r="C4175" s="21">
        <v>44978</v>
      </c>
      <c r="D4175" s="20">
        <v>2628.46</v>
      </c>
      <c r="E4175" s="22" t="s">
        <v>10</v>
      </c>
      <c r="F4175" s="22" t="s">
        <v>14</v>
      </c>
      <c r="G4175" s="22" t="s">
        <v>15</v>
      </c>
    </row>
    <row r="4176" ht="15.15" spans="1:7">
      <c r="A4176" s="20">
        <v>4175</v>
      </c>
      <c r="B4176" s="20">
        <v>4086</v>
      </c>
      <c r="C4176" s="21">
        <v>44999</v>
      </c>
      <c r="D4176" s="20">
        <v>2120.66</v>
      </c>
      <c r="E4176" s="22" t="s">
        <v>10</v>
      </c>
      <c r="F4176" s="22" t="s">
        <v>18</v>
      </c>
      <c r="G4176" s="22" t="s">
        <v>15</v>
      </c>
    </row>
    <row r="4177" ht="15.15" spans="1:7">
      <c r="A4177" s="20">
        <v>4176</v>
      </c>
      <c r="B4177" s="20">
        <v>333</v>
      </c>
      <c r="C4177" s="21">
        <v>45079</v>
      </c>
      <c r="D4177" s="20">
        <v>1777.25</v>
      </c>
      <c r="E4177" s="22" t="s">
        <v>10</v>
      </c>
      <c r="F4177" s="22" t="s">
        <v>19</v>
      </c>
      <c r="G4177" s="22" t="s">
        <v>17</v>
      </c>
    </row>
    <row r="4178" ht="15.15" spans="1:7">
      <c r="A4178" s="20">
        <v>4177</v>
      </c>
      <c r="B4178" s="20">
        <v>2469</v>
      </c>
      <c r="C4178" s="21">
        <v>45239</v>
      </c>
      <c r="D4178" s="20">
        <v>367.55</v>
      </c>
      <c r="E4178" s="22" t="s">
        <v>22</v>
      </c>
      <c r="F4178" s="22" t="s">
        <v>11</v>
      </c>
      <c r="G4178" s="22" t="s">
        <v>15</v>
      </c>
    </row>
    <row r="4179" ht="15.15" spans="1:7">
      <c r="A4179" s="20">
        <v>4178</v>
      </c>
      <c r="B4179" s="20">
        <v>3733</v>
      </c>
      <c r="C4179" s="21">
        <v>45166</v>
      </c>
      <c r="D4179" s="20">
        <v>1239.15</v>
      </c>
      <c r="E4179" s="22" t="s">
        <v>10</v>
      </c>
      <c r="F4179" s="22" t="s">
        <v>13</v>
      </c>
      <c r="G4179" s="22" t="s">
        <v>17</v>
      </c>
    </row>
    <row r="4180" ht="15.15" spans="1:7">
      <c r="A4180" s="20">
        <v>4179</v>
      </c>
      <c r="B4180" s="20">
        <v>5970</v>
      </c>
      <c r="C4180" s="21">
        <v>45241</v>
      </c>
      <c r="D4180" s="20">
        <v>2803.18</v>
      </c>
      <c r="E4180" s="22" t="s">
        <v>10</v>
      </c>
      <c r="F4180" s="22" t="s">
        <v>11</v>
      </c>
      <c r="G4180" s="22" t="s">
        <v>20</v>
      </c>
    </row>
    <row r="4181" ht="15.15" spans="1:7">
      <c r="A4181" s="20">
        <v>4180</v>
      </c>
      <c r="B4181" s="20">
        <v>163</v>
      </c>
      <c r="C4181" s="21">
        <v>45024</v>
      </c>
      <c r="D4181" s="20">
        <v>313.65</v>
      </c>
      <c r="E4181" s="22" t="s">
        <v>10</v>
      </c>
      <c r="F4181" s="22" t="s">
        <v>11</v>
      </c>
      <c r="G4181" s="22" t="s">
        <v>20</v>
      </c>
    </row>
    <row r="4182" ht="15.15" spans="1:7">
      <c r="A4182" s="20">
        <v>4181</v>
      </c>
      <c r="B4182" s="20">
        <v>642</v>
      </c>
      <c r="C4182" s="21">
        <v>45089</v>
      </c>
      <c r="D4182" s="20">
        <v>762.61</v>
      </c>
      <c r="E4182" s="22" t="s">
        <v>10</v>
      </c>
      <c r="F4182" s="22" t="s">
        <v>19</v>
      </c>
      <c r="G4182" s="22" t="s">
        <v>20</v>
      </c>
    </row>
    <row r="4183" ht="15.15" spans="1:7">
      <c r="A4183" s="20">
        <v>4182</v>
      </c>
      <c r="B4183" s="20">
        <v>2165</v>
      </c>
      <c r="C4183" s="21">
        <v>45285</v>
      </c>
      <c r="D4183" s="20">
        <v>2194.33</v>
      </c>
      <c r="E4183" s="22" t="s">
        <v>10</v>
      </c>
      <c r="F4183" s="22" t="s">
        <v>18</v>
      </c>
      <c r="G4183" s="22" t="s">
        <v>12</v>
      </c>
    </row>
    <row r="4184" ht="15.15" spans="1:7">
      <c r="A4184" s="20">
        <v>4183</v>
      </c>
      <c r="B4184" s="20">
        <v>163</v>
      </c>
      <c r="C4184" s="21">
        <v>45015</v>
      </c>
      <c r="D4184" s="20">
        <v>2110.32</v>
      </c>
      <c r="E4184" s="22" t="s">
        <v>10</v>
      </c>
      <c r="F4184" s="22" t="s">
        <v>11</v>
      </c>
      <c r="G4184" s="22" t="s">
        <v>17</v>
      </c>
    </row>
    <row r="4185" ht="15.15" spans="1:7">
      <c r="A4185" s="20">
        <v>4184</v>
      </c>
      <c r="B4185" s="20">
        <v>8314</v>
      </c>
      <c r="C4185" s="21">
        <v>45272</v>
      </c>
      <c r="D4185" s="20">
        <v>1439.25</v>
      </c>
      <c r="E4185" s="22" t="s">
        <v>10</v>
      </c>
      <c r="F4185" s="22" t="s">
        <v>16</v>
      </c>
      <c r="G4185" s="22" t="s">
        <v>15</v>
      </c>
    </row>
    <row r="4186" ht="15.15" spans="1:7">
      <c r="A4186" s="20">
        <v>4185</v>
      </c>
      <c r="B4186" s="20">
        <v>9950</v>
      </c>
      <c r="C4186" s="21">
        <v>44932</v>
      </c>
      <c r="D4186" s="20">
        <v>5216.12</v>
      </c>
      <c r="E4186" s="22" t="s">
        <v>10</v>
      </c>
      <c r="F4186" s="22" t="s">
        <v>14</v>
      </c>
      <c r="G4186" s="22" t="s">
        <v>12</v>
      </c>
    </row>
    <row r="4187" ht="15.15" spans="1:7">
      <c r="A4187" s="20">
        <v>4186</v>
      </c>
      <c r="B4187" s="20">
        <v>3034</v>
      </c>
      <c r="C4187" s="21">
        <v>45268</v>
      </c>
      <c r="D4187" s="20">
        <v>1008.02</v>
      </c>
      <c r="E4187" s="22" t="s">
        <v>10</v>
      </c>
      <c r="F4187" s="22" t="s">
        <v>16</v>
      </c>
      <c r="G4187" s="22" t="s">
        <v>17</v>
      </c>
    </row>
    <row r="4188" ht="15.15" spans="1:7">
      <c r="A4188" s="20">
        <v>4187</v>
      </c>
      <c r="B4188" s="20">
        <v>71</v>
      </c>
      <c r="C4188" s="21">
        <v>45076</v>
      </c>
      <c r="D4188" s="20">
        <v>3193.95</v>
      </c>
      <c r="E4188" s="22" t="s">
        <v>10</v>
      </c>
      <c r="F4188" s="22" t="s">
        <v>14</v>
      </c>
      <c r="G4188" s="22" t="s">
        <v>17</v>
      </c>
    </row>
    <row r="4189" ht="15.15" spans="1:7">
      <c r="A4189" s="20">
        <v>4188</v>
      </c>
      <c r="B4189" s="20">
        <v>4613</v>
      </c>
      <c r="C4189" s="21">
        <v>44984</v>
      </c>
      <c r="D4189" s="20">
        <v>872.98</v>
      </c>
      <c r="E4189" s="22" t="s">
        <v>10</v>
      </c>
      <c r="F4189" s="22" t="s">
        <v>11</v>
      </c>
      <c r="G4189" s="22" t="s">
        <v>12</v>
      </c>
    </row>
    <row r="4190" ht="15.15" spans="1:7">
      <c r="A4190" s="20">
        <v>4189</v>
      </c>
      <c r="B4190" s="20">
        <v>7986</v>
      </c>
      <c r="C4190" s="21">
        <v>45263</v>
      </c>
      <c r="D4190" s="20">
        <v>719.27</v>
      </c>
      <c r="E4190" s="22" t="s">
        <v>10</v>
      </c>
      <c r="F4190" s="22" t="s">
        <v>18</v>
      </c>
      <c r="G4190" s="22" t="s">
        <v>12</v>
      </c>
    </row>
    <row r="4191" ht="15.15" spans="1:7">
      <c r="A4191" s="20">
        <v>4190</v>
      </c>
      <c r="B4191" s="20">
        <v>5343</v>
      </c>
      <c r="C4191" s="21">
        <v>45051</v>
      </c>
      <c r="D4191" s="20">
        <v>1786.27</v>
      </c>
      <c r="E4191" s="22" t="s">
        <v>10</v>
      </c>
      <c r="F4191" s="22" t="s">
        <v>13</v>
      </c>
      <c r="G4191" s="22" t="s">
        <v>17</v>
      </c>
    </row>
    <row r="4192" ht="15.15" spans="1:7">
      <c r="A4192" s="20">
        <v>4191</v>
      </c>
      <c r="B4192" s="20">
        <v>5791</v>
      </c>
      <c r="C4192" s="21">
        <v>45245</v>
      </c>
      <c r="D4192" s="20">
        <v>5022.13</v>
      </c>
      <c r="E4192" s="22" t="s">
        <v>10</v>
      </c>
      <c r="F4192" s="22" t="s">
        <v>13</v>
      </c>
      <c r="G4192" s="22" t="s">
        <v>15</v>
      </c>
    </row>
    <row r="4193" ht="15.15" spans="1:7">
      <c r="A4193" s="20">
        <v>4192</v>
      </c>
      <c r="B4193" s="20">
        <v>8542</v>
      </c>
      <c r="C4193" s="21">
        <v>45106</v>
      </c>
      <c r="D4193" s="20">
        <v>1224.13</v>
      </c>
      <c r="E4193" s="22" t="s">
        <v>10</v>
      </c>
      <c r="F4193" s="22" t="s">
        <v>18</v>
      </c>
      <c r="G4193" s="22" t="s">
        <v>20</v>
      </c>
    </row>
    <row r="4194" ht="15.15" spans="1:7">
      <c r="A4194" s="20">
        <v>4193</v>
      </c>
      <c r="B4194" s="20">
        <v>8828</v>
      </c>
      <c r="C4194" s="21">
        <v>45051</v>
      </c>
      <c r="D4194" s="20">
        <v>2366.98</v>
      </c>
      <c r="E4194" s="22" t="s">
        <v>10</v>
      </c>
      <c r="F4194" s="22" t="s">
        <v>11</v>
      </c>
      <c r="G4194" s="22" t="s">
        <v>20</v>
      </c>
    </row>
    <row r="4195" ht="15.15" spans="1:7">
      <c r="A4195" s="20">
        <v>4194</v>
      </c>
      <c r="B4195" s="20">
        <v>6515</v>
      </c>
      <c r="C4195" s="21">
        <v>45046</v>
      </c>
      <c r="D4195" s="20">
        <v>538.64</v>
      </c>
      <c r="E4195" s="22" t="s">
        <v>10</v>
      </c>
      <c r="F4195" s="22" t="s">
        <v>14</v>
      </c>
      <c r="G4195" s="22" t="s">
        <v>15</v>
      </c>
    </row>
    <row r="4196" ht="15.15" spans="1:7">
      <c r="A4196" s="20">
        <v>4195</v>
      </c>
      <c r="B4196" s="20">
        <v>3899</v>
      </c>
      <c r="C4196" s="21">
        <v>45063</v>
      </c>
      <c r="D4196" s="20">
        <v>1928.04</v>
      </c>
      <c r="E4196" s="22" t="s">
        <v>10</v>
      </c>
      <c r="F4196" s="22" t="s">
        <v>16</v>
      </c>
      <c r="G4196" s="22" t="s">
        <v>15</v>
      </c>
    </row>
    <row r="4197" ht="15.15" spans="1:7">
      <c r="A4197" s="20">
        <v>4196</v>
      </c>
      <c r="B4197" s="20">
        <v>962</v>
      </c>
      <c r="C4197" s="21">
        <v>45033</v>
      </c>
      <c r="D4197" s="20">
        <v>549.86</v>
      </c>
      <c r="E4197" s="22" t="s">
        <v>10</v>
      </c>
      <c r="F4197" s="22" t="s">
        <v>18</v>
      </c>
      <c r="G4197" s="22" t="s">
        <v>17</v>
      </c>
    </row>
    <row r="4198" ht="15.15" spans="1:7">
      <c r="A4198" s="20">
        <v>4197</v>
      </c>
      <c r="B4198" s="20">
        <v>5921</v>
      </c>
      <c r="C4198" s="21">
        <v>44994</v>
      </c>
      <c r="D4198" s="20">
        <v>2410.81</v>
      </c>
      <c r="E4198" s="22" t="s">
        <v>10</v>
      </c>
      <c r="F4198" s="22" t="s">
        <v>13</v>
      </c>
      <c r="G4198" s="22" t="s">
        <v>20</v>
      </c>
    </row>
    <row r="4199" ht="15.15" spans="1:7">
      <c r="A4199" s="20">
        <v>4198</v>
      </c>
      <c r="B4199" s="20">
        <v>1207</v>
      </c>
      <c r="C4199" s="21">
        <v>45257</v>
      </c>
      <c r="D4199" s="20">
        <v>1213.16</v>
      </c>
      <c r="E4199" s="22" t="s">
        <v>10</v>
      </c>
      <c r="F4199" s="22" t="s">
        <v>18</v>
      </c>
      <c r="G4199" s="22" t="s">
        <v>15</v>
      </c>
    </row>
    <row r="4200" ht="15.15" spans="1:7">
      <c r="A4200" s="20">
        <v>4199</v>
      </c>
      <c r="B4200" s="20">
        <v>4685</v>
      </c>
      <c r="C4200" s="21">
        <v>45270</v>
      </c>
      <c r="D4200" s="20">
        <v>1554.74</v>
      </c>
      <c r="E4200" s="22" t="s">
        <v>10</v>
      </c>
      <c r="F4200" s="22" t="s">
        <v>14</v>
      </c>
      <c r="G4200" s="22" t="s">
        <v>17</v>
      </c>
    </row>
    <row r="4201" ht="15.15" spans="1:7">
      <c r="A4201" s="20">
        <v>4200</v>
      </c>
      <c r="B4201" s="20">
        <v>9292</v>
      </c>
      <c r="C4201" s="21">
        <v>45238</v>
      </c>
      <c r="D4201" s="20">
        <v>413.05</v>
      </c>
      <c r="E4201" s="22" t="s">
        <v>10</v>
      </c>
      <c r="F4201" s="22" t="s">
        <v>13</v>
      </c>
      <c r="G4201" s="22" t="s">
        <v>12</v>
      </c>
    </row>
    <row r="4202" ht="15.15" spans="1:7">
      <c r="A4202" s="20">
        <v>4201</v>
      </c>
      <c r="B4202" s="20">
        <v>3592</v>
      </c>
      <c r="C4202" s="21">
        <v>45176</v>
      </c>
      <c r="D4202" s="20">
        <v>587.66</v>
      </c>
      <c r="E4202" s="22" t="s">
        <v>10</v>
      </c>
      <c r="F4202" s="22" t="s">
        <v>18</v>
      </c>
      <c r="G4202" s="22" t="s">
        <v>12</v>
      </c>
    </row>
    <row r="4203" ht="15.15" spans="1:7">
      <c r="A4203" s="20">
        <v>4202</v>
      </c>
      <c r="B4203" s="20">
        <v>2255</v>
      </c>
      <c r="C4203" s="21">
        <v>45247</v>
      </c>
      <c r="D4203" s="20">
        <v>727.33</v>
      </c>
      <c r="E4203" s="22" t="s">
        <v>10</v>
      </c>
      <c r="F4203" s="22" t="s">
        <v>18</v>
      </c>
      <c r="G4203" s="22" t="s">
        <v>12</v>
      </c>
    </row>
    <row r="4204" ht="15.15" spans="1:7">
      <c r="A4204" s="20">
        <v>4203</v>
      </c>
      <c r="B4204" s="20">
        <v>1225</v>
      </c>
      <c r="C4204" s="21">
        <v>44940</v>
      </c>
      <c r="D4204" s="20">
        <v>1440.61</v>
      </c>
      <c r="E4204" s="22" t="s">
        <v>10</v>
      </c>
      <c r="F4204" s="22" t="s">
        <v>16</v>
      </c>
      <c r="G4204" s="22" t="s">
        <v>20</v>
      </c>
    </row>
    <row r="4205" ht="15.15" spans="1:7">
      <c r="A4205" s="20">
        <v>4204</v>
      </c>
      <c r="B4205" s="20">
        <v>3026</v>
      </c>
      <c r="C4205" s="21">
        <v>45240</v>
      </c>
      <c r="D4205" s="20">
        <v>159.37</v>
      </c>
      <c r="E4205" s="22" t="s">
        <v>10</v>
      </c>
      <c r="F4205" s="22" t="s">
        <v>11</v>
      </c>
      <c r="G4205" s="22" t="s">
        <v>12</v>
      </c>
    </row>
    <row r="4206" ht="15.15" spans="1:7">
      <c r="A4206" s="20">
        <v>4205</v>
      </c>
      <c r="B4206" s="20">
        <v>6585</v>
      </c>
      <c r="C4206" s="21">
        <v>45258</v>
      </c>
      <c r="D4206" s="20">
        <v>759.97</v>
      </c>
      <c r="E4206" s="22" t="s">
        <v>10</v>
      </c>
      <c r="F4206" s="22" t="s">
        <v>11</v>
      </c>
      <c r="G4206" s="22" t="s">
        <v>12</v>
      </c>
    </row>
    <row r="4207" ht="15.15" spans="1:7">
      <c r="A4207" s="20">
        <v>4206</v>
      </c>
      <c r="B4207" s="20">
        <v>4090</v>
      </c>
      <c r="C4207" s="21">
        <v>45197</v>
      </c>
      <c r="D4207" s="20">
        <v>232.22</v>
      </c>
      <c r="E4207" s="22" t="s">
        <v>10</v>
      </c>
      <c r="F4207" s="22" t="s">
        <v>16</v>
      </c>
      <c r="G4207" s="22" t="s">
        <v>20</v>
      </c>
    </row>
    <row r="4208" ht="15.15" spans="1:7">
      <c r="A4208" s="20">
        <v>4207</v>
      </c>
      <c r="B4208" s="20">
        <v>7930</v>
      </c>
      <c r="C4208" s="21">
        <v>45072</v>
      </c>
      <c r="D4208" s="20">
        <v>1033.01</v>
      </c>
      <c r="E4208" s="22" t="s">
        <v>10</v>
      </c>
      <c r="F4208" s="22" t="s">
        <v>14</v>
      </c>
      <c r="G4208" s="22" t="s">
        <v>20</v>
      </c>
    </row>
    <row r="4209" ht="15.15" spans="1:7">
      <c r="A4209" s="20">
        <v>4208</v>
      </c>
      <c r="B4209" s="20">
        <v>5795</v>
      </c>
      <c r="C4209" s="21">
        <v>45171</v>
      </c>
      <c r="D4209" s="20">
        <v>1036.22</v>
      </c>
      <c r="E4209" s="22" t="s">
        <v>10</v>
      </c>
      <c r="F4209" s="22" t="s">
        <v>19</v>
      </c>
      <c r="G4209" s="22" t="s">
        <v>15</v>
      </c>
    </row>
    <row r="4210" ht="15.15" spans="1:7">
      <c r="A4210" s="20">
        <v>4209</v>
      </c>
      <c r="B4210" s="20">
        <v>9300</v>
      </c>
      <c r="C4210" s="21">
        <v>45157</v>
      </c>
      <c r="D4210" s="20">
        <v>652.72</v>
      </c>
      <c r="E4210" s="22" t="s">
        <v>10</v>
      </c>
      <c r="F4210" s="22" t="s">
        <v>11</v>
      </c>
      <c r="G4210" s="22" t="s">
        <v>12</v>
      </c>
    </row>
    <row r="4211" ht="15.15" spans="1:7">
      <c r="A4211" s="20">
        <v>4210</v>
      </c>
      <c r="B4211" s="20">
        <v>4672</v>
      </c>
      <c r="C4211" s="21">
        <v>45046</v>
      </c>
      <c r="D4211" s="20">
        <v>890.09</v>
      </c>
      <c r="E4211" s="22" t="s">
        <v>10</v>
      </c>
      <c r="F4211" s="22" t="s">
        <v>18</v>
      </c>
      <c r="G4211" s="22" t="s">
        <v>15</v>
      </c>
    </row>
    <row r="4212" ht="15.15" spans="1:7">
      <c r="A4212" s="20">
        <v>4211</v>
      </c>
      <c r="B4212" s="20">
        <v>9169</v>
      </c>
      <c r="C4212" s="21">
        <v>45017</v>
      </c>
      <c r="D4212" s="20">
        <v>3082.5</v>
      </c>
      <c r="E4212" s="22" t="s">
        <v>10</v>
      </c>
      <c r="F4212" s="22" t="s">
        <v>13</v>
      </c>
      <c r="G4212" s="22" t="s">
        <v>17</v>
      </c>
    </row>
    <row r="4213" ht="15.15" spans="1:7">
      <c r="A4213" s="20">
        <v>4212</v>
      </c>
      <c r="B4213" s="20">
        <v>7524</v>
      </c>
      <c r="C4213" s="21">
        <v>45290</v>
      </c>
      <c r="D4213" s="20">
        <v>1186.93</v>
      </c>
      <c r="E4213" s="22" t="s">
        <v>10</v>
      </c>
      <c r="F4213" s="22" t="s">
        <v>18</v>
      </c>
      <c r="G4213" s="22" t="s">
        <v>17</v>
      </c>
    </row>
    <row r="4214" ht="15.15" spans="1:7">
      <c r="A4214" s="20">
        <v>4213</v>
      </c>
      <c r="B4214" s="20">
        <v>6158</v>
      </c>
      <c r="C4214" s="21">
        <v>45007</v>
      </c>
      <c r="D4214" s="20">
        <v>965.83</v>
      </c>
      <c r="E4214" s="22" t="s">
        <v>10</v>
      </c>
      <c r="F4214" s="22" t="s">
        <v>16</v>
      </c>
      <c r="G4214" s="22" t="s">
        <v>12</v>
      </c>
    </row>
    <row r="4215" ht="15.15" spans="1:7">
      <c r="A4215" s="20">
        <v>4214</v>
      </c>
      <c r="B4215" s="20">
        <v>1908</v>
      </c>
      <c r="C4215" s="21">
        <v>45155</v>
      </c>
      <c r="D4215" s="20">
        <v>1362.91</v>
      </c>
      <c r="E4215" s="22" t="s">
        <v>10</v>
      </c>
      <c r="F4215" s="22" t="s">
        <v>13</v>
      </c>
      <c r="G4215" s="22" t="s">
        <v>20</v>
      </c>
    </row>
    <row r="4216" ht="15.15" spans="1:7">
      <c r="A4216" s="20">
        <v>4215</v>
      </c>
      <c r="B4216" s="20">
        <v>8298</v>
      </c>
      <c r="C4216" s="21">
        <v>45006</v>
      </c>
      <c r="D4216" s="20">
        <v>189.69</v>
      </c>
      <c r="E4216" s="22" t="s">
        <v>10</v>
      </c>
      <c r="F4216" s="22" t="s">
        <v>11</v>
      </c>
      <c r="G4216" s="22" t="s">
        <v>20</v>
      </c>
    </row>
    <row r="4217" ht="15.15" spans="1:7">
      <c r="A4217" s="20">
        <v>4216</v>
      </c>
      <c r="B4217" s="20">
        <v>8212</v>
      </c>
      <c r="C4217" s="21">
        <v>45044</v>
      </c>
      <c r="D4217" s="20">
        <v>1201.51</v>
      </c>
      <c r="E4217" s="22" t="s">
        <v>10</v>
      </c>
      <c r="F4217" s="22" t="s">
        <v>11</v>
      </c>
      <c r="G4217" s="22" t="s">
        <v>17</v>
      </c>
    </row>
    <row r="4218" ht="15.15" spans="1:7">
      <c r="A4218" s="20">
        <v>4217</v>
      </c>
      <c r="B4218" s="20">
        <v>3731</v>
      </c>
      <c r="C4218" s="21">
        <v>45054</v>
      </c>
      <c r="D4218" s="20">
        <v>3179.05</v>
      </c>
      <c r="E4218" s="22" t="s">
        <v>10</v>
      </c>
      <c r="F4218" s="22" t="s">
        <v>11</v>
      </c>
      <c r="G4218" s="22" t="s">
        <v>12</v>
      </c>
    </row>
    <row r="4219" ht="15.15" spans="1:7">
      <c r="A4219" s="20">
        <v>4218</v>
      </c>
      <c r="B4219" s="20">
        <v>7070</v>
      </c>
      <c r="C4219" s="21">
        <v>45192</v>
      </c>
      <c r="D4219" s="20">
        <v>1273.37</v>
      </c>
      <c r="E4219" s="22" t="s">
        <v>10</v>
      </c>
      <c r="F4219" s="22" t="s">
        <v>16</v>
      </c>
      <c r="G4219" s="22" t="s">
        <v>12</v>
      </c>
    </row>
    <row r="4220" ht="15.15" spans="1:7">
      <c r="A4220" s="20">
        <v>4219</v>
      </c>
      <c r="B4220" s="20">
        <v>5676</v>
      </c>
      <c r="C4220" s="21">
        <v>45158</v>
      </c>
      <c r="D4220" s="20">
        <v>1201.22</v>
      </c>
      <c r="E4220" s="22" t="s">
        <v>10</v>
      </c>
      <c r="F4220" s="22" t="s">
        <v>14</v>
      </c>
      <c r="G4220" s="22" t="s">
        <v>20</v>
      </c>
    </row>
    <row r="4221" ht="15.15" spans="1:7">
      <c r="A4221" s="20">
        <v>4220</v>
      </c>
      <c r="B4221" s="20">
        <v>7284</v>
      </c>
      <c r="C4221" s="21">
        <v>45261</v>
      </c>
      <c r="D4221" s="20">
        <v>2156.22</v>
      </c>
      <c r="E4221" s="22" t="s">
        <v>10</v>
      </c>
      <c r="F4221" s="22" t="s">
        <v>11</v>
      </c>
      <c r="G4221" s="22" t="s">
        <v>15</v>
      </c>
    </row>
    <row r="4222" ht="15.15" spans="1:7">
      <c r="A4222" s="20">
        <v>4221</v>
      </c>
      <c r="B4222" s="20">
        <v>1903</v>
      </c>
      <c r="C4222" s="21">
        <v>45026</v>
      </c>
      <c r="D4222" s="20">
        <v>2456.2</v>
      </c>
      <c r="E4222" s="22" t="s">
        <v>10</v>
      </c>
      <c r="F4222" s="22" t="s">
        <v>13</v>
      </c>
      <c r="G4222" s="22" t="s">
        <v>17</v>
      </c>
    </row>
    <row r="4223" ht="15.15" spans="1:7">
      <c r="A4223" s="20">
        <v>4222</v>
      </c>
      <c r="B4223" s="20">
        <v>5220</v>
      </c>
      <c r="C4223" s="21">
        <v>45244</v>
      </c>
      <c r="D4223" s="20">
        <v>3040.85</v>
      </c>
      <c r="E4223" s="22" t="s">
        <v>10</v>
      </c>
      <c r="F4223" s="22" t="s">
        <v>16</v>
      </c>
      <c r="G4223" s="22" t="s">
        <v>17</v>
      </c>
    </row>
    <row r="4224" ht="15.15" spans="1:7">
      <c r="A4224" s="20">
        <v>4223</v>
      </c>
      <c r="B4224" s="20">
        <v>7226</v>
      </c>
      <c r="C4224" s="21">
        <v>45041</v>
      </c>
      <c r="D4224" s="20">
        <v>2127.95</v>
      </c>
      <c r="E4224" s="22" t="s">
        <v>10</v>
      </c>
      <c r="F4224" s="22" t="s">
        <v>18</v>
      </c>
      <c r="G4224" s="22" t="s">
        <v>12</v>
      </c>
    </row>
    <row r="4225" ht="15.15" spans="1:7">
      <c r="A4225" s="20">
        <v>4224</v>
      </c>
      <c r="B4225" s="20">
        <v>3241</v>
      </c>
      <c r="C4225" s="21">
        <v>45133</v>
      </c>
      <c r="D4225" s="20">
        <v>737.86</v>
      </c>
      <c r="E4225" s="22" t="s">
        <v>10</v>
      </c>
      <c r="F4225" s="22" t="s">
        <v>18</v>
      </c>
      <c r="G4225" s="22" t="s">
        <v>20</v>
      </c>
    </row>
    <row r="4226" ht="15.15" spans="1:7">
      <c r="A4226" s="20">
        <v>4225</v>
      </c>
      <c r="B4226" s="20">
        <v>7310</v>
      </c>
      <c r="C4226" s="21">
        <v>45019</v>
      </c>
      <c r="D4226" s="20">
        <v>8497.42</v>
      </c>
      <c r="E4226" s="22" t="s">
        <v>10</v>
      </c>
      <c r="F4226" s="22" t="s">
        <v>14</v>
      </c>
      <c r="G4226" s="22" t="s">
        <v>15</v>
      </c>
    </row>
    <row r="4227" ht="15.15" spans="1:7">
      <c r="A4227" s="20">
        <v>4226</v>
      </c>
      <c r="B4227" s="20">
        <v>7589</v>
      </c>
      <c r="C4227" s="21">
        <v>45005</v>
      </c>
      <c r="D4227" s="20">
        <v>806.82</v>
      </c>
      <c r="E4227" s="22" t="s">
        <v>10</v>
      </c>
      <c r="F4227" s="22" t="s">
        <v>11</v>
      </c>
      <c r="G4227" s="22" t="s">
        <v>12</v>
      </c>
    </row>
    <row r="4228" ht="15.15" spans="1:7">
      <c r="A4228" s="20">
        <v>4227</v>
      </c>
      <c r="B4228" s="20">
        <v>6568</v>
      </c>
      <c r="C4228" s="21">
        <v>45231</v>
      </c>
      <c r="D4228" s="20">
        <v>2150.82</v>
      </c>
      <c r="E4228" s="22" t="s">
        <v>10</v>
      </c>
      <c r="F4228" s="22" t="s">
        <v>18</v>
      </c>
      <c r="G4228" s="22" t="s">
        <v>12</v>
      </c>
    </row>
    <row r="4229" ht="15.15" spans="1:7">
      <c r="A4229" s="20">
        <v>4228</v>
      </c>
      <c r="B4229" s="20">
        <v>7954</v>
      </c>
      <c r="C4229" s="21">
        <v>45280</v>
      </c>
      <c r="D4229" s="20">
        <v>1188.26</v>
      </c>
      <c r="E4229" s="22" t="s">
        <v>10</v>
      </c>
      <c r="F4229" s="22" t="s">
        <v>18</v>
      </c>
      <c r="G4229" s="22" t="s">
        <v>20</v>
      </c>
    </row>
    <row r="4230" ht="15.15" spans="1:7">
      <c r="A4230" s="20">
        <v>4229</v>
      </c>
      <c r="B4230" s="20">
        <v>1398</v>
      </c>
      <c r="C4230" s="21">
        <v>45212</v>
      </c>
      <c r="D4230" s="20">
        <v>447.18</v>
      </c>
      <c r="E4230" s="22" t="s">
        <v>22</v>
      </c>
      <c r="F4230" s="22" t="s">
        <v>13</v>
      </c>
      <c r="G4230" s="22" t="s">
        <v>15</v>
      </c>
    </row>
    <row r="4231" ht="15.15" spans="1:7">
      <c r="A4231" s="20">
        <v>4230</v>
      </c>
      <c r="B4231" s="20">
        <v>3553</v>
      </c>
      <c r="C4231" s="21">
        <v>45041</v>
      </c>
      <c r="D4231" s="20">
        <v>2635.27</v>
      </c>
      <c r="E4231" s="22" t="s">
        <v>10</v>
      </c>
      <c r="F4231" s="22" t="s">
        <v>11</v>
      </c>
      <c r="G4231" s="22" t="s">
        <v>15</v>
      </c>
    </row>
    <row r="4232" ht="15.15" spans="1:7">
      <c r="A4232" s="20">
        <v>4231</v>
      </c>
      <c r="B4232" s="20">
        <v>6914</v>
      </c>
      <c r="C4232" s="21">
        <v>45178</v>
      </c>
      <c r="D4232" s="20">
        <v>1703.3</v>
      </c>
      <c r="E4232" s="22" t="s">
        <v>10</v>
      </c>
      <c r="F4232" s="22" t="s">
        <v>18</v>
      </c>
      <c r="G4232" s="22" t="s">
        <v>15</v>
      </c>
    </row>
    <row r="4233" ht="15.15" spans="1:7">
      <c r="A4233" s="20">
        <v>4232</v>
      </c>
      <c r="B4233" s="20">
        <v>3009</v>
      </c>
      <c r="C4233" s="21">
        <v>45215</v>
      </c>
      <c r="D4233" s="20">
        <v>1816.72</v>
      </c>
      <c r="E4233" s="22" t="s">
        <v>10</v>
      </c>
      <c r="F4233" s="22" t="s">
        <v>13</v>
      </c>
      <c r="G4233" s="22" t="s">
        <v>17</v>
      </c>
    </row>
    <row r="4234" ht="15.15" spans="1:7">
      <c r="A4234" s="20">
        <v>4233</v>
      </c>
      <c r="B4234" s="20">
        <v>9494</v>
      </c>
      <c r="C4234" s="21">
        <v>45222</v>
      </c>
      <c r="D4234" s="20">
        <v>6353.47</v>
      </c>
      <c r="E4234" s="22" t="s">
        <v>10</v>
      </c>
      <c r="F4234" s="22" t="s">
        <v>11</v>
      </c>
      <c r="G4234" s="22" t="s">
        <v>15</v>
      </c>
    </row>
    <row r="4235" ht="15.15" spans="1:7">
      <c r="A4235" s="20">
        <v>4234</v>
      </c>
      <c r="B4235" s="20">
        <v>2591</v>
      </c>
      <c r="C4235" s="21">
        <v>45198</v>
      </c>
      <c r="D4235" s="20">
        <v>6446.28</v>
      </c>
      <c r="E4235" s="22" t="s">
        <v>10</v>
      </c>
      <c r="F4235" s="22" t="s">
        <v>11</v>
      </c>
      <c r="G4235" s="22" t="s">
        <v>15</v>
      </c>
    </row>
    <row r="4236" ht="15.15" spans="1:7">
      <c r="A4236" s="20">
        <v>4235</v>
      </c>
      <c r="B4236" s="20">
        <v>1090</v>
      </c>
      <c r="C4236" s="21">
        <v>44967</v>
      </c>
      <c r="D4236" s="20">
        <v>907.35</v>
      </c>
      <c r="E4236" s="22" t="s">
        <v>10</v>
      </c>
      <c r="F4236" s="22" t="s">
        <v>13</v>
      </c>
      <c r="G4236" s="22" t="s">
        <v>12</v>
      </c>
    </row>
    <row r="4237" ht="15.15" spans="1:7">
      <c r="A4237" s="20">
        <v>4236</v>
      </c>
      <c r="B4237" s="20">
        <v>4044</v>
      </c>
      <c r="C4237" s="21">
        <v>45020</v>
      </c>
      <c r="D4237" s="20">
        <v>2951.7</v>
      </c>
      <c r="E4237" s="22" t="s">
        <v>10</v>
      </c>
      <c r="F4237" s="22" t="s">
        <v>13</v>
      </c>
      <c r="G4237" s="22" t="s">
        <v>15</v>
      </c>
    </row>
    <row r="4238" ht="15.15" spans="1:7">
      <c r="A4238" s="20">
        <v>4237</v>
      </c>
      <c r="B4238" s="20">
        <v>7080</v>
      </c>
      <c r="C4238" s="21">
        <v>45239</v>
      </c>
      <c r="D4238" s="20">
        <v>1658.45</v>
      </c>
      <c r="E4238" s="22" t="s">
        <v>10</v>
      </c>
      <c r="F4238" s="22" t="s">
        <v>11</v>
      </c>
      <c r="G4238" s="22" t="s">
        <v>15</v>
      </c>
    </row>
    <row r="4239" ht="15.15" spans="1:7">
      <c r="A4239" s="20">
        <v>4238</v>
      </c>
      <c r="B4239" s="20">
        <v>1637</v>
      </c>
      <c r="C4239" s="21">
        <v>45123</v>
      </c>
      <c r="D4239" s="20">
        <v>2368.58</v>
      </c>
      <c r="E4239" s="22" t="s">
        <v>10</v>
      </c>
      <c r="F4239" s="22" t="s">
        <v>16</v>
      </c>
      <c r="G4239" s="22" t="s">
        <v>20</v>
      </c>
    </row>
    <row r="4240" ht="15.15" spans="1:7">
      <c r="A4240" s="20">
        <v>4239</v>
      </c>
      <c r="B4240" s="20">
        <v>1026</v>
      </c>
      <c r="C4240" s="21">
        <v>45104</v>
      </c>
      <c r="D4240" s="20">
        <v>580</v>
      </c>
      <c r="E4240" s="22" t="s">
        <v>10</v>
      </c>
      <c r="F4240" s="22" t="s">
        <v>16</v>
      </c>
      <c r="G4240" s="22" t="s">
        <v>20</v>
      </c>
    </row>
    <row r="4241" ht="15.15" spans="1:7">
      <c r="A4241" s="20">
        <v>4240</v>
      </c>
      <c r="B4241" s="20">
        <v>9970</v>
      </c>
      <c r="C4241" s="21">
        <v>45259</v>
      </c>
      <c r="D4241" s="20">
        <v>628.59</v>
      </c>
      <c r="E4241" s="22" t="s">
        <v>10</v>
      </c>
      <c r="F4241" s="22" t="s">
        <v>19</v>
      </c>
      <c r="G4241" s="22" t="s">
        <v>20</v>
      </c>
    </row>
    <row r="4242" ht="15.15" spans="1:7">
      <c r="A4242" s="20">
        <v>4241</v>
      </c>
      <c r="B4242" s="20">
        <v>9766</v>
      </c>
      <c r="C4242" s="21">
        <v>45280</v>
      </c>
      <c r="D4242" s="20">
        <v>3662.39</v>
      </c>
      <c r="E4242" s="22" t="s">
        <v>10</v>
      </c>
      <c r="F4242" s="22" t="s">
        <v>16</v>
      </c>
      <c r="G4242" s="22" t="s">
        <v>20</v>
      </c>
    </row>
    <row r="4243" ht="15.15" spans="1:7">
      <c r="A4243" s="20">
        <v>4242</v>
      </c>
      <c r="B4243" s="20">
        <v>8706</v>
      </c>
      <c r="C4243" s="21">
        <v>44997</v>
      </c>
      <c r="D4243" s="20">
        <v>759.15</v>
      </c>
      <c r="E4243" s="22" t="s">
        <v>10</v>
      </c>
      <c r="F4243" s="22" t="s">
        <v>11</v>
      </c>
      <c r="G4243" s="22" t="s">
        <v>12</v>
      </c>
    </row>
    <row r="4244" ht="15.15" spans="1:7">
      <c r="A4244" s="20">
        <v>4243</v>
      </c>
      <c r="B4244" s="20">
        <v>8061</v>
      </c>
      <c r="C4244" s="21">
        <v>45265</v>
      </c>
      <c r="D4244" s="20">
        <v>1068.75</v>
      </c>
      <c r="E4244" s="22" t="s">
        <v>10</v>
      </c>
      <c r="F4244" s="22" t="s">
        <v>16</v>
      </c>
      <c r="G4244" s="22" t="s">
        <v>12</v>
      </c>
    </row>
    <row r="4245" ht="15.15" spans="1:7">
      <c r="A4245" s="20">
        <v>4244</v>
      </c>
      <c r="B4245" s="20">
        <v>4924</v>
      </c>
      <c r="C4245" s="21">
        <v>45241</v>
      </c>
      <c r="D4245" s="20">
        <v>2400.55</v>
      </c>
      <c r="E4245" s="22" t="s">
        <v>10</v>
      </c>
      <c r="F4245" s="22" t="s">
        <v>13</v>
      </c>
      <c r="G4245" s="22" t="s">
        <v>20</v>
      </c>
    </row>
    <row r="4246" ht="15.15" spans="1:7">
      <c r="A4246" s="20">
        <v>4245</v>
      </c>
      <c r="B4246" s="20">
        <v>5978</v>
      </c>
      <c r="C4246" s="21">
        <v>45000</v>
      </c>
      <c r="D4246" s="20">
        <v>1951.64</v>
      </c>
      <c r="E4246" s="22" t="s">
        <v>10</v>
      </c>
      <c r="F4246" s="22" t="s">
        <v>19</v>
      </c>
      <c r="G4246" s="22" t="s">
        <v>20</v>
      </c>
    </row>
    <row r="4247" ht="15.15" spans="1:7">
      <c r="A4247" s="20">
        <v>4246</v>
      </c>
      <c r="B4247" s="20">
        <v>1485</v>
      </c>
      <c r="C4247" s="21">
        <v>45257</v>
      </c>
      <c r="D4247" s="20">
        <v>3806.01</v>
      </c>
      <c r="E4247" s="22" t="s">
        <v>10</v>
      </c>
      <c r="F4247" s="22" t="s">
        <v>11</v>
      </c>
      <c r="G4247" s="22" t="s">
        <v>20</v>
      </c>
    </row>
    <row r="4248" ht="15.15" spans="1:7">
      <c r="A4248" s="20">
        <v>4247</v>
      </c>
      <c r="B4248" s="20">
        <v>4532</v>
      </c>
      <c r="C4248" s="21">
        <v>45035</v>
      </c>
      <c r="D4248" s="20">
        <v>1468.67</v>
      </c>
      <c r="E4248" s="22" t="s">
        <v>10</v>
      </c>
      <c r="F4248" s="22" t="s">
        <v>11</v>
      </c>
      <c r="G4248" s="22" t="s">
        <v>15</v>
      </c>
    </row>
    <row r="4249" ht="15.15" spans="1:7">
      <c r="A4249" s="20">
        <v>4248</v>
      </c>
      <c r="B4249" s="20">
        <v>140</v>
      </c>
      <c r="C4249" s="21">
        <v>45254</v>
      </c>
      <c r="D4249" s="20">
        <v>2853.05</v>
      </c>
      <c r="E4249" s="22" t="s">
        <v>10</v>
      </c>
      <c r="F4249" s="22" t="s">
        <v>13</v>
      </c>
      <c r="G4249" s="22" t="s">
        <v>15</v>
      </c>
    </row>
    <row r="4250" ht="15.15" spans="1:7">
      <c r="A4250" s="20">
        <v>4249</v>
      </c>
      <c r="B4250" s="20">
        <v>1910</v>
      </c>
      <c r="C4250" s="21">
        <v>45098</v>
      </c>
      <c r="D4250" s="20">
        <v>266.31</v>
      </c>
      <c r="E4250" s="22" t="s">
        <v>10</v>
      </c>
      <c r="F4250" s="22" t="s">
        <v>14</v>
      </c>
      <c r="G4250" s="22" t="s">
        <v>17</v>
      </c>
    </row>
    <row r="4251" ht="15.15" spans="1:7">
      <c r="A4251" s="20">
        <v>4250</v>
      </c>
      <c r="B4251" s="20">
        <v>6065</v>
      </c>
      <c r="C4251" s="21">
        <v>44999</v>
      </c>
      <c r="D4251" s="20">
        <v>2210.89</v>
      </c>
      <c r="E4251" s="22" t="s">
        <v>10</v>
      </c>
      <c r="F4251" s="22" t="s">
        <v>13</v>
      </c>
      <c r="G4251" s="22" t="s">
        <v>15</v>
      </c>
    </row>
    <row r="4252" ht="15.15" spans="1:7">
      <c r="A4252" s="20">
        <v>4251</v>
      </c>
      <c r="B4252" s="20">
        <v>9036</v>
      </c>
      <c r="C4252" s="21">
        <v>45026</v>
      </c>
      <c r="D4252" s="20">
        <v>871.69</v>
      </c>
      <c r="E4252" s="22" t="s">
        <v>10</v>
      </c>
      <c r="F4252" s="22" t="s">
        <v>11</v>
      </c>
      <c r="G4252" s="22" t="s">
        <v>20</v>
      </c>
    </row>
    <row r="4253" ht="15.15" spans="1:7">
      <c r="A4253" s="20">
        <v>4252</v>
      </c>
      <c r="B4253" s="20">
        <v>9304</v>
      </c>
      <c r="C4253" s="21">
        <v>45221</v>
      </c>
      <c r="D4253" s="20">
        <v>570.89</v>
      </c>
      <c r="E4253" s="22" t="s">
        <v>10</v>
      </c>
      <c r="F4253" s="22" t="s">
        <v>16</v>
      </c>
      <c r="G4253" s="22" t="s">
        <v>17</v>
      </c>
    </row>
    <row r="4254" ht="15.15" spans="1:7">
      <c r="A4254" s="20">
        <v>4253</v>
      </c>
      <c r="B4254" s="20">
        <v>1221</v>
      </c>
      <c r="C4254" s="21">
        <v>44943</v>
      </c>
      <c r="D4254" s="20">
        <v>864.86</v>
      </c>
      <c r="E4254" s="22" t="s">
        <v>10</v>
      </c>
      <c r="F4254" s="22" t="s">
        <v>13</v>
      </c>
      <c r="G4254" s="22" t="s">
        <v>12</v>
      </c>
    </row>
    <row r="4255" ht="15.15" spans="1:7">
      <c r="A4255" s="20">
        <v>4254</v>
      </c>
      <c r="B4255" s="20">
        <v>3156</v>
      </c>
      <c r="C4255" s="21">
        <v>45195</v>
      </c>
      <c r="D4255" s="20">
        <v>6697.53</v>
      </c>
      <c r="E4255" s="22" t="s">
        <v>10</v>
      </c>
      <c r="F4255" s="22" t="s">
        <v>13</v>
      </c>
      <c r="G4255" s="22" t="s">
        <v>20</v>
      </c>
    </row>
    <row r="4256" ht="15.15" spans="1:7">
      <c r="A4256" s="20">
        <v>4255</v>
      </c>
      <c r="B4256" s="20">
        <v>1128</v>
      </c>
      <c r="C4256" s="21">
        <v>45136</v>
      </c>
      <c r="D4256" s="20">
        <v>1009.02</v>
      </c>
      <c r="E4256" s="22" t="s">
        <v>10</v>
      </c>
      <c r="F4256" s="22" t="s">
        <v>14</v>
      </c>
      <c r="G4256" s="22" t="s">
        <v>12</v>
      </c>
    </row>
    <row r="4257" ht="15.15" spans="1:7">
      <c r="A4257" s="20">
        <v>4256</v>
      </c>
      <c r="B4257" s="20">
        <v>1759</v>
      </c>
      <c r="C4257" s="21">
        <v>45145</v>
      </c>
      <c r="D4257" s="20">
        <v>1995.72</v>
      </c>
      <c r="E4257" s="22" t="s">
        <v>10</v>
      </c>
      <c r="F4257" s="22" t="s">
        <v>16</v>
      </c>
      <c r="G4257" s="22" t="s">
        <v>12</v>
      </c>
    </row>
    <row r="4258" ht="15.15" spans="1:7">
      <c r="A4258" s="20">
        <v>4257</v>
      </c>
      <c r="B4258" s="20">
        <v>5898</v>
      </c>
      <c r="C4258" s="21">
        <v>45168</v>
      </c>
      <c r="D4258" s="20">
        <v>2057.51</v>
      </c>
      <c r="E4258" s="22" t="s">
        <v>10</v>
      </c>
      <c r="F4258" s="22" t="s">
        <v>14</v>
      </c>
      <c r="G4258" s="22" t="s">
        <v>12</v>
      </c>
    </row>
    <row r="4259" ht="15.15" spans="1:7">
      <c r="A4259" s="20">
        <v>4258</v>
      </c>
      <c r="B4259" s="20">
        <v>8829</v>
      </c>
      <c r="C4259" s="21">
        <v>45121</v>
      </c>
      <c r="D4259" s="20">
        <v>899.62</v>
      </c>
      <c r="E4259" s="22" t="s">
        <v>10</v>
      </c>
      <c r="F4259" s="22" t="s">
        <v>11</v>
      </c>
      <c r="G4259" s="22" t="s">
        <v>20</v>
      </c>
    </row>
    <row r="4260" ht="15.15" spans="1:7">
      <c r="A4260" s="20">
        <v>4259</v>
      </c>
      <c r="B4260" s="20">
        <v>2076</v>
      </c>
      <c r="C4260" s="21">
        <v>45233</v>
      </c>
      <c r="D4260" s="20">
        <v>602.71</v>
      </c>
      <c r="E4260" s="22" t="s">
        <v>10</v>
      </c>
      <c r="F4260" s="22" t="s">
        <v>13</v>
      </c>
      <c r="G4260" s="22" t="s">
        <v>15</v>
      </c>
    </row>
    <row r="4261" ht="15.15" spans="1:7">
      <c r="A4261" s="20">
        <v>4260</v>
      </c>
      <c r="B4261" s="20">
        <v>5630</v>
      </c>
      <c r="C4261" s="21">
        <v>44960</v>
      </c>
      <c r="D4261" s="20">
        <v>914.09</v>
      </c>
      <c r="E4261" s="22" t="s">
        <v>10</v>
      </c>
      <c r="F4261" s="22" t="s">
        <v>11</v>
      </c>
      <c r="G4261" s="22" t="s">
        <v>12</v>
      </c>
    </row>
    <row r="4262" ht="15.15" spans="1:7">
      <c r="A4262" s="20">
        <v>4261</v>
      </c>
      <c r="B4262" s="20">
        <v>3569</v>
      </c>
      <c r="C4262" s="21">
        <v>45254</v>
      </c>
      <c r="D4262" s="20">
        <v>808.43</v>
      </c>
      <c r="E4262" s="22" t="s">
        <v>10</v>
      </c>
      <c r="F4262" s="22" t="s">
        <v>19</v>
      </c>
      <c r="G4262" s="22" t="s">
        <v>15</v>
      </c>
    </row>
    <row r="4263" ht="15.15" spans="1:7">
      <c r="A4263" s="20">
        <v>4262</v>
      </c>
      <c r="B4263" s="20">
        <v>8213</v>
      </c>
      <c r="C4263" s="21">
        <v>44965</v>
      </c>
      <c r="D4263" s="20">
        <v>485.49</v>
      </c>
      <c r="E4263" s="22" t="s">
        <v>10</v>
      </c>
      <c r="F4263" s="22" t="s">
        <v>16</v>
      </c>
      <c r="G4263" s="22" t="s">
        <v>17</v>
      </c>
    </row>
    <row r="4264" ht="15.15" spans="1:7">
      <c r="A4264" s="20">
        <v>4263</v>
      </c>
      <c r="B4264" s="20">
        <v>4581</v>
      </c>
      <c r="C4264" s="21">
        <v>44991</v>
      </c>
      <c r="D4264" s="20">
        <v>313.65</v>
      </c>
      <c r="E4264" s="22" t="s">
        <v>10</v>
      </c>
      <c r="F4264" s="22" t="s">
        <v>19</v>
      </c>
      <c r="G4264" s="22" t="s">
        <v>15</v>
      </c>
    </row>
    <row r="4265" ht="15.15" spans="1:7">
      <c r="A4265" s="20">
        <v>4264</v>
      </c>
      <c r="B4265" s="20">
        <v>9755</v>
      </c>
      <c r="C4265" s="21">
        <v>45072</v>
      </c>
      <c r="D4265" s="20">
        <v>921.42</v>
      </c>
      <c r="E4265" s="22" t="s">
        <v>10</v>
      </c>
      <c r="F4265" s="22" t="s">
        <v>11</v>
      </c>
      <c r="G4265" s="22" t="s">
        <v>20</v>
      </c>
    </row>
    <row r="4266" ht="15.15" spans="1:7">
      <c r="A4266" s="20">
        <v>4265</v>
      </c>
      <c r="B4266" s="20">
        <v>3057</v>
      </c>
      <c r="C4266" s="21">
        <v>45290</v>
      </c>
      <c r="D4266" s="20">
        <v>484.59</v>
      </c>
      <c r="E4266" s="22" t="s">
        <v>10</v>
      </c>
      <c r="F4266" s="22" t="s">
        <v>13</v>
      </c>
      <c r="G4266" s="22" t="s">
        <v>12</v>
      </c>
    </row>
    <row r="4267" ht="15.15" spans="1:7">
      <c r="A4267" s="20">
        <v>4266</v>
      </c>
      <c r="B4267" s="20">
        <v>7899</v>
      </c>
      <c r="C4267" s="21">
        <v>45166</v>
      </c>
      <c r="D4267" s="20">
        <v>1007.61</v>
      </c>
      <c r="E4267" s="22" t="s">
        <v>10</v>
      </c>
      <c r="F4267" s="22" t="s">
        <v>11</v>
      </c>
      <c r="G4267" s="22" t="s">
        <v>17</v>
      </c>
    </row>
    <row r="4268" ht="15.15" spans="1:7">
      <c r="A4268" s="20">
        <v>4267</v>
      </c>
      <c r="B4268" s="20">
        <v>5389</v>
      </c>
      <c r="C4268" s="21">
        <v>45239</v>
      </c>
      <c r="D4268" s="20">
        <v>84.52</v>
      </c>
      <c r="E4268" s="22" t="s">
        <v>10</v>
      </c>
      <c r="F4268" s="22" t="s">
        <v>16</v>
      </c>
      <c r="G4268" s="22" t="s">
        <v>17</v>
      </c>
    </row>
    <row r="4269" ht="15.15" spans="1:7">
      <c r="A4269" s="20">
        <v>4268</v>
      </c>
      <c r="B4269" s="20">
        <v>757</v>
      </c>
      <c r="C4269" s="21">
        <v>45265</v>
      </c>
      <c r="D4269" s="20">
        <v>1169</v>
      </c>
      <c r="E4269" s="22" t="s">
        <v>10</v>
      </c>
      <c r="F4269" s="22" t="s">
        <v>16</v>
      </c>
      <c r="G4269" s="22" t="s">
        <v>17</v>
      </c>
    </row>
    <row r="4270" ht="15.15" spans="1:7">
      <c r="A4270" s="20">
        <v>4269</v>
      </c>
      <c r="B4270" s="20">
        <v>3079</v>
      </c>
      <c r="C4270" s="21">
        <v>44971</v>
      </c>
      <c r="D4270" s="20">
        <v>447.46</v>
      </c>
      <c r="E4270" s="22" t="s">
        <v>10</v>
      </c>
      <c r="F4270" s="22" t="s">
        <v>18</v>
      </c>
      <c r="G4270" s="22" t="s">
        <v>20</v>
      </c>
    </row>
    <row r="4271" ht="15.15" spans="1:7">
      <c r="A4271" s="20">
        <v>4270</v>
      </c>
      <c r="B4271" s="20">
        <v>5833</v>
      </c>
      <c r="C4271" s="21">
        <v>45053</v>
      </c>
      <c r="D4271" s="20">
        <v>818.94</v>
      </c>
      <c r="E4271" s="22" t="s">
        <v>10</v>
      </c>
      <c r="F4271" s="22" t="s">
        <v>14</v>
      </c>
      <c r="G4271" s="22" t="s">
        <v>20</v>
      </c>
    </row>
    <row r="4272" ht="15.15" spans="1:7">
      <c r="A4272" s="20">
        <v>4271</v>
      </c>
      <c r="B4272" s="20">
        <v>9868</v>
      </c>
      <c r="C4272" s="21">
        <v>45249</v>
      </c>
      <c r="D4272" s="20">
        <v>535.99</v>
      </c>
      <c r="E4272" s="22" t="s">
        <v>10</v>
      </c>
      <c r="F4272" s="22" t="s">
        <v>14</v>
      </c>
      <c r="G4272" s="22" t="s">
        <v>17</v>
      </c>
    </row>
    <row r="4273" ht="15.15" spans="1:7">
      <c r="A4273" s="20">
        <v>4272</v>
      </c>
      <c r="B4273" s="20">
        <v>908</v>
      </c>
      <c r="C4273" s="21">
        <v>45035</v>
      </c>
      <c r="D4273" s="20">
        <v>496.01</v>
      </c>
      <c r="E4273" s="22" t="s">
        <v>10</v>
      </c>
      <c r="F4273" s="22" t="s">
        <v>14</v>
      </c>
      <c r="G4273" s="22" t="s">
        <v>17</v>
      </c>
    </row>
    <row r="4274" ht="15.15" spans="1:7">
      <c r="A4274" s="20">
        <v>4273</v>
      </c>
      <c r="B4274" s="20">
        <v>8926</v>
      </c>
      <c r="C4274" s="21">
        <v>45187</v>
      </c>
      <c r="D4274" s="20">
        <v>759.97</v>
      </c>
      <c r="E4274" s="22" t="s">
        <v>10</v>
      </c>
      <c r="F4274" s="22" t="s">
        <v>18</v>
      </c>
      <c r="G4274" s="22" t="s">
        <v>20</v>
      </c>
    </row>
    <row r="4275" ht="15.15" spans="1:7">
      <c r="A4275" s="20">
        <v>4274</v>
      </c>
      <c r="B4275" s="20">
        <v>5478</v>
      </c>
      <c r="C4275" s="21">
        <v>45271</v>
      </c>
      <c r="D4275" s="20">
        <v>971.78</v>
      </c>
      <c r="E4275" s="22" t="s">
        <v>10</v>
      </c>
      <c r="F4275" s="22" t="s">
        <v>11</v>
      </c>
      <c r="G4275" s="22" t="s">
        <v>20</v>
      </c>
    </row>
    <row r="4276" ht="15.15" spans="1:7">
      <c r="A4276" s="20">
        <v>4275</v>
      </c>
      <c r="B4276" s="20">
        <v>8026</v>
      </c>
      <c r="C4276" s="21">
        <v>45043</v>
      </c>
      <c r="D4276" s="20">
        <v>815.03</v>
      </c>
      <c r="E4276" s="22" t="s">
        <v>10</v>
      </c>
      <c r="F4276" s="22" t="s">
        <v>11</v>
      </c>
      <c r="G4276" s="22" t="s">
        <v>17</v>
      </c>
    </row>
    <row r="4277" ht="15.15" spans="1:7">
      <c r="A4277" s="20">
        <v>4276</v>
      </c>
      <c r="B4277" s="20">
        <v>1954</v>
      </c>
      <c r="C4277" s="21">
        <v>45242</v>
      </c>
      <c r="D4277" s="20">
        <v>374.8</v>
      </c>
      <c r="E4277" s="22" t="s">
        <v>22</v>
      </c>
      <c r="F4277" s="22" t="s">
        <v>16</v>
      </c>
      <c r="G4277" s="22" t="s">
        <v>12</v>
      </c>
    </row>
    <row r="4278" ht="15.15" spans="1:7">
      <c r="A4278" s="20">
        <v>4277</v>
      </c>
      <c r="B4278" s="20">
        <v>3122</v>
      </c>
      <c r="C4278" s="21">
        <v>45050</v>
      </c>
      <c r="D4278" s="20">
        <v>3697.74</v>
      </c>
      <c r="E4278" s="22" t="s">
        <v>10</v>
      </c>
      <c r="F4278" s="22" t="s">
        <v>14</v>
      </c>
      <c r="G4278" s="22" t="s">
        <v>17</v>
      </c>
    </row>
    <row r="4279" ht="15.15" spans="1:7">
      <c r="A4279" s="20">
        <v>4278</v>
      </c>
      <c r="B4279" s="20">
        <v>1583</v>
      </c>
      <c r="C4279" s="21">
        <v>45019</v>
      </c>
      <c r="D4279" s="20">
        <v>644.55</v>
      </c>
      <c r="E4279" s="22" t="s">
        <v>10</v>
      </c>
      <c r="F4279" s="22" t="s">
        <v>16</v>
      </c>
      <c r="G4279" s="22" t="s">
        <v>15</v>
      </c>
    </row>
    <row r="4280" ht="15.15" spans="1:7">
      <c r="A4280" s="20">
        <v>4279</v>
      </c>
      <c r="B4280" s="20">
        <v>6281</v>
      </c>
      <c r="C4280" s="21">
        <v>44997</v>
      </c>
      <c r="D4280" s="20">
        <v>2148.08</v>
      </c>
      <c r="E4280" s="22" t="s">
        <v>10</v>
      </c>
      <c r="F4280" s="22" t="s">
        <v>18</v>
      </c>
      <c r="G4280" s="22" t="s">
        <v>17</v>
      </c>
    </row>
    <row r="4281" ht="15.15" spans="1:7">
      <c r="A4281" s="20">
        <v>4280</v>
      </c>
      <c r="B4281" s="20">
        <v>3493</v>
      </c>
      <c r="C4281" s="21">
        <v>45071</v>
      </c>
      <c r="D4281" s="20">
        <v>96.07</v>
      </c>
      <c r="E4281" s="22" t="s">
        <v>10</v>
      </c>
      <c r="F4281" s="22" t="s">
        <v>11</v>
      </c>
      <c r="G4281" s="22" t="s">
        <v>20</v>
      </c>
    </row>
    <row r="4282" ht="15.15" spans="1:7">
      <c r="A4282" s="20">
        <v>4281</v>
      </c>
      <c r="B4282" s="20">
        <v>3477</v>
      </c>
      <c r="C4282" s="21">
        <v>45124</v>
      </c>
      <c r="D4282" s="20">
        <v>96.07</v>
      </c>
      <c r="E4282" s="22" t="s">
        <v>10</v>
      </c>
      <c r="F4282" s="22" t="s">
        <v>13</v>
      </c>
      <c r="G4282" s="22" t="s">
        <v>20</v>
      </c>
    </row>
    <row r="4283" ht="15.15" spans="1:7">
      <c r="A4283" s="20">
        <v>4282</v>
      </c>
      <c r="B4283" s="20">
        <v>2647</v>
      </c>
      <c r="C4283" s="21">
        <v>45051</v>
      </c>
      <c r="D4283" s="20">
        <v>1293.47</v>
      </c>
      <c r="E4283" s="22" t="s">
        <v>10</v>
      </c>
      <c r="F4283" s="22" t="s">
        <v>11</v>
      </c>
      <c r="G4283" s="22" t="s">
        <v>15</v>
      </c>
    </row>
    <row r="4284" ht="15.15" spans="1:7">
      <c r="A4284" s="20">
        <v>4283</v>
      </c>
      <c r="B4284" s="20">
        <v>7710</v>
      </c>
      <c r="C4284" s="21">
        <v>45116</v>
      </c>
      <c r="D4284" s="20">
        <v>339.07</v>
      </c>
      <c r="E4284" s="22" t="s">
        <v>10</v>
      </c>
      <c r="F4284" s="22" t="s">
        <v>16</v>
      </c>
      <c r="G4284" s="22" t="s">
        <v>15</v>
      </c>
    </row>
    <row r="4285" ht="15.15" spans="1:7">
      <c r="A4285" s="20">
        <v>4284</v>
      </c>
      <c r="B4285" s="20">
        <v>4466</v>
      </c>
      <c r="C4285" s="21">
        <v>45281</v>
      </c>
      <c r="D4285" s="20">
        <v>1605.62</v>
      </c>
      <c r="E4285" s="22" t="s">
        <v>10</v>
      </c>
      <c r="F4285" s="22" t="s">
        <v>13</v>
      </c>
      <c r="G4285" s="22" t="s">
        <v>20</v>
      </c>
    </row>
    <row r="4286" ht="15.15" spans="1:7">
      <c r="A4286" s="20">
        <v>4285</v>
      </c>
      <c r="B4286" s="20">
        <v>4384</v>
      </c>
      <c r="C4286" s="21">
        <v>45007</v>
      </c>
      <c r="D4286" s="20">
        <v>2929.53</v>
      </c>
      <c r="E4286" s="22" t="s">
        <v>10</v>
      </c>
      <c r="F4286" s="22" t="s">
        <v>11</v>
      </c>
      <c r="G4286" s="22" t="s">
        <v>12</v>
      </c>
    </row>
    <row r="4287" ht="15.15" spans="1:7">
      <c r="A4287" s="20">
        <v>4286</v>
      </c>
      <c r="B4287" s="20">
        <v>9061</v>
      </c>
      <c r="C4287" s="21">
        <v>45109</v>
      </c>
      <c r="D4287" s="20">
        <v>3263.15</v>
      </c>
      <c r="E4287" s="22" t="s">
        <v>10</v>
      </c>
      <c r="F4287" s="22" t="s">
        <v>18</v>
      </c>
      <c r="G4287" s="22" t="s">
        <v>15</v>
      </c>
    </row>
    <row r="4288" ht="15.15" spans="1:7">
      <c r="A4288" s="20">
        <v>4287</v>
      </c>
      <c r="B4288" s="20">
        <v>3010</v>
      </c>
      <c r="C4288" s="21">
        <v>45265</v>
      </c>
      <c r="D4288" s="20">
        <v>623.01</v>
      </c>
      <c r="E4288" s="22" t="s">
        <v>10</v>
      </c>
      <c r="F4288" s="22" t="s">
        <v>14</v>
      </c>
      <c r="G4288" s="22" t="s">
        <v>15</v>
      </c>
    </row>
    <row r="4289" ht="15.15" spans="1:7">
      <c r="A4289" s="20">
        <v>4288</v>
      </c>
      <c r="B4289" s="20">
        <v>4247</v>
      </c>
      <c r="C4289" s="21">
        <v>45153</v>
      </c>
      <c r="D4289" s="20">
        <v>1326.72</v>
      </c>
      <c r="E4289" s="22" t="s">
        <v>10</v>
      </c>
      <c r="F4289" s="22" t="s">
        <v>18</v>
      </c>
      <c r="G4289" s="22" t="s">
        <v>12</v>
      </c>
    </row>
    <row r="4290" ht="15.15" spans="1:7">
      <c r="A4290" s="20">
        <v>4289</v>
      </c>
      <c r="B4290" s="20">
        <v>9180</v>
      </c>
      <c r="C4290" s="21">
        <v>45182</v>
      </c>
      <c r="D4290" s="20">
        <v>3673.04</v>
      </c>
      <c r="E4290" s="22" t="s">
        <v>10</v>
      </c>
      <c r="F4290" s="22" t="s">
        <v>11</v>
      </c>
      <c r="G4290" s="22" t="s">
        <v>20</v>
      </c>
    </row>
    <row r="4291" ht="15.15" spans="1:7">
      <c r="A4291" s="20">
        <v>4290</v>
      </c>
      <c r="B4291" s="20">
        <v>2106</v>
      </c>
      <c r="C4291" s="21">
        <v>45085</v>
      </c>
      <c r="D4291" s="20">
        <v>439.45</v>
      </c>
      <c r="E4291" s="22" t="s">
        <v>10</v>
      </c>
      <c r="F4291" s="22" t="s">
        <v>14</v>
      </c>
      <c r="G4291" s="22" t="s">
        <v>20</v>
      </c>
    </row>
    <row r="4292" ht="15.15" spans="1:7">
      <c r="A4292" s="20">
        <v>4291</v>
      </c>
      <c r="B4292" s="20">
        <v>7030</v>
      </c>
      <c r="C4292" s="21">
        <v>45045</v>
      </c>
      <c r="D4292" s="20">
        <v>629.85</v>
      </c>
      <c r="E4292" s="22" t="s">
        <v>10</v>
      </c>
      <c r="F4292" s="22" t="s">
        <v>11</v>
      </c>
      <c r="G4292" s="22" t="s">
        <v>17</v>
      </c>
    </row>
    <row r="4293" ht="15.15" spans="1:7">
      <c r="A4293" s="20">
        <v>4292</v>
      </c>
      <c r="B4293" s="20">
        <v>4236</v>
      </c>
      <c r="C4293" s="21">
        <v>45119</v>
      </c>
      <c r="D4293" s="20">
        <v>1042.44</v>
      </c>
      <c r="E4293" s="22" t="s">
        <v>10</v>
      </c>
      <c r="F4293" s="22" t="s">
        <v>13</v>
      </c>
      <c r="G4293" s="22" t="s">
        <v>20</v>
      </c>
    </row>
    <row r="4294" ht="15.15" spans="1:7">
      <c r="A4294" s="20">
        <v>4293</v>
      </c>
      <c r="B4294" s="20">
        <v>5155</v>
      </c>
      <c r="C4294" s="21">
        <v>44979</v>
      </c>
      <c r="D4294" s="20">
        <v>360.28</v>
      </c>
      <c r="E4294" s="22" t="s">
        <v>10</v>
      </c>
      <c r="F4294" s="22" t="s">
        <v>13</v>
      </c>
      <c r="G4294" s="22" t="s">
        <v>12</v>
      </c>
    </row>
    <row r="4295" ht="15.15" spans="1:7">
      <c r="A4295" s="20">
        <v>4294</v>
      </c>
      <c r="B4295" s="20">
        <v>6142</v>
      </c>
      <c r="C4295" s="21">
        <v>45166</v>
      </c>
      <c r="D4295" s="20">
        <v>1193.21</v>
      </c>
      <c r="E4295" s="22" t="s">
        <v>10</v>
      </c>
      <c r="F4295" s="22" t="s">
        <v>14</v>
      </c>
      <c r="G4295" s="22" t="s">
        <v>20</v>
      </c>
    </row>
    <row r="4296" ht="15.15" spans="1:7">
      <c r="A4296" s="20">
        <v>4295</v>
      </c>
      <c r="B4296" s="20">
        <v>3243</v>
      </c>
      <c r="C4296" s="21">
        <v>45287</v>
      </c>
      <c r="D4296" s="20">
        <v>5137.04</v>
      </c>
      <c r="E4296" s="22" t="s">
        <v>10</v>
      </c>
      <c r="F4296" s="22" t="s">
        <v>13</v>
      </c>
      <c r="G4296" s="22" t="s">
        <v>15</v>
      </c>
    </row>
    <row r="4297" ht="15.15" spans="1:7">
      <c r="A4297" s="20">
        <v>4296</v>
      </c>
      <c r="B4297" s="20">
        <v>6540</v>
      </c>
      <c r="C4297" s="21">
        <v>44995</v>
      </c>
      <c r="D4297" s="20">
        <v>467.31</v>
      </c>
      <c r="E4297" s="22" t="s">
        <v>10</v>
      </c>
      <c r="F4297" s="22" t="s">
        <v>18</v>
      </c>
      <c r="G4297" s="22" t="s">
        <v>20</v>
      </c>
    </row>
    <row r="4298" ht="15.15" spans="1:7">
      <c r="A4298" s="20">
        <v>4297</v>
      </c>
      <c r="B4298" s="20">
        <v>8978</v>
      </c>
      <c r="C4298" s="21">
        <v>45251</v>
      </c>
      <c r="D4298" s="20">
        <v>1257.75</v>
      </c>
      <c r="E4298" s="22" t="s">
        <v>10</v>
      </c>
      <c r="F4298" s="22" t="s">
        <v>18</v>
      </c>
      <c r="G4298" s="22" t="s">
        <v>12</v>
      </c>
    </row>
    <row r="4299" ht="15.15" spans="1:7">
      <c r="A4299" s="20">
        <v>4298</v>
      </c>
      <c r="B4299" s="20">
        <v>702</v>
      </c>
      <c r="C4299" s="21">
        <v>45290</v>
      </c>
      <c r="D4299" s="20">
        <v>1219.32</v>
      </c>
      <c r="E4299" s="22" t="s">
        <v>10</v>
      </c>
      <c r="F4299" s="22" t="s">
        <v>13</v>
      </c>
      <c r="G4299" s="22" t="s">
        <v>20</v>
      </c>
    </row>
    <row r="4300" ht="15.15" spans="1:7">
      <c r="A4300" s="20">
        <v>4299</v>
      </c>
      <c r="B4300" s="20">
        <v>1455</v>
      </c>
      <c r="C4300" s="21">
        <v>45105</v>
      </c>
      <c r="D4300" s="20">
        <v>5984.34</v>
      </c>
      <c r="E4300" s="22" t="s">
        <v>10</v>
      </c>
      <c r="F4300" s="22" t="s">
        <v>18</v>
      </c>
      <c r="G4300" s="22" t="s">
        <v>20</v>
      </c>
    </row>
    <row r="4301" ht="15.15" spans="1:7">
      <c r="A4301" s="20">
        <v>4300</v>
      </c>
      <c r="B4301" s="20">
        <v>369</v>
      </c>
      <c r="C4301" s="21">
        <v>45229</v>
      </c>
      <c r="D4301" s="20">
        <v>344.53</v>
      </c>
      <c r="E4301" s="22" t="s">
        <v>10</v>
      </c>
      <c r="F4301" s="22" t="s">
        <v>14</v>
      </c>
      <c r="G4301" s="22" t="s">
        <v>12</v>
      </c>
    </row>
    <row r="4302" ht="15.15" spans="1:7">
      <c r="A4302" s="20">
        <v>4301</v>
      </c>
      <c r="B4302" s="20">
        <v>7597</v>
      </c>
      <c r="C4302" s="21">
        <v>45243</v>
      </c>
      <c r="D4302" s="20">
        <v>3166.31</v>
      </c>
      <c r="E4302" s="22" t="s">
        <v>22</v>
      </c>
      <c r="F4302" s="22" t="s">
        <v>16</v>
      </c>
      <c r="G4302" s="22" t="s">
        <v>15</v>
      </c>
    </row>
    <row r="4303" ht="15.15" spans="1:7">
      <c r="A4303" s="20">
        <v>4302</v>
      </c>
      <c r="B4303" s="20">
        <v>6036</v>
      </c>
      <c r="C4303" s="21">
        <v>45146</v>
      </c>
      <c r="D4303" s="20">
        <v>1502.76</v>
      </c>
      <c r="E4303" s="22" t="s">
        <v>10</v>
      </c>
      <c r="F4303" s="22" t="s">
        <v>11</v>
      </c>
      <c r="G4303" s="22" t="s">
        <v>20</v>
      </c>
    </row>
    <row r="4304" ht="15.15" spans="1:7">
      <c r="A4304" s="20">
        <v>4303</v>
      </c>
      <c r="B4304" s="20">
        <v>5621</v>
      </c>
      <c r="C4304" s="21">
        <v>45181</v>
      </c>
      <c r="D4304" s="20">
        <v>531.36</v>
      </c>
      <c r="E4304" s="22" t="s">
        <v>10</v>
      </c>
      <c r="F4304" s="22" t="s">
        <v>13</v>
      </c>
      <c r="G4304" s="22" t="s">
        <v>17</v>
      </c>
    </row>
    <row r="4305" ht="15.15" spans="1:7">
      <c r="A4305" s="20">
        <v>4304</v>
      </c>
      <c r="B4305" s="20">
        <v>6270</v>
      </c>
      <c r="C4305" s="21">
        <v>44928</v>
      </c>
      <c r="D4305" s="20">
        <v>880.04</v>
      </c>
      <c r="E4305" s="22" t="s">
        <v>10</v>
      </c>
      <c r="F4305" s="22" t="s">
        <v>14</v>
      </c>
      <c r="G4305" s="22" t="s">
        <v>17</v>
      </c>
    </row>
    <row r="4306" ht="15.15" spans="1:7">
      <c r="A4306" s="20">
        <v>4305</v>
      </c>
      <c r="B4306" s="20">
        <v>6478</v>
      </c>
      <c r="C4306" s="21">
        <v>45203</v>
      </c>
      <c r="D4306" s="20">
        <v>718.97</v>
      </c>
      <c r="E4306" s="22" t="s">
        <v>10</v>
      </c>
      <c r="F4306" s="22" t="s">
        <v>13</v>
      </c>
      <c r="G4306" s="22" t="s">
        <v>20</v>
      </c>
    </row>
    <row r="4307" ht="15.15" spans="1:7">
      <c r="A4307" s="20">
        <v>4306</v>
      </c>
      <c r="B4307" s="20">
        <v>7024</v>
      </c>
      <c r="C4307" s="21">
        <v>45126</v>
      </c>
      <c r="D4307" s="20">
        <v>396.55</v>
      </c>
      <c r="E4307" s="22" t="s">
        <v>10</v>
      </c>
      <c r="F4307" s="22" t="s">
        <v>18</v>
      </c>
      <c r="G4307" s="22" t="s">
        <v>17</v>
      </c>
    </row>
    <row r="4308" ht="15.15" spans="1:7">
      <c r="A4308" s="20">
        <v>4307</v>
      </c>
      <c r="B4308" s="20">
        <v>5280</v>
      </c>
      <c r="C4308" s="21">
        <v>44966</v>
      </c>
      <c r="D4308" s="20">
        <v>832.08</v>
      </c>
      <c r="E4308" s="22" t="s">
        <v>10</v>
      </c>
      <c r="F4308" s="22" t="s">
        <v>14</v>
      </c>
      <c r="G4308" s="22" t="s">
        <v>20</v>
      </c>
    </row>
    <row r="4309" ht="15.15" spans="1:7">
      <c r="A4309" s="20">
        <v>4308</v>
      </c>
      <c r="B4309" s="20">
        <v>6026</v>
      </c>
      <c r="C4309" s="21">
        <v>45264</v>
      </c>
      <c r="D4309" s="20">
        <v>1132.74</v>
      </c>
      <c r="E4309" s="22" t="s">
        <v>22</v>
      </c>
      <c r="F4309" s="22" t="s">
        <v>13</v>
      </c>
      <c r="G4309" s="22" t="s">
        <v>20</v>
      </c>
    </row>
    <row r="4310" ht="15.15" spans="1:7">
      <c r="A4310" s="20">
        <v>4309</v>
      </c>
      <c r="B4310" s="20">
        <v>3312</v>
      </c>
      <c r="C4310" s="21">
        <v>45226</v>
      </c>
      <c r="D4310" s="20">
        <v>142.43</v>
      </c>
      <c r="E4310" s="22" t="s">
        <v>10</v>
      </c>
      <c r="F4310" s="22" t="s">
        <v>14</v>
      </c>
      <c r="G4310" s="22" t="s">
        <v>17</v>
      </c>
    </row>
    <row r="4311" ht="15.15" spans="1:7">
      <c r="A4311" s="20">
        <v>4310</v>
      </c>
      <c r="B4311" s="20">
        <v>8993</v>
      </c>
      <c r="C4311" s="21">
        <v>45270</v>
      </c>
      <c r="D4311" s="20">
        <v>332.91</v>
      </c>
      <c r="E4311" s="22" t="s">
        <v>10</v>
      </c>
      <c r="F4311" s="22" t="s">
        <v>13</v>
      </c>
      <c r="G4311" s="22" t="s">
        <v>17</v>
      </c>
    </row>
    <row r="4312" ht="15.15" spans="1:7">
      <c r="A4312" s="20">
        <v>4311</v>
      </c>
      <c r="B4312" s="20">
        <v>6019</v>
      </c>
      <c r="C4312" s="21">
        <v>45118</v>
      </c>
      <c r="D4312" s="20">
        <v>3538.34</v>
      </c>
      <c r="E4312" s="22" t="s">
        <v>10</v>
      </c>
      <c r="F4312" s="22" t="s">
        <v>13</v>
      </c>
      <c r="G4312" s="22" t="s">
        <v>20</v>
      </c>
    </row>
    <row r="4313" ht="15.15" spans="1:7">
      <c r="A4313" s="20">
        <v>4312</v>
      </c>
      <c r="B4313" s="20">
        <v>5454</v>
      </c>
      <c r="C4313" s="21">
        <v>45163</v>
      </c>
      <c r="D4313" s="20">
        <v>1984.54</v>
      </c>
      <c r="E4313" s="22" t="s">
        <v>10</v>
      </c>
      <c r="F4313" s="22" t="s">
        <v>14</v>
      </c>
      <c r="G4313" s="22" t="s">
        <v>15</v>
      </c>
    </row>
    <row r="4314" ht="15.15" spans="1:7">
      <c r="A4314" s="20">
        <v>4313</v>
      </c>
      <c r="B4314" s="20">
        <v>4341</v>
      </c>
      <c r="C4314" s="21">
        <v>45255</v>
      </c>
      <c r="D4314" s="20">
        <v>3473.41</v>
      </c>
      <c r="E4314" s="22" t="s">
        <v>10</v>
      </c>
      <c r="F4314" s="22" t="s">
        <v>11</v>
      </c>
      <c r="G4314" s="22" t="s">
        <v>12</v>
      </c>
    </row>
    <row r="4315" ht="15.15" spans="1:7">
      <c r="A4315" s="20">
        <v>4314</v>
      </c>
      <c r="B4315" s="20">
        <v>785</v>
      </c>
      <c r="C4315" s="21">
        <v>44997</v>
      </c>
      <c r="D4315" s="20">
        <v>399.61</v>
      </c>
      <c r="E4315" s="22" t="s">
        <v>10</v>
      </c>
      <c r="F4315" s="22" t="s">
        <v>18</v>
      </c>
      <c r="G4315" s="22" t="s">
        <v>17</v>
      </c>
    </row>
    <row r="4316" ht="15.15" spans="1:7">
      <c r="A4316" s="20">
        <v>4315</v>
      </c>
      <c r="B4316" s="20">
        <v>5705</v>
      </c>
      <c r="C4316" s="21">
        <v>45278</v>
      </c>
      <c r="D4316" s="20">
        <v>1672.96</v>
      </c>
      <c r="E4316" s="22" t="s">
        <v>10</v>
      </c>
      <c r="F4316" s="22" t="s">
        <v>13</v>
      </c>
      <c r="G4316" s="22" t="s">
        <v>12</v>
      </c>
    </row>
    <row r="4317" ht="15.15" spans="1:7">
      <c r="A4317" s="20">
        <v>4316</v>
      </c>
      <c r="B4317" s="20">
        <v>1276</v>
      </c>
      <c r="C4317" s="21">
        <v>45114</v>
      </c>
      <c r="D4317" s="20">
        <v>1246.52</v>
      </c>
      <c r="E4317" s="22" t="s">
        <v>10</v>
      </c>
      <c r="F4317" s="22" t="s">
        <v>18</v>
      </c>
      <c r="G4317" s="22" t="s">
        <v>15</v>
      </c>
    </row>
    <row r="4318" ht="15.15" spans="1:7">
      <c r="A4318" s="20">
        <v>4317</v>
      </c>
      <c r="B4318" s="20">
        <v>1376</v>
      </c>
      <c r="C4318" s="21">
        <v>45004</v>
      </c>
      <c r="D4318" s="20">
        <v>3972.98</v>
      </c>
      <c r="E4318" s="22" t="s">
        <v>22</v>
      </c>
      <c r="F4318" s="22" t="s">
        <v>11</v>
      </c>
      <c r="G4318" s="22" t="s">
        <v>12</v>
      </c>
    </row>
    <row r="4319" ht="15.15" spans="1:7">
      <c r="A4319" s="20">
        <v>4318</v>
      </c>
      <c r="B4319" s="20">
        <v>7264</v>
      </c>
      <c r="C4319" s="21">
        <v>44931</v>
      </c>
      <c r="D4319" s="20">
        <v>1836.33</v>
      </c>
      <c r="E4319" s="22" t="s">
        <v>10</v>
      </c>
      <c r="F4319" s="22" t="s">
        <v>16</v>
      </c>
      <c r="G4319" s="22" t="s">
        <v>12</v>
      </c>
    </row>
    <row r="4320" ht="15.15" spans="1:7">
      <c r="A4320" s="20">
        <v>4319</v>
      </c>
      <c r="B4320" s="20">
        <v>187</v>
      </c>
      <c r="C4320" s="21">
        <v>45072</v>
      </c>
      <c r="D4320" s="20">
        <v>1182.51</v>
      </c>
      <c r="E4320" s="22" t="s">
        <v>10</v>
      </c>
      <c r="F4320" s="22" t="s">
        <v>18</v>
      </c>
      <c r="G4320" s="22" t="s">
        <v>17</v>
      </c>
    </row>
    <row r="4321" ht="15.15" spans="1:7">
      <c r="A4321" s="20">
        <v>4320</v>
      </c>
      <c r="B4321" s="20">
        <v>5095</v>
      </c>
      <c r="C4321" s="21">
        <v>45134</v>
      </c>
      <c r="D4321" s="20">
        <v>1146.95</v>
      </c>
      <c r="E4321" s="22" t="s">
        <v>10</v>
      </c>
      <c r="F4321" s="22" t="s">
        <v>13</v>
      </c>
      <c r="G4321" s="22" t="s">
        <v>12</v>
      </c>
    </row>
    <row r="4322" ht="15.15" spans="1:7">
      <c r="A4322" s="20">
        <v>4321</v>
      </c>
      <c r="B4322" s="20">
        <v>4623</v>
      </c>
      <c r="C4322" s="21">
        <v>44973</v>
      </c>
      <c r="D4322" s="20">
        <v>2224.05</v>
      </c>
      <c r="E4322" s="22" t="s">
        <v>10</v>
      </c>
      <c r="F4322" s="22" t="s">
        <v>16</v>
      </c>
      <c r="G4322" s="22" t="s">
        <v>12</v>
      </c>
    </row>
    <row r="4323" ht="15.15" spans="1:7">
      <c r="A4323" s="20">
        <v>4322</v>
      </c>
      <c r="B4323" s="20">
        <v>1985</v>
      </c>
      <c r="C4323" s="21">
        <v>45146</v>
      </c>
      <c r="D4323" s="20">
        <v>2014.32</v>
      </c>
      <c r="E4323" s="22" t="s">
        <v>10</v>
      </c>
      <c r="F4323" s="22" t="s">
        <v>19</v>
      </c>
      <c r="G4323" s="22" t="s">
        <v>17</v>
      </c>
    </row>
    <row r="4324" ht="15.15" spans="1:7">
      <c r="A4324" s="20">
        <v>4323</v>
      </c>
      <c r="B4324" s="20">
        <v>5964</v>
      </c>
      <c r="C4324" s="21">
        <v>45150</v>
      </c>
      <c r="D4324" s="20">
        <v>1153.5</v>
      </c>
      <c r="E4324" s="22" t="s">
        <v>10</v>
      </c>
      <c r="F4324" s="22" t="s">
        <v>13</v>
      </c>
      <c r="G4324" s="22" t="s">
        <v>20</v>
      </c>
    </row>
    <row r="4325" ht="15.15" spans="1:7">
      <c r="A4325" s="20">
        <v>4324</v>
      </c>
      <c r="B4325" s="20">
        <v>87</v>
      </c>
      <c r="C4325" s="21">
        <v>45285</v>
      </c>
      <c r="D4325" s="20">
        <v>290.79</v>
      </c>
      <c r="E4325" s="22" t="s">
        <v>10</v>
      </c>
      <c r="F4325" s="22" t="s">
        <v>13</v>
      </c>
      <c r="G4325" s="22" t="s">
        <v>15</v>
      </c>
    </row>
    <row r="4326" ht="15.15" spans="1:7">
      <c r="A4326" s="20">
        <v>4325</v>
      </c>
      <c r="B4326" s="20">
        <v>7087</v>
      </c>
      <c r="C4326" s="21">
        <v>45267</v>
      </c>
      <c r="D4326" s="20">
        <v>296.31</v>
      </c>
      <c r="E4326" s="22" t="s">
        <v>10</v>
      </c>
      <c r="F4326" s="22" t="s">
        <v>13</v>
      </c>
      <c r="G4326" s="22" t="s">
        <v>15</v>
      </c>
    </row>
    <row r="4327" ht="15.15" spans="1:7">
      <c r="A4327" s="20">
        <v>4326</v>
      </c>
      <c r="B4327" s="20">
        <v>5921</v>
      </c>
      <c r="C4327" s="21">
        <v>45286</v>
      </c>
      <c r="D4327" s="20">
        <v>2288.58</v>
      </c>
      <c r="E4327" s="22" t="s">
        <v>10</v>
      </c>
      <c r="F4327" s="22" t="s">
        <v>13</v>
      </c>
      <c r="G4327" s="22" t="s">
        <v>20</v>
      </c>
    </row>
    <row r="4328" ht="15.15" spans="1:7">
      <c r="A4328" s="20">
        <v>4327</v>
      </c>
      <c r="B4328" s="20">
        <v>3493</v>
      </c>
      <c r="C4328" s="21">
        <v>44944</v>
      </c>
      <c r="D4328" s="20">
        <v>284.14</v>
      </c>
      <c r="E4328" s="22" t="s">
        <v>10</v>
      </c>
      <c r="F4328" s="22" t="s">
        <v>19</v>
      </c>
      <c r="G4328" s="22" t="s">
        <v>12</v>
      </c>
    </row>
    <row r="4329" ht="15.15" spans="1:7">
      <c r="A4329" s="20">
        <v>4328</v>
      </c>
      <c r="B4329" s="20">
        <v>2523</v>
      </c>
      <c r="C4329" s="21">
        <v>45105</v>
      </c>
      <c r="D4329" s="20">
        <v>2447.55</v>
      </c>
      <c r="E4329" s="22" t="s">
        <v>10</v>
      </c>
      <c r="F4329" s="22" t="s">
        <v>11</v>
      </c>
      <c r="G4329" s="22" t="s">
        <v>15</v>
      </c>
    </row>
    <row r="4330" ht="15.15" spans="1:7">
      <c r="A4330" s="20">
        <v>4329</v>
      </c>
      <c r="B4330" s="20">
        <v>5878</v>
      </c>
      <c r="C4330" s="21">
        <v>45226</v>
      </c>
      <c r="D4330" s="20">
        <v>2088.45</v>
      </c>
      <c r="E4330" s="22" t="s">
        <v>10</v>
      </c>
      <c r="F4330" s="22" t="s">
        <v>13</v>
      </c>
      <c r="G4330" s="22" t="s">
        <v>17</v>
      </c>
    </row>
    <row r="4331" ht="15.15" spans="1:7">
      <c r="A4331" s="20">
        <v>4330</v>
      </c>
      <c r="B4331" s="20">
        <v>1069</v>
      </c>
      <c r="C4331" s="21">
        <v>45078</v>
      </c>
      <c r="D4331" s="20">
        <v>374.8</v>
      </c>
      <c r="E4331" s="22" t="s">
        <v>21</v>
      </c>
      <c r="F4331" s="22" t="s">
        <v>14</v>
      </c>
      <c r="G4331" s="22" t="s">
        <v>17</v>
      </c>
    </row>
    <row r="4332" ht="15.15" spans="1:7">
      <c r="A4332" s="20">
        <v>4331</v>
      </c>
      <c r="B4332" s="20">
        <v>5405</v>
      </c>
      <c r="C4332" s="21">
        <v>45204</v>
      </c>
      <c r="D4332" s="20">
        <v>886.36</v>
      </c>
      <c r="E4332" s="22" t="s">
        <v>10</v>
      </c>
      <c r="F4332" s="22" t="s">
        <v>11</v>
      </c>
      <c r="G4332" s="22" t="s">
        <v>17</v>
      </c>
    </row>
    <row r="4333" ht="15.15" spans="1:7">
      <c r="A4333" s="20">
        <v>4332</v>
      </c>
      <c r="B4333" s="20">
        <v>1417</v>
      </c>
      <c r="C4333" s="21">
        <v>45240</v>
      </c>
      <c r="D4333" s="20">
        <v>667.26</v>
      </c>
      <c r="E4333" s="22" t="s">
        <v>10</v>
      </c>
      <c r="F4333" s="22" t="s">
        <v>11</v>
      </c>
      <c r="G4333" s="22" t="s">
        <v>20</v>
      </c>
    </row>
    <row r="4334" ht="15.15" spans="1:7">
      <c r="A4334" s="20">
        <v>4333</v>
      </c>
      <c r="B4334" s="20">
        <v>5410</v>
      </c>
      <c r="C4334" s="21">
        <v>45131</v>
      </c>
      <c r="D4334" s="20">
        <v>2128.92</v>
      </c>
      <c r="E4334" s="22" t="s">
        <v>10</v>
      </c>
      <c r="F4334" s="22" t="s">
        <v>16</v>
      </c>
      <c r="G4334" s="22" t="s">
        <v>17</v>
      </c>
    </row>
    <row r="4335" ht="15.15" spans="1:7">
      <c r="A4335" s="20">
        <v>4334</v>
      </c>
      <c r="B4335" s="20">
        <v>8737</v>
      </c>
      <c r="C4335" s="21">
        <v>44979</v>
      </c>
      <c r="D4335" s="20">
        <v>1007.5</v>
      </c>
      <c r="E4335" s="22" t="s">
        <v>22</v>
      </c>
      <c r="F4335" s="22" t="s">
        <v>16</v>
      </c>
      <c r="G4335" s="22" t="s">
        <v>15</v>
      </c>
    </row>
    <row r="4336" ht="15.15" spans="1:7">
      <c r="A4336" s="20">
        <v>4335</v>
      </c>
      <c r="B4336" s="20">
        <v>5552</v>
      </c>
      <c r="C4336" s="21">
        <v>44984</v>
      </c>
      <c r="D4336" s="20">
        <v>1122.48</v>
      </c>
      <c r="E4336" s="22" t="s">
        <v>10</v>
      </c>
      <c r="F4336" s="22" t="s">
        <v>13</v>
      </c>
      <c r="G4336" s="22" t="s">
        <v>12</v>
      </c>
    </row>
    <row r="4337" ht="15.15" spans="1:7">
      <c r="A4337" s="20">
        <v>4336</v>
      </c>
      <c r="B4337" s="20">
        <v>5872</v>
      </c>
      <c r="C4337" s="21">
        <v>45145</v>
      </c>
      <c r="D4337" s="20">
        <v>1996.26</v>
      </c>
      <c r="E4337" s="22" t="s">
        <v>10</v>
      </c>
      <c r="F4337" s="22" t="s">
        <v>16</v>
      </c>
      <c r="G4337" s="22" t="s">
        <v>12</v>
      </c>
    </row>
    <row r="4338" ht="15.15" spans="1:7">
      <c r="A4338" s="20">
        <v>4337</v>
      </c>
      <c r="B4338" s="20">
        <v>9077</v>
      </c>
      <c r="C4338" s="21">
        <v>44945</v>
      </c>
      <c r="D4338" s="20">
        <v>164.87</v>
      </c>
      <c r="E4338" s="22" t="s">
        <v>10</v>
      </c>
      <c r="F4338" s="22" t="s">
        <v>16</v>
      </c>
      <c r="G4338" s="22" t="s">
        <v>17</v>
      </c>
    </row>
    <row r="4339" ht="15.15" spans="1:7">
      <c r="A4339" s="20">
        <v>4338</v>
      </c>
      <c r="B4339" s="20">
        <v>3547</v>
      </c>
      <c r="C4339" s="21">
        <v>45020</v>
      </c>
      <c r="D4339" s="20">
        <v>612.18</v>
      </c>
      <c r="E4339" s="22" t="s">
        <v>10</v>
      </c>
      <c r="F4339" s="22" t="s">
        <v>16</v>
      </c>
      <c r="G4339" s="22" t="s">
        <v>20</v>
      </c>
    </row>
    <row r="4340" ht="15.15" spans="1:7">
      <c r="A4340" s="20">
        <v>4339</v>
      </c>
      <c r="B4340" s="20">
        <v>9005</v>
      </c>
      <c r="C4340" s="21">
        <v>45251</v>
      </c>
      <c r="D4340" s="20">
        <v>3365.04</v>
      </c>
      <c r="E4340" s="22" t="s">
        <v>10</v>
      </c>
      <c r="F4340" s="22" t="s">
        <v>13</v>
      </c>
      <c r="G4340" s="22" t="s">
        <v>12</v>
      </c>
    </row>
    <row r="4341" ht="15.15" spans="1:7">
      <c r="A4341" s="20">
        <v>4340</v>
      </c>
      <c r="B4341" s="20">
        <v>7447</v>
      </c>
      <c r="C4341" s="21">
        <v>45102</v>
      </c>
      <c r="D4341" s="20">
        <v>258.66</v>
      </c>
      <c r="E4341" s="22" t="s">
        <v>10</v>
      </c>
      <c r="F4341" s="22" t="s">
        <v>18</v>
      </c>
      <c r="G4341" s="22" t="s">
        <v>15</v>
      </c>
    </row>
    <row r="4342" ht="15.15" spans="1:7">
      <c r="A4342" s="20">
        <v>4341</v>
      </c>
      <c r="B4342" s="20">
        <v>8004</v>
      </c>
      <c r="C4342" s="21">
        <v>45124</v>
      </c>
      <c r="D4342" s="20">
        <v>798.94</v>
      </c>
      <c r="E4342" s="22" t="s">
        <v>10</v>
      </c>
      <c r="F4342" s="22" t="s">
        <v>16</v>
      </c>
      <c r="G4342" s="22" t="s">
        <v>12</v>
      </c>
    </row>
    <row r="4343" ht="15.15" spans="1:7">
      <c r="A4343" s="20">
        <v>4342</v>
      </c>
      <c r="B4343" s="20">
        <v>3331</v>
      </c>
      <c r="C4343" s="21">
        <v>45214</v>
      </c>
      <c r="D4343" s="20">
        <v>579.6</v>
      </c>
      <c r="E4343" s="22" t="s">
        <v>10</v>
      </c>
      <c r="F4343" s="22" t="s">
        <v>13</v>
      </c>
      <c r="G4343" s="22" t="s">
        <v>17</v>
      </c>
    </row>
    <row r="4344" ht="15.15" spans="1:7">
      <c r="A4344" s="20">
        <v>4343</v>
      </c>
      <c r="B4344" s="20">
        <v>5029</v>
      </c>
      <c r="C4344" s="21">
        <v>45288</v>
      </c>
      <c r="D4344" s="20">
        <v>1527.45</v>
      </c>
      <c r="E4344" s="22" t="s">
        <v>10</v>
      </c>
      <c r="F4344" s="22" t="s">
        <v>16</v>
      </c>
      <c r="G4344" s="22" t="s">
        <v>20</v>
      </c>
    </row>
    <row r="4345" ht="15.15" spans="1:7">
      <c r="A4345" s="20">
        <v>4344</v>
      </c>
      <c r="B4345" s="20">
        <v>8652</v>
      </c>
      <c r="C4345" s="21">
        <v>45244</v>
      </c>
      <c r="D4345" s="20">
        <v>2383.47</v>
      </c>
      <c r="E4345" s="22" t="s">
        <v>10</v>
      </c>
      <c r="F4345" s="22" t="s">
        <v>16</v>
      </c>
      <c r="G4345" s="22" t="s">
        <v>17</v>
      </c>
    </row>
    <row r="4346" ht="15.15" spans="1:7">
      <c r="A4346" s="20">
        <v>4345</v>
      </c>
      <c r="B4346" s="20">
        <v>9727</v>
      </c>
      <c r="C4346" s="21">
        <v>45256</v>
      </c>
      <c r="D4346" s="20">
        <v>159.37</v>
      </c>
      <c r="E4346" s="22" t="s">
        <v>10</v>
      </c>
      <c r="F4346" s="22" t="s">
        <v>14</v>
      </c>
      <c r="G4346" s="22" t="s">
        <v>12</v>
      </c>
    </row>
    <row r="4347" ht="15.15" spans="1:7">
      <c r="A4347" s="20">
        <v>4346</v>
      </c>
      <c r="B4347" s="20">
        <v>1008</v>
      </c>
      <c r="C4347" s="21">
        <v>44952</v>
      </c>
      <c r="D4347" s="20">
        <v>2420.13</v>
      </c>
      <c r="E4347" s="22" t="s">
        <v>22</v>
      </c>
      <c r="F4347" s="22" t="s">
        <v>14</v>
      </c>
      <c r="G4347" s="22" t="s">
        <v>15</v>
      </c>
    </row>
    <row r="4348" ht="15.15" spans="1:7">
      <c r="A4348" s="20">
        <v>4347</v>
      </c>
      <c r="B4348" s="20">
        <v>2431</v>
      </c>
      <c r="C4348" s="21">
        <v>45281</v>
      </c>
      <c r="D4348" s="20">
        <v>142.43</v>
      </c>
      <c r="E4348" s="22" t="s">
        <v>10</v>
      </c>
      <c r="F4348" s="22" t="s">
        <v>14</v>
      </c>
      <c r="G4348" s="22" t="s">
        <v>12</v>
      </c>
    </row>
    <row r="4349" ht="15.15" spans="1:7">
      <c r="A4349" s="20">
        <v>4348</v>
      </c>
      <c r="B4349" s="20">
        <v>4847</v>
      </c>
      <c r="C4349" s="21">
        <v>45271</v>
      </c>
      <c r="D4349" s="20">
        <v>639.26</v>
      </c>
      <c r="E4349" s="22" t="s">
        <v>10</v>
      </c>
      <c r="F4349" s="22" t="s">
        <v>14</v>
      </c>
      <c r="G4349" s="22" t="s">
        <v>12</v>
      </c>
    </row>
    <row r="4350" ht="15.15" spans="1:7">
      <c r="A4350" s="20">
        <v>4349</v>
      </c>
      <c r="B4350" s="20">
        <v>9305</v>
      </c>
      <c r="C4350" s="21">
        <v>45101</v>
      </c>
      <c r="D4350" s="20">
        <v>277.47</v>
      </c>
      <c r="E4350" s="22" t="s">
        <v>10</v>
      </c>
      <c r="F4350" s="22" t="s">
        <v>19</v>
      </c>
      <c r="G4350" s="22" t="s">
        <v>17</v>
      </c>
    </row>
    <row r="4351" ht="15.15" spans="1:7">
      <c r="A4351" s="20">
        <v>4350</v>
      </c>
      <c r="B4351" s="20">
        <v>1084</v>
      </c>
      <c r="C4351" s="21">
        <v>44984</v>
      </c>
      <c r="D4351" s="20">
        <v>30.63</v>
      </c>
      <c r="E4351" s="22" t="s">
        <v>10</v>
      </c>
      <c r="F4351" s="22" t="s">
        <v>11</v>
      </c>
      <c r="G4351" s="22" t="s">
        <v>20</v>
      </c>
    </row>
    <row r="4352" ht="15.15" spans="1:7">
      <c r="A4352" s="20">
        <v>4351</v>
      </c>
      <c r="B4352" s="20">
        <v>6861</v>
      </c>
      <c r="C4352" s="21">
        <v>45285</v>
      </c>
      <c r="D4352" s="20">
        <v>2109.38</v>
      </c>
      <c r="E4352" s="22" t="s">
        <v>10</v>
      </c>
      <c r="F4352" s="22" t="s">
        <v>18</v>
      </c>
      <c r="G4352" s="22" t="s">
        <v>20</v>
      </c>
    </row>
    <row r="4353" ht="15.15" spans="1:7">
      <c r="A4353" s="20">
        <v>4352</v>
      </c>
      <c r="B4353" s="20">
        <v>4923</v>
      </c>
      <c r="C4353" s="21">
        <v>45259</v>
      </c>
      <c r="D4353" s="20">
        <v>1802.19</v>
      </c>
      <c r="E4353" s="22" t="s">
        <v>10</v>
      </c>
      <c r="F4353" s="22" t="s">
        <v>13</v>
      </c>
      <c r="G4353" s="22" t="s">
        <v>17</v>
      </c>
    </row>
    <row r="4354" ht="15.15" spans="1:7">
      <c r="A4354" s="20">
        <v>4353</v>
      </c>
      <c r="B4354" s="20">
        <v>5692</v>
      </c>
      <c r="C4354" s="21">
        <v>45272</v>
      </c>
      <c r="D4354" s="20">
        <v>449.48</v>
      </c>
      <c r="E4354" s="22" t="s">
        <v>10</v>
      </c>
      <c r="F4354" s="22" t="s">
        <v>13</v>
      </c>
      <c r="G4354" s="22" t="s">
        <v>12</v>
      </c>
    </row>
    <row r="4355" ht="15.15" spans="1:7">
      <c r="A4355" s="20">
        <v>4354</v>
      </c>
      <c r="B4355" s="20">
        <v>4244</v>
      </c>
      <c r="C4355" s="21">
        <v>45027</v>
      </c>
      <c r="D4355" s="20">
        <v>1586.99</v>
      </c>
      <c r="E4355" s="22" t="s">
        <v>10</v>
      </c>
      <c r="F4355" s="22" t="s">
        <v>14</v>
      </c>
      <c r="G4355" s="22" t="s">
        <v>20</v>
      </c>
    </row>
    <row r="4356" ht="15.15" spans="1:7">
      <c r="A4356" s="20">
        <v>4355</v>
      </c>
      <c r="B4356" s="20">
        <v>6665</v>
      </c>
      <c r="C4356" s="21">
        <v>45123</v>
      </c>
      <c r="D4356" s="20">
        <v>3496.24</v>
      </c>
      <c r="E4356" s="22" t="s">
        <v>22</v>
      </c>
      <c r="F4356" s="22" t="s">
        <v>16</v>
      </c>
      <c r="G4356" s="22" t="s">
        <v>17</v>
      </c>
    </row>
    <row r="4357" ht="15.15" spans="1:7">
      <c r="A4357" s="20">
        <v>4356</v>
      </c>
      <c r="B4357" s="20">
        <v>28</v>
      </c>
      <c r="C4357" s="21">
        <v>45005</v>
      </c>
      <c r="D4357" s="20">
        <v>1595.61</v>
      </c>
      <c r="E4357" s="22" t="s">
        <v>10</v>
      </c>
      <c r="F4357" s="22" t="s">
        <v>11</v>
      </c>
      <c r="G4357" s="22" t="s">
        <v>15</v>
      </c>
    </row>
    <row r="4358" ht="15.15" spans="1:7">
      <c r="A4358" s="20">
        <v>4357</v>
      </c>
      <c r="B4358" s="20">
        <v>2997</v>
      </c>
      <c r="C4358" s="21">
        <v>45280</v>
      </c>
      <c r="D4358" s="20">
        <v>4291.84</v>
      </c>
      <c r="E4358" s="22" t="s">
        <v>10</v>
      </c>
      <c r="F4358" s="22" t="s">
        <v>11</v>
      </c>
      <c r="G4358" s="22" t="s">
        <v>12</v>
      </c>
    </row>
    <row r="4359" ht="15.15" spans="1:7">
      <c r="A4359" s="20">
        <v>4358</v>
      </c>
      <c r="B4359" s="20">
        <v>3713</v>
      </c>
      <c r="C4359" s="21">
        <v>45227</v>
      </c>
      <c r="D4359" s="20">
        <v>399.61</v>
      </c>
      <c r="E4359" s="22" t="s">
        <v>10</v>
      </c>
      <c r="F4359" s="22" t="s">
        <v>14</v>
      </c>
      <c r="G4359" s="22" t="s">
        <v>17</v>
      </c>
    </row>
    <row r="4360" ht="15.15" spans="1:7">
      <c r="A4360" s="20">
        <v>4359</v>
      </c>
      <c r="B4360" s="20">
        <v>9270</v>
      </c>
      <c r="C4360" s="21">
        <v>44936</v>
      </c>
      <c r="D4360" s="20">
        <v>154.02</v>
      </c>
      <c r="E4360" s="22" t="s">
        <v>10</v>
      </c>
      <c r="F4360" s="22" t="s">
        <v>11</v>
      </c>
      <c r="G4360" s="22" t="s">
        <v>15</v>
      </c>
    </row>
    <row r="4361" ht="15.15" spans="1:7">
      <c r="A4361" s="20">
        <v>4360</v>
      </c>
      <c r="B4361" s="20">
        <v>6910</v>
      </c>
      <c r="C4361" s="21">
        <v>45142</v>
      </c>
      <c r="D4361" s="20">
        <v>189.69</v>
      </c>
      <c r="E4361" s="22" t="s">
        <v>10</v>
      </c>
      <c r="F4361" s="22" t="s">
        <v>18</v>
      </c>
      <c r="G4361" s="22" t="s">
        <v>15</v>
      </c>
    </row>
    <row r="4362" ht="15.15" spans="1:7">
      <c r="A4362" s="20">
        <v>4361</v>
      </c>
      <c r="B4362" s="20">
        <v>5214</v>
      </c>
      <c r="C4362" s="21">
        <v>45033</v>
      </c>
      <c r="D4362" s="20">
        <v>2608.37</v>
      </c>
      <c r="E4362" s="22" t="s">
        <v>10</v>
      </c>
      <c r="F4362" s="22" t="s">
        <v>11</v>
      </c>
      <c r="G4362" s="22" t="s">
        <v>17</v>
      </c>
    </row>
    <row r="4363" ht="15.15" spans="1:7">
      <c r="A4363" s="20">
        <v>4362</v>
      </c>
      <c r="B4363" s="20">
        <v>5961</v>
      </c>
      <c r="C4363" s="21">
        <v>44998</v>
      </c>
      <c r="D4363" s="20">
        <v>2346.98</v>
      </c>
      <c r="E4363" s="22" t="s">
        <v>10</v>
      </c>
      <c r="F4363" s="22" t="s">
        <v>11</v>
      </c>
      <c r="G4363" s="22" t="s">
        <v>17</v>
      </c>
    </row>
    <row r="4364" ht="15.15" spans="1:7">
      <c r="A4364" s="20">
        <v>4363</v>
      </c>
      <c r="B4364" s="20">
        <v>4743</v>
      </c>
      <c r="C4364" s="21">
        <v>45259</v>
      </c>
      <c r="D4364" s="20">
        <v>1334.58</v>
      </c>
      <c r="E4364" s="22" t="s">
        <v>10</v>
      </c>
      <c r="F4364" s="22" t="s">
        <v>18</v>
      </c>
      <c r="G4364" s="22" t="s">
        <v>20</v>
      </c>
    </row>
    <row r="4365" ht="15.15" spans="1:7">
      <c r="A4365" s="20">
        <v>4364</v>
      </c>
      <c r="B4365" s="20">
        <v>7271</v>
      </c>
      <c r="C4365" s="21">
        <v>45195</v>
      </c>
      <c r="D4365" s="20">
        <v>701.39</v>
      </c>
      <c r="E4365" s="22" t="s">
        <v>10</v>
      </c>
      <c r="F4365" s="22" t="s">
        <v>11</v>
      </c>
      <c r="G4365" s="22" t="s">
        <v>20</v>
      </c>
    </row>
    <row r="4366" ht="15.15" spans="1:7">
      <c r="A4366" s="20">
        <v>4365</v>
      </c>
      <c r="B4366" s="20">
        <v>6726</v>
      </c>
      <c r="C4366" s="21">
        <v>45050</v>
      </c>
      <c r="D4366" s="20">
        <v>1081.22</v>
      </c>
      <c r="E4366" s="22" t="s">
        <v>10</v>
      </c>
      <c r="F4366" s="22" t="s">
        <v>11</v>
      </c>
      <c r="G4366" s="22" t="s">
        <v>20</v>
      </c>
    </row>
    <row r="4367" ht="15.15" spans="1:7">
      <c r="A4367" s="20">
        <v>4366</v>
      </c>
      <c r="B4367" s="20">
        <v>9749</v>
      </c>
      <c r="C4367" s="21">
        <v>45225</v>
      </c>
      <c r="D4367" s="20">
        <v>1099.55</v>
      </c>
      <c r="E4367" s="22" t="s">
        <v>10</v>
      </c>
      <c r="F4367" s="22" t="s">
        <v>16</v>
      </c>
      <c r="G4367" s="22" t="s">
        <v>15</v>
      </c>
    </row>
    <row r="4368" ht="15.15" spans="1:7">
      <c r="A4368" s="20">
        <v>4367</v>
      </c>
      <c r="B4368" s="20">
        <v>6485</v>
      </c>
      <c r="C4368" s="21">
        <v>45127</v>
      </c>
      <c r="D4368" s="20">
        <v>336.89</v>
      </c>
      <c r="E4368" s="22" t="s">
        <v>10</v>
      </c>
      <c r="F4368" s="22" t="s">
        <v>13</v>
      </c>
      <c r="G4368" s="22" t="s">
        <v>15</v>
      </c>
    </row>
    <row r="4369" ht="15.15" spans="1:7">
      <c r="A4369" s="20">
        <v>4368</v>
      </c>
      <c r="B4369" s="20">
        <v>4249</v>
      </c>
      <c r="C4369" s="21">
        <v>45117</v>
      </c>
      <c r="D4369" s="20">
        <v>966.66</v>
      </c>
      <c r="E4369" s="22" t="s">
        <v>10</v>
      </c>
      <c r="F4369" s="22" t="s">
        <v>16</v>
      </c>
      <c r="G4369" s="22" t="s">
        <v>17</v>
      </c>
    </row>
    <row r="4370" ht="15.15" spans="1:7">
      <c r="A4370" s="20">
        <v>4369</v>
      </c>
      <c r="B4370" s="20">
        <v>9927</v>
      </c>
      <c r="C4370" s="21">
        <v>45089</v>
      </c>
      <c r="D4370" s="20">
        <v>680.29</v>
      </c>
      <c r="E4370" s="22" t="s">
        <v>10</v>
      </c>
      <c r="F4370" s="22" t="s">
        <v>11</v>
      </c>
      <c r="G4370" s="22" t="s">
        <v>12</v>
      </c>
    </row>
    <row r="4371" ht="15.15" spans="1:7">
      <c r="A4371" s="20">
        <v>4370</v>
      </c>
      <c r="B4371" s="20">
        <v>7886</v>
      </c>
      <c r="C4371" s="21">
        <v>45287</v>
      </c>
      <c r="D4371" s="20">
        <v>1229.56</v>
      </c>
      <c r="E4371" s="22" t="s">
        <v>10</v>
      </c>
      <c r="F4371" s="22" t="s">
        <v>11</v>
      </c>
      <c r="G4371" s="22" t="s">
        <v>20</v>
      </c>
    </row>
    <row r="4372" ht="15.15" spans="1:7">
      <c r="A4372" s="20">
        <v>4371</v>
      </c>
      <c r="B4372" s="20">
        <v>5118</v>
      </c>
      <c r="C4372" s="21">
        <v>45155</v>
      </c>
      <c r="D4372" s="20">
        <v>1717.93</v>
      </c>
      <c r="E4372" s="22" t="s">
        <v>10</v>
      </c>
      <c r="F4372" s="22" t="s">
        <v>18</v>
      </c>
      <c r="G4372" s="22" t="s">
        <v>12</v>
      </c>
    </row>
    <row r="4373" ht="15.15" spans="1:7">
      <c r="A4373" s="20">
        <v>4372</v>
      </c>
      <c r="B4373" s="20">
        <v>8711</v>
      </c>
      <c r="C4373" s="21">
        <v>45225</v>
      </c>
      <c r="D4373" s="20">
        <v>1417.1</v>
      </c>
      <c r="E4373" s="22" t="s">
        <v>10</v>
      </c>
      <c r="F4373" s="22" t="s">
        <v>13</v>
      </c>
      <c r="G4373" s="22" t="s">
        <v>17</v>
      </c>
    </row>
    <row r="4374" ht="15.15" spans="1:7">
      <c r="A4374" s="20">
        <v>4373</v>
      </c>
      <c r="B4374" s="20">
        <v>7024</v>
      </c>
      <c r="C4374" s="21">
        <v>44942</v>
      </c>
      <c r="D4374" s="20">
        <v>3416.07</v>
      </c>
      <c r="E4374" s="22" t="s">
        <v>10</v>
      </c>
      <c r="F4374" s="22" t="s">
        <v>18</v>
      </c>
      <c r="G4374" s="22" t="s">
        <v>15</v>
      </c>
    </row>
    <row r="4375" ht="15.15" spans="1:7">
      <c r="A4375" s="20">
        <v>4374</v>
      </c>
      <c r="B4375" s="20">
        <v>3200</v>
      </c>
      <c r="C4375" s="21">
        <v>45218</v>
      </c>
      <c r="D4375" s="20">
        <v>1028.2</v>
      </c>
      <c r="E4375" s="22" t="s">
        <v>10</v>
      </c>
      <c r="F4375" s="22" t="s">
        <v>13</v>
      </c>
      <c r="G4375" s="22" t="s">
        <v>12</v>
      </c>
    </row>
    <row r="4376" ht="15.15" spans="1:7">
      <c r="A4376" s="20">
        <v>4375</v>
      </c>
      <c r="B4376" s="20">
        <v>9804</v>
      </c>
      <c r="C4376" s="21">
        <v>45224</v>
      </c>
      <c r="D4376" s="20">
        <v>1828.18</v>
      </c>
      <c r="E4376" s="22" t="s">
        <v>10</v>
      </c>
      <c r="F4376" s="22" t="s">
        <v>13</v>
      </c>
      <c r="G4376" s="22" t="s">
        <v>17</v>
      </c>
    </row>
    <row r="4377" ht="15.15" spans="1:7">
      <c r="A4377" s="20">
        <v>4376</v>
      </c>
      <c r="B4377" s="20">
        <v>3986</v>
      </c>
      <c r="C4377" s="21">
        <v>45131</v>
      </c>
      <c r="D4377" s="20">
        <v>2327.49</v>
      </c>
      <c r="E4377" s="22" t="s">
        <v>10</v>
      </c>
      <c r="F4377" s="22" t="s">
        <v>18</v>
      </c>
      <c r="G4377" s="22" t="s">
        <v>17</v>
      </c>
    </row>
    <row r="4378" ht="15.15" spans="1:7">
      <c r="A4378" s="20">
        <v>4377</v>
      </c>
      <c r="B4378" s="20">
        <v>7117</v>
      </c>
      <c r="C4378" s="21">
        <v>45267</v>
      </c>
      <c r="D4378" s="20">
        <v>255.79</v>
      </c>
      <c r="E4378" s="22" t="s">
        <v>10</v>
      </c>
      <c r="F4378" s="22" t="s">
        <v>16</v>
      </c>
      <c r="G4378" s="22" t="s">
        <v>17</v>
      </c>
    </row>
    <row r="4379" ht="15.15" spans="1:7">
      <c r="A4379" s="20">
        <v>4378</v>
      </c>
      <c r="B4379" s="20">
        <v>8505</v>
      </c>
      <c r="C4379" s="21">
        <v>45039</v>
      </c>
      <c r="D4379" s="20">
        <v>1489</v>
      </c>
      <c r="E4379" s="22" t="s">
        <v>10</v>
      </c>
      <c r="F4379" s="22" t="s">
        <v>18</v>
      </c>
      <c r="G4379" s="22" t="s">
        <v>12</v>
      </c>
    </row>
    <row r="4380" ht="15.15" spans="1:7">
      <c r="A4380" s="20">
        <v>4379</v>
      </c>
      <c r="B4380" s="20">
        <v>4653</v>
      </c>
      <c r="C4380" s="21">
        <v>45223</v>
      </c>
      <c r="D4380" s="20">
        <v>219.69</v>
      </c>
      <c r="E4380" s="22" t="s">
        <v>10</v>
      </c>
      <c r="F4380" s="22" t="s">
        <v>14</v>
      </c>
      <c r="G4380" s="22" t="s">
        <v>20</v>
      </c>
    </row>
    <row r="4381" ht="15.15" spans="1:7">
      <c r="A4381" s="20">
        <v>4380</v>
      </c>
      <c r="B4381" s="20">
        <v>6756</v>
      </c>
      <c r="C4381" s="21">
        <v>45135</v>
      </c>
      <c r="D4381" s="20">
        <v>181.48</v>
      </c>
      <c r="E4381" s="22" t="s">
        <v>10</v>
      </c>
      <c r="F4381" s="22" t="s">
        <v>16</v>
      </c>
      <c r="G4381" s="22" t="s">
        <v>15</v>
      </c>
    </row>
    <row r="4382" ht="15.15" spans="1:7">
      <c r="A4382" s="20">
        <v>4381</v>
      </c>
      <c r="B4382" s="20">
        <v>9673</v>
      </c>
      <c r="C4382" s="21">
        <v>45207</v>
      </c>
      <c r="D4382" s="20">
        <v>1442.57</v>
      </c>
      <c r="E4382" s="22" t="s">
        <v>10</v>
      </c>
      <c r="F4382" s="22" t="s">
        <v>14</v>
      </c>
      <c r="G4382" s="22" t="s">
        <v>20</v>
      </c>
    </row>
    <row r="4383" ht="15.15" spans="1:7">
      <c r="A4383" s="20">
        <v>4382</v>
      </c>
      <c r="B4383" s="20">
        <v>1929</v>
      </c>
      <c r="C4383" s="21">
        <v>45055</v>
      </c>
      <c r="D4383" s="20">
        <v>442.46</v>
      </c>
      <c r="E4383" s="22" t="s">
        <v>10</v>
      </c>
      <c r="F4383" s="22" t="s">
        <v>14</v>
      </c>
      <c r="G4383" s="22" t="s">
        <v>12</v>
      </c>
    </row>
    <row r="4384" ht="15.15" spans="1:7">
      <c r="A4384" s="20">
        <v>4383</v>
      </c>
      <c r="B4384" s="20">
        <v>9853</v>
      </c>
      <c r="C4384" s="21">
        <v>45052</v>
      </c>
      <c r="D4384" s="20">
        <v>438.74</v>
      </c>
      <c r="E4384" s="22" t="s">
        <v>10</v>
      </c>
      <c r="F4384" s="22" t="s">
        <v>16</v>
      </c>
      <c r="G4384" s="22" t="s">
        <v>12</v>
      </c>
    </row>
    <row r="4385" ht="15.15" spans="1:7">
      <c r="A4385" s="20">
        <v>4384</v>
      </c>
      <c r="B4385" s="20">
        <v>2726</v>
      </c>
      <c r="C4385" s="21">
        <v>45206</v>
      </c>
      <c r="D4385" s="20">
        <v>173.45</v>
      </c>
      <c r="E4385" s="22" t="s">
        <v>10</v>
      </c>
      <c r="F4385" s="22" t="s">
        <v>18</v>
      </c>
      <c r="G4385" s="22" t="s">
        <v>15</v>
      </c>
    </row>
    <row r="4386" ht="15.15" spans="1:7">
      <c r="A4386" s="20">
        <v>4385</v>
      </c>
      <c r="B4386" s="20">
        <v>8331</v>
      </c>
      <c r="C4386" s="21">
        <v>44944</v>
      </c>
      <c r="D4386" s="20">
        <v>1522.19</v>
      </c>
      <c r="E4386" s="22" t="s">
        <v>10</v>
      </c>
      <c r="F4386" s="22" t="s">
        <v>18</v>
      </c>
      <c r="G4386" s="22" t="s">
        <v>20</v>
      </c>
    </row>
    <row r="4387" ht="15.15" spans="1:7">
      <c r="A4387" s="20">
        <v>4386</v>
      </c>
      <c r="B4387" s="20">
        <v>4300</v>
      </c>
      <c r="C4387" s="21">
        <v>44963</v>
      </c>
      <c r="D4387" s="20">
        <v>2369.38</v>
      </c>
      <c r="E4387" s="22" t="s">
        <v>10</v>
      </c>
      <c r="F4387" s="22" t="s">
        <v>11</v>
      </c>
      <c r="G4387" s="22" t="s">
        <v>12</v>
      </c>
    </row>
    <row r="4388" ht="15.15" spans="1:7">
      <c r="A4388" s="20">
        <v>4387</v>
      </c>
      <c r="B4388" s="20">
        <v>7722</v>
      </c>
      <c r="C4388" s="21">
        <v>45280</v>
      </c>
      <c r="D4388" s="20">
        <v>729.22</v>
      </c>
      <c r="E4388" s="22" t="s">
        <v>10</v>
      </c>
      <c r="F4388" s="22" t="s">
        <v>11</v>
      </c>
      <c r="G4388" s="22" t="s">
        <v>12</v>
      </c>
    </row>
    <row r="4389" ht="15.15" spans="1:7">
      <c r="A4389" s="20">
        <v>4388</v>
      </c>
      <c r="B4389" s="20">
        <v>5170</v>
      </c>
      <c r="C4389" s="21">
        <v>45086</v>
      </c>
      <c r="D4389" s="20">
        <v>105.06</v>
      </c>
      <c r="E4389" s="22" t="s">
        <v>10</v>
      </c>
      <c r="F4389" s="22" t="s">
        <v>14</v>
      </c>
      <c r="G4389" s="22" t="s">
        <v>12</v>
      </c>
    </row>
    <row r="4390" ht="15.15" spans="1:7">
      <c r="A4390" s="20">
        <v>4389</v>
      </c>
      <c r="B4390" s="20">
        <v>2240</v>
      </c>
      <c r="C4390" s="21">
        <v>44974</v>
      </c>
      <c r="D4390" s="20">
        <v>1205.27</v>
      </c>
      <c r="E4390" s="22" t="s">
        <v>10</v>
      </c>
      <c r="F4390" s="22" t="s">
        <v>18</v>
      </c>
      <c r="G4390" s="22" t="s">
        <v>20</v>
      </c>
    </row>
    <row r="4391" ht="15.15" spans="1:7">
      <c r="A4391" s="20">
        <v>4390</v>
      </c>
      <c r="B4391" s="20">
        <v>6151</v>
      </c>
      <c r="C4391" s="21">
        <v>45266</v>
      </c>
      <c r="D4391" s="20">
        <v>1329.85</v>
      </c>
      <c r="E4391" s="22" t="s">
        <v>10</v>
      </c>
      <c r="F4391" s="22" t="s">
        <v>16</v>
      </c>
      <c r="G4391" s="22" t="s">
        <v>17</v>
      </c>
    </row>
    <row r="4392" ht="15.15" spans="1:7">
      <c r="A4392" s="20">
        <v>4391</v>
      </c>
      <c r="B4392" s="20">
        <v>6378</v>
      </c>
      <c r="C4392" s="21">
        <v>45265</v>
      </c>
      <c r="D4392" s="20">
        <v>156.65</v>
      </c>
      <c r="E4392" s="22" t="s">
        <v>10</v>
      </c>
      <c r="F4392" s="22" t="s">
        <v>13</v>
      </c>
      <c r="G4392" s="22" t="s">
        <v>12</v>
      </c>
    </row>
    <row r="4393" ht="15.15" spans="1:7">
      <c r="A4393" s="20">
        <v>4392</v>
      </c>
      <c r="B4393" s="20">
        <v>3173</v>
      </c>
      <c r="C4393" s="21">
        <v>45183</v>
      </c>
      <c r="D4393" s="20">
        <v>1645.54</v>
      </c>
      <c r="E4393" s="22" t="s">
        <v>10</v>
      </c>
      <c r="F4393" s="22" t="s">
        <v>11</v>
      </c>
      <c r="G4393" s="22" t="s">
        <v>15</v>
      </c>
    </row>
    <row r="4394" ht="15.15" spans="1:7">
      <c r="A4394" s="20">
        <v>4393</v>
      </c>
      <c r="B4394" s="20">
        <v>9493</v>
      </c>
      <c r="C4394" s="21">
        <v>45265</v>
      </c>
      <c r="D4394" s="20">
        <v>968.43</v>
      </c>
      <c r="E4394" s="22" t="s">
        <v>10</v>
      </c>
      <c r="F4394" s="22" t="s">
        <v>16</v>
      </c>
      <c r="G4394" s="22" t="s">
        <v>12</v>
      </c>
    </row>
    <row r="4395" ht="15.15" spans="1:7">
      <c r="A4395" s="20">
        <v>4394</v>
      </c>
      <c r="B4395" s="20">
        <v>4823</v>
      </c>
      <c r="C4395" s="21">
        <v>45077</v>
      </c>
      <c r="D4395" s="20">
        <v>448.66</v>
      </c>
      <c r="E4395" s="22" t="s">
        <v>10</v>
      </c>
      <c r="F4395" s="22" t="s">
        <v>19</v>
      </c>
      <c r="G4395" s="22" t="s">
        <v>15</v>
      </c>
    </row>
    <row r="4396" ht="15.15" spans="1:7">
      <c r="A4396" s="20">
        <v>4395</v>
      </c>
      <c r="B4396" s="20">
        <v>8269</v>
      </c>
      <c r="C4396" s="21">
        <v>45155</v>
      </c>
      <c r="D4396" s="20">
        <v>680.22</v>
      </c>
      <c r="E4396" s="22" t="s">
        <v>10</v>
      </c>
      <c r="F4396" s="22" t="s">
        <v>13</v>
      </c>
      <c r="G4396" s="22" t="s">
        <v>12</v>
      </c>
    </row>
    <row r="4397" ht="15.15" spans="1:7">
      <c r="A4397" s="20">
        <v>4396</v>
      </c>
      <c r="B4397" s="20">
        <v>1103</v>
      </c>
      <c r="C4397" s="21">
        <v>45152</v>
      </c>
      <c r="D4397" s="20">
        <v>494.16</v>
      </c>
      <c r="E4397" s="22" t="s">
        <v>10</v>
      </c>
      <c r="F4397" s="22" t="s">
        <v>14</v>
      </c>
      <c r="G4397" s="22" t="s">
        <v>20</v>
      </c>
    </row>
    <row r="4398" ht="15.15" spans="1:7">
      <c r="A4398" s="20">
        <v>4397</v>
      </c>
      <c r="B4398" s="20">
        <v>6210</v>
      </c>
      <c r="C4398" s="21">
        <v>45080</v>
      </c>
      <c r="D4398" s="20">
        <v>776.8</v>
      </c>
      <c r="E4398" s="22" t="s">
        <v>10</v>
      </c>
      <c r="F4398" s="22" t="s">
        <v>16</v>
      </c>
      <c r="G4398" s="22" t="s">
        <v>17</v>
      </c>
    </row>
    <row r="4399" ht="15.15" spans="1:7">
      <c r="A4399" s="20">
        <v>4398</v>
      </c>
      <c r="B4399" s="20">
        <v>2633</v>
      </c>
      <c r="C4399" s="21">
        <v>45233</v>
      </c>
      <c r="D4399" s="20">
        <v>1369.57</v>
      </c>
      <c r="E4399" s="22" t="s">
        <v>10</v>
      </c>
      <c r="F4399" s="22" t="s">
        <v>13</v>
      </c>
      <c r="G4399" s="22" t="s">
        <v>15</v>
      </c>
    </row>
    <row r="4400" ht="15.15" spans="1:7">
      <c r="A4400" s="20">
        <v>4399</v>
      </c>
      <c r="B4400" s="20">
        <v>510</v>
      </c>
      <c r="C4400" s="21">
        <v>45276</v>
      </c>
      <c r="D4400" s="20">
        <v>270.67</v>
      </c>
      <c r="E4400" s="22" t="s">
        <v>10</v>
      </c>
      <c r="F4400" s="22" t="s">
        <v>18</v>
      </c>
      <c r="G4400" s="22" t="s">
        <v>17</v>
      </c>
    </row>
    <row r="4401" ht="15.15" spans="1:7">
      <c r="A4401" s="20">
        <v>4400</v>
      </c>
      <c r="B4401" s="20">
        <v>1539</v>
      </c>
      <c r="C4401" s="21">
        <v>45126</v>
      </c>
      <c r="D4401" s="20">
        <v>2220.02</v>
      </c>
      <c r="E4401" s="22" t="s">
        <v>10</v>
      </c>
      <c r="F4401" s="22" t="s">
        <v>13</v>
      </c>
      <c r="G4401" s="22" t="s">
        <v>12</v>
      </c>
    </row>
    <row r="4402" ht="15.15" spans="1:7">
      <c r="A4402" s="20">
        <v>4401</v>
      </c>
      <c r="B4402" s="20">
        <v>4161</v>
      </c>
      <c r="C4402" s="21">
        <v>45195</v>
      </c>
      <c r="D4402" s="20">
        <v>1671.84</v>
      </c>
      <c r="E4402" s="22" t="s">
        <v>10</v>
      </c>
      <c r="F4402" s="22" t="s">
        <v>13</v>
      </c>
      <c r="G4402" s="22" t="s">
        <v>15</v>
      </c>
    </row>
    <row r="4403" ht="15.15" spans="1:7">
      <c r="A4403" s="20">
        <v>4402</v>
      </c>
      <c r="B4403" s="20">
        <v>2661</v>
      </c>
      <c r="C4403" s="21">
        <v>44980</v>
      </c>
      <c r="D4403" s="20">
        <v>2650.24</v>
      </c>
      <c r="E4403" s="22" t="s">
        <v>10</v>
      </c>
      <c r="F4403" s="22" t="s">
        <v>16</v>
      </c>
      <c r="G4403" s="22" t="s">
        <v>15</v>
      </c>
    </row>
    <row r="4404" ht="15.15" spans="1:7">
      <c r="A4404" s="20">
        <v>4403</v>
      </c>
      <c r="B4404" s="20">
        <v>3927</v>
      </c>
      <c r="C4404" s="21">
        <v>45037</v>
      </c>
      <c r="D4404" s="20">
        <v>416.48</v>
      </c>
      <c r="E4404" s="22" t="s">
        <v>10</v>
      </c>
      <c r="F4404" s="22" t="s">
        <v>18</v>
      </c>
      <c r="G4404" s="22" t="s">
        <v>12</v>
      </c>
    </row>
    <row r="4405" ht="15.15" spans="1:7">
      <c r="A4405" s="20">
        <v>4404</v>
      </c>
      <c r="B4405" s="20">
        <v>5936</v>
      </c>
      <c r="C4405" s="21">
        <v>45291</v>
      </c>
      <c r="D4405" s="20">
        <v>1239.78</v>
      </c>
      <c r="E4405" s="22" t="s">
        <v>10</v>
      </c>
      <c r="F4405" s="22" t="s">
        <v>18</v>
      </c>
      <c r="G4405" s="22" t="s">
        <v>15</v>
      </c>
    </row>
    <row r="4406" ht="15.15" spans="1:7">
      <c r="A4406" s="20">
        <v>4405</v>
      </c>
      <c r="B4406" s="20">
        <v>2122</v>
      </c>
      <c r="C4406" s="21">
        <v>45211</v>
      </c>
      <c r="D4406" s="20">
        <v>96.07</v>
      </c>
      <c r="E4406" s="22" t="s">
        <v>10</v>
      </c>
      <c r="F4406" s="22" t="s">
        <v>16</v>
      </c>
      <c r="G4406" s="22" t="s">
        <v>12</v>
      </c>
    </row>
    <row r="4407" ht="15.15" spans="1:7">
      <c r="A4407" s="20">
        <v>4406</v>
      </c>
      <c r="B4407" s="20">
        <v>2782</v>
      </c>
      <c r="C4407" s="21">
        <v>45205</v>
      </c>
      <c r="D4407" s="20">
        <v>3503.64</v>
      </c>
      <c r="E4407" s="22" t="s">
        <v>10</v>
      </c>
      <c r="F4407" s="22" t="s">
        <v>16</v>
      </c>
      <c r="G4407" s="22" t="s">
        <v>20</v>
      </c>
    </row>
    <row r="4408" ht="15.15" spans="1:7">
      <c r="A4408" s="20">
        <v>4407</v>
      </c>
      <c r="B4408" s="20">
        <v>1059</v>
      </c>
      <c r="C4408" s="21">
        <v>45266</v>
      </c>
      <c r="D4408" s="20">
        <v>1072.43</v>
      </c>
      <c r="E4408" s="22" t="s">
        <v>10</v>
      </c>
      <c r="F4408" s="22" t="s">
        <v>18</v>
      </c>
      <c r="G4408" s="22" t="s">
        <v>15</v>
      </c>
    </row>
    <row r="4409" ht="15.15" spans="1:7">
      <c r="A4409" s="20">
        <v>4408</v>
      </c>
      <c r="B4409" s="20">
        <v>5442</v>
      </c>
      <c r="C4409" s="21">
        <v>44972</v>
      </c>
      <c r="D4409" s="20">
        <v>1051.31</v>
      </c>
      <c r="E4409" s="22" t="s">
        <v>10</v>
      </c>
      <c r="F4409" s="22" t="s">
        <v>14</v>
      </c>
      <c r="G4409" s="22" t="s">
        <v>20</v>
      </c>
    </row>
    <row r="4410" ht="15.15" spans="1:7">
      <c r="A4410" s="20">
        <v>4409</v>
      </c>
      <c r="B4410" s="20">
        <v>5832</v>
      </c>
      <c r="C4410" s="21">
        <v>45163</v>
      </c>
      <c r="D4410" s="20">
        <v>2114.74</v>
      </c>
      <c r="E4410" s="22" t="s">
        <v>10</v>
      </c>
      <c r="F4410" s="22" t="s">
        <v>16</v>
      </c>
      <c r="G4410" s="22" t="s">
        <v>20</v>
      </c>
    </row>
    <row r="4411" ht="15.15" spans="1:7">
      <c r="A4411" s="20">
        <v>4410</v>
      </c>
      <c r="B4411" s="20">
        <v>1321</v>
      </c>
      <c r="C4411" s="21">
        <v>45047</v>
      </c>
      <c r="D4411" s="20">
        <v>966.66</v>
      </c>
      <c r="E4411" s="22" t="s">
        <v>10</v>
      </c>
      <c r="F4411" s="22" t="s">
        <v>14</v>
      </c>
      <c r="G4411" s="22" t="s">
        <v>17</v>
      </c>
    </row>
    <row r="4412" ht="15.15" spans="1:7">
      <c r="A4412" s="20">
        <v>4411</v>
      </c>
      <c r="B4412" s="20">
        <v>9933</v>
      </c>
      <c r="C4412" s="21">
        <v>45273</v>
      </c>
      <c r="D4412" s="20">
        <v>30.63</v>
      </c>
      <c r="E4412" s="22" t="s">
        <v>10</v>
      </c>
      <c r="F4412" s="22" t="s">
        <v>11</v>
      </c>
      <c r="G4412" s="22" t="s">
        <v>20</v>
      </c>
    </row>
    <row r="4413" ht="15.15" spans="1:7">
      <c r="A4413" s="20">
        <v>4412</v>
      </c>
      <c r="B4413" s="20">
        <v>8438</v>
      </c>
      <c r="C4413" s="21">
        <v>45054</v>
      </c>
      <c r="D4413" s="20">
        <v>299.56</v>
      </c>
      <c r="E4413" s="22" t="s">
        <v>10</v>
      </c>
      <c r="F4413" s="22" t="s">
        <v>13</v>
      </c>
      <c r="G4413" s="22" t="s">
        <v>17</v>
      </c>
    </row>
    <row r="4414" ht="15.15" spans="1:7">
      <c r="A4414" s="20">
        <v>4413</v>
      </c>
      <c r="B4414" s="20">
        <v>8804</v>
      </c>
      <c r="C4414" s="21">
        <v>45042</v>
      </c>
      <c r="D4414" s="20">
        <v>753.56</v>
      </c>
      <c r="E4414" s="22" t="s">
        <v>10</v>
      </c>
      <c r="F4414" s="22" t="s">
        <v>18</v>
      </c>
      <c r="G4414" s="22" t="s">
        <v>15</v>
      </c>
    </row>
    <row r="4415" ht="15.15" spans="1:7">
      <c r="A4415" s="20">
        <v>4414</v>
      </c>
      <c r="B4415" s="20">
        <v>962</v>
      </c>
      <c r="C4415" s="21">
        <v>45285</v>
      </c>
      <c r="D4415" s="20">
        <v>1010.56</v>
      </c>
      <c r="E4415" s="22" t="s">
        <v>10</v>
      </c>
      <c r="F4415" s="22" t="s">
        <v>18</v>
      </c>
      <c r="G4415" s="22" t="s">
        <v>17</v>
      </c>
    </row>
    <row r="4416" ht="15.15" spans="1:7">
      <c r="A4416" s="20">
        <v>4415</v>
      </c>
      <c r="B4416" s="20">
        <v>5956</v>
      </c>
      <c r="C4416" s="21">
        <v>45012</v>
      </c>
      <c r="D4416" s="20">
        <v>299.56</v>
      </c>
      <c r="E4416" s="22" t="s">
        <v>10</v>
      </c>
      <c r="F4416" s="22" t="s">
        <v>18</v>
      </c>
      <c r="G4416" s="22" t="s">
        <v>17</v>
      </c>
    </row>
    <row r="4417" ht="15.15" spans="1:7">
      <c r="A4417" s="20">
        <v>4416</v>
      </c>
      <c r="B4417" s="20">
        <v>858</v>
      </c>
      <c r="C4417" s="21">
        <v>45024</v>
      </c>
      <c r="D4417" s="20">
        <v>1492.99</v>
      </c>
      <c r="E4417" s="22" t="s">
        <v>10</v>
      </c>
      <c r="F4417" s="22" t="s">
        <v>18</v>
      </c>
      <c r="G4417" s="22" t="s">
        <v>20</v>
      </c>
    </row>
    <row r="4418" ht="15.15" spans="1:7">
      <c r="A4418" s="20">
        <v>4417</v>
      </c>
      <c r="B4418" s="20">
        <v>1011</v>
      </c>
      <c r="C4418" s="21">
        <v>45039</v>
      </c>
      <c r="D4418" s="20">
        <v>189.69</v>
      </c>
      <c r="E4418" s="22" t="s">
        <v>10</v>
      </c>
      <c r="F4418" s="22" t="s">
        <v>16</v>
      </c>
      <c r="G4418" s="22" t="s">
        <v>12</v>
      </c>
    </row>
    <row r="4419" ht="15.15" spans="1:7">
      <c r="A4419" s="20">
        <v>4418</v>
      </c>
      <c r="B4419" s="20">
        <v>2278</v>
      </c>
      <c r="C4419" s="21">
        <v>45125</v>
      </c>
      <c r="D4419" s="20">
        <v>638.1</v>
      </c>
      <c r="E4419" s="22" t="s">
        <v>10</v>
      </c>
      <c r="F4419" s="22" t="s">
        <v>16</v>
      </c>
      <c r="G4419" s="22" t="s">
        <v>17</v>
      </c>
    </row>
    <row r="4420" ht="15.15" spans="1:7">
      <c r="A4420" s="20">
        <v>4419</v>
      </c>
      <c r="B4420" s="20">
        <v>8656</v>
      </c>
      <c r="C4420" s="21">
        <v>45148</v>
      </c>
      <c r="D4420" s="20">
        <v>1380.73</v>
      </c>
      <c r="E4420" s="22" t="s">
        <v>10</v>
      </c>
      <c r="F4420" s="22" t="s">
        <v>11</v>
      </c>
      <c r="G4420" s="22" t="s">
        <v>20</v>
      </c>
    </row>
    <row r="4421" ht="15.15" spans="1:7">
      <c r="A4421" s="20">
        <v>4420</v>
      </c>
      <c r="B4421" s="20">
        <v>9796</v>
      </c>
      <c r="C4421" s="21">
        <v>44936</v>
      </c>
      <c r="D4421" s="20">
        <v>270.86</v>
      </c>
      <c r="E4421" s="22" t="s">
        <v>10</v>
      </c>
      <c r="F4421" s="22" t="s">
        <v>18</v>
      </c>
      <c r="G4421" s="22" t="s">
        <v>17</v>
      </c>
    </row>
    <row r="4422" ht="15.15" spans="1:7">
      <c r="A4422" s="20">
        <v>4421</v>
      </c>
      <c r="B4422" s="20">
        <v>7279</v>
      </c>
      <c r="C4422" s="21">
        <v>45265</v>
      </c>
      <c r="D4422" s="20">
        <v>3386.73</v>
      </c>
      <c r="E4422" s="22" t="s">
        <v>10</v>
      </c>
      <c r="F4422" s="22" t="s">
        <v>18</v>
      </c>
      <c r="G4422" s="22" t="s">
        <v>15</v>
      </c>
    </row>
    <row r="4423" ht="15.15" spans="1:7">
      <c r="A4423" s="20">
        <v>4422</v>
      </c>
      <c r="B4423" s="20">
        <v>4450</v>
      </c>
      <c r="C4423" s="21">
        <v>45224</v>
      </c>
      <c r="D4423" s="20">
        <v>545.46</v>
      </c>
      <c r="E4423" s="22" t="s">
        <v>10</v>
      </c>
      <c r="F4423" s="22" t="s">
        <v>16</v>
      </c>
      <c r="G4423" s="22" t="s">
        <v>12</v>
      </c>
    </row>
    <row r="4424" ht="15.15" spans="1:7">
      <c r="A4424" s="20">
        <v>4423</v>
      </c>
      <c r="B4424" s="20">
        <v>2934</v>
      </c>
      <c r="C4424" s="21">
        <v>45119</v>
      </c>
      <c r="D4424" s="20">
        <v>290.79</v>
      </c>
      <c r="E4424" s="22" t="s">
        <v>10</v>
      </c>
      <c r="F4424" s="22" t="s">
        <v>16</v>
      </c>
      <c r="G4424" s="22" t="s">
        <v>20</v>
      </c>
    </row>
    <row r="4425" ht="15.15" spans="1:7">
      <c r="A4425" s="20">
        <v>4424</v>
      </c>
      <c r="B4425" s="20">
        <v>9885</v>
      </c>
      <c r="C4425" s="21">
        <v>45223</v>
      </c>
      <c r="D4425" s="20">
        <v>1769.19</v>
      </c>
      <c r="E4425" s="22" t="s">
        <v>10</v>
      </c>
      <c r="F4425" s="22" t="s">
        <v>18</v>
      </c>
      <c r="G4425" s="22" t="s">
        <v>20</v>
      </c>
    </row>
    <row r="4426" ht="15.15" spans="1:7">
      <c r="A4426" s="20">
        <v>4425</v>
      </c>
      <c r="B4426" s="20">
        <v>8878</v>
      </c>
      <c r="C4426" s="21">
        <v>45066</v>
      </c>
      <c r="D4426" s="20">
        <v>683.28</v>
      </c>
      <c r="E4426" s="22" t="s">
        <v>10</v>
      </c>
      <c r="F4426" s="22" t="s">
        <v>18</v>
      </c>
      <c r="G4426" s="22" t="s">
        <v>20</v>
      </c>
    </row>
    <row r="4427" ht="15.15" spans="1:7">
      <c r="A4427" s="20">
        <v>4426</v>
      </c>
      <c r="B4427" s="20">
        <v>6843</v>
      </c>
      <c r="C4427" s="21">
        <v>45234</v>
      </c>
      <c r="D4427" s="20">
        <v>818.03</v>
      </c>
      <c r="E4427" s="22" t="s">
        <v>10</v>
      </c>
      <c r="F4427" s="22" t="s">
        <v>13</v>
      </c>
      <c r="G4427" s="22" t="s">
        <v>15</v>
      </c>
    </row>
    <row r="4428" ht="15.15" spans="1:7">
      <c r="A4428" s="20">
        <v>4427</v>
      </c>
      <c r="B4428" s="20">
        <v>3327</v>
      </c>
      <c r="C4428" s="21">
        <v>45092</v>
      </c>
      <c r="D4428" s="20">
        <v>240.73</v>
      </c>
      <c r="E4428" s="22" t="s">
        <v>10</v>
      </c>
      <c r="F4428" s="22" t="s">
        <v>16</v>
      </c>
      <c r="G4428" s="22" t="s">
        <v>15</v>
      </c>
    </row>
    <row r="4429" ht="15.15" spans="1:7">
      <c r="A4429" s="20">
        <v>4428</v>
      </c>
      <c r="B4429" s="20">
        <v>4291</v>
      </c>
      <c r="C4429" s="21">
        <v>45116</v>
      </c>
      <c r="D4429" s="20">
        <v>2337.56</v>
      </c>
      <c r="E4429" s="22" t="s">
        <v>10</v>
      </c>
      <c r="F4429" s="22" t="s">
        <v>11</v>
      </c>
      <c r="G4429" s="22" t="s">
        <v>17</v>
      </c>
    </row>
    <row r="4430" ht="15.15" spans="1:7">
      <c r="A4430" s="20">
        <v>4429</v>
      </c>
      <c r="B4430" s="20">
        <v>7977</v>
      </c>
      <c r="C4430" s="21">
        <v>45224</v>
      </c>
      <c r="D4430" s="20">
        <v>1231.6</v>
      </c>
      <c r="E4430" s="22" t="s">
        <v>10</v>
      </c>
      <c r="F4430" s="22" t="s">
        <v>14</v>
      </c>
      <c r="G4430" s="22" t="s">
        <v>15</v>
      </c>
    </row>
    <row r="4431" ht="15.15" spans="1:7">
      <c r="A4431" s="20">
        <v>4430</v>
      </c>
      <c r="B4431" s="20">
        <v>7686</v>
      </c>
      <c r="C4431" s="21">
        <v>44994</v>
      </c>
      <c r="D4431" s="20">
        <v>2169.11</v>
      </c>
      <c r="E4431" s="22" t="s">
        <v>10</v>
      </c>
      <c r="F4431" s="22" t="s">
        <v>18</v>
      </c>
      <c r="G4431" s="22" t="s">
        <v>17</v>
      </c>
    </row>
    <row r="4432" ht="15.15" spans="1:7">
      <c r="A4432" s="20">
        <v>4431</v>
      </c>
      <c r="B4432" s="20">
        <v>5358</v>
      </c>
      <c r="C4432" s="21">
        <v>45208</v>
      </c>
      <c r="D4432" s="20">
        <v>1151.55</v>
      </c>
      <c r="E4432" s="22" t="s">
        <v>10</v>
      </c>
      <c r="F4432" s="22" t="s">
        <v>11</v>
      </c>
      <c r="G4432" s="22" t="s">
        <v>17</v>
      </c>
    </row>
    <row r="4433" ht="15.15" spans="1:7">
      <c r="A4433" s="20">
        <v>4432</v>
      </c>
      <c r="B4433" s="20">
        <v>4816</v>
      </c>
      <c r="C4433" s="21">
        <v>45107</v>
      </c>
      <c r="D4433" s="20">
        <v>1604.65</v>
      </c>
      <c r="E4433" s="22" t="s">
        <v>10</v>
      </c>
      <c r="F4433" s="22" t="s">
        <v>11</v>
      </c>
      <c r="G4433" s="22" t="s">
        <v>15</v>
      </c>
    </row>
    <row r="4434" ht="15.15" spans="1:7">
      <c r="A4434" s="20">
        <v>4433</v>
      </c>
      <c r="B4434" s="20">
        <v>7504</v>
      </c>
      <c r="C4434" s="21">
        <v>45101</v>
      </c>
      <c r="D4434" s="20">
        <v>4553.08</v>
      </c>
      <c r="E4434" s="22" t="s">
        <v>10</v>
      </c>
      <c r="F4434" s="22" t="s">
        <v>16</v>
      </c>
      <c r="G4434" s="22" t="s">
        <v>12</v>
      </c>
    </row>
    <row r="4435" ht="15.15" spans="1:7">
      <c r="A4435" s="20">
        <v>4434</v>
      </c>
      <c r="B4435" s="20">
        <v>8327</v>
      </c>
      <c r="C4435" s="21">
        <v>44998</v>
      </c>
      <c r="D4435" s="20">
        <v>479.1</v>
      </c>
      <c r="E4435" s="22" t="s">
        <v>10</v>
      </c>
      <c r="F4435" s="22" t="s">
        <v>14</v>
      </c>
      <c r="G4435" s="22" t="s">
        <v>12</v>
      </c>
    </row>
    <row r="4436" ht="15.15" spans="1:7">
      <c r="A4436" s="20">
        <v>4435</v>
      </c>
      <c r="B4436" s="20">
        <v>5712</v>
      </c>
      <c r="C4436" s="21">
        <v>45265</v>
      </c>
      <c r="D4436" s="20">
        <v>748.3</v>
      </c>
      <c r="E4436" s="22" t="s">
        <v>10</v>
      </c>
      <c r="F4436" s="22" t="s">
        <v>13</v>
      </c>
      <c r="G4436" s="22" t="s">
        <v>12</v>
      </c>
    </row>
    <row r="4437" ht="15.15" spans="1:7">
      <c r="A4437" s="20">
        <v>4436</v>
      </c>
      <c r="B4437" s="20">
        <v>2288</v>
      </c>
      <c r="C4437" s="21">
        <v>45016</v>
      </c>
      <c r="D4437" s="20">
        <v>983.11</v>
      </c>
      <c r="E4437" s="22" t="s">
        <v>10</v>
      </c>
      <c r="F4437" s="22" t="s">
        <v>14</v>
      </c>
      <c r="G4437" s="22" t="s">
        <v>12</v>
      </c>
    </row>
    <row r="4438" ht="15.15" spans="1:7">
      <c r="A4438" s="20">
        <v>4437</v>
      </c>
      <c r="B4438" s="20">
        <v>326</v>
      </c>
      <c r="C4438" s="21">
        <v>45143</v>
      </c>
      <c r="D4438" s="20">
        <v>833.52</v>
      </c>
      <c r="E4438" s="22" t="s">
        <v>10</v>
      </c>
      <c r="F4438" s="22" t="s">
        <v>11</v>
      </c>
      <c r="G4438" s="22" t="s">
        <v>20</v>
      </c>
    </row>
    <row r="4439" ht="15.15" spans="1:7">
      <c r="A4439" s="20">
        <v>4438</v>
      </c>
      <c r="B4439" s="20">
        <v>3899</v>
      </c>
      <c r="C4439" s="21">
        <v>45176</v>
      </c>
      <c r="D4439" s="20">
        <v>240.57</v>
      </c>
      <c r="E4439" s="22" t="s">
        <v>10</v>
      </c>
      <c r="F4439" s="22" t="s">
        <v>16</v>
      </c>
      <c r="G4439" s="22" t="s">
        <v>15</v>
      </c>
    </row>
    <row r="4440" ht="15.15" spans="1:7">
      <c r="A4440" s="20">
        <v>4439</v>
      </c>
      <c r="B4440" s="20">
        <v>4589</v>
      </c>
      <c r="C4440" s="21">
        <v>45243</v>
      </c>
      <c r="D4440" s="20">
        <v>1146.95</v>
      </c>
      <c r="E4440" s="22" t="s">
        <v>10</v>
      </c>
      <c r="F4440" s="22" t="s">
        <v>14</v>
      </c>
      <c r="G4440" s="22" t="s">
        <v>20</v>
      </c>
    </row>
    <row r="4441" ht="15.15" spans="1:7">
      <c r="A4441" s="20">
        <v>4440</v>
      </c>
      <c r="B4441" s="20">
        <v>6062</v>
      </c>
      <c r="C4441" s="21">
        <v>45249</v>
      </c>
      <c r="D4441" s="20">
        <v>363.06</v>
      </c>
      <c r="E4441" s="22" t="s">
        <v>10</v>
      </c>
      <c r="F4441" s="22" t="s">
        <v>16</v>
      </c>
      <c r="G4441" s="22" t="s">
        <v>17</v>
      </c>
    </row>
    <row r="4442" ht="15.15" spans="1:7">
      <c r="A4442" s="20">
        <v>4441</v>
      </c>
      <c r="B4442" s="20">
        <v>7348</v>
      </c>
      <c r="C4442" s="21">
        <v>45120</v>
      </c>
      <c r="D4442" s="20">
        <v>700.62</v>
      </c>
      <c r="E4442" s="22" t="s">
        <v>10</v>
      </c>
      <c r="F4442" s="22" t="s">
        <v>13</v>
      </c>
      <c r="G4442" s="22" t="s">
        <v>17</v>
      </c>
    </row>
    <row r="4443" ht="15.15" spans="1:7">
      <c r="A4443" s="20">
        <v>4442</v>
      </c>
      <c r="B4443" s="20">
        <v>7336</v>
      </c>
      <c r="C4443" s="21">
        <v>45170</v>
      </c>
      <c r="D4443" s="20">
        <v>510.56</v>
      </c>
      <c r="E4443" s="22" t="s">
        <v>10</v>
      </c>
      <c r="F4443" s="22" t="s">
        <v>11</v>
      </c>
      <c r="G4443" s="22" t="s">
        <v>20</v>
      </c>
    </row>
    <row r="4444" ht="15.15" spans="1:7">
      <c r="A4444" s="20">
        <v>4443</v>
      </c>
      <c r="B4444" s="20">
        <v>1776</v>
      </c>
      <c r="C4444" s="21">
        <v>45238</v>
      </c>
      <c r="D4444" s="20">
        <v>1700.45</v>
      </c>
      <c r="E4444" s="22" t="s">
        <v>10</v>
      </c>
      <c r="F4444" s="22" t="s">
        <v>14</v>
      </c>
      <c r="G4444" s="22" t="s">
        <v>15</v>
      </c>
    </row>
    <row r="4445" ht="15.15" spans="1:7">
      <c r="A4445" s="20">
        <v>4444</v>
      </c>
      <c r="B4445" s="20">
        <v>2772</v>
      </c>
      <c r="C4445" s="21">
        <v>45085</v>
      </c>
      <c r="D4445" s="20">
        <v>399.61</v>
      </c>
      <c r="E4445" s="22" t="s">
        <v>10</v>
      </c>
      <c r="F4445" s="22" t="s">
        <v>18</v>
      </c>
      <c r="G4445" s="22" t="s">
        <v>15</v>
      </c>
    </row>
    <row r="4446" ht="15.15" spans="1:7">
      <c r="A4446" s="20">
        <v>4445</v>
      </c>
      <c r="B4446" s="20">
        <v>3802</v>
      </c>
      <c r="C4446" s="21">
        <v>44984</v>
      </c>
      <c r="D4446" s="20">
        <v>355.4</v>
      </c>
      <c r="E4446" s="22" t="s">
        <v>10</v>
      </c>
      <c r="F4446" s="22" t="s">
        <v>13</v>
      </c>
      <c r="G4446" s="22" t="s">
        <v>15</v>
      </c>
    </row>
    <row r="4447" ht="15.15" spans="1:7">
      <c r="A4447" s="20">
        <v>4446</v>
      </c>
      <c r="B4447" s="20">
        <v>7948</v>
      </c>
      <c r="C4447" s="21">
        <v>45008</v>
      </c>
      <c r="D4447" s="20">
        <v>1531.7</v>
      </c>
      <c r="E4447" s="22" t="s">
        <v>10</v>
      </c>
      <c r="F4447" s="22" t="s">
        <v>16</v>
      </c>
      <c r="G4447" s="22" t="s">
        <v>17</v>
      </c>
    </row>
    <row r="4448" ht="15.15" spans="1:7">
      <c r="A4448" s="20">
        <v>4447</v>
      </c>
      <c r="B4448" s="20">
        <v>7511</v>
      </c>
      <c r="C4448" s="21">
        <v>45199</v>
      </c>
      <c r="D4448" s="20">
        <v>4492.81</v>
      </c>
      <c r="E4448" s="22" t="s">
        <v>10</v>
      </c>
      <c r="F4448" s="22" t="s">
        <v>18</v>
      </c>
      <c r="G4448" s="22" t="s">
        <v>17</v>
      </c>
    </row>
    <row r="4449" ht="15.15" spans="1:7">
      <c r="A4449" s="20">
        <v>4448</v>
      </c>
      <c r="B4449" s="20">
        <v>5259</v>
      </c>
      <c r="C4449" s="21">
        <v>45236</v>
      </c>
      <c r="D4449" s="20">
        <v>3986.22</v>
      </c>
      <c r="E4449" s="22" t="s">
        <v>10</v>
      </c>
      <c r="F4449" s="22" t="s">
        <v>16</v>
      </c>
      <c r="G4449" s="22" t="s">
        <v>15</v>
      </c>
    </row>
    <row r="4450" ht="15.15" spans="1:7">
      <c r="A4450" s="20">
        <v>4449</v>
      </c>
      <c r="B4450" s="20">
        <v>9933</v>
      </c>
      <c r="C4450" s="21">
        <v>45070</v>
      </c>
      <c r="D4450" s="20">
        <v>638.1</v>
      </c>
      <c r="E4450" s="22" t="s">
        <v>10</v>
      </c>
      <c r="F4450" s="22" t="s">
        <v>11</v>
      </c>
      <c r="G4450" s="22" t="s">
        <v>15</v>
      </c>
    </row>
    <row r="4451" ht="15.15" spans="1:7">
      <c r="A4451" s="20">
        <v>4450</v>
      </c>
      <c r="B4451" s="20">
        <v>9258</v>
      </c>
      <c r="C4451" s="21">
        <v>45043</v>
      </c>
      <c r="D4451" s="20">
        <v>201.88</v>
      </c>
      <c r="E4451" s="22" t="s">
        <v>10</v>
      </c>
      <c r="F4451" s="22" t="s">
        <v>16</v>
      </c>
      <c r="G4451" s="22" t="s">
        <v>17</v>
      </c>
    </row>
    <row r="4452" ht="15.15" spans="1:7">
      <c r="A4452" s="20">
        <v>4451</v>
      </c>
      <c r="B4452" s="20">
        <v>4466</v>
      </c>
      <c r="C4452" s="21">
        <v>45060</v>
      </c>
      <c r="D4452" s="20">
        <v>667.02</v>
      </c>
      <c r="E4452" s="22" t="s">
        <v>10</v>
      </c>
      <c r="F4452" s="22" t="s">
        <v>13</v>
      </c>
      <c r="G4452" s="22" t="s">
        <v>15</v>
      </c>
    </row>
    <row r="4453" ht="15.15" spans="1:7">
      <c r="A4453" s="20">
        <v>4452</v>
      </c>
      <c r="B4453" s="20">
        <v>6856</v>
      </c>
      <c r="C4453" s="21">
        <v>45112</v>
      </c>
      <c r="D4453" s="20">
        <v>636.03</v>
      </c>
      <c r="E4453" s="22" t="s">
        <v>10</v>
      </c>
      <c r="F4453" s="22" t="s">
        <v>14</v>
      </c>
      <c r="G4453" s="22" t="s">
        <v>15</v>
      </c>
    </row>
    <row r="4454" ht="15.15" spans="1:7">
      <c r="A4454" s="20">
        <v>4453</v>
      </c>
      <c r="B4454" s="20">
        <v>523</v>
      </c>
      <c r="C4454" s="21">
        <v>45092</v>
      </c>
      <c r="D4454" s="20">
        <v>479.1</v>
      </c>
      <c r="E4454" s="22" t="s">
        <v>10</v>
      </c>
      <c r="F4454" s="22" t="s">
        <v>16</v>
      </c>
      <c r="G4454" s="22" t="s">
        <v>17</v>
      </c>
    </row>
    <row r="4455" ht="15.15" spans="1:7">
      <c r="A4455" s="20">
        <v>4454</v>
      </c>
      <c r="B4455" s="20">
        <v>9946</v>
      </c>
      <c r="C4455" s="21">
        <v>45205</v>
      </c>
      <c r="D4455" s="20">
        <v>1364.83</v>
      </c>
      <c r="E4455" s="22" t="s">
        <v>10</v>
      </c>
      <c r="F4455" s="22" t="s">
        <v>18</v>
      </c>
      <c r="G4455" s="22" t="s">
        <v>20</v>
      </c>
    </row>
    <row r="4456" ht="15.15" spans="1:7">
      <c r="A4456" s="20">
        <v>4455</v>
      </c>
      <c r="B4456" s="20">
        <v>1079</v>
      </c>
      <c r="C4456" s="21">
        <v>44960</v>
      </c>
      <c r="D4456" s="20">
        <v>260.15</v>
      </c>
      <c r="E4456" s="22" t="s">
        <v>10</v>
      </c>
      <c r="F4456" s="22" t="s">
        <v>18</v>
      </c>
      <c r="G4456" s="22" t="s">
        <v>12</v>
      </c>
    </row>
    <row r="4457" ht="15.15" spans="1:7">
      <c r="A4457" s="20">
        <v>4456</v>
      </c>
      <c r="B4457" s="20">
        <v>1433</v>
      </c>
      <c r="C4457" s="21">
        <v>45086</v>
      </c>
      <c r="D4457" s="20">
        <v>366.31</v>
      </c>
      <c r="E4457" s="22" t="s">
        <v>10</v>
      </c>
      <c r="F4457" s="22" t="s">
        <v>11</v>
      </c>
      <c r="G4457" s="22" t="s">
        <v>12</v>
      </c>
    </row>
    <row r="4458" ht="15.15" spans="1:7">
      <c r="A4458" s="20">
        <v>4457</v>
      </c>
      <c r="B4458" s="20">
        <v>8207</v>
      </c>
      <c r="C4458" s="21">
        <v>45035</v>
      </c>
      <c r="D4458" s="20">
        <v>187.47</v>
      </c>
      <c r="E4458" s="22" t="s">
        <v>10</v>
      </c>
      <c r="F4458" s="22" t="s">
        <v>16</v>
      </c>
      <c r="G4458" s="22" t="s">
        <v>15</v>
      </c>
    </row>
    <row r="4459" ht="15.15" spans="1:7">
      <c r="A4459" s="20">
        <v>4458</v>
      </c>
      <c r="B4459" s="20">
        <v>6341</v>
      </c>
      <c r="C4459" s="21">
        <v>45231</v>
      </c>
      <c r="D4459" s="20">
        <v>1729.21</v>
      </c>
      <c r="E4459" s="22" t="s">
        <v>10</v>
      </c>
      <c r="F4459" s="22" t="s">
        <v>14</v>
      </c>
      <c r="G4459" s="22" t="s">
        <v>20</v>
      </c>
    </row>
    <row r="4460" ht="15.15" spans="1:7">
      <c r="A4460" s="20">
        <v>4459</v>
      </c>
      <c r="B4460" s="20">
        <v>3193</v>
      </c>
      <c r="C4460" s="21">
        <v>45148</v>
      </c>
      <c r="D4460" s="20">
        <v>1490.74</v>
      </c>
      <c r="E4460" s="22" t="s">
        <v>10</v>
      </c>
      <c r="F4460" s="22" t="s">
        <v>14</v>
      </c>
      <c r="G4460" s="22" t="s">
        <v>17</v>
      </c>
    </row>
    <row r="4461" ht="15.15" spans="1:7">
      <c r="A4461" s="20">
        <v>4460</v>
      </c>
      <c r="B4461" s="20">
        <v>5220</v>
      </c>
      <c r="C4461" s="21">
        <v>45099</v>
      </c>
      <c r="D4461" s="20">
        <v>376.79</v>
      </c>
      <c r="E4461" s="22" t="s">
        <v>10</v>
      </c>
      <c r="F4461" s="22" t="s">
        <v>16</v>
      </c>
      <c r="G4461" s="22" t="s">
        <v>15</v>
      </c>
    </row>
    <row r="4462" ht="15.15" spans="1:7">
      <c r="A4462" s="20">
        <v>4461</v>
      </c>
      <c r="B4462" s="20">
        <v>1515</v>
      </c>
      <c r="C4462" s="21">
        <v>45291</v>
      </c>
      <c r="D4462" s="20">
        <v>1317.74</v>
      </c>
      <c r="E4462" s="22" t="s">
        <v>10</v>
      </c>
      <c r="F4462" s="22" t="s">
        <v>14</v>
      </c>
      <c r="G4462" s="22" t="s">
        <v>12</v>
      </c>
    </row>
    <row r="4463" ht="15.15" spans="1:7">
      <c r="A4463" s="20">
        <v>4462</v>
      </c>
      <c r="B4463" s="20">
        <v>2038</v>
      </c>
      <c r="C4463" s="21">
        <v>44929</v>
      </c>
      <c r="D4463" s="20">
        <v>418.6</v>
      </c>
      <c r="E4463" s="22" t="s">
        <v>10</v>
      </c>
      <c r="F4463" s="22" t="s">
        <v>18</v>
      </c>
      <c r="G4463" s="22" t="s">
        <v>12</v>
      </c>
    </row>
    <row r="4464" ht="15.15" spans="1:7">
      <c r="A4464" s="20">
        <v>4463</v>
      </c>
      <c r="B4464" s="20">
        <v>2049</v>
      </c>
      <c r="C4464" s="21">
        <v>44939</v>
      </c>
      <c r="D4464" s="20">
        <v>1817.53</v>
      </c>
      <c r="E4464" s="22" t="s">
        <v>10</v>
      </c>
      <c r="F4464" s="22" t="s">
        <v>18</v>
      </c>
      <c r="G4464" s="22" t="s">
        <v>15</v>
      </c>
    </row>
    <row r="4465" ht="15.15" spans="1:7">
      <c r="A4465" s="20">
        <v>4464</v>
      </c>
      <c r="B4465" s="20">
        <v>9392</v>
      </c>
      <c r="C4465" s="21">
        <v>45106</v>
      </c>
      <c r="D4465" s="20">
        <v>1262.36</v>
      </c>
      <c r="E4465" s="22" t="s">
        <v>10</v>
      </c>
      <c r="F4465" s="22" t="s">
        <v>13</v>
      </c>
      <c r="G4465" s="22" t="s">
        <v>17</v>
      </c>
    </row>
    <row r="4466" ht="15.15" spans="1:7">
      <c r="A4466" s="20">
        <v>4465</v>
      </c>
      <c r="B4466" s="20">
        <v>9558</v>
      </c>
      <c r="C4466" s="21">
        <v>45191</v>
      </c>
      <c r="D4466" s="20">
        <v>282.13</v>
      </c>
      <c r="E4466" s="22" t="s">
        <v>10</v>
      </c>
      <c r="F4466" s="22" t="s">
        <v>16</v>
      </c>
      <c r="G4466" s="22" t="s">
        <v>17</v>
      </c>
    </row>
    <row r="4467" ht="15.15" spans="1:7">
      <c r="A4467" s="20">
        <v>4466</v>
      </c>
      <c r="B4467" s="20">
        <v>5174</v>
      </c>
      <c r="C4467" s="21">
        <v>45286</v>
      </c>
      <c r="D4467" s="20">
        <v>382.56</v>
      </c>
      <c r="E4467" s="22" t="s">
        <v>10</v>
      </c>
      <c r="F4467" s="22" t="s">
        <v>11</v>
      </c>
      <c r="G4467" s="22" t="s">
        <v>12</v>
      </c>
    </row>
    <row r="4468" ht="15.15" spans="1:7">
      <c r="A4468" s="20">
        <v>4467</v>
      </c>
      <c r="B4468" s="20">
        <v>6755</v>
      </c>
      <c r="C4468" s="21">
        <v>45205</v>
      </c>
      <c r="D4468" s="20">
        <v>1342.87</v>
      </c>
      <c r="E4468" s="22" t="s">
        <v>10</v>
      </c>
      <c r="F4468" s="22" t="s">
        <v>11</v>
      </c>
      <c r="G4468" s="22" t="s">
        <v>20</v>
      </c>
    </row>
    <row r="4469" ht="15.15" spans="1:7">
      <c r="A4469" s="20">
        <v>4468</v>
      </c>
      <c r="B4469" s="20">
        <v>6345</v>
      </c>
      <c r="C4469" s="21">
        <v>44956</v>
      </c>
      <c r="D4469" s="20">
        <v>2157.79</v>
      </c>
      <c r="E4469" s="22" t="s">
        <v>10</v>
      </c>
      <c r="F4469" s="22" t="s">
        <v>18</v>
      </c>
      <c r="G4469" s="22" t="s">
        <v>15</v>
      </c>
    </row>
    <row r="4470" ht="15.15" spans="1:7">
      <c r="A4470" s="20">
        <v>4469</v>
      </c>
      <c r="B4470" s="20">
        <v>2431</v>
      </c>
      <c r="C4470" s="21">
        <v>45040</v>
      </c>
      <c r="D4470" s="20">
        <v>212.42</v>
      </c>
      <c r="E4470" s="22" t="s">
        <v>10</v>
      </c>
      <c r="F4470" s="22" t="s">
        <v>14</v>
      </c>
      <c r="G4470" s="22" t="s">
        <v>12</v>
      </c>
    </row>
    <row r="4471" ht="15.15" spans="1:7">
      <c r="A4471" s="20">
        <v>4470</v>
      </c>
      <c r="B4471" s="20">
        <v>3056</v>
      </c>
      <c r="C4471" s="21">
        <v>45125</v>
      </c>
      <c r="D4471" s="20">
        <v>1159.2</v>
      </c>
      <c r="E4471" s="22" t="s">
        <v>10</v>
      </c>
      <c r="F4471" s="22" t="s">
        <v>11</v>
      </c>
      <c r="G4471" s="22" t="s">
        <v>15</v>
      </c>
    </row>
    <row r="4472" ht="15.15" spans="1:7">
      <c r="A4472" s="20">
        <v>4471</v>
      </c>
      <c r="B4472" s="20">
        <v>1636</v>
      </c>
      <c r="C4472" s="21">
        <v>45186</v>
      </c>
      <c r="D4472" s="20">
        <v>1836.52</v>
      </c>
      <c r="E4472" s="22" t="s">
        <v>10</v>
      </c>
      <c r="F4472" s="22" t="s">
        <v>14</v>
      </c>
      <c r="G4472" s="22" t="s">
        <v>12</v>
      </c>
    </row>
    <row r="4473" ht="15.15" spans="1:7">
      <c r="A4473" s="20">
        <v>4472</v>
      </c>
      <c r="B4473" s="20">
        <v>9073</v>
      </c>
      <c r="C4473" s="21">
        <v>44983</v>
      </c>
      <c r="D4473" s="20">
        <v>629.96</v>
      </c>
      <c r="E4473" s="22" t="s">
        <v>10</v>
      </c>
      <c r="F4473" s="22" t="s">
        <v>14</v>
      </c>
      <c r="G4473" s="22" t="s">
        <v>15</v>
      </c>
    </row>
    <row r="4474" ht="15.15" spans="1:7">
      <c r="A4474" s="20">
        <v>4473</v>
      </c>
      <c r="B4474" s="20">
        <v>5649</v>
      </c>
      <c r="C4474" s="21">
        <v>45229</v>
      </c>
      <c r="D4474" s="20">
        <v>3142.56</v>
      </c>
      <c r="E4474" s="22" t="s">
        <v>10</v>
      </c>
      <c r="F4474" s="22" t="s">
        <v>14</v>
      </c>
      <c r="G4474" s="22" t="s">
        <v>20</v>
      </c>
    </row>
    <row r="4475" ht="15.15" spans="1:7">
      <c r="A4475" s="20">
        <v>4474</v>
      </c>
      <c r="B4475" s="20">
        <v>4326</v>
      </c>
      <c r="C4475" s="21">
        <v>45060</v>
      </c>
      <c r="D4475" s="20">
        <v>570.94</v>
      </c>
      <c r="E4475" s="22" t="s">
        <v>10</v>
      </c>
      <c r="F4475" s="22" t="s">
        <v>16</v>
      </c>
      <c r="G4475" s="22" t="s">
        <v>12</v>
      </c>
    </row>
    <row r="4476" ht="15.15" spans="1:7">
      <c r="A4476" s="20">
        <v>4475</v>
      </c>
      <c r="B4476" s="20">
        <v>1289</v>
      </c>
      <c r="C4476" s="21">
        <v>45288</v>
      </c>
      <c r="D4476" s="20">
        <v>698.36</v>
      </c>
      <c r="E4476" s="22" t="s">
        <v>10</v>
      </c>
      <c r="F4476" s="22" t="s">
        <v>16</v>
      </c>
      <c r="G4476" s="22" t="s">
        <v>20</v>
      </c>
    </row>
    <row r="4477" ht="15.15" spans="1:7">
      <c r="A4477" s="20">
        <v>4476</v>
      </c>
      <c r="B4477" s="20">
        <v>6726</v>
      </c>
      <c r="C4477" s="21">
        <v>45199</v>
      </c>
      <c r="D4477" s="20">
        <v>1589.35</v>
      </c>
      <c r="E4477" s="22" t="s">
        <v>10</v>
      </c>
      <c r="F4477" s="22" t="s">
        <v>11</v>
      </c>
      <c r="G4477" s="22" t="s">
        <v>20</v>
      </c>
    </row>
    <row r="4478" ht="15.15" spans="1:7">
      <c r="A4478" s="20">
        <v>4477</v>
      </c>
      <c r="B4478" s="20">
        <v>2720</v>
      </c>
      <c r="C4478" s="21">
        <v>45257</v>
      </c>
      <c r="D4478" s="20">
        <v>3356.12</v>
      </c>
      <c r="E4478" s="22" t="s">
        <v>22</v>
      </c>
      <c r="F4478" s="22" t="s">
        <v>16</v>
      </c>
      <c r="G4478" s="22" t="s">
        <v>12</v>
      </c>
    </row>
    <row r="4479" ht="15.15" spans="1:7">
      <c r="A4479" s="20">
        <v>4478</v>
      </c>
      <c r="B4479" s="20">
        <v>8361</v>
      </c>
      <c r="C4479" s="21">
        <v>45171</v>
      </c>
      <c r="D4479" s="20">
        <v>1541.54</v>
      </c>
      <c r="E4479" s="22" t="s">
        <v>10</v>
      </c>
      <c r="F4479" s="22" t="s">
        <v>13</v>
      </c>
      <c r="G4479" s="22" t="s">
        <v>15</v>
      </c>
    </row>
    <row r="4480" ht="15.15" spans="1:7">
      <c r="A4480" s="20">
        <v>4479</v>
      </c>
      <c r="B4480" s="20">
        <v>6866</v>
      </c>
      <c r="C4480" s="21">
        <v>45238</v>
      </c>
      <c r="D4480" s="20">
        <v>140.76</v>
      </c>
      <c r="E4480" s="22" t="s">
        <v>10</v>
      </c>
      <c r="F4480" s="22" t="s">
        <v>16</v>
      </c>
      <c r="G4480" s="22" t="s">
        <v>15</v>
      </c>
    </row>
    <row r="4481" ht="15.15" spans="1:7">
      <c r="A4481" s="20">
        <v>4480</v>
      </c>
      <c r="B4481" s="20">
        <v>2255</v>
      </c>
      <c r="C4481" s="21">
        <v>45253</v>
      </c>
      <c r="D4481" s="20">
        <v>1094.36</v>
      </c>
      <c r="E4481" s="22" t="s">
        <v>10</v>
      </c>
      <c r="F4481" s="22" t="s">
        <v>18</v>
      </c>
      <c r="G4481" s="22" t="s">
        <v>12</v>
      </c>
    </row>
    <row r="4482" ht="15.15" spans="1:7">
      <c r="A4482" s="20">
        <v>4481</v>
      </c>
      <c r="B4482" s="20">
        <v>7097</v>
      </c>
      <c r="C4482" s="21">
        <v>45141</v>
      </c>
      <c r="D4482" s="20">
        <v>3009.81</v>
      </c>
      <c r="E4482" s="22" t="s">
        <v>10</v>
      </c>
      <c r="F4482" s="22" t="s">
        <v>18</v>
      </c>
      <c r="G4482" s="22" t="s">
        <v>20</v>
      </c>
    </row>
    <row r="4483" ht="15.15" spans="1:7">
      <c r="A4483" s="20">
        <v>4482</v>
      </c>
      <c r="B4483" s="20">
        <v>2403</v>
      </c>
      <c r="C4483" s="21">
        <v>45259</v>
      </c>
      <c r="D4483" s="20">
        <v>714.98</v>
      </c>
      <c r="E4483" s="22" t="s">
        <v>10</v>
      </c>
      <c r="F4483" s="22" t="s">
        <v>11</v>
      </c>
      <c r="G4483" s="22" t="s">
        <v>12</v>
      </c>
    </row>
    <row r="4484" ht="15.15" spans="1:7">
      <c r="A4484" s="20">
        <v>4483</v>
      </c>
      <c r="B4484" s="20">
        <v>7409</v>
      </c>
      <c r="C4484" s="21">
        <v>45260</v>
      </c>
      <c r="D4484" s="20">
        <v>2172.65</v>
      </c>
      <c r="E4484" s="22" t="s">
        <v>10</v>
      </c>
      <c r="F4484" s="22" t="s">
        <v>16</v>
      </c>
      <c r="G4484" s="22" t="s">
        <v>17</v>
      </c>
    </row>
    <row r="4485" ht="15.15" spans="1:7">
      <c r="A4485" s="20">
        <v>4484</v>
      </c>
      <c r="B4485" s="20">
        <v>4164</v>
      </c>
      <c r="C4485" s="21">
        <v>45091</v>
      </c>
      <c r="D4485" s="20">
        <v>146.63</v>
      </c>
      <c r="E4485" s="22" t="s">
        <v>10</v>
      </c>
      <c r="F4485" s="22" t="s">
        <v>13</v>
      </c>
      <c r="G4485" s="22" t="s">
        <v>12</v>
      </c>
    </row>
    <row r="4486" ht="15.15" spans="1:7">
      <c r="A4486" s="20">
        <v>4485</v>
      </c>
      <c r="B4486" s="20">
        <v>4745</v>
      </c>
      <c r="C4486" s="21">
        <v>45143</v>
      </c>
      <c r="D4486" s="20">
        <v>5236.23</v>
      </c>
      <c r="E4486" s="22" t="s">
        <v>10</v>
      </c>
      <c r="F4486" s="22" t="s">
        <v>13</v>
      </c>
      <c r="G4486" s="22" t="s">
        <v>17</v>
      </c>
    </row>
    <row r="4487" ht="15.15" spans="1:7">
      <c r="A4487" s="20">
        <v>4486</v>
      </c>
      <c r="B4487" s="20">
        <v>2699</v>
      </c>
      <c r="C4487" s="21">
        <v>45263</v>
      </c>
      <c r="D4487" s="20">
        <v>1696.2</v>
      </c>
      <c r="E4487" s="22" t="s">
        <v>10</v>
      </c>
      <c r="F4487" s="22" t="s">
        <v>14</v>
      </c>
      <c r="G4487" s="22" t="s">
        <v>17</v>
      </c>
    </row>
    <row r="4488" ht="15.15" spans="1:7">
      <c r="A4488" s="20">
        <v>4487</v>
      </c>
      <c r="B4488" s="20">
        <v>7439</v>
      </c>
      <c r="C4488" s="21">
        <v>45149</v>
      </c>
      <c r="D4488" s="20">
        <v>932.03</v>
      </c>
      <c r="E4488" s="22" t="s">
        <v>10</v>
      </c>
      <c r="F4488" s="22" t="s">
        <v>11</v>
      </c>
      <c r="G4488" s="22" t="s">
        <v>17</v>
      </c>
    </row>
    <row r="4489" ht="15.15" spans="1:7">
      <c r="A4489" s="20">
        <v>4488</v>
      </c>
      <c r="B4489" s="20">
        <v>8084</v>
      </c>
      <c r="C4489" s="21">
        <v>45073</v>
      </c>
      <c r="D4489" s="20">
        <v>644.44</v>
      </c>
      <c r="E4489" s="22" t="s">
        <v>10</v>
      </c>
      <c r="F4489" s="22" t="s">
        <v>18</v>
      </c>
      <c r="G4489" s="22" t="s">
        <v>17</v>
      </c>
    </row>
    <row r="4490" ht="15.15" spans="1:7">
      <c r="A4490" s="20">
        <v>4489</v>
      </c>
      <c r="B4490" s="20">
        <v>4837</v>
      </c>
      <c r="C4490" s="21">
        <v>45190</v>
      </c>
      <c r="D4490" s="20">
        <v>643.53</v>
      </c>
      <c r="E4490" s="22" t="s">
        <v>10</v>
      </c>
      <c r="F4490" s="22" t="s">
        <v>16</v>
      </c>
      <c r="G4490" s="22" t="s">
        <v>20</v>
      </c>
    </row>
    <row r="4491" ht="15.15" spans="1:7">
      <c r="A4491" s="20">
        <v>4490</v>
      </c>
      <c r="B4491" s="20">
        <v>7095</v>
      </c>
      <c r="C4491" s="21">
        <v>45039</v>
      </c>
      <c r="D4491" s="20">
        <v>3104.48</v>
      </c>
      <c r="E4491" s="22" t="s">
        <v>10</v>
      </c>
      <c r="F4491" s="22" t="s">
        <v>11</v>
      </c>
      <c r="G4491" s="22" t="s">
        <v>17</v>
      </c>
    </row>
    <row r="4492" ht="15.15" spans="1:7">
      <c r="A4492" s="20">
        <v>4491</v>
      </c>
      <c r="B4492" s="20">
        <v>2666</v>
      </c>
      <c r="C4492" s="21">
        <v>45264</v>
      </c>
      <c r="D4492" s="20">
        <v>548.66</v>
      </c>
      <c r="E4492" s="22" t="s">
        <v>10</v>
      </c>
      <c r="F4492" s="22" t="s">
        <v>18</v>
      </c>
      <c r="G4492" s="22" t="s">
        <v>20</v>
      </c>
    </row>
    <row r="4493" ht="15.15" spans="1:7">
      <c r="A4493" s="20">
        <v>4492</v>
      </c>
      <c r="B4493" s="20">
        <v>9665</v>
      </c>
      <c r="C4493" s="21">
        <v>45067</v>
      </c>
      <c r="D4493" s="20">
        <v>1021.87</v>
      </c>
      <c r="E4493" s="22" t="s">
        <v>10</v>
      </c>
      <c r="F4493" s="22" t="s">
        <v>18</v>
      </c>
      <c r="G4493" s="22" t="s">
        <v>12</v>
      </c>
    </row>
    <row r="4494" ht="15.15" spans="1:7">
      <c r="A4494" s="20">
        <v>4493</v>
      </c>
      <c r="B4494" s="20">
        <v>2626</v>
      </c>
      <c r="C4494" s="21">
        <v>45091</v>
      </c>
      <c r="D4494" s="20">
        <v>912.95</v>
      </c>
      <c r="E4494" s="22" t="s">
        <v>10</v>
      </c>
      <c r="F4494" s="22" t="s">
        <v>16</v>
      </c>
      <c r="G4494" s="22" t="s">
        <v>17</v>
      </c>
    </row>
    <row r="4495" ht="15.15" spans="1:7">
      <c r="A4495" s="20">
        <v>4494</v>
      </c>
      <c r="B4495" s="20">
        <v>7517</v>
      </c>
      <c r="C4495" s="21">
        <v>45164</v>
      </c>
      <c r="D4495" s="20">
        <v>4203.56</v>
      </c>
      <c r="E4495" s="22" t="s">
        <v>10</v>
      </c>
      <c r="F4495" s="22" t="s">
        <v>14</v>
      </c>
      <c r="G4495" s="22" t="s">
        <v>12</v>
      </c>
    </row>
    <row r="4496" ht="15.15" spans="1:7">
      <c r="A4496" s="20">
        <v>4495</v>
      </c>
      <c r="B4496" s="20">
        <v>5692</v>
      </c>
      <c r="C4496" s="21">
        <v>44988</v>
      </c>
      <c r="D4496" s="20">
        <v>274.33</v>
      </c>
      <c r="E4496" s="22" t="s">
        <v>10</v>
      </c>
      <c r="F4496" s="22" t="s">
        <v>13</v>
      </c>
      <c r="G4496" s="22" t="s">
        <v>20</v>
      </c>
    </row>
    <row r="4497" ht="15.15" spans="1:7">
      <c r="A4497" s="20">
        <v>4496</v>
      </c>
      <c r="B4497" s="20">
        <v>9520</v>
      </c>
      <c r="C4497" s="21">
        <v>45206</v>
      </c>
      <c r="D4497" s="20">
        <v>258.66</v>
      </c>
      <c r="E4497" s="22" t="s">
        <v>10</v>
      </c>
      <c r="F4497" s="22" t="s">
        <v>18</v>
      </c>
      <c r="G4497" s="22" t="s">
        <v>17</v>
      </c>
    </row>
    <row r="4498" ht="15.15" spans="1:7">
      <c r="A4498" s="20">
        <v>4497</v>
      </c>
      <c r="B4498" s="20">
        <v>9586</v>
      </c>
      <c r="C4498" s="21">
        <v>45269</v>
      </c>
      <c r="D4498" s="20">
        <v>981.96</v>
      </c>
      <c r="E4498" s="22" t="s">
        <v>10</v>
      </c>
      <c r="F4498" s="22" t="s">
        <v>11</v>
      </c>
      <c r="G4498" s="22" t="s">
        <v>15</v>
      </c>
    </row>
    <row r="4499" ht="15.15" spans="1:7">
      <c r="A4499" s="20">
        <v>4498</v>
      </c>
      <c r="B4499" s="20">
        <v>9317</v>
      </c>
      <c r="C4499" s="21">
        <v>45057</v>
      </c>
      <c r="D4499" s="20">
        <v>100.33</v>
      </c>
      <c r="E4499" s="22" t="s">
        <v>10</v>
      </c>
      <c r="F4499" s="22" t="s">
        <v>13</v>
      </c>
      <c r="G4499" s="22" t="s">
        <v>17</v>
      </c>
    </row>
    <row r="4500" ht="15.15" spans="1:7">
      <c r="A4500" s="20">
        <v>4499</v>
      </c>
      <c r="B4500" s="20">
        <v>6722</v>
      </c>
      <c r="C4500" s="21">
        <v>45215</v>
      </c>
      <c r="D4500" s="20">
        <v>256.68</v>
      </c>
      <c r="E4500" s="22" t="s">
        <v>10</v>
      </c>
      <c r="F4500" s="22" t="s">
        <v>18</v>
      </c>
      <c r="G4500" s="22" t="s">
        <v>15</v>
      </c>
    </row>
    <row r="4501" ht="15.15" spans="1:7">
      <c r="A4501" s="20">
        <v>4500</v>
      </c>
      <c r="B4501" s="20">
        <v>8109</v>
      </c>
      <c r="C4501" s="21">
        <v>45290</v>
      </c>
      <c r="D4501" s="20">
        <v>2054</v>
      </c>
      <c r="E4501" s="22" t="s">
        <v>10</v>
      </c>
      <c r="F4501" s="22" t="s">
        <v>18</v>
      </c>
      <c r="G4501" s="22" t="s">
        <v>17</v>
      </c>
    </row>
    <row r="4502" ht="15.15" spans="1:7">
      <c r="A4502" s="20">
        <v>4501</v>
      </c>
      <c r="B4502" s="20">
        <v>6907</v>
      </c>
      <c r="C4502" s="21">
        <v>45002</v>
      </c>
      <c r="D4502" s="20">
        <v>2956.03</v>
      </c>
      <c r="E4502" s="22" t="s">
        <v>10</v>
      </c>
      <c r="F4502" s="22" t="s">
        <v>14</v>
      </c>
      <c r="G4502" s="22" t="s">
        <v>17</v>
      </c>
    </row>
    <row r="4503" ht="15.15" spans="1:7">
      <c r="A4503" s="20">
        <v>4502</v>
      </c>
      <c r="B4503" s="20">
        <v>2194</v>
      </c>
      <c r="C4503" s="21">
        <v>44937</v>
      </c>
      <c r="D4503" s="20">
        <v>1093.83</v>
      </c>
      <c r="E4503" s="22" t="s">
        <v>10</v>
      </c>
      <c r="F4503" s="22" t="s">
        <v>16</v>
      </c>
      <c r="G4503" s="22" t="s">
        <v>15</v>
      </c>
    </row>
    <row r="4504" ht="15.15" spans="1:7">
      <c r="A4504" s="20">
        <v>4503</v>
      </c>
      <c r="B4504" s="20">
        <v>5499</v>
      </c>
      <c r="C4504" s="21">
        <v>45220</v>
      </c>
      <c r="D4504" s="20">
        <v>1113.58</v>
      </c>
      <c r="E4504" s="22" t="s">
        <v>22</v>
      </c>
      <c r="F4504" s="22" t="s">
        <v>11</v>
      </c>
      <c r="G4504" s="22" t="s">
        <v>20</v>
      </c>
    </row>
    <row r="4505" ht="15.15" spans="1:7">
      <c r="A4505" s="20">
        <v>4504</v>
      </c>
      <c r="B4505" s="20">
        <v>2608</v>
      </c>
      <c r="C4505" s="21">
        <v>44931</v>
      </c>
      <c r="D4505" s="20">
        <v>315.29</v>
      </c>
      <c r="E4505" s="22" t="s">
        <v>10</v>
      </c>
      <c r="F4505" s="22" t="s">
        <v>13</v>
      </c>
      <c r="G4505" s="22" t="s">
        <v>12</v>
      </c>
    </row>
    <row r="4506" ht="15.15" spans="1:7">
      <c r="A4506" s="20">
        <v>4505</v>
      </c>
      <c r="B4506" s="20">
        <v>2908</v>
      </c>
      <c r="C4506" s="21">
        <v>45233</v>
      </c>
      <c r="D4506" s="20">
        <v>1188.82</v>
      </c>
      <c r="E4506" s="22" t="s">
        <v>10</v>
      </c>
      <c r="F4506" s="22" t="s">
        <v>18</v>
      </c>
      <c r="G4506" s="22" t="s">
        <v>20</v>
      </c>
    </row>
    <row r="4507" ht="15.15" spans="1:7">
      <c r="A4507" s="20">
        <v>4506</v>
      </c>
      <c r="B4507" s="20">
        <v>8999</v>
      </c>
      <c r="C4507" s="21">
        <v>45274</v>
      </c>
      <c r="D4507" s="20">
        <v>132.48</v>
      </c>
      <c r="E4507" s="22" t="s">
        <v>10</v>
      </c>
      <c r="F4507" s="22" t="s">
        <v>18</v>
      </c>
      <c r="G4507" s="22" t="s">
        <v>15</v>
      </c>
    </row>
    <row r="4508" ht="15.15" spans="1:7">
      <c r="A4508" s="20">
        <v>4507</v>
      </c>
      <c r="B4508" s="20">
        <v>9732</v>
      </c>
      <c r="C4508" s="21">
        <v>45247</v>
      </c>
      <c r="D4508" s="20">
        <v>1327.05</v>
      </c>
      <c r="E4508" s="22" t="s">
        <v>10</v>
      </c>
      <c r="F4508" s="22" t="s">
        <v>11</v>
      </c>
      <c r="G4508" s="22" t="s">
        <v>17</v>
      </c>
    </row>
    <row r="4509" ht="15.15" spans="1:7">
      <c r="A4509" s="20">
        <v>4508</v>
      </c>
      <c r="B4509" s="20">
        <v>2209</v>
      </c>
      <c r="C4509" s="21">
        <v>45219</v>
      </c>
      <c r="D4509" s="20">
        <v>1668.06</v>
      </c>
      <c r="E4509" s="22" t="s">
        <v>10</v>
      </c>
      <c r="F4509" s="22" t="s">
        <v>14</v>
      </c>
      <c r="G4509" s="22" t="s">
        <v>15</v>
      </c>
    </row>
    <row r="4510" ht="15.15" spans="1:7">
      <c r="A4510" s="20">
        <v>4509</v>
      </c>
      <c r="B4510" s="20">
        <v>8308</v>
      </c>
      <c r="C4510" s="21">
        <v>44971</v>
      </c>
      <c r="D4510" s="20">
        <v>884.91</v>
      </c>
      <c r="E4510" s="22" t="s">
        <v>10</v>
      </c>
      <c r="F4510" s="22" t="s">
        <v>18</v>
      </c>
      <c r="G4510" s="22" t="s">
        <v>12</v>
      </c>
    </row>
    <row r="4511" ht="15.15" spans="1:7">
      <c r="A4511" s="20">
        <v>4510</v>
      </c>
      <c r="B4511" s="20">
        <v>8980</v>
      </c>
      <c r="C4511" s="21">
        <v>44946</v>
      </c>
      <c r="D4511" s="20">
        <v>1363.73</v>
      </c>
      <c r="E4511" s="22" t="s">
        <v>10</v>
      </c>
      <c r="F4511" s="22" t="s">
        <v>11</v>
      </c>
      <c r="G4511" s="22" t="s">
        <v>17</v>
      </c>
    </row>
    <row r="4512" ht="15.15" spans="1:7">
      <c r="A4512" s="20">
        <v>4511</v>
      </c>
      <c r="B4512" s="20">
        <v>9597</v>
      </c>
      <c r="C4512" s="21">
        <v>45128</v>
      </c>
      <c r="D4512" s="20">
        <v>439.38</v>
      </c>
      <c r="E4512" s="22" t="s">
        <v>10</v>
      </c>
      <c r="F4512" s="22" t="s">
        <v>11</v>
      </c>
      <c r="G4512" s="22" t="s">
        <v>15</v>
      </c>
    </row>
    <row r="4513" ht="15.15" spans="1:7">
      <c r="A4513" s="20">
        <v>4512</v>
      </c>
      <c r="B4513" s="20">
        <v>8081</v>
      </c>
      <c r="C4513" s="21">
        <v>45038</v>
      </c>
      <c r="D4513" s="20">
        <v>735.27</v>
      </c>
      <c r="E4513" s="22" t="s">
        <v>10</v>
      </c>
      <c r="F4513" s="22" t="s">
        <v>11</v>
      </c>
      <c r="G4513" s="22" t="s">
        <v>17</v>
      </c>
    </row>
    <row r="4514" ht="15.15" spans="1:7">
      <c r="A4514" s="20">
        <v>4513</v>
      </c>
      <c r="B4514" s="20">
        <v>5518</v>
      </c>
      <c r="C4514" s="21">
        <v>45019</v>
      </c>
      <c r="D4514" s="20">
        <v>266.31</v>
      </c>
      <c r="E4514" s="22" t="s">
        <v>10</v>
      </c>
      <c r="F4514" s="22" t="s">
        <v>13</v>
      </c>
      <c r="G4514" s="22" t="s">
        <v>20</v>
      </c>
    </row>
    <row r="4515" ht="15.15" spans="1:7">
      <c r="A4515" s="20">
        <v>4514</v>
      </c>
      <c r="B4515" s="20">
        <v>1079</v>
      </c>
      <c r="C4515" s="21">
        <v>44955</v>
      </c>
      <c r="D4515" s="20">
        <v>428.94</v>
      </c>
      <c r="E4515" s="22" t="s">
        <v>10</v>
      </c>
      <c r="F4515" s="22" t="s">
        <v>18</v>
      </c>
      <c r="G4515" s="22" t="s">
        <v>17</v>
      </c>
    </row>
    <row r="4516" ht="15.15" spans="1:7">
      <c r="A4516" s="20">
        <v>4515</v>
      </c>
      <c r="B4516" s="20">
        <v>1262</v>
      </c>
      <c r="C4516" s="21">
        <v>45062</v>
      </c>
      <c r="D4516" s="20">
        <v>4297.6</v>
      </c>
      <c r="E4516" s="22" t="s">
        <v>10</v>
      </c>
      <c r="F4516" s="22" t="s">
        <v>13</v>
      </c>
      <c r="G4516" s="22" t="s">
        <v>17</v>
      </c>
    </row>
    <row r="4517" ht="15.15" spans="1:7">
      <c r="A4517" s="20">
        <v>4516</v>
      </c>
      <c r="B4517" s="20">
        <v>4370</v>
      </c>
      <c r="C4517" s="21">
        <v>45252</v>
      </c>
      <c r="D4517" s="20">
        <v>417.8</v>
      </c>
      <c r="E4517" s="22" t="s">
        <v>10</v>
      </c>
      <c r="F4517" s="22" t="s">
        <v>14</v>
      </c>
      <c r="G4517" s="22" t="s">
        <v>15</v>
      </c>
    </row>
    <row r="4518" ht="15.15" spans="1:7">
      <c r="A4518" s="20">
        <v>4517</v>
      </c>
      <c r="B4518" s="20">
        <v>1709</v>
      </c>
      <c r="C4518" s="21">
        <v>45143</v>
      </c>
      <c r="D4518" s="20">
        <v>295.79</v>
      </c>
      <c r="E4518" s="22" t="s">
        <v>22</v>
      </c>
      <c r="F4518" s="22" t="s">
        <v>16</v>
      </c>
      <c r="G4518" s="22" t="s">
        <v>17</v>
      </c>
    </row>
    <row r="4519" ht="15.15" spans="1:7">
      <c r="A4519" s="20">
        <v>4518</v>
      </c>
      <c r="B4519" s="20">
        <v>3400</v>
      </c>
      <c r="C4519" s="21">
        <v>45195</v>
      </c>
      <c r="D4519" s="20">
        <v>44.16</v>
      </c>
      <c r="E4519" s="22" t="s">
        <v>10</v>
      </c>
      <c r="F4519" s="22" t="s">
        <v>14</v>
      </c>
      <c r="G4519" s="22" t="s">
        <v>20</v>
      </c>
    </row>
    <row r="4520" ht="15.15" spans="1:7">
      <c r="A4520" s="20">
        <v>4519</v>
      </c>
      <c r="B4520" s="20">
        <v>9197</v>
      </c>
      <c r="C4520" s="21">
        <v>45243</v>
      </c>
      <c r="D4520" s="20">
        <v>1817.07</v>
      </c>
      <c r="E4520" s="22" t="s">
        <v>10</v>
      </c>
      <c r="F4520" s="22" t="s">
        <v>11</v>
      </c>
      <c r="G4520" s="22" t="s">
        <v>12</v>
      </c>
    </row>
    <row r="4521" ht="15.15" spans="1:7">
      <c r="A4521" s="20">
        <v>4520</v>
      </c>
      <c r="B4521" s="20">
        <v>8684</v>
      </c>
      <c r="C4521" s="21">
        <v>45261</v>
      </c>
      <c r="D4521" s="20">
        <v>1636.91</v>
      </c>
      <c r="E4521" s="22" t="s">
        <v>10</v>
      </c>
      <c r="F4521" s="22" t="s">
        <v>16</v>
      </c>
      <c r="G4521" s="22" t="s">
        <v>12</v>
      </c>
    </row>
    <row r="4522" ht="15.15" spans="1:7">
      <c r="A4522" s="20">
        <v>4521</v>
      </c>
      <c r="B4522" s="20">
        <v>1685</v>
      </c>
      <c r="C4522" s="21">
        <v>45099</v>
      </c>
      <c r="D4522" s="20">
        <v>1494.89</v>
      </c>
      <c r="E4522" s="22" t="s">
        <v>10</v>
      </c>
      <c r="F4522" s="22" t="s">
        <v>11</v>
      </c>
      <c r="G4522" s="22" t="s">
        <v>15</v>
      </c>
    </row>
    <row r="4523" ht="15.15" spans="1:7">
      <c r="A4523" s="20">
        <v>4522</v>
      </c>
      <c r="B4523" s="20">
        <v>7520</v>
      </c>
      <c r="C4523" s="21">
        <v>45107</v>
      </c>
      <c r="D4523" s="20">
        <v>1077.28</v>
      </c>
      <c r="E4523" s="22" t="s">
        <v>10</v>
      </c>
      <c r="F4523" s="22" t="s">
        <v>11</v>
      </c>
      <c r="G4523" s="22" t="s">
        <v>20</v>
      </c>
    </row>
    <row r="4524" ht="15.15" spans="1:7">
      <c r="A4524" s="20">
        <v>4523</v>
      </c>
      <c r="B4524" s="20">
        <v>2456</v>
      </c>
      <c r="C4524" s="21">
        <v>45196</v>
      </c>
      <c r="D4524" s="20">
        <v>1490.74</v>
      </c>
      <c r="E4524" s="22" t="s">
        <v>10</v>
      </c>
      <c r="F4524" s="22" t="s">
        <v>16</v>
      </c>
      <c r="G4524" s="22" t="s">
        <v>12</v>
      </c>
    </row>
    <row r="4525" ht="15.15" spans="1:7">
      <c r="A4525" s="20">
        <v>4524</v>
      </c>
      <c r="B4525" s="20">
        <v>668</v>
      </c>
      <c r="C4525" s="21">
        <v>45156</v>
      </c>
      <c r="D4525" s="20">
        <v>1472.77</v>
      </c>
      <c r="E4525" s="22" t="s">
        <v>10</v>
      </c>
      <c r="F4525" s="22" t="s">
        <v>18</v>
      </c>
      <c r="G4525" s="22" t="s">
        <v>20</v>
      </c>
    </row>
    <row r="4526" ht="15.15" spans="1:7">
      <c r="A4526" s="20">
        <v>4525</v>
      </c>
      <c r="B4526" s="20">
        <v>6051</v>
      </c>
      <c r="C4526" s="21">
        <v>45120</v>
      </c>
      <c r="D4526" s="20">
        <v>300.98</v>
      </c>
      <c r="E4526" s="22" t="s">
        <v>10</v>
      </c>
      <c r="F4526" s="22" t="s">
        <v>16</v>
      </c>
      <c r="G4526" s="22" t="s">
        <v>17</v>
      </c>
    </row>
    <row r="4527" ht="15.15" spans="1:7">
      <c r="A4527" s="20">
        <v>4526</v>
      </c>
      <c r="B4527" s="20">
        <v>4074</v>
      </c>
      <c r="C4527" s="21">
        <v>45134</v>
      </c>
      <c r="D4527" s="20">
        <v>1146.85</v>
      </c>
      <c r="E4527" s="22" t="s">
        <v>21</v>
      </c>
      <c r="F4527" s="22" t="s">
        <v>16</v>
      </c>
      <c r="G4527" s="22" t="s">
        <v>12</v>
      </c>
    </row>
    <row r="4528" ht="15.15" spans="1:7">
      <c r="A4528" s="20">
        <v>4527</v>
      </c>
      <c r="B4528" s="20">
        <v>1901</v>
      </c>
      <c r="C4528" s="21">
        <v>45171</v>
      </c>
      <c r="D4528" s="20">
        <v>84.52</v>
      </c>
      <c r="E4528" s="22" t="s">
        <v>10</v>
      </c>
      <c r="F4528" s="22" t="s">
        <v>18</v>
      </c>
      <c r="G4528" s="22" t="s">
        <v>15</v>
      </c>
    </row>
    <row r="4529" ht="15.15" spans="1:7">
      <c r="A4529" s="20">
        <v>4528</v>
      </c>
      <c r="B4529" s="20">
        <v>2314</v>
      </c>
      <c r="C4529" s="21">
        <v>45033</v>
      </c>
      <c r="D4529" s="20">
        <v>1798.4</v>
      </c>
      <c r="E4529" s="22" t="s">
        <v>10</v>
      </c>
      <c r="F4529" s="22" t="s">
        <v>16</v>
      </c>
      <c r="G4529" s="22" t="s">
        <v>20</v>
      </c>
    </row>
    <row r="4530" ht="15.15" spans="1:7">
      <c r="A4530" s="20">
        <v>4529</v>
      </c>
      <c r="B4530" s="20">
        <v>5399</v>
      </c>
      <c r="C4530" s="21">
        <v>45146</v>
      </c>
      <c r="D4530" s="20">
        <v>375.78</v>
      </c>
      <c r="E4530" s="22" t="s">
        <v>10</v>
      </c>
      <c r="F4530" s="22" t="s">
        <v>19</v>
      </c>
      <c r="G4530" s="22" t="s">
        <v>20</v>
      </c>
    </row>
    <row r="4531" ht="15.15" spans="1:7">
      <c r="A4531" s="20">
        <v>4530</v>
      </c>
      <c r="B4531" s="20">
        <v>8515</v>
      </c>
      <c r="C4531" s="21">
        <v>44989</v>
      </c>
      <c r="D4531" s="20">
        <v>830.06</v>
      </c>
      <c r="E4531" s="22" t="s">
        <v>10</v>
      </c>
      <c r="F4531" s="22" t="s">
        <v>16</v>
      </c>
      <c r="G4531" s="22" t="s">
        <v>12</v>
      </c>
    </row>
    <row r="4532" ht="15.15" spans="1:7">
      <c r="A4532" s="20">
        <v>4531</v>
      </c>
      <c r="B4532" s="20">
        <v>6185</v>
      </c>
      <c r="C4532" s="21">
        <v>45041</v>
      </c>
      <c r="D4532" s="20">
        <v>716.89</v>
      </c>
      <c r="E4532" s="22" t="s">
        <v>10</v>
      </c>
      <c r="F4532" s="22" t="s">
        <v>13</v>
      </c>
      <c r="G4532" s="22" t="s">
        <v>15</v>
      </c>
    </row>
    <row r="4533" ht="15.15" spans="1:7">
      <c r="A4533" s="20">
        <v>4532</v>
      </c>
      <c r="B4533" s="20">
        <v>6270</v>
      </c>
      <c r="C4533" s="21">
        <v>45227</v>
      </c>
      <c r="D4533" s="20">
        <v>1146.85</v>
      </c>
      <c r="E4533" s="22" t="s">
        <v>10</v>
      </c>
      <c r="F4533" s="22" t="s">
        <v>14</v>
      </c>
      <c r="G4533" s="22" t="s">
        <v>20</v>
      </c>
    </row>
    <row r="4534" ht="15.15" spans="1:7">
      <c r="A4534" s="20">
        <v>4533</v>
      </c>
      <c r="B4534" s="20">
        <v>9751</v>
      </c>
      <c r="C4534" s="21">
        <v>44945</v>
      </c>
      <c r="D4534" s="20">
        <v>2269.61</v>
      </c>
      <c r="E4534" s="22" t="s">
        <v>10</v>
      </c>
      <c r="F4534" s="22" t="s">
        <v>13</v>
      </c>
      <c r="G4534" s="22" t="s">
        <v>12</v>
      </c>
    </row>
    <row r="4535" ht="15.15" spans="1:7">
      <c r="A4535" s="20">
        <v>4534</v>
      </c>
      <c r="B4535" s="20">
        <v>6277</v>
      </c>
      <c r="C4535" s="21">
        <v>45264</v>
      </c>
      <c r="D4535" s="20">
        <v>580</v>
      </c>
      <c r="E4535" s="22" t="s">
        <v>10</v>
      </c>
      <c r="F4535" s="22" t="s">
        <v>16</v>
      </c>
      <c r="G4535" s="22" t="s">
        <v>12</v>
      </c>
    </row>
    <row r="4536" ht="15.15" spans="1:7">
      <c r="A4536" s="20">
        <v>4535</v>
      </c>
      <c r="B4536" s="20">
        <v>8667</v>
      </c>
      <c r="C4536" s="21">
        <v>45213</v>
      </c>
      <c r="D4536" s="20">
        <v>1066.37</v>
      </c>
      <c r="E4536" s="22" t="s">
        <v>10</v>
      </c>
      <c r="F4536" s="22" t="s">
        <v>13</v>
      </c>
      <c r="G4536" s="22" t="s">
        <v>15</v>
      </c>
    </row>
    <row r="4537" ht="15.15" spans="1:7">
      <c r="A4537" s="20">
        <v>4536</v>
      </c>
      <c r="B4537" s="20">
        <v>5054</v>
      </c>
      <c r="C4537" s="21">
        <v>45015</v>
      </c>
      <c r="D4537" s="20">
        <v>140.76</v>
      </c>
      <c r="E4537" s="22" t="s">
        <v>10</v>
      </c>
      <c r="F4537" s="22" t="s">
        <v>11</v>
      </c>
      <c r="G4537" s="22" t="s">
        <v>17</v>
      </c>
    </row>
    <row r="4538" ht="15.15" spans="1:7">
      <c r="A4538" s="20">
        <v>4537</v>
      </c>
      <c r="B4538" s="20">
        <v>3553</v>
      </c>
      <c r="C4538" s="21">
        <v>45194</v>
      </c>
      <c r="D4538" s="20">
        <v>2273.05</v>
      </c>
      <c r="E4538" s="22" t="s">
        <v>10</v>
      </c>
      <c r="F4538" s="22" t="s">
        <v>11</v>
      </c>
      <c r="G4538" s="22" t="s">
        <v>17</v>
      </c>
    </row>
    <row r="4539" ht="15.15" spans="1:7">
      <c r="A4539" s="20">
        <v>4538</v>
      </c>
      <c r="B4539" s="20">
        <v>9164</v>
      </c>
      <c r="C4539" s="21">
        <v>45247</v>
      </c>
      <c r="D4539" s="20">
        <v>408.12</v>
      </c>
      <c r="E4539" s="22" t="s">
        <v>10</v>
      </c>
      <c r="F4539" s="22" t="s">
        <v>18</v>
      </c>
      <c r="G4539" s="22" t="s">
        <v>20</v>
      </c>
    </row>
    <row r="4540" ht="15.15" spans="1:7">
      <c r="A4540" s="20">
        <v>4539</v>
      </c>
      <c r="B4540" s="20">
        <v>2884</v>
      </c>
      <c r="C4540" s="21">
        <v>45094</v>
      </c>
      <c r="D4540" s="20">
        <v>925.77</v>
      </c>
      <c r="E4540" s="22" t="s">
        <v>10</v>
      </c>
      <c r="F4540" s="22" t="s">
        <v>18</v>
      </c>
      <c r="G4540" s="22" t="s">
        <v>15</v>
      </c>
    </row>
    <row r="4541" ht="15.15" spans="1:7">
      <c r="A4541" s="20">
        <v>4540</v>
      </c>
      <c r="B4541" s="20">
        <v>3712</v>
      </c>
      <c r="C4541" s="21">
        <v>45053</v>
      </c>
      <c r="D4541" s="20">
        <v>1429.65</v>
      </c>
      <c r="E4541" s="22" t="s">
        <v>10</v>
      </c>
      <c r="F4541" s="22" t="s">
        <v>14</v>
      </c>
      <c r="G4541" s="22" t="s">
        <v>12</v>
      </c>
    </row>
    <row r="4542" ht="15.15" spans="1:7">
      <c r="A4542" s="20">
        <v>4541</v>
      </c>
      <c r="B4542" s="20">
        <v>5166</v>
      </c>
      <c r="C4542" s="21">
        <v>45207</v>
      </c>
      <c r="D4542" s="20">
        <v>511.58</v>
      </c>
      <c r="E4542" s="22" t="s">
        <v>10</v>
      </c>
      <c r="F4542" s="22" t="s">
        <v>14</v>
      </c>
      <c r="G4542" s="22" t="s">
        <v>12</v>
      </c>
    </row>
    <row r="4543" ht="15.15" spans="1:7">
      <c r="A4543" s="20">
        <v>4542</v>
      </c>
      <c r="B4543" s="20">
        <v>4482</v>
      </c>
      <c r="C4543" s="21">
        <v>45078</v>
      </c>
      <c r="D4543" s="20">
        <v>1373.3</v>
      </c>
      <c r="E4543" s="22" t="s">
        <v>10</v>
      </c>
      <c r="F4543" s="22" t="s">
        <v>11</v>
      </c>
      <c r="G4543" s="22" t="s">
        <v>15</v>
      </c>
    </row>
    <row r="4544" ht="15.15" spans="1:7">
      <c r="A4544" s="20">
        <v>4543</v>
      </c>
      <c r="B4544" s="20">
        <v>4690</v>
      </c>
      <c r="C4544" s="21">
        <v>45184</v>
      </c>
      <c r="D4544" s="20">
        <v>30.63</v>
      </c>
      <c r="E4544" s="22" t="s">
        <v>10</v>
      </c>
      <c r="F4544" s="22" t="s">
        <v>16</v>
      </c>
      <c r="G4544" s="22" t="s">
        <v>17</v>
      </c>
    </row>
    <row r="4545" ht="15.15" spans="1:7">
      <c r="A4545" s="20">
        <v>4544</v>
      </c>
      <c r="B4545" s="20">
        <v>7349</v>
      </c>
      <c r="C4545" s="21">
        <v>44991</v>
      </c>
      <c r="D4545" s="20">
        <v>485.89</v>
      </c>
      <c r="E4545" s="22" t="s">
        <v>22</v>
      </c>
      <c r="F4545" s="22" t="s">
        <v>16</v>
      </c>
      <c r="G4545" s="22" t="s">
        <v>12</v>
      </c>
    </row>
    <row r="4546" ht="15.15" spans="1:7">
      <c r="A4546" s="20">
        <v>4545</v>
      </c>
      <c r="B4546" s="20">
        <v>3862</v>
      </c>
      <c r="C4546" s="21">
        <v>44974</v>
      </c>
      <c r="D4546" s="20">
        <v>394.17</v>
      </c>
      <c r="E4546" s="22" t="s">
        <v>10</v>
      </c>
      <c r="F4546" s="22" t="s">
        <v>13</v>
      </c>
      <c r="G4546" s="22" t="s">
        <v>20</v>
      </c>
    </row>
    <row r="4547" ht="15.15" spans="1:7">
      <c r="A4547" s="20">
        <v>4546</v>
      </c>
      <c r="B4547" s="20">
        <v>5368</v>
      </c>
      <c r="C4547" s="21">
        <v>45255</v>
      </c>
      <c r="D4547" s="20">
        <v>401.39</v>
      </c>
      <c r="E4547" s="22" t="s">
        <v>10</v>
      </c>
      <c r="F4547" s="22" t="s">
        <v>18</v>
      </c>
      <c r="G4547" s="22" t="s">
        <v>15</v>
      </c>
    </row>
    <row r="4548" ht="15.15" spans="1:7">
      <c r="A4548" s="20">
        <v>4547</v>
      </c>
      <c r="B4548" s="20">
        <v>1845</v>
      </c>
      <c r="C4548" s="21">
        <v>45225</v>
      </c>
      <c r="D4548" s="20">
        <v>1301.32</v>
      </c>
      <c r="E4548" s="22" t="s">
        <v>10</v>
      </c>
      <c r="F4548" s="22" t="s">
        <v>13</v>
      </c>
      <c r="G4548" s="22" t="s">
        <v>20</v>
      </c>
    </row>
    <row r="4549" ht="15.15" spans="1:7">
      <c r="A4549" s="20">
        <v>4548</v>
      </c>
      <c r="B4549" s="20">
        <v>8315</v>
      </c>
      <c r="C4549" s="21">
        <v>45248</v>
      </c>
      <c r="D4549" s="20">
        <v>943.33</v>
      </c>
      <c r="E4549" s="22" t="s">
        <v>10</v>
      </c>
      <c r="F4549" s="22" t="s">
        <v>14</v>
      </c>
      <c r="G4549" s="22" t="s">
        <v>12</v>
      </c>
    </row>
    <row r="4550" ht="15.15" spans="1:7">
      <c r="A4550" s="20">
        <v>4549</v>
      </c>
      <c r="B4550" s="20">
        <v>1028</v>
      </c>
      <c r="C4550" s="21">
        <v>45115</v>
      </c>
      <c r="D4550" s="20">
        <v>150.49</v>
      </c>
      <c r="E4550" s="22" t="s">
        <v>10</v>
      </c>
      <c r="F4550" s="22" t="s">
        <v>13</v>
      </c>
      <c r="G4550" s="22" t="s">
        <v>17</v>
      </c>
    </row>
    <row r="4551" ht="15.15" spans="1:7">
      <c r="A4551" s="20">
        <v>4550</v>
      </c>
      <c r="B4551" s="20">
        <v>2957</v>
      </c>
      <c r="C4551" s="21">
        <v>44958</v>
      </c>
      <c r="D4551" s="20">
        <v>448.66</v>
      </c>
      <c r="E4551" s="22" t="s">
        <v>10</v>
      </c>
      <c r="F4551" s="22" t="s">
        <v>13</v>
      </c>
      <c r="G4551" s="22" t="s">
        <v>17</v>
      </c>
    </row>
    <row r="4552" ht="15.15" spans="1:7">
      <c r="A4552" s="20">
        <v>4551</v>
      </c>
      <c r="B4552" s="20">
        <v>2134</v>
      </c>
      <c r="C4552" s="21">
        <v>45212</v>
      </c>
      <c r="D4552" s="20">
        <v>940.13</v>
      </c>
      <c r="E4552" s="22" t="s">
        <v>10</v>
      </c>
      <c r="F4552" s="22" t="s">
        <v>16</v>
      </c>
      <c r="G4552" s="22" t="s">
        <v>20</v>
      </c>
    </row>
    <row r="4553" ht="15.15" spans="1:7">
      <c r="A4553" s="20">
        <v>4552</v>
      </c>
      <c r="B4553" s="20">
        <v>129</v>
      </c>
      <c r="C4553" s="21">
        <v>45269</v>
      </c>
      <c r="D4553" s="20">
        <v>766.48</v>
      </c>
      <c r="E4553" s="22" t="s">
        <v>10</v>
      </c>
      <c r="F4553" s="22" t="s">
        <v>18</v>
      </c>
      <c r="G4553" s="22" t="s">
        <v>12</v>
      </c>
    </row>
    <row r="4554" ht="15.15" spans="1:7">
      <c r="A4554" s="20">
        <v>4553</v>
      </c>
      <c r="B4554" s="20">
        <v>5389</v>
      </c>
      <c r="C4554" s="21">
        <v>45150</v>
      </c>
      <c r="D4554" s="20">
        <v>222.58</v>
      </c>
      <c r="E4554" s="22" t="s">
        <v>10</v>
      </c>
      <c r="F4554" s="22" t="s">
        <v>16</v>
      </c>
      <c r="G4554" s="22" t="s">
        <v>12</v>
      </c>
    </row>
    <row r="4555" ht="15.15" spans="1:7">
      <c r="A4555" s="20">
        <v>4554</v>
      </c>
      <c r="B4555" s="20">
        <v>9163</v>
      </c>
      <c r="C4555" s="21">
        <v>45265</v>
      </c>
      <c r="D4555" s="20">
        <v>869.14</v>
      </c>
      <c r="E4555" s="22" t="s">
        <v>10</v>
      </c>
      <c r="F4555" s="22" t="s">
        <v>14</v>
      </c>
      <c r="G4555" s="22" t="s">
        <v>12</v>
      </c>
    </row>
    <row r="4556" ht="15.15" spans="1:7">
      <c r="A4556" s="20">
        <v>4555</v>
      </c>
      <c r="B4556" s="20">
        <v>6172</v>
      </c>
      <c r="C4556" s="21">
        <v>45283</v>
      </c>
      <c r="D4556" s="20">
        <v>1644.76</v>
      </c>
      <c r="E4556" s="22" t="s">
        <v>10</v>
      </c>
      <c r="F4556" s="22" t="s">
        <v>14</v>
      </c>
      <c r="G4556" s="22" t="s">
        <v>20</v>
      </c>
    </row>
    <row r="4557" ht="15.15" spans="1:7">
      <c r="A4557" s="20">
        <v>4556</v>
      </c>
      <c r="B4557" s="20">
        <v>4493</v>
      </c>
      <c r="C4557" s="21">
        <v>45181</v>
      </c>
      <c r="D4557" s="20">
        <v>2083.34</v>
      </c>
      <c r="E4557" s="22" t="s">
        <v>10</v>
      </c>
      <c r="F4557" s="22" t="s">
        <v>19</v>
      </c>
      <c r="G4557" s="22" t="s">
        <v>17</v>
      </c>
    </row>
    <row r="4558" ht="15.15" spans="1:7">
      <c r="A4558" s="20">
        <v>4557</v>
      </c>
      <c r="B4558" s="20">
        <v>1765</v>
      </c>
      <c r="C4558" s="21">
        <v>45026</v>
      </c>
      <c r="D4558" s="20">
        <v>435.69</v>
      </c>
      <c r="E4558" s="22" t="s">
        <v>10</v>
      </c>
      <c r="F4558" s="22" t="s">
        <v>18</v>
      </c>
      <c r="G4558" s="22" t="s">
        <v>15</v>
      </c>
    </row>
    <row r="4559" ht="15.15" spans="1:7">
      <c r="A4559" s="20">
        <v>4558</v>
      </c>
      <c r="B4559" s="20">
        <v>6195</v>
      </c>
      <c r="C4559" s="21">
        <v>45000</v>
      </c>
      <c r="D4559" s="20">
        <v>209.84</v>
      </c>
      <c r="E4559" s="22" t="s">
        <v>10</v>
      </c>
      <c r="F4559" s="22" t="s">
        <v>11</v>
      </c>
      <c r="G4559" s="22" t="s">
        <v>15</v>
      </c>
    </row>
    <row r="4560" ht="15.15" spans="1:7">
      <c r="A4560" s="20">
        <v>4559</v>
      </c>
      <c r="B4560" s="20">
        <v>5314</v>
      </c>
      <c r="C4560" s="21">
        <v>45224</v>
      </c>
      <c r="D4560" s="20">
        <v>823.74</v>
      </c>
      <c r="E4560" s="22" t="s">
        <v>10</v>
      </c>
      <c r="F4560" s="22" t="s">
        <v>18</v>
      </c>
      <c r="G4560" s="22" t="s">
        <v>12</v>
      </c>
    </row>
    <row r="4561" ht="15.15" spans="1:7">
      <c r="A4561" s="20">
        <v>4560</v>
      </c>
      <c r="B4561" s="20">
        <v>1934</v>
      </c>
      <c r="C4561" s="21">
        <v>45155</v>
      </c>
      <c r="D4561" s="20">
        <v>394.17</v>
      </c>
      <c r="E4561" s="22" t="s">
        <v>10</v>
      </c>
      <c r="F4561" s="22" t="s">
        <v>11</v>
      </c>
      <c r="G4561" s="22" t="s">
        <v>12</v>
      </c>
    </row>
    <row r="4562" ht="15.15" spans="1:7">
      <c r="A4562" s="20">
        <v>4561</v>
      </c>
      <c r="B4562" s="20">
        <v>4625</v>
      </c>
      <c r="C4562" s="21">
        <v>45235</v>
      </c>
      <c r="D4562" s="20">
        <v>198.89</v>
      </c>
      <c r="E4562" s="22" t="s">
        <v>10</v>
      </c>
      <c r="F4562" s="22" t="s">
        <v>14</v>
      </c>
      <c r="G4562" s="22" t="s">
        <v>15</v>
      </c>
    </row>
    <row r="4563" ht="15.15" spans="1:7">
      <c r="A4563" s="20">
        <v>4562</v>
      </c>
      <c r="B4563" s="20">
        <v>2673</v>
      </c>
      <c r="C4563" s="21">
        <v>45289</v>
      </c>
      <c r="D4563" s="20">
        <v>3259.52</v>
      </c>
      <c r="E4563" s="22" t="s">
        <v>10</v>
      </c>
      <c r="F4563" s="22" t="s">
        <v>18</v>
      </c>
      <c r="G4563" s="22" t="s">
        <v>12</v>
      </c>
    </row>
    <row r="4564" ht="15.15" spans="1:7">
      <c r="A4564" s="20">
        <v>4563</v>
      </c>
      <c r="B4564" s="20">
        <v>8516</v>
      </c>
      <c r="C4564" s="21">
        <v>45057</v>
      </c>
      <c r="D4564" s="20">
        <v>3115.81</v>
      </c>
      <c r="E4564" s="22" t="s">
        <v>10</v>
      </c>
      <c r="F4564" s="22" t="s">
        <v>18</v>
      </c>
      <c r="G4564" s="22" t="s">
        <v>15</v>
      </c>
    </row>
    <row r="4565" ht="15.15" spans="1:7">
      <c r="A4565" s="20">
        <v>4564</v>
      </c>
      <c r="B4565" s="20">
        <v>4440</v>
      </c>
      <c r="C4565" s="21">
        <v>45082</v>
      </c>
      <c r="D4565" s="20">
        <v>901.51</v>
      </c>
      <c r="E4565" s="22" t="s">
        <v>10</v>
      </c>
      <c r="F4565" s="22" t="s">
        <v>14</v>
      </c>
      <c r="G4565" s="22" t="s">
        <v>20</v>
      </c>
    </row>
    <row r="4566" ht="15.15" spans="1:7">
      <c r="A4566" s="20">
        <v>4565</v>
      </c>
      <c r="B4566" s="20">
        <v>6185</v>
      </c>
      <c r="C4566" s="21">
        <v>45259</v>
      </c>
      <c r="D4566" s="20">
        <v>2625.84</v>
      </c>
      <c r="E4566" s="22" t="s">
        <v>10</v>
      </c>
      <c r="F4566" s="22" t="s">
        <v>13</v>
      </c>
      <c r="G4566" s="22" t="s">
        <v>17</v>
      </c>
    </row>
    <row r="4567" ht="15.15" spans="1:7">
      <c r="A4567" s="20">
        <v>4566</v>
      </c>
      <c r="B4567" s="20">
        <v>9300</v>
      </c>
      <c r="C4567" s="21">
        <v>45211</v>
      </c>
      <c r="D4567" s="20">
        <v>1085.91</v>
      </c>
      <c r="E4567" s="22" t="s">
        <v>10</v>
      </c>
      <c r="F4567" s="22" t="s">
        <v>11</v>
      </c>
      <c r="G4567" s="22" t="s">
        <v>20</v>
      </c>
    </row>
    <row r="4568" ht="15.15" spans="1:7">
      <c r="A4568" s="20">
        <v>4567</v>
      </c>
      <c r="B4568" s="20">
        <v>4445</v>
      </c>
      <c r="C4568" s="21">
        <v>44941</v>
      </c>
      <c r="D4568" s="20">
        <v>4051.21</v>
      </c>
      <c r="E4568" s="22" t="s">
        <v>10</v>
      </c>
      <c r="F4568" s="22" t="s">
        <v>14</v>
      </c>
      <c r="G4568" s="22" t="s">
        <v>20</v>
      </c>
    </row>
    <row r="4569" ht="15.15" spans="1:7">
      <c r="A4569" s="20">
        <v>4568</v>
      </c>
      <c r="B4569" s="20">
        <v>5608</v>
      </c>
      <c r="C4569" s="21">
        <v>45258</v>
      </c>
      <c r="D4569" s="20">
        <v>788.31</v>
      </c>
      <c r="E4569" s="22" t="s">
        <v>10</v>
      </c>
      <c r="F4569" s="22" t="s">
        <v>11</v>
      </c>
      <c r="G4569" s="22" t="s">
        <v>17</v>
      </c>
    </row>
    <row r="4570" ht="15.15" spans="1:7">
      <c r="A4570" s="20">
        <v>4569</v>
      </c>
      <c r="B4570" s="20">
        <v>2698</v>
      </c>
      <c r="C4570" s="21">
        <v>45271</v>
      </c>
      <c r="D4570" s="20">
        <v>260.61</v>
      </c>
      <c r="E4570" s="22" t="s">
        <v>10</v>
      </c>
      <c r="F4570" s="22" t="s">
        <v>18</v>
      </c>
      <c r="G4570" s="22" t="s">
        <v>15</v>
      </c>
    </row>
    <row r="4571" ht="15.15" spans="1:7">
      <c r="A4571" s="20">
        <v>4570</v>
      </c>
      <c r="B4571" s="20">
        <v>7461</v>
      </c>
      <c r="C4571" s="21">
        <v>45020</v>
      </c>
      <c r="D4571" s="20">
        <v>1365.22</v>
      </c>
      <c r="E4571" s="22" t="s">
        <v>10</v>
      </c>
      <c r="F4571" s="22" t="s">
        <v>18</v>
      </c>
      <c r="G4571" s="22" t="s">
        <v>20</v>
      </c>
    </row>
    <row r="4572" ht="15.15" spans="1:7">
      <c r="A4572" s="20">
        <v>4571</v>
      </c>
      <c r="B4572" s="20">
        <v>9968</v>
      </c>
      <c r="C4572" s="21">
        <v>44957</v>
      </c>
      <c r="D4572" s="20">
        <v>224.96</v>
      </c>
      <c r="E4572" s="22" t="s">
        <v>10</v>
      </c>
      <c r="F4572" s="22" t="s">
        <v>16</v>
      </c>
      <c r="G4572" s="22" t="s">
        <v>17</v>
      </c>
    </row>
    <row r="4573" ht="15.15" spans="1:7">
      <c r="A4573" s="20">
        <v>4572</v>
      </c>
      <c r="B4573" s="20">
        <v>2223</v>
      </c>
      <c r="C4573" s="21">
        <v>44942</v>
      </c>
      <c r="D4573" s="20">
        <v>305.06</v>
      </c>
      <c r="E4573" s="22" t="s">
        <v>10</v>
      </c>
      <c r="F4573" s="22" t="s">
        <v>11</v>
      </c>
      <c r="G4573" s="22" t="s">
        <v>17</v>
      </c>
    </row>
    <row r="4574" ht="15.15" spans="1:7">
      <c r="A4574" s="20">
        <v>4573</v>
      </c>
      <c r="B4574" s="20">
        <v>6834</v>
      </c>
      <c r="C4574" s="21">
        <v>45036</v>
      </c>
      <c r="D4574" s="20">
        <v>2742.27</v>
      </c>
      <c r="E4574" s="22" t="s">
        <v>10</v>
      </c>
      <c r="F4574" s="22" t="s">
        <v>13</v>
      </c>
      <c r="G4574" s="22" t="s">
        <v>17</v>
      </c>
    </row>
    <row r="4575" ht="15.15" spans="1:7">
      <c r="A4575" s="20">
        <v>4574</v>
      </c>
      <c r="B4575" s="20">
        <v>783</v>
      </c>
      <c r="C4575" s="21">
        <v>45223</v>
      </c>
      <c r="D4575" s="20">
        <v>449.81</v>
      </c>
      <c r="E4575" s="22" t="s">
        <v>10</v>
      </c>
      <c r="F4575" s="22" t="s">
        <v>16</v>
      </c>
      <c r="G4575" s="22" t="s">
        <v>20</v>
      </c>
    </row>
    <row r="4576" ht="15.15" spans="1:7">
      <c r="A4576" s="20">
        <v>4575</v>
      </c>
      <c r="B4576" s="20">
        <v>4211</v>
      </c>
      <c r="C4576" s="21">
        <v>44966</v>
      </c>
      <c r="D4576" s="20">
        <v>3526.32</v>
      </c>
      <c r="E4576" s="22" t="s">
        <v>10</v>
      </c>
      <c r="F4576" s="22" t="s">
        <v>14</v>
      </c>
      <c r="G4576" s="22" t="s">
        <v>17</v>
      </c>
    </row>
    <row r="4577" ht="15.15" spans="1:7">
      <c r="A4577" s="20">
        <v>4576</v>
      </c>
      <c r="B4577" s="20">
        <v>3170</v>
      </c>
      <c r="C4577" s="21">
        <v>45100</v>
      </c>
      <c r="D4577" s="20">
        <v>4092.05</v>
      </c>
      <c r="E4577" s="22" t="s">
        <v>10</v>
      </c>
      <c r="F4577" s="22" t="s">
        <v>14</v>
      </c>
      <c r="G4577" s="22" t="s">
        <v>20</v>
      </c>
    </row>
    <row r="4578" ht="15.15" spans="1:7">
      <c r="A4578" s="20">
        <v>4577</v>
      </c>
      <c r="B4578" s="20">
        <v>7424</v>
      </c>
      <c r="C4578" s="21">
        <v>45145</v>
      </c>
      <c r="D4578" s="20">
        <v>1118.12</v>
      </c>
      <c r="E4578" s="22" t="s">
        <v>10</v>
      </c>
      <c r="F4578" s="22" t="s">
        <v>11</v>
      </c>
      <c r="G4578" s="22" t="s">
        <v>20</v>
      </c>
    </row>
    <row r="4579" ht="15.15" spans="1:7">
      <c r="A4579" s="20">
        <v>4578</v>
      </c>
      <c r="B4579" s="20">
        <v>7356</v>
      </c>
      <c r="C4579" s="21">
        <v>45264</v>
      </c>
      <c r="D4579" s="20">
        <v>1397.62</v>
      </c>
      <c r="E4579" s="22" t="s">
        <v>10</v>
      </c>
      <c r="F4579" s="22" t="s">
        <v>13</v>
      </c>
      <c r="G4579" s="22" t="s">
        <v>17</v>
      </c>
    </row>
    <row r="4580" ht="15.15" spans="1:7">
      <c r="A4580" s="20">
        <v>4579</v>
      </c>
      <c r="B4580" s="20">
        <v>2519</v>
      </c>
      <c r="C4580" s="21">
        <v>45249</v>
      </c>
      <c r="D4580" s="20">
        <v>3626.26</v>
      </c>
      <c r="E4580" s="22" t="s">
        <v>10</v>
      </c>
      <c r="F4580" s="22" t="s">
        <v>18</v>
      </c>
      <c r="G4580" s="22" t="s">
        <v>20</v>
      </c>
    </row>
    <row r="4581" ht="15.15" spans="1:7">
      <c r="A4581" s="20">
        <v>4580</v>
      </c>
      <c r="B4581" s="20">
        <v>6448</v>
      </c>
      <c r="C4581" s="21">
        <v>45186</v>
      </c>
      <c r="D4581" s="20">
        <v>245.09</v>
      </c>
      <c r="E4581" s="22" t="s">
        <v>10</v>
      </c>
      <c r="F4581" s="22" t="s">
        <v>16</v>
      </c>
      <c r="G4581" s="22" t="s">
        <v>12</v>
      </c>
    </row>
    <row r="4582" ht="15.15" spans="1:7">
      <c r="A4582" s="20">
        <v>4581</v>
      </c>
      <c r="B4582" s="20">
        <v>7408</v>
      </c>
      <c r="C4582" s="21">
        <v>44981</v>
      </c>
      <c r="D4582" s="20">
        <v>3674.57</v>
      </c>
      <c r="E4582" s="22" t="s">
        <v>10</v>
      </c>
      <c r="F4582" s="22" t="s">
        <v>13</v>
      </c>
      <c r="G4582" s="22" t="s">
        <v>15</v>
      </c>
    </row>
    <row r="4583" ht="15.15" spans="1:7">
      <c r="A4583" s="20">
        <v>4582</v>
      </c>
      <c r="B4583" s="20">
        <v>2702</v>
      </c>
      <c r="C4583" s="21">
        <v>44960</v>
      </c>
      <c r="D4583" s="20">
        <v>230.74</v>
      </c>
      <c r="E4583" s="22" t="s">
        <v>10</v>
      </c>
      <c r="F4583" s="22" t="s">
        <v>14</v>
      </c>
      <c r="G4583" s="22" t="s">
        <v>20</v>
      </c>
    </row>
    <row r="4584" ht="15.15" spans="1:7">
      <c r="A4584" s="20">
        <v>4583</v>
      </c>
      <c r="B4584" s="20">
        <v>426</v>
      </c>
      <c r="C4584" s="21">
        <v>45164</v>
      </c>
      <c r="D4584" s="20">
        <v>2373.3</v>
      </c>
      <c r="E4584" s="22" t="s">
        <v>10</v>
      </c>
      <c r="F4584" s="22" t="s">
        <v>16</v>
      </c>
      <c r="G4584" s="22" t="s">
        <v>17</v>
      </c>
    </row>
    <row r="4585" ht="15.15" spans="1:7">
      <c r="A4585" s="20">
        <v>4584</v>
      </c>
      <c r="B4585" s="20">
        <v>3567</v>
      </c>
      <c r="C4585" s="21">
        <v>45291</v>
      </c>
      <c r="D4585" s="20">
        <v>2642.42</v>
      </c>
      <c r="E4585" s="22" t="s">
        <v>10</v>
      </c>
      <c r="F4585" s="22" t="s">
        <v>14</v>
      </c>
      <c r="G4585" s="22" t="s">
        <v>17</v>
      </c>
    </row>
    <row r="4586" ht="15.15" spans="1:7">
      <c r="A4586" s="20">
        <v>4585</v>
      </c>
      <c r="B4586" s="20">
        <v>6316</v>
      </c>
      <c r="C4586" s="21">
        <v>44973</v>
      </c>
      <c r="D4586" s="20">
        <v>2466.28</v>
      </c>
      <c r="E4586" s="22" t="s">
        <v>10</v>
      </c>
      <c r="F4586" s="22" t="s">
        <v>16</v>
      </c>
      <c r="G4586" s="22" t="s">
        <v>17</v>
      </c>
    </row>
    <row r="4587" ht="15.15" spans="1:7">
      <c r="A4587" s="20">
        <v>4586</v>
      </c>
      <c r="B4587" s="20">
        <v>8703</v>
      </c>
      <c r="C4587" s="21">
        <v>44979</v>
      </c>
      <c r="D4587" s="20">
        <v>1320.02</v>
      </c>
      <c r="E4587" s="22" t="s">
        <v>10</v>
      </c>
      <c r="F4587" s="22" t="s">
        <v>16</v>
      </c>
      <c r="G4587" s="22" t="s">
        <v>15</v>
      </c>
    </row>
    <row r="4588" ht="15.15" spans="1:7">
      <c r="A4588" s="20">
        <v>4587</v>
      </c>
      <c r="B4588" s="20">
        <v>1784</v>
      </c>
      <c r="C4588" s="21">
        <v>44995</v>
      </c>
      <c r="D4588" s="20">
        <v>861.87</v>
      </c>
      <c r="E4588" s="22" t="s">
        <v>10</v>
      </c>
      <c r="F4588" s="22" t="s">
        <v>16</v>
      </c>
      <c r="G4588" s="22" t="s">
        <v>15</v>
      </c>
    </row>
    <row r="4589" ht="15.15" spans="1:7">
      <c r="A4589" s="20">
        <v>4588</v>
      </c>
      <c r="B4589" s="20">
        <v>6172</v>
      </c>
      <c r="C4589" s="21">
        <v>44932</v>
      </c>
      <c r="D4589" s="20">
        <v>2470.45</v>
      </c>
      <c r="E4589" s="22" t="s">
        <v>10</v>
      </c>
      <c r="F4589" s="22" t="s">
        <v>14</v>
      </c>
      <c r="G4589" s="22" t="s">
        <v>15</v>
      </c>
    </row>
    <row r="4590" ht="15.15" spans="1:7">
      <c r="A4590" s="20">
        <v>4589</v>
      </c>
      <c r="B4590" s="20">
        <v>6080</v>
      </c>
      <c r="C4590" s="21">
        <v>45273</v>
      </c>
      <c r="D4590" s="20">
        <v>142.86</v>
      </c>
      <c r="E4590" s="22" t="s">
        <v>10</v>
      </c>
      <c r="F4590" s="22" t="s">
        <v>16</v>
      </c>
      <c r="G4590" s="22" t="s">
        <v>15</v>
      </c>
    </row>
    <row r="4591" ht="15.15" spans="1:7">
      <c r="A4591" s="20">
        <v>4590</v>
      </c>
      <c r="B4591" s="20">
        <v>9028</v>
      </c>
      <c r="C4591" s="21">
        <v>45195</v>
      </c>
      <c r="D4591" s="20">
        <v>1695.09</v>
      </c>
      <c r="E4591" s="22" t="s">
        <v>10</v>
      </c>
      <c r="F4591" s="22" t="s">
        <v>13</v>
      </c>
      <c r="G4591" s="22" t="s">
        <v>20</v>
      </c>
    </row>
    <row r="4592" ht="15.15" spans="1:7">
      <c r="A4592" s="20">
        <v>4591</v>
      </c>
      <c r="B4592" s="20">
        <v>6815</v>
      </c>
      <c r="C4592" s="21">
        <v>45167</v>
      </c>
      <c r="D4592" s="20">
        <v>1679.42</v>
      </c>
      <c r="E4592" s="22" t="s">
        <v>10</v>
      </c>
      <c r="F4592" s="22" t="s">
        <v>13</v>
      </c>
      <c r="G4592" s="22" t="s">
        <v>17</v>
      </c>
    </row>
    <row r="4593" ht="15.15" spans="1:7">
      <c r="A4593" s="20">
        <v>4592</v>
      </c>
      <c r="B4593" s="20">
        <v>2772</v>
      </c>
      <c r="C4593" s="21">
        <v>45245</v>
      </c>
      <c r="D4593" s="20">
        <v>861.87</v>
      </c>
      <c r="E4593" s="22" t="s">
        <v>10</v>
      </c>
      <c r="F4593" s="22" t="s">
        <v>18</v>
      </c>
      <c r="G4593" s="22" t="s">
        <v>15</v>
      </c>
    </row>
    <row r="4594" ht="15.15" spans="1:7">
      <c r="A4594" s="20">
        <v>4593</v>
      </c>
      <c r="B4594" s="20">
        <v>159</v>
      </c>
      <c r="C4594" s="21">
        <v>45262</v>
      </c>
      <c r="D4594" s="20">
        <v>744.5</v>
      </c>
      <c r="E4594" s="22" t="s">
        <v>10</v>
      </c>
      <c r="F4594" s="22" t="s">
        <v>13</v>
      </c>
      <c r="G4594" s="22" t="s">
        <v>20</v>
      </c>
    </row>
    <row r="4595" ht="15.15" spans="1:7">
      <c r="A4595" s="20">
        <v>4594</v>
      </c>
      <c r="B4595" s="20">
        <v>5644</v>
      </c>
      <c r="C4595" s="21">
        <v>45052</v>
      </c>
      <c r="D4595" s="20">
        <v>1527.85</v>
      </c>
      <c r="E4595" s="22" t="s">
        <v>10</v>
      </c>
      <c r="F4595" s="22" t="s">
        <v>18</v>
      </c>
      <c r="G4595" s="22" t="s">
        <v>12</v>
      </c>
    </row>
    <row r="4596" ht="15.15" spans="1:7">
      <c r="A4596" s="20">
        <v>4595</v>
      </c>
      <c r="B4596" s="20">
        <v>1365</v>
      </c>
      <c r="C4596" s="21">
        <v>45282</v>
      </c>
      <c r="D4596" s="20">
        <v>4691.49</v>
      </c>
      <c r="E4596" s="22" t="s">
        <v>10</v>
      </c>
      <c r="F4596" s="22" t="s">
        <v>11</v>
      </c>
      <c r="G4596" s="22" t="s">
        <v>17</v>
      </c>
    </row>
    <row r="4597" ht="15.15" spans="1:7">
      <c r="A4597" s="20">
        <v>4596</v>
      </c>
      <c r="B4597" s="20">
        <v>6632</v>
      </c>
      <c r="C4597" s="21">
        <v>44984</v>
      </c>
      <c r="D4597" s="20">
        <v>3365.64</v>
      </c>
      <c r="E4597" s="22" t="s">
        <v>10</v>
      </c>
      <c r="F4597" s="22" t="s">
        <v>11</v>
      </c>
      <c r="G4597" s="22" t="s">
        <v>12</v>
      </c>
    </row>
    <row r="4598" ht="15.15" spans="1:7">
      <c r="A4598" s="20">
        <v>4597</v>
      </c>
      <c r="B4598" s="20">
        <v>9954</v>
      </c>
      <c r="C4598" s="21">
        <v>45240</v>
      </c>
      <c r="D4598" s="20">
        <v>449.81</v>
      </c>
      <c r="E4598" s="22" t="s">
        <v>10</v>
      </c>
      <c r="F4598" s="22" t="s">
        <v>16</v>
      </c>
      <c r="G4598" s="22" t="s">
        <v>20</v>
      </c>
    </row>
    <row r="4599" ht="15.15" spans="1:7">
      <c r="A4599" s="20">
        <v>4598</v>
      </c>
      <c r="B4599" s="20">
        <v>8630</v>
      </c>
      <c r="C4599" s="21">
        <v>44981</v>
      </c>
      <c r="D4599" s="20">
        <v>6887.46</v>
      </c>
      <c r="E4599" s="22" t="s">
        <v>10</v>
      </c>
      <c r="F4599" s="22" t="s">
        <v>18</v>
      </c>
      <c r="G4599" s="22" t="s">
        <v>17</v>
      </c>
    </row>
    <row r="4600" ht="15.15" spans="1:7">
      <c r="A4600" s="20">
        <v>4599</v>
      </c>
      <c r="B4600" s="20">
        <v>9052</v>
      </c>
      <c r="C4600" s="21">
        <v>45284</v>
      </c>
      <c r="D4600" s="20">
        <v>1334.28</v>
      </c>
      <c r="E4600" s="22" t="s">
        <v>10</v>
      </c>
      <c r="F4600" s="22" t="s">
        <v>18</v>
      </c>
      <c r="G4600" s="22" t="s">
        <v>15</v>
      </c>
    </row>
    <row r="4601" ht="15.15" spans="1:7">
      <c r="A4601" s="20">
        <v>4600</v>
      </c>
      <c r="B4601" s="20">
        <v>8644</v>
      </c>
      <c r="C4601" s="21">
        <v>44994</v>
      </c>
      <c r="D4601" s="20">
        <v>361.61</v>
      </c>
      <c r="E4601" s="22" t="s">
        <v>10</v>
      </c>
      <c r="F4601" s="22" t="s">
        <v>11</v>
      </c>
      <c r="G4601" s="22" t="s">
        <v>17</v>
      </c>
    </row>
    <row r="4602" ht="15.15" spans="1:7">
      <c r="A4602" s="20">
        <v>4601</v>
      </c>
      <c r="B4602" s="20">
        <v>9793</v>
      </c>
      <c r="C4602" s="21">
        <v>45001</v>
      </c>
      <c r="D4602" s="20">
        <v>4339.59</v>
      </c>
      <c r="E4602" s="22" t="s">
        <v>10</v>
      </c>
      <c r="F4602" s="22" t="s">
        <v>18</v>
      </c>
      <c r="G4602" s="22" t="s">
        <v>12</v>
      </c>
    </row>
    <row r="4603" ht="15.15" spans="1:7">
      <c r="A4603" s="20">
        <v>4602</v>
      </c>
      <c r="B4603" s="20">
        <v>8387</v>
      </c>
      <c r="C4603" s="21">
        <v>45142</v>
      </c>
      <c r="D4603" s="20">
        <v>768.45</v>
      </c>
      <c r="E4603" s="22" t="s">
        <v>10</v>
      </c>
      <c r="F4603" s="22" t="s">
        <v>14</v>
      </c>
      <c r="G4603" s="22" t="s">
        <v>20</v>
      </c>
    </row>
    <row r="4604" ht="15.15" spans="1:7">
      <c r="A4604" s="20">
        <v>4603</v>
      </c>
      <c r="B4604" s="20">
        <v>8430</v>
      </c>
      <c r="C4604" s="21">
        <v>44939</v>
      </c>
      <c r="D4604" s="20">
        <v>1518.53</v>
      </c>
      <c r="E4604" s="22" t="s">
        <v>10</v>
      </c>
      <c r="F4604" s="22" t="s">
        <v>16</v>
      </c>
      <c r="G4604" s="22" t="s">
        <v>17</v>
      </c>
    </row>
    <row r="4605" ht="15.15" spans="1:7">
      <c r="A4605" s="20">
        <v>4604</v>
      </c>
      <c r="B4605" s="20">
        <v>6346</v>
      </c>
      <c r="C4605" s="21">
        <v>45228</v>
      </c>
      <c r="D4605" s="20">
        <v>931.48</v>
      </c>
      <c r="E4605" s="22" t="s">
        <v>10</v>
      </c>
      <c r="F4605" s="22" t="s">
        <v>16</v>
      </c>
      <c r="G4605" s="22" t="s">
        <v>15</v>
      </c>
    </row>
    <row r="4606" ht="15.15" spans="1:7">
      <c r="A4606" s="20">
        <v>4605</v>
      </c>
      <c r="B4606" s="20">
        <v>7355</v>
      </c>
      <c r="C4606" s="21">
        <v>45083</v>
      </c>
      <c r="D4606" s="20">
        <v>394.17</v>
      </c>
      <c r="E4606" s="22" t="s">
        <v>10</v>
      </c>
      <c r="F4606" s="22" t="s">
        <v>13</v>
      </c>
      <c r="G4606" s="22" t="s">
        <v>15</v>
      </c>
    </row>
    <row r="4607" ht="15.15" spans="1:7">
      <c r="A4607" s="20">
        <v>4606</v>
      </c>
      <c r="B4607" s="20">
        <v>3537</v>
      </c>
      <c r="C4607" s="21">
        <v>45224</v>
      </c>
      <c r="D4607" s="20">
        <v>1236.06</v>
      </c>
      <c r="E4607" s="22" t="s">
        <v>10</v>
      </c>
      <c r="F4607" s="22" t="s">
        <v>11</v>
      </c>
      <c r="G4607" s="22" t="s">
        <v>15</v>
      </c>
    </row>
    <row r="4608" ht="15.15" spans="1:7">
      <c r="A4608" s="20">
        <v>4607</v>
      </c>
      <c r="B4608" s="20">
        <v>1798</v>
      </c>
      <c r="C4608" s="21">
        <v>45275</v>
      </c>
      <c r="D4608" s="20">
        <v>514.21</v>
      </c>
      <c r="E4608" s="22" t="s">
        <v>10</v>
      </c>
      <c r="F4608" s="22" t="s">
        <v>14</v>
      </c>
      <c r="G4608" s="22" t="s">
        <v>20</v>
      </c>
    </row>
    <row r="4609" ht="15.15" spans="1:7">
      <c r="A4609" s="20">
        <v>4608</v>
      </c>
      <c r="B4609" s="20">
        <v>4672</v>
      </c>
      <c r="C4609" s="21">
        <v>45225</v>
      </c>
      <c r="D4609" s="20">
        <v>1146.85</v>
      </c>
      <c r="E4609" s="22" t="s">
        <v>10</v>
      </c>
      <c r="F4609" s="22" t="s">
        <v>18</v>
      </c>
      <c r="G4609" s="22" t="s">
        <v>20</v>
      </c>
    </row>
    <row r="4610" ht="15.15" spans="1:7">
      <c r="A4610" s="20">
        <v>4609</v>
      </c>
      <c r="B4610" s="20">
        <v>3035</v>
      </c>
      <c r="C4610" s="21">
        <v>45239</v>
      </c>
      <c r="D4610" s="20">
        <v>6597.68</v>
      </c>
      <c r="E4610" s="22" t="s">
        <v>10</v>
      </c>
      <c r="F4610" s="22" t="s">
        <v>18</v>
      </c>
      <c r="G4610" s="22" t="s">
        <v>12</v>
      </c>
    </row>
    <row r="4611" ht="15.15" spans="1:7">
      <c r="A4611" s="20">
        <v>4610</v>
      </c>
      <c r="B4611" s="20">
        <v>2072</v>
      </c>
      <c r="C4611" s="21">
        <v>45128</v>
      </c>
      <c r="D4611" s="20">
        <v>189.69</v>
      </c>
      <c r="E4611" s="22" t="s">
        <v>10</v>
      </c>
      <c r="F4611" s="22" t="s">
        <v>14</v>
      </c>
      <c r="G4611" s="22" t="s">
        <v>15</v>
      </c>
    </row>
    <row r="4612" ht="15.15" spans="1:7">
      <c r="A4612" s="20">
        <v>4611</v>
      </c>
      <c r="B4612" s="20">
        <v>7034</v>
      </c>
      <c r="C4612" s="21">
        <v>45231</v>
      </c>
      <c r="D4612" s="20">
        <v>477.63</v>
      </c>
      <c r="E4612" s="22" t="s">
        <v>10</v>
      </c>
      <c r="F4612" s="22" t="s">
        <v>11</v>
      </c>
      <c r="G4612" s="22" t="s">
        <v>12</v>
      </c>
    </row>
    <row r="4613" ht="15.15" spans="1:7">
      <c r="A4613" s="20">
        <v>4612</v>
      </c>
      <c r="B4613" s="20">
        <v>3380</v>
      </c>
      <c r="C4613" s="21">
        <v>44991</v>
      </c>
      <c r="D4613" s="20">
        <v>2224.43</v>
      </c>
      <c r="E4613" s="22" t="s">
        <v>10</v>
      </c>
      <c r="F4613" s="22" t="s">
        <v>11</v>
      </c>
      <c r="G4613" s="22" t="s">
        <v>20</v>
      </c>
    </row>
    <row r="4614" ht="15.15" spans="1:7">
      <c r="A4614" s="20">
        <v>4613</v>
      </c>
      <c r="B4614" s="20">
        <v>210</v>
      </c>
      <c r="C4614" s="21">
        <v>45179</v>
      </c>
      <c r="D4614" s="20">
        <v>552.13</v>
      </c>
      <c r="E4614" s="22" t="s">
        <v>10</v>
      </c>
      <c r="F4614" s="22" t="s">
        <v>13</v>
      </c>
      <c r="G4614" s="22" t="s">
        <v>12</v>
      </c>
    </row>
    <row r="4615" ht="15.15" spans="1:7">
      <c r="A4615" s="20">
        <v>4614</v>
      </c>
      <c r="B4615" s="20">
        <v>1988</v>
      </c>
      <c r="C4615" s="21">
        <v>45106</v>
      </c>
      <c r="D4615" s="20">
        <v>4297.68</v>
      </c>
      <c r="E4615" s="22" t="s">
        <v>10</v>
      </c>
      <c r="F4615" s="22" t="s">
        <v>14</v>
      </c>
      <c r="G4615" s="22" t="s">
        <v>12</v>
      </c>
    </row>
    <row r="4616" ht="15.15" spans="1:7">
      <c r="A4616" s="20">
        <v>4615</v>
      </c>
      <c r="B4616" s="20">
        <v>9177</v>
      </c>
      <c r="C4616" s="21">
        <v>45282</v>
      </c>
      <c r="D4616" s="20">
        <v>2328.28</v>
      </c>
      <c r="E4616" s="22" t="s">
        <v>10</v>
      </c>
      <c r="F4616" s="22" t="s">
        <v>16</v>
      </c>
      <c r="G4616" s="22" t="s">
        <v>12</v>
      </c>
    </row>
    <row r="4617" ht="15.15" spans="1:7">
      <c r="A4617" s="20">
        <v>4616</v>
      </c>
      <c r="B4617" s="20">
        <v>1245</v>
      </c>
      <c r="C4617" s="21">
        <v>45072</v>
      </c>
      <c r="D4617" s="20">
        <v>528.58</v>
      </c>
      <c r="E4617" s="22" t="s">
        <v>22</v>
      </c>
      <c r="F4617" s="22" t="s">
        <v>11</v>
      </c>
      <c r="G4617" s="22" t="s">
        <v>15</v>
      </c>
    </row>
    <row r="4618" ht="15.15" spans="1:7">
      <c r="A4618" s="20">
        <v>4617</v>
      </c>
      <c r="B4618" s="20">
        <v>2574</v>
      </c>
      <c r="C4618" s="21">
        <v>45238</v>
      </c>
      <c r="D4618" s="20">
        <v>1907.22</v>
      </c>
      <c r="E4618" s="22" t="s">
        <v>10</v>
      </c>
      <c r="F4618" s="22" t="s">
        <v>11</v>
      </c>
      <c r="G4618" s="22" t="s">
        <v>17</v>
      </c>
    </row>
    <row r="4619" ht="15.15" spans="1:7">
      <c r="A4619" s="20">
        <v>4618</v>
      </c>
      <c r="B4619" s="20">
        <v>3035</v>
      </c>
      <c r="C4619" s="21">
        <v>45179</v>
      </c>
      <c r="D4619" s="20">
        <v>5978.22</v>
      </c>
      <c r="E4619" s="22" t="s">
        <v>10</v>
      </c>
      <c r="F4619" s="22" t="s">
        <v>18</v>
      </c>
      <c r="G4619" s="22" t="s">
        <v>17</v>
      </c>
    </row>
    <row r="4620" ht="15.15" spans="1:7">
      <c r="A4620" s="20">
        <v>4619</v>
      </c>
      <c r="B4620" s="20">
        <v>5651</v>
      </c>
      <c r="C4620" s="21">
        <v>45282</v>
      </c>
      <c r="D4620" s="20">
        <v>1836.52</v>
      </c>
      <c r="E4620" s="22" t="s">
        <v>10</v>
      </c>
      <c r="F4620" s="22" t="s">
        <v>18</v>
      </c>
      <c r="G4620" s="22" t="s">
        <v>20</v>
      </c>
    </row>
    <row r="4621" ht="15.15" spans="1:7">
      <c r="A4621" s="20">
        <v>4620</v>
      </c>
      <c r="B4621" s="20">
        <v>5990</v>
      </c>
      <c r="C4621" s="21">
        <v>45022</v>
      </c>
      <c r="D4621" s="20">
        <v>1272.76</v>
      </c>
      <c r="E4621" s="22" t="s">
        <v>10</v>
      </c>
      <c r="F4621" s="22" t="s">
        <v>16</v>
      </c>
      <c r="G4621" s="22" t="s">
        <v>15</v>
      </c>
    </row>
    <row r="4622" ht="15.15" spans="1:7">
      <c r="A4622" s="20">
        <v>4621</v>
      </c>
      <c r="B4622" s="20">
        <v>9927</v>
      </c>
      <c r="C4622" s="21">
        <v>44967</v>
      </c>
      <c r="D4622" s="20">
        <v>1932</v>
      </c>
      <c r="E4622" s="22" t="s">
        <v>22</v>
      </c>
      <c r="F4622" s="22" t="s">
        <v>11</v>
      </c>
      <c r="G4622" s="22" t="s">
        <v>15</v>
      </c>
    </row>
    <row r="4623" ht="15.15" spans="1:7">
      <c r="A4623" s="20">
        <v>4622</v>
      </c>
      <c r="B4623" s="20">
        <v>373</v>
      </c>
      <c r="C4623" s="21">
        <v>45102</v>
      </c>
      <c r="D4623" s="20">
        <v>770.04</v>
      </c>
      <c r="E4623" s="22" t="s">
        <v>10</v>
      </c>
      <c r="F4623" s="22" t="s">
        <v>14</v>
      </c>
      <c r="G4623" s="22" t="s">
        <v>17</v>
      </c>
    </row>
    <row r="4624" ht="15.15" spans="1:7">
      <c r="A4624" s="20">
        <v>4623</v>
      </c>
      <c r="B4624" s="20">
        <v>7825</v>
      </c>
      <c r="C4624" s="21">
        <v>44996</v>
      </c>
      <c r="D4624" s="20">
        <v>2239.88</v>
      </c>
      <c r="E4624" s="22" t="s">
        <v>10</v>
      </c>
      <c r="F4624" s="22" t="s">
        <v>18</v>
      </c>
      <c r="G4624" s="22" t="s">
        <v>20</v>
      </c>
    </row>
    <row r="4625" ht="15.15" spans="1:7">
      <c r="A4625" s="20">
        <v>4624</v>
      </c>
      <c r="B4625" s="20">
        <v>9454</v>
      </c>
      <c r="C4625" s="21">
        <v>45128</v>
      </c>
      <c r="D4625" s="20">
        <v>1169</v>
      </c>
      <c r="E4625" s="22" t="s">
        <v>10</v>
      </c>
      <c r="F4625" s="22" t="s">
        <v>13</v>
      </c>
      <c r="G4625" s="22" t="s">
        <v>15</v>
      </c>
    </row>
    <row r="4626" ht="15.15" spans="1:7">
      <c r="A4626" s="20">
        <v>4625</v>
      </c>
      <c r="B4626" s="20">
        <v>6344</v>
      </c>
      <c r="C4626" s="21">
        <v>45235</v>
      </c>
      <c r="D4626" s="20">
        <v>228.45</v>
      </c>
      <c r="E4626" s="22" t="s">
        <v>10</v>
      </c>
      <c r="F4626" s="22" t="s">
        <v>18</v>
      </c>
      <c r="G4626" s="22" t="s">
        <v>17</v>
      </c>
    </row>
    <row r="4627" ht="15.15" spans="1:7">
      <c r="A4627" s="20">
        <v>4626</v>
      </c>
      <c r="B4627" s="20">
        <v>1903</v>
      </c>
      <c r="C4627" s="21">
        <v>45117</v>
      </c>
      <c r="D4627" s="20">
        <v>1335.47</v>
      </c>
      <c r="E4627" s="22" t="s">
        <v>10</v>
      </c>
      <c r="F4627" s="22" t="s">
        <v>13</v>
      </c>
      <c r="G4627" s="22" t="s">
        <v>17</v>
      </c>
    </row>
    <row r="4628" ht="15.15" spans="1:7">
      <c r="A4628" s="20">
        <v>4627</v>
      </c>
      <c r="B4628" s="20">
        <v>8152</v>
      </c>
      <c r="C4628" s="21">
        <v>45234</v>
      </c>
      <c r="D4628" s="20">
        <v>333.14</v>
      </c>
      <c r="E4628" s="22" t="s">
        <v>10</v>
      </c>
      <c r="F4628" s="22" t="s">
        <v>14</v>
      </c>
      <c r="G4628" s="22" t="s">
        <v>17</v>
      </c>
    </row>
    <row r="4629" ht="15.15" spans="1:7">
      <c r="A4629" s="20">
        <v>4628</v>
      </c>
      <c r="B4629" s="20">
        <v>1716</v>
      </c>
      <c r="C4629" s="21">
        <v>45040</v>
      </c>
      <c r="D4629" s="20">
        <v>2688.94</v>
      </c>
      <c r="E4629" s="22" t="s">
        <v>10</v>
      </c>
      <c r="F4629" s="22" t="s">
        <v>18</v>
      </c>
      <c r="G4629" s="22" t="s">
        <v>12</v>
      </c>
    </row>
    <row r="4630" ht="15.15" spans="1:7">
      <c r="A4630" s="20">
        <v>4629</v>
      </c>
      <c r="B4630" s="20">
        <v>9927</v>
      </c>
      <c r="C4630" s="21">
        <v>45279</v>
      </c>
      <c r="D4630" s="20">
        <v>2853.45</v>
      </c>
      <c r="E4630" s="22" t="s">
        <v>10</v>
      </c>
      <c r="F4630" s="22" t="s">
        <v>11</v>
      </c>
      <c r="G4630" s="22" t="s">
        <v>17</v>
      </c>
    </row>
    <row r="4631" ht="15.15" spans="1:7">
      <c r="A4631" s="20">
        <v>4630</v>
      </c>
      <c r="B4631" s="20">
        <v>5285</v>
      </c>
      <c r="C4631" s="21">
        <v>45270</v>
      </c>
      <c r="D4631" s="20">
        <v>198.89</v>
      </c>
      <c r="E4631" s="22" t="s">
        <v>10</v>
      </c>
      <c r="F4631" s="22" t="s">
        <v>16</v>
      </c>
      <c r="G4631" s="22" t="s">
        <v>17</v>
      </c>
    </row>
    <row r="4632" ht="15.15" spans="1:7">
      <c r="A4632" s="20">
        <v>4631</v>
      </c>
      <c r="B4632" s="20">
        <v>8320</v>
      </c>
      <c r="C4632" s="21">
        <v>45192</v>
      </c>
      <c r="D4632" s="20">
        <v>872.37</v>
      </c>
      <c r="E4632" s="22" t="s">
        <v>10</v>
      </c>
      <c r="F4632" s="22" t="s">
        <v>16</v>
      </c>
      <c r="G4632" s="22" t="s">
        <v>17</v>
      </c>
    </row>
    <row r="4633" ht="15.15" spans="1:7">
      <c r="A4633" s="20">
        <v>4632</v>
      </c>
      <c r="B4633" s="20">
        <v>9911</v>
      </c>
      <c r="C4633" s="21">
        <v>45168</v>
      </c>
      <c r="D4633" s="20">
        <v>395.52</v>
      </c>
      <c r="E4633" s="22" t="s">
        <v>10</v>
      </c>
      <c r="F4633" s="22" t="s">
        <v>16</v>
      </c>
      <c r="G4633" s="22" t="s">
        <v>17</v>
      </c>
    </row>
    <row r="4634" ht="15.15" spans="1:7">
      <c r="A4634" s="20">
        <v>4633</v>
      </c>
      <c r="B4634" s="20">
        <v>923</v>
      </c>
      <c r="C4634" s="21">
        <v>45124</v>
      </c>
      <c r="D4634" s="20">
        <v>965.83</v>
      </c>
      <c r="E4634" s="22" t="s">
        <v>10</v>
      </c>
      <c r="F4634" s="22" t="s">
        <v>13</v>
      </c>
      <c r="G4634" s="22" t="s">
        <v>12</v>
      </c>
    </row>
    <row r="4635" ht="15.15" spans="1:7">
      <c r="A4635" s="20">
        <v>4634</v>
      </c>
      <c r="B4635" s="20">
        <v>4501</v>
      </c>
      <c r="C4635" s="21">
        <v>45026</v>
      </c>
      <c r="D4635" s="20">
        <v>2711.11</v>
      </c>
      <c r="E4635" s="22" t="s">
        <v>10</v>
      </c>
      <c r="F4635" s="22" t="s">
        <v>18</v>
      </c>
      <c r="G4635" s="22" t="s">
        <v>17</v>
      </c>
    </row>
    <row r="4636" ht="15.15" spans="1:7">
      <c r="A4636" s="20">
        <v>4635</v>
      </c>
      <c r="B4636" s="20">
        <v>1515</v>
      </c>
      <c r="C4636" s="21">
        <v>44982</v>
      </c>
      <c r="D4636" s="20">
        <v>1354.25</v>
      </c>
      <c r="E4636" s="22" t="s">
        <v>10</v>
      </c>
      <c r="F4636" s="22" t="s">
        <v>14</v>
      </c>
      <c r="G4636" s="22" t="s">
        <v>17</v>
      </c>
    </row>
    <row r="4637" ht="15.15" spans="1:7">
      <c r="A4637" s="20">
        <v>4636</v>
      </c>
      <c r="B4637" s="20">
        <v>1192</v>
      </c>
      <c r="C4637" s="21">
        <v>44937</v>
      </c>
      <c r="D4637" s="20">
        <v>836.25</v>
      </c>
      <c r="E4637" s="22" t="s">
        <v>10</v>
      </c>
      <c r="F4637" s="22" t="s">
        <v>13</v>
      </c>
      <c r="G4637" s="22" t="s">
        <v>15</v>
      </c>
    </row>
    <row r="4638" ht="15.15" spans="1:7">
      <c r="A4638" s="20">
        <v>4637</v>
      </c>
      <c r="B4638" s="20">
        <v>4841</v>
      </c>
      <c r="C4638" s="21">
        <v>45077</v>
      </c>
      <c r="D4638" s="20">
        <v>211.3</v>
      </c>
      <c r="E4638" s="22" t="s">
        <v>10</v>
      </c>
      <c r="F4638" s="22" t="s">
        <v>19</v>
      </c>
      <c r="G4638" s="22" t="s">
        <v>20</v>
      </c>
    </row>
    <row r="4639" ht="15.15" spans="1:7">
      <c r="A4639" s="20">
        <v>4638</v>
      </c>
      <c r="B4639" s="20">
        <v>6431</v>
      </c>
      <c r="C4639" s="21">
        <v>44928</v>
      </c>
      <c r="D4639" s="20">
        <v>2122.23</v>
      </c>
      <c r="E4639" s="22" t="s">
        <v>10</v>
      </c>
      <c r="F4639" s="22" t="s">
        <v>11</v>
      </c>
      <c r="G4639" s="22" t="s">
        <v>12</v>
      </c>
    </row>
    <row r="4640" ht="15.15" spans="1:7">
      <c r="A4640" s="20">
        <v>4639</v>
      </c>
      <c r="B4640" s="20">
        <v>6485</v>
      </c>
      <c r="C4640" s="21">
        <v>45012</v>
      </c>
      <c r="D4640" s="20">
        <v>525.28</v>
      </c>
      <c r="E4640" s="22" t="s">
        <v>10</v>
      </c>
      <c r="F4640" s="22" t="s">
        <v>13</v>
      </c>
      <c r="G4640" s="22" t="s">
        <v>17</v>
      </c>
    </row>
    <row r="4641" ht="15.15" spans="1:7">
      <c r="A4641" s="20">
        <v>4640</v>
      </c>
      <c r="B4641" s="20">
        <v>1746</v>
      </c>
      <c r="C4641" s="21">
        <v>45255</v>
      </c>
      <c r="D4641" s="20">
        <v>579.6</v>
      </c>
      <c r="E4641" s="22" t="s">
        <v>10</v>
      </c>
      <c r="F4641" s="22" t="s">
        <v>16</v>
      </c>
      <c r="G4641" s="22" t="s">
        <v>17</v>
      </c>
    </row>
    <row r="4642" ht="15.15" spans="1:7">
      <c r="A4642" s="20">
        <v>4641</v>
      </c>
      <c r="B4642" s="20">
        <v>9281</v>
      </c>
      <c r="C4642" s="21">
        <v>45205</v>
      </c>
      <c r="D4642" s="20">
        <v>1655.87</v>
      </c>
      <c r="E4642" s="22" t="s">
        <v>10</v>
      </c>
      <c r="F4642" s="22" t="s">
        <v>14</v>
      </c>
      <c r="G4642" s="22" t="s">
        <v>17</v>
      </c>
    </row>
    <row r="4643" ht="15.15" spans="1:7">
      <c r="A4643" s="20">
        <v>4642</v>
      </c>
      <c r="B4643" s="20">
        <v>5360</v>
      </c>
      <c r="C4643" s="21">
        <v>45069</v>
      </c>
      <c r="D4643" s="20">
        <v>1883.98</v>
      </c>
      <c r="E4643" s="22" t="s">
        <v>10</v>
      </c>
      <c r="F4643" s="22" t="s">
        <v>18</v>
      </c>
      <c r="G4643" s="22" t="s">
        <v>20</v>
      </c>
    </row>
    <row r="4644" ht="15.15" spans="1:7">
      <c r="A4644" s="20">
        <v>4643</v>
      </c>
      <c r="B4644" s="20">
        <v>1494</v>
      </c>
      <c r="C4644" s="21">
        <v>45085</v>
      </c>
      <c r="D4644" s="20">
        <v>183.34</v>
      </c>
      <c r="E4644" s="22" t="s">
        <v>10</v>
      </c>
      <c r="F4644" s="22" t="s">
        <v>13</v>
      </c>
      <c r="G4644" s="22" t="s">
        <v>12</v>
      </c>
    </row>
    <row r="4645" ht="15.15" spans="1:7">
      <c r="A4645" s="20">
        <v>4644</v>
      </c>
      <c r="B4645" s="20">
        <v>6137</v>
      </c>
      <c r="C4645" s="21">
        <v>45008</v>
      </c>
      <c r="D4645" s="20">
        <v>315.29</v>
      </c>
      <c r="E4645" s="22" t="s">
        <v>10</v>
      </c>
      <c r="F4645" s="22" t="s">
        <v>18</v>
      </c>
      <c r="G4645" s="22" t="s">
        <v>17</v>
      </c>
    </row>
    <row r="4646" ht="15.15" spans="1:7">
      <c r="A4646" s="20">
        <v>4645</v>
      </c>
      <c r="B4646" s="20">
        <v>2321</v>
      </c>
      <c r="C4646" s="21">
        <v>45261</v>
      </c>
      <c r="D4646" s="20">
        <v>689.2</v>
      </c>
      <c r="E4646" s="22" t="s">
        <v>10</v>
      </c>
      <c r="F4646" s="22" t="s">
        <v>11</v>
      </c>
      <c r="G4646" s="22" t="s">
        <v>17</v>
      </c>
    </row>
    <row r="4647" ht="15.15" spans="1:7">
      <c r="A4647" s="20">
        <v>4646</v>
      </c>
      <c r="B4647" s="20">
        <v>8795</v>
      </c>
      <c r="C4647" s="21">
        <v>45281</v>
      </c>
      <c r="D4647" s="20">
        <v>3467.7</v>
      </c>
      <c r="E4647" s="22" t="s">
        <v>10</v>
      </c>
      <c r="F4647" s="22" t="s">
        <v>14</v>
      </c>
      <c r="G4647" s="22" t="s">
        <v>15</v>
      </c>
    </row>
    <row r="4648" ht="15.15" spans="1:7">
      <c r="A4648" s="20">
        <v>4647</v>
      </c>
      <c r="B4648" s="20">
        <v>8801</v>
      </c>
      <c r="C4648" s="21">
        <v>44943</v>
      </c>
      <c r="D4648" s="20">
        <v>448.66</v>
      </c>
      <c r="E4648" s="22" t="s">
        <v>22</v>
      </c>
      <c r="F4648" s="22" t="s">
        <v>16</v>
      </c>
      <c r="G4648" s="22" t="s">
        <v>15</v>
      </c>
    </row>
    <row r="4649" ht="15.15" spans="1:7">
      <c r="A4649" s="20">
        <v>4648</v>
      </c>
      <c r="B4649" s="20">
        <v>4127</v>
      </c>
      <c r="C4649" s="21">
        <v>45002</v>
      </c>
      <c r="D4649" s="20">
        <v>195.62</v>
      </c>
      <c r="E4649" s="22" t="s">
        <v>10</v>
      </c>
      <c r="F4649" s="22" t="s">
        <v>11</v>
      </c>
      <c r="G4649" s="22" t="s">
        <v>20</v>
      </c>
    </row>
    <row r="4650" ht="15.15" spans="1:7">
      <c r="A4650" s="20">
        <v>4649</v>
      </c>
      <c r="B4650" s="20">
        <v>839</v>
      </c>
      <c r="C4650" s="21">
        <v>44929</v>
      </c>
      <c r="D4650" s="20">
        <v>539.1</v>
      </c>
      <c r="E4650" s="22" t="s">
        <v>10</v>
      </c>
      <c r="F4650" s="22" t="s">
        <v>16</v>
      </c>
      <c r="G4650" s="22" t="s">
        <v>20</v>
      </c>
    </row>
    <row r="4651" ht="15.15" spans="1:7">
      <c r="A4651" s="20">
        <v>4650</v>
      </c>
      <c r="B4651" s="20">
        <v>5139</v>
      </c>
      <c r="C4651" s="21">
        <v>45072</v>
      </c>
      <c r="D4651" s="20">
        <v>3880.45</v>
      </c>
      <c r="E4651" s="22" t="s">
        <v>10</v>
      </c>
      <c r="F4651" s="22" t="s">
        <v>13</v>
      </c>
      <c r="G4651" s="22" t="s">
        <v>20</v>
      </c>
    </row>
    <row r="4652" ht="15.15" spans="1:7">
      <c r="A4652" s="20">
        <v>4651</v>
      </c>
      <c r="B4652" s="20">
        <v>8510</v>
      </c>
      <c r="C4652" s="21">
        <v>45036</v>
      </c>
      <c r="D4652" s="20">
        <v>377.58</v>
      </c>
      <c r="E4652" s="22" t="s">
        <v>10</v>
      </c>
      <c r="F4652" s="22" t="s">
        <v>14</v>
      </c>
      <c r="G4652" s="22" t="s">
        <v>20</v>
      </c>
    </row>
    <row r="4653" ht="15.15" spans="1:7">
      <c r="A4653" s="20">
        <v>4652</v>
      </c>
      <c r="B4653" s="20">
        <v>6820</v>
      </c>
      <c r="C4653" s="21">
        <v>44975</v>
      </c>
      <c r="D4653" s="20">
        <v>290.79</v>
      </c>
      <c r="E4653" s="22" t="s">
        <v>10</v>
      </c>
      <c r="F4653" s="22" t="s">
        <v>13</v>
      </c>
      <c r="G4653" s="22" t="s">
        <v>17</v>
      </c>
    </row>
    <row r="4654" ht="15.15" spans="1:7">
      <c r="A4654" s="20">
        <v>4653</v>
      </c>
      <c r="B4654" s="20">
        <v>7692</v>
      </c>
      <c r="C4654" s="21">
        <v>45040</v>
      </c>
      <c r="D4654" s="20">
        <v>1128.91</v>
      </c>
      <c r="E4654" s="22" t="s">
        <v>10</v>
      </c>
      <c r="F4654" s="22" t="s">
        <v>16</v>
      </c>
      <c r="G4654" s="22" t="s">
        <v>12</v>
      </c>
    </row>
    <row r="4655" ht="15.15" spans="1:7">
      <c r="A4655" s="20">
        <v>4654</v>
      </c>
      <c r="B4655" s="20">
        <v>7886</v>
      </c>
      <c r="C4655" s="21">
        <v>45120</v>
      </c>
      <c r="D4655" s="20">
        <v>1525.5</v>
      </c>
      <c r="E4655" s="22" t="s">
        <v>10</v>
      </c>
      <c r="F4655" s="22" t="s">
        <v>11</v>
      </c>
      <c r="G4655" s="22" t="s">
        <v>20</v>
      </c>
    </row>
    <row r="4656" ht="15.15" spans="1:7">
      <c r="A4656" s="20">
        <v>4655</v>
      </c>
      <c r="B4656" s="20">
        <v>5646</v>
      </c>
      <c r="C4656" s="21">
        <v>45218</v>
      </c>
      <c r="D4656" s="20">
        <v>1516.11</v>
      </c>
      <c r="E4656" s="22" t="s">
        <v>10</v>
      </c>
      <c r="F4656" s="22" t="s">
        <v>18</v>
      </c>
      <c r="G4656" s="22" t="s">
        <v>15</v>
      </c>
    </row>
    <row r="4657" ht="15.15" spans="1:7">
      <c r="A4657" s="20">
        <v>4656</v>
      </c>
      <c r="B4657" s="20">
        <v>4945</v>
      </c>
      <c r="C4657" s="21">
        <v>45052</v>
      </c>
      <c r="D4657" s="20">
        <v>1071.23</v>
      </c>
      <c r="E4657" s="22" t="s">
        <v>10</v>
      </c>
      <c r="F4657" s="22" t="s">
        <v>13</v>
      </c>
      <c r="G4657" s="22" t="s">
        <v>12</v>
      </c>
    </row>
    <row r="4658" ht="15.15" spans="1:7">
      <c r="A4658" s="20">
        <v>4657</v>
      </c>
      <c r="B4658" s="20">
        <v>1141</v>
      </c>
      <c r="C4658" s="21">
        <v>45225</v>
      </c>
      <c r="D4658" s="20">
        <v>3487.49</v>
      </c>
      <c r="E4658" s="22" t="s">
        <v>10</v>
      </c>
      <c r="F4658" s="22" t="s">
        <v>14</v>
      </c>
      <c r="G4658" s="22" t="s">
        <v>20</v>
      </c>
    </row>
    <row r="4659" ht="15.15" spans="1:7">
      <c r="A4659" s="20">
        <v>4658</v>
      </c>
      <c r="B4659" s="20">
        <v>5073</v>
      </c>
      <c r="C4659" s="21">
        <v>45064</v>
      </c>
      <c r="D4659" s="20">
        <v>2902.06</v>
      </c>
      <c r="E4659" s="22" t="s">
        <v>10</v>
      </c>
      <c r="F4659" s="22" t="s">
        <v>18</v>
      </c>
      <c r="G4659" s="22" t="s">
        <v>20</v>
      </c>
    </row>
    <row r="4660" ht="15.15" spans="1:7">
      <c r="A4660" s="20">
        <v>4659</v>
      </c>
      <c r="B4660" s="20">
        <v>8</v>
      </c>
      <c r="C4660" s="21">
        <v>45222</v>
      </c>
      <c r="D4660" s="20">
        <v>1803.02</v>
      </c>
      <c r="E4660" s="22" t="s">
        <v>10</v>
      </c>
      <c r="F4660" s="22" t="s">
        <v>16</v>
      </c>
      <c r="G4660" s="22" t="s">
        <v>17</v>
      </c>
    </row>
    <row r="4661" ht="15.15" spans="1:7">
      <c r="A4661" s="20">
        <v>4660</v>
      </c>
      <c r="B4661" s="20">
        <v>7508</v>
      </c>
      <c r="C4661" s="21">
        <v>45113</v>
      </c>
      <c r="D4661" s="20">
        <v>375.31</v>
      </c>
      <c r="E4661" s="22" t="s">
        <v>10</v>
      </c>
      <c r="F4661" s="22" t="s">
        <v>13</v>
      </c>
      <c r="G4661" s="22" t="s">
        <v>20</v>
      </c>
    </row>
    <row r="4662" ht="15.15" spans="1:7">
      <c r="A4662" s="20">
        <v>4661</v>
      </c>
      <c r="B4662" s="20">
        <v>3548</v>
      </c>
      <c r="C4662" s="21">
        <v>45061</v>
      </c>
      <c r="D4662" s="20">
        <v>258.66</v>
      </c>
      <c r="E4662" s="22" t="s">
        <v>10</v>
      </c>
      <c r="F4662" s="22" t="s">
        <v>16</v>
      </c>
      <c r="G4662" s="22" t="s">
        <v>17</v>
      </c>
    </row>
    <row r="4663" ht="15.15" spans="1:7">
      <c r="A4663" s="20">
        <v>4662</v>
      </c>
      <c r="B4663" s="20">
        <v>4131</v>
      </c>
      <c r="C4663" s="21">
        <v>44929</v>
      </c>
      <c r="D4663" s="20">
        <v>884.91</v>
      </c>
      <c r="E4663" s="22" t="s">
        <v>10</v>
      </c>
      <c r="F4663" s="22" t="s">
        <v>14</v>
      </c>
      <c r="G4663" s="22" t="s">
        <v>12</v>
      </c>
    </row>
    <row r="4664" ht="15.15" spans="1:7">
      <c r="A4664" s="20">
        <v>4663</v>
      </c>
      <c r="B4664" s="20">
        <v>5781</v>
      </c>
      <c r="C4664" s="21">
        <v>45169</v>
      </c>
      <c r="D4664" s="20">
        <v>1360.68</v>
      </c>
      <c r="E4664" s="22" t="s">
        <v>10</v>
      </c>
      <c r="F4664" s="22" t="s">
        <v>11</v>
      </c>
      <c r="G4664" s="22" t="s">
        <v>15</v>
      </c>
    </row>
    <row r="4665" ht="15.15" spans="1:7">
      <c r="A4665" s="20">
        <v>4664</v>
      </c>
      <c r="B4665" s="20">
        <v>3490</v>
      </c>
      <c r="C4665" s="21">
        <v>44941</v>
      </c>
      <c r="D4665" s="20">
        <v>105.06</v>
      </c>
      <c r="E4665" s="22" t="s">
        <v>10</v>
      </c>
      <c r="F4665" s="22" t="s">
        <v>11</v>
      </c>
      <c r="G4665" s="22" t="s">
        <v>20</v>
      </c>
    </row>
    <row r="4666" ht="15.15" spans="1:7">
      <c r="A4666" s="20">
        <v>4665</v>
      </c>
      <c r="B4666" s="20">
        <v>190</v>
      </c>
      <c r="C4666" s="21">
        <v>45050</v>
      </c>
      <c r="D4666" s="20">
        <v>1335.82</v>
      </c>
      <c r="E4666" s="22" t="s">
        <v>10</v>
      </c>
      <c r="F4666" s="22" t="s">
        <v>11</v>
      </c>
      <c r="G4666" s="22" t="s">
        <v>17</v>
      </c>
    </row>
    <row r="4667" ht="15.15" spans="1:7">
      <c r="A4667" s="20">
        <v>4666</v>
      </c>
      <c r="B4667" s="20">
        <v>748</v>
      </c>
      <c r="C4667" s="21">
        <v>45200</v>
      </c>
      <c r="D4667" s="20">
        <v>461.48</v>
      </c>
      <c r="E4667" s="22" t="s">
        <v>10</v>
      </c>
      <c r="F4667" s="22" t="s">
        <v>16</v>
      </c>
      <c r="G4667" s="22" t="s">
        <v>20</v>
      </c>
    </row>
    <row r="4668" ht="15.15" spans="1:7">
      <c r="A4668" s="20">
        <v>4667</v>
      </c>
      <c r="B4668" s="20">
        <v>5769</v>
      </c>
      <c r="C4668" s="21">
        <v>44990</v>
      </c>
      <c r="D4668" s="20">
        <v>1071.23</v>
      </c>
      <c r="E4668" s="22" t="s">
        <v>10</v>
      </c>
      <c r="F4668" s="22" t="s">
        <v>11</v>
      </c>
      <c r="G4668" s="22" t="s">
        <v>17</v>
      </c>
    </row>
    <row r="4669" ht="15.15" spans="1:7">
      <c r="A4669" s="20">
        <v>4668</v>
      </c>
      <c r="B4669" s="20">
        <v>591</v>
      </c>
      <c r="C4669" s="21">
        <v>45283</v>
      </c>
      <c r="D4669" s="20">
        <v>240.57</v>
      </c>
      <c r="E4669" s="22" t="s">
        <v>10</v>
      </c>
      <c r="F4669" s="22" t="s">
        <v>11</v>
      </c>
      <c r="G4669" s="22" t="s">
        <v>15</v>
      </c>
    </row>
    <row r="4670" ht="15.15" spans="1:7">
      <c r="A4670" s="20">
        <v>4669</v>
      </c>
      <c r="B4670" s="20">
        <v>1078</v>
      </c>
      <c r="C4670" s="21">
        <v>45255</v>
      </c>
      <c r="D4670" s="20">
        <v>1086.72</v>
      </c>
      <c r="E4670" s="22" t="s">
        <v>10</v>
      </c>
      <c r="F4670" s="22" t="s">
        <v>11</v>
      </c>
      <c r="G4670" s="22" t="s">
        <v>15</v>
      </c>
    </row>
    <row r="4671" ht="15.15" spans="1:7">
      <c r="A4671" s="20">
        <v>4670</v>
      </c>
      <c r="B4671" s="20">
        <v>2626</v>
      </c>
      <c r="C4671" s="21">
        <v>44936</v>
      </c>
      <c r="D4671" s="20">
        <v>901.51</v>
      </c>
      <c r="E4671" s="22" t="s">
        <v>10</v>
      </c>
      <c r="F4671" s="22" t="s">
        <v>16</v>
      </c>
      <c r="G4671" s="22" t="s">
        <v>12</v>
      </c>
    </row>
    <row r="4672" ht="15.15" spans="1:7">
      <c r="A4672" s="20">
        <v>4671</v>
      </c>
      <c r="B4672" s="20">
        <v>7139</v>
      </c>
      <c r="C4672" s="21">
        <v>45169</v>
      </c>
      <c r="D4672" s="20">
        <v>4620.96</v>
      </c>
      <c r="E4672" s="22" t="s">
        <v>10</v>
      </c>
      <c r="F4672" s="22" t="s">
        <v>18</v>
      </c>
      <c r="G4672" s="22" t="s">
        <v>17</v>
      </c>
    </row>
    <row r="4673" ht="15.15" spans="1:7">
      <c r="A4673" s="20">
        <v>4672</v>
      </c>
      <c r="B4673" s="20">
        <v>628</v>
      </c>
      <c r="C4673" s="21">
        <v>44967</v>
      </c>
      <c r="D4673" s="20">
        <v>3604.38</v>
      </c>
      <c r="E4673" s="22" t="s">
        <v>10</v>
      </c>
      <c r="F4673" s="22" t="s">
        <v>16</v>
      </c>
      <c r="G4673" s="22" t="s">
        <v>15</v>
      </c>
    </row>
    <row r="4674" ht="15.15" spans="1:7">
      <c r="A4674" s="20">
        <v>4673</v>
      </c>
      <c r="B4674" s="20">
        <v>426</v>
      </c>
      <c r="C4674" s="21">
        <v>45186</v>
      </c>
      <c r="D4674" s="20">
        <v>1695.09</v>
      </c>
      <c r="E4674" s="22" t="s">
        <v>10</v>
      </c>
      <c r="F4674" s="22" t="s">
        <v>16</v>
      </c>
      <c r="G4674" s="22" t="s">
        <v>17</v>
      </c>
    </row>
    <row r="4675" ht="15.15" spans="1:7">
      <c r="A4675" s="20">
        <v>4674</v>
      </c>
      <c r="B4675" s="20">
        <v>8017</v>
      </c>
      <c r="C4675" s="21">
        <v>45226</v>
      </c>
      <c r="D4675" s="20">
        <v>1955.92</v>
      </c>
      <c r="E4675" s="22" t="s">
        <v>10</v>
      </c>
      <c r="F4675" s="22" t="s">
        <v>14</v>
      </c>
      <c r="G4675" s="22" t="s">
        <v>12</v>
      </c>
    </row>
    <row r="4676" ht="15.15" spans="1:7">
      <c r="A4676" s="20">
        <v>4675</v>
      </c>
      <c r="B4676" s="20">
        <v>2437</v>
      </c>
      <c r="C4676" s="21">
        <v>45115</v>
      </c>
      <c r="D4676" s="20">
        <v>976.15</v>
      </c>
      <c r="E4676" s="22" t="s">
        <v>10</v>
      </c>
      <c r="F4676" s="22" t="s">
        <v>14</v>
      </c>
      <c r="G4676" s="22" t="s">
        <v>20</v>
      </c>
    </row>
    <row r="4677" ht="15.15" spans="1:7">
      <c r="A4677" s="20">
        <v>4676</v>
      </c>
      <c r="B4677" s="20">
        <v>1136</v>
      </c>
      <c r="C4677" s="21">
        <v>45010</v>
      </c>
      <c r="D4677" s="20">
        <v>2905.14</v>
      </c>
      <c r="E4677" s="22" t="s">
        <v>10</v>
      </c>
      <c r="F4677" s="22" t="s">
        <v>14</v>
      </c>
      <c r="G4677" s="22" t="s">
        <v>15</v>
      </c>
    </row>
    <row r="4678" ht="15.15" spans="1:7">
      <c r="A4678" s="20">
        <v>4677</v>
      </c>
      <c r="B4678" s="20">
        <v>1083</v>
      </c>
      <c r="C4678" s="21">
        <v>44980</v>
      </c>
      <c r="D4678" s="20">
        <v>1312.52</v>
      </c>
      <c r="E4678" s="22" t="s">
        <v>10</v>
      </c>
      <c r="F4678" s="22" t="s">
        <v>14</v>
      </c>
      <c r="G4678" s="22" t="s">
        <v>15</v>
      </c>
    </row>
    <row r="4679" ht="15.15" spans="1:7">
      <c r="A4679" s="20">
        <v>4678</v>
      </c>
      <c r="B4679" s="20">
        <v>1685</v>
      </c>
      <c r="C4679" s="21">
        <v>45036</v>
      </c>
      <c r="D4679" s="20">
        <v>796.19</v>
      </c>
      <c r="E4679" s="22" t="s">
        <v>10</v>
      </c>
      <c r="F4679" s="22" t="s">
        <v>11</v>
      </c>
      <c r="G4679" s="22" t="s">
        <v>20</v>
      </c>
    </row>
    <row r="4680" ht="15.15" spans="1:7">
      <c r="A4680" s="20">
        <v>4679</v>
      </c>
      <c r="B4680" s="20">
        <v>1662</v>
      </c>
      <c r="C4680" s="21">
        <v>45262</v>
      </c>
      <c r="D4680" s="20">
        <v>336.84</v>
      </c>
      <c r="E4680" s="22" t="s">
        <v>10</v>
      </c>
      <c r="F4680" s="22" t="s">
        <v>13</v>
      </c>
      <c r="G4680" s="22" t="s">
        <v>12</v>
      </c>
    </row>
    <row r="4681" ht="15.15" spans="1:7">
      <c r="A4681" s="20">
        <v>4680</v>
      </c>
      <c r="B4681" s="20">
        <v>778</v>
      </c>
      <c r="C4681" s="21">
        <v>45041</v>
      </c>
      <c r="D4681" s="20">
        <v>767.37</v>
      </c>
      <c r="E4681" s="22" t="s">
        <v>10</v>
      </c>
      <c r="F4681" s="22" t="s">
        <v>13</v>
      </c>
      <c r="G4681" s="22" t="s">
        <v>20</v>
      </c>
    </row>
    <row r="4682" ht="15.15" spans="1:7">
      <c r="A4682" s="20">
        <v>4681</v>
      </c>
      <c r="B4682" s="20">
        <v>1196</v>
      </c>
      <c r="C4682" s="21">
        <v>45141</v>
      </c>
      <c r="D4682" s="20">
        <v>211.3</v>
      </c>
      <c r="E4682" s="22" t="s">
        <v>10</v>
      </c>
      <c r="F4682" s="22" t="s">
        <v>14</v>
      </c>
      <c r="G4682" s="22" t="s">
        <v>20</v>
      </c>
    </row>
    <row r="4683" ht="15.15" spans="1:7">
      <c r="A4683" s="20">
        <v>4682</v>
      </c>
      <c r="B4683" s="20">
        <v>157</v>
      </c>
      <c r="C4683" s="21">
        <v>45212</v>
      </c>
      <c r="D4683" s="20">
        <v>406.76</v>
      </c>
      <c r="E4683" s="22" t="s">
        <v>10</v>
      </c>
      <c r="F4683" s="22" t="s">
        <v>18</v>
      </c>
      <c r="G4683" s="22" t="s">
        <v>15</v>
      </c>
    </row>
    <row r="4684" ht="15.15" spans="1:7">
      <c r="A4684" s="20">
        <v>4683</v>
      </c>
      <c r="B4684" s="20">
        <v>9477</v>
      </c>
      <c r="C4684" s="21">
        <v>45022</v>
      </c>
      <c r="D4684" s="20">
        <v>1149.88</v>
      </c>
      <c r="E4684" s="22" t="s">
        <v>10</v>
      </c>
      <c r="F4684" s="22" t="s">
        <v>11</v>
      </c>
      <c r="G4684" s="22" t="s">
        <v>15</v>
      </c>
    </row>
    <row r="4685" ht="15.15" spans="1:7">
      <c r="A4685" s="20">
        <v>4684</v>
      </c>
      <c r="B4685" s="20">
        <v>3134</v>
      </c>
      <c r="C4685" s="21">
        <v>45032</v>
      </c>
      <c r="D4685" s="20">
        <v>4439.75</v>
      </c>
      <c r="E4685" s="22" t="s">
        <v>10</v>
      </c>
      <c r="F4685" s="22" t="s">
        <v>18</v>
      </c>
      <c r="G4685" s="22" t="s">
        <v>17</v>
      </c>
    </row>
    <row r="4686" ht="15.15" spans="1:7">
      <c r="A4686" s="20">
        <v>4685</v>
      </c>
      <c r="B4686" s="20">
        <v>6515</v>
      </c>
      <c r="C4686" s="21">
        <v>45290</v>
      </c>
      <c r="D4686" s="20">
        <v>1068.58</v>
      </c>
      <c r="E4686" s="22" t="s">
        <v>10</v>
      </c>
      <c r="F4686" s="22" t="s">
        <v>19</v>
      </c>
      <c r="G4686" s="22" t="s">
        <v>15</v>
      </c>
    </row>
    <row r="4687" ht="15.15" spans="1:7">
      <c r="A4687" s="20">
        <v>4686</v>
      </c>
      <c r="B4687" s="20">
        <v>5946</v>
      </c>
      <c r="C4687" s="21">
        <v>45258</v>
      </c>
      <c r="D4687" s="20">
        <v>1816.72</v>
      </c>
      <c r="E4687" s="22" t="s">
        <v>10</v>
      </c>
      <c r="F4687" s="22" t="s">
        <v>16</v>
      </c>
      <c r="G4687" s="22" t="s">
        <v>17</v>
      </c>
    </row>
    <row r="4688" ht="15.15" spans="1:7">
      <c r="A4688" s="20">
        <v>4687</v>
      </c>
      <c r="B4688" s="20">
        <v>7310</v>
      </c>
      <c r="C4688" s="21">
        <v>45273</v>
      </c>
      <c r="D4688" s="20">
        <v>278.93</v>
      </c>
      <c r="E4688" s="22" t="s">
        <v>22</v>
      </c>
      <c r="F4688" s="22" t="s">
        <v>14</v>
      </c>
      <c r="G4688" s="22" t="s">
        <v>17</v>
      </c>
    </row>
    <row r="4689" ht="15.15" spans="1:7">
      <c r="A4689" s="20">
        <v>4688</v>
      </c>
      <c r="B4689" s="20">
        <v>3775</v>
      </c>
      <c r="C4689" s="21">
        <v>45237</v>
      </c>
      <c r="D4689" s="20">
        <v>1802.19</v>
      </c>
      <c r="E4689" s="22" t="s">
        <v>10</v>
      </c>
      <c r="F4689" s="22" t="s">
        <v>11</v>
      </c>
      <c r="G4689" s="22" t="s">
        <v>20</v>
      </c>
    </row>
    <row r="4690" ht="15.15" spans="1:7">
      <c r="A4690" s="20">
        <v>4689</v>
      </c>
      <c r="B4690" s="20">
        <v>2285</v>
      </c>
      <c r="C4690" s="21">
        <v>45154</v>
      </c>
      <c r="D4690" s="20">
        <v>878.41</v>
      </c>
      <c r="E4690" s="22" t="s">
        <v>10</v>
      </c>
      <c r="F4690" s="22" t="s">
        <v>11</v>
      </c>
      <c r="G4690" s="22" t="s">
        <v>20</v>
      </c>
    </row>
    <row r="4691" ht="15.15" spans="1:7">
      <c r="A4691" s="20">
        <v>4690</v>
      </c>
      <c r="B4691" s="20">
        <v>4676</v>
      </c>
      <c r="C4691" s="21">
        <v>45272</v>
      </c>
      <c r="D4691" s="20">
        <v>1856.7</v>
      </c>
      <c r="E4691" s="22" t="s">
        <v>10</v>
      </c>
      <c r="F4691" s="22" t="s">
        <v>18</v>
      </c>
      <c r="G4691" s="22" t="s">
        <v>15</v>
      </c>
    </row>
    <row r="4692" ht="15.15" spans="1:7">
      <c r="A4692" s="20">
        <v>4691</v>
      </c>
      <c r="B4692" s="20">
        <v>6078</v>
      </c>
      <c r="C4692" s="21">
        <v>45242</v>
      </c>
      <c r="D4692" s="20">
        <v>1816.72</v>
      </c>
      <c r="E4692" s="22" t="s">
        <v>10</v>
      </c>
      <c r="F4692" s="22" t="s">
        <v>13</v>
      </c>
      <c r="G4692" s="22" t="s">
        <v>20</v>
      </c>
    </row>
    <row r="4693" ht="15.15" spans="1:7">
      <c r="A4693" s="20">
        <v>4692</v>
      </c>
      <c r="B4693" s="20">
        <v>7457</v>
      </c>
      <c r="C4693" s="21">
        <v>45270</v>
      </c>
      <c r="D4693" s="20">
        <v>1866.51</v>
      </c>
      <c r="E4693" s="22" t="s">
        <v>10</v>
      </c>
      <c r="F4693" s="22" t="s">
        <v>13</v>
      </c>
      <c r="G4693" s="22" t="s">
        <v>17</v>
      </c>
    </row>
    <row r="4694" ht="15.15" spans="1:7">
      <c r="A4694" s="20">
        <v>4693</v>
      </c>
      <c r="B4694" s="20">
        <v>4340</v>
      </c>
      <c r="C4694" s="21">
        <v>45255</v>
      </c>
      <c r="D4694" s="20">
        <v>447.27</v>
      </c>
      <c r="E4694" s="22" t="s">
        <v>10</v>
      </c>
      <c r="F4694" s="22" t="s">
        <v>11</v>
      </c>
      <c r="G4694" s="22" t="s">
        <v>20</v>
      </c>
    </row>
    <row r="4695" ht="15.15" spans="1:7">
      <c r="A4695" s="20">
        <v>4694</v>
      </c>
      <c r="B4695" s="20">
        <v>7943</v>
      </c>
      <c r="C4695" s="21">
        <v>45119</v>
      </c>
      <c r="D4695" s="20">
        <v>751.38</v>
      </c>
      <c r="E4695" s="22" t="s">
        <v>10</v>
      </c>
      <c r="F4695" s="22" t="s">
        <v>14</v>
      </c>
      <c r="G4695" s="22" t="s">
        <v>12</v>
      </c>
    </row>
    <row r="4696" ht="15.15" spans="1:7">
      <c r="A4696" s="20">
        <v>4695</v>
      </c>
      <c r="B4696" s="20">
        <v>3868</v>
      </c>
      <c r="C4696" s="21">
        <v>45141</v>
      </c>
      <c r="D4696" s="20">
        <v>2282.24</v>
      </c>
      <c r="E4696" s="22" t="s">
        <v>10</v>
      </c>
      <c r="F4696" s="22" t="s">
        <v>13</v>
      </c>
      <c r="G4696" s="22" t="s">
        <v>20</v>
      </c>
    </row>
    <row r="4697" ht="15.15" spans="1:7">
      <c r="A4697" s="20">
        <v>4696</v>
      </c>
      <c r="B4697" s="20">
        <v>5533</v>
      </c>
      <c r="C4697" s="21">
        <v>45174</v>
      </c>
      <c r="D4697" s="20">
        <v>743.71</v>
      </c>
      <c r="E4697" s="22" t="s">
        <v>10</v>
      </c>
      <c r="F4697" s="22" t="s">
        <v>13</v>
      </c>
      <c r="G4697" s="22" t="s">
        <v>15</v>
      </c>
    </row>
    <row r="4698" ht="15.15" spans="1:7">
      <c r="A4698" s="20">
        <v>4697</v>
      </c>
      <c r="B4698" s="20">
        <v>3078</v>
      </c>
      <c r="C4698" s="21">
        <v>45260</v>
      </c>
      <c r="D4698" s="20">
        <v>1836.02</v>
      </c>
      <c r="E4698" s="22" t="s">
        <v>10</v>
      </c>
      <c r="F4698" s="22" t="s">
        <v>18</v>
      </c>
      <c r="G4698" s="22" t="s">
        <v>17</v>
      </c>
    </row>
    <row r="4699" ht="15.15" spans="1:7">
      <c r="A4699" s="20">
        <v>4698</v>
      </c>
      <c r="B4699" s="20">
        <v>5120</v>
      </c>
      <c r="C4699" s="21">
        <v>45074</v>
      </c>
      <c r="D4699" s="20">
        <v>580</v>
      </c>
      <c r="E4699" s="22" t="s">
        <v>10</v>
      </c>
      <c r="F4699" s="22" t="s">
        <v>11</v>
      </c>
      <c r="G4699" s="22" t="s">
        <v>15</v>
      </c>
    </row>
    <row r="4700" ht="15.15" spans="1:7">
      <c r="A4700" s="20">
        <v>4699</v>
      </c>
      <c r="B4700" s="20">
        <v>6460</v>
      </c>
      <c r="C4700" s="21">
        <v>45116</v>
      </c>
      <c r="D4700" s="20">
        <v>904.67</v>
      </c>
      <c r="E4700" s="22" t="s">
        <v>10</v>
      </c>
      <c r="F4700" s="22" t="s">
        <v>13</v>
      </c>
      <c r="G4700" s="22" t="s">
        <v>15</v>
      </c>
    </row>
    <row r="4701" ht="15.15" spans="1:7">
      <c r="A4701" s="20">
        <v>4700</v>
      </c>
      <c r="B4701" s="20">
        <v>4580</v>
      </c>
      <c r="C4701" s="21">
        <v>45265</v>
      </c>
      <c r="D4701" s="20">
        <v>1573.55</v>
      </c>
      <c r="E4701" s="22" t="s">
        <v>10</v>
      </c>
      <c r="F4701" s="22" t="s">
        <v>18</v>
      </c>
      <c r="G4701" s="22" t="s">
        <v>15</v>
      </c>
    </row>
    <row r="4702" ht="15.15" spans="1:7">
      <c r="A4702" s="20">
        <v>4701</v>
      </c>
      <c r="B4702" s="20">
        <v>1258</v>
      </c>
      <c r="C4702" s="21">
        <v>45266</v>
      </c>
      <c r="D4702" s="20">
        <v>100.33</v>
      </c>
      <c r="E4702" s="22" t="s">
        <v>10</v>
      </c>
      <c r="F4702" s="22" t="s">
        <v>18</v>
      </c>
      <c r="G4702" s="22" t="s">
        <v>15</v>
      </c>
    </row>
    <row r="4703" ht="15.15" spans="1:7">
      <c r="A4703" s="20">
        <v>4702</v>
      </c>
      <c r="B4703" s="20">
        <v>1784</v>
      </c>
      <c r="C4703" s="21">
        <v>45054</v>
      </c>
      <c r="D4703" s="20">
        <v>623.01</v>
      </c>
      <c r="E4703" s="22" t="s">
        <v>10</v>
      </c>
      <c r="F4703" s="22" t="s">
        <v>16</v>
      </c>
      <c r="G4703" s="22" t="s">
        <v>20</v>
      </c>
    </row>
    <row r="4704" ht="15.15" spans="1:7">
      <c r="A4704" s="20">
        <v>4703</v>
      </c>
      <c r="B4704" s="20">
        <v>2876</v>
      </c>
      <c r="C4704" s="21">
        <v>45014</v>
      </c>
      <c r="D4704" s="20">
        <v>1020.73</v>
      </c>
      <c r="E4704" s="22" t="s">
        <v>10</v>
      </c>
      <c r="F4704" s="22" t="s">
        <v>11</v>
      </c>
      <c r="G4704" s="22" t="s">
        <v>12</v>
      </c>
    </row>
    <row r="4705" ht="15.15" spans="1:7">
      <c r="A4705" s="20">
        <v>4704</v>
      </c>
      <c r="B4705" s="20">
        <v>6588</v>
      </c>
      <c r="C4705" s="21">
        <v>45151</v>
      </c>
      <c r="D4705" s="20">
        <v>1196.2</v>
      </c>
      <c r="E4705" s="22" t="s">
        <v>10</v>
      </c>
      <c r="F4705" s="22" t="s">
        <v>18</v>
      </c>
      <c r="G4705" s="22" t="s">
        <v>20</v>
      </c>
    </row>
    <row r="4706" ht="15.15" spans="1:7">
      <c r="A4706" s="20">
        <v>4705</v>
      </c>
      <c r="B4706" s="20">
        <v>9833</v>
      </c>
      <c r="C4706" s="21">
        <v>45263</v>
      </c>
      <c r="D4706" s="20">
        <v>2966.3</v>
      </c>
      <c r="E4706" s="22" t="s">
        <v>10</v>
      </c>
      <c r="F4706" s="22" t="s">
        <v>13</v>
      </c>
      <c r="G4706" s="22" t="s">
        <v>15</v>
      </c>
    </row>
    <row r="4707" ht="15.15" spans="1:7">
      <c r="A4707" s="20">
        <v>4706</v>
      </c>
      <c r="B4707" s="20">
        <v>7502</v>
      </c>
      <c r="C4707" s="21">
        <v>45083</v>
      </c>
      <c r="D4707" s="20">
        <v>2923.86</v>
      </c>
      <c r="E4707" s="22" t="s">
        <v>10</v>
      </c>
      <c r="F4707" s="22" t="s">
        <v>13</v>
      </c>
      <c r="G4707" s="22" t="s">
        <v>20</v>
      </c>
    </row>
    <row r="4708" ht="15.15" spans="1:7">
      <c r="A4708" s="20">
        <v>4707</v>
      </c>
      <c r="B4708" s="20">
        <v>6812</v>
      </c>
      <c r="C4708" s="21">
        <v>45127</v>
      </c>
      <c r="D4708" s="20">
        <v>2083.72</v>
      </c>
      <c r="E4708" s="22" t="s">
        <v>10</v>
      </c>
      <c r="F4708" s="22" t="s">
        <v>14</v>
      </c>
      <c r="G4708" s="22" t="s">
        <v>17</v>
      </c>
    </row>
    <row r="4709" ht="15.15" spans="1:7">
      <c r="A4709" s="20">
        <v>4708</v>
      </c>
      <c r="B4709" s="20">
        <v>2245</v>
      </c>
      <c r="C4709" s="21">
        <v>45068</v>
      </c>
      <c r="D4709" s="20">
        <v>256.17</v>
      </c>
      <c r="E4709" s="22" t="s">
        <v>10</v>
      </c>
      <c r="F4709" s="22" t="s">
        <v>11</v>
      </c>
      <c r="G4709" s="22" t="s">
        <v>12</v>
      </c>
    </row>
    <row r="4710" ht="15.15" spans="1:7">
      <c r="A4710" s="20">
        <v>4709</v>
      </c>
      <c r="B4710" s="20">
        <v>8890</v>
      </c>
      <c r="C4710" s="21">
        <v>45149</v>
      </c>
      <c r="D4710" s="20">
        <v>1128.91</v>
      </c>
      <c r="E4710" s="22" t="s">
        <v>21</v>
      </c>
      <c r="F4710" s="22" t="s">
        <v>19</v>
      </c>
      <c r="G4710" s="22" t="s">
        <v>12</v>
      </c>
    </row>
    <row r="4711" ht="15.15" spans="1:7">
      <c r="A4711" s="20">
        <v>4710</v>
      </c>
      <c r="B4711" s="20">
        <v>4682</v>
      </c>
      <c r="C4711" s="21">
        <v>45265</v>
      </c>
      <c r="D4711" s="20">
        <v>1684.42</v>
      </c>
      <c r="E4711" s="22" t="s">
        <v>10</v>
      </c>
      <c r="F4711" s="22" t="s">
        <v>18</v>
      </c>
      <c r="G4711" s="22" t="s">
        <v>12</v>
      </c>
    </row>
    <row r="4712" ht="15.15" spans="1:7">
      <c r="A4712" s="20">
        <v>4711</v>
      </c>
      <c r="B4712" s="20">
        <v>8630</v>
      </c>
      <c r="C4712" s="21">
        <v>44942</v>
      </c>
      <c r="D4712" s="20">
        <v>897.32</v>
      </c>
      <c r="E4712" s="22" t="s">
        <v>10</v>
      </c>
      <c r="F4712" s="22" t="s">
        <v>18</v>
      </c>
      <c r="G4712" s="22" t="s">
        <v>20</v>
      </c>
    </row>
    <row r="4713" ht="15.15" spans="1:7">
      <c r="A4713" s="20">
        <v>4712</v>
      </c>
      <c r="B4713" s="20">
        <v>3078</v>
      </c>
      <c r="C4713" s="21">
        <v>45212</v>
      </c>
      <c r="D4713" s="20">
        <v>2228.92</v>
      </c>
      <c r="E4713" s="22" t="s">
        <v>21</v>
      </c>
      <c r="F4713" s="22" t="s">
        <v>18</v>
      </c>
      <c r="G4713" s="22" t="s">
        <v>17</v>
      </c>
    </row>
    <row r="4714" ht="15.15" spans="1:7">
      <c r="A4714" s="20">
        <v>4713</v>
      </c>
      <c r="B4714" s="20">
        <v>6418</v>
      </c>
      <c r="C4714" s="21">
        <v>45130</v>
      </c>
      <c r="D4714" s="20">
        <v>4660.73</v>
      </c>
      <c r="E4714" s="22" t="s">
        <v>22</v>
      </c>
      <c r="F4714" s="22" t="s">
        <v>11</v>
      </c>
      <c r="G4714" s="22" t="s">
        <v>12</v>
      </c>
    </row>
    <row r="4715" ht="15.15" spans="1:7">
      <c r="A4715" s="20">
        <v>4714</v>
      </c>
      <c r="B4715" s="20">
        <v>7681</v>
      </c>
      <c r="C4715" s="21">
        <v>45269</v>
      </c>
      <c r="D4715" s="20">
        <v>435.69</v>
      </c>
      <c r="E4715" s="22" t="s">
        <v>10</v>
      </c>
      <c r="F4715" s="22" t="s">
        <v>16</v>
      </c>
      <c r="G4715" s="22" t="s">
        <v>17</v>
      </c>
    </row>
    <row r="4716" ht="15.15" spans="1:7">
      <c r="A4716" s="20">
        <v>4715</v>
      </c>
      <c r="B4716" s="20">
        <v>47</v>
      </c>
      <c r="C4716" s="21">
        <v>44930</v>
      </c>
      <c r="D4716" s="20">
        <v>318.02</v>
      </c>
      <c r="E4716" s="22" t="s">
        <v>10</v>
      </c>
      <c r="F4716" s="22" t="s">
        <v>16</v>
      </c>
      <c r="G4716" s="22" t="s">
        <v>20</v>
      </c>
    </row>
    <row r="4717" ht="15.15" spans="1:7">
      <c r="A4717" s="20">
        <v>4716</v>
      </c>
      <c r="B4717" s="20">
        <v>5956</v>
      </c>
      <c r="C4717" s="21">
        <v>45280</v>
      </c>
      <c r="D4717" s="20">
        <v>1766.46</v>
      </c>
      <c r="E4717" s="22" t="s">
        <v>10</v>
      </c>
      <c r="F4717" s="22" t="s">
        <v>18</v>
      </c>
      <c r="G4717" s="22" t="s">
        <v>15</v>
      </c>
    </row>
    <row r="4718" ht="15.15" spans="1:7">
      <c r="A4718" s="20">
        <v>4717</v>
      </c>
      <c r="B4718" s="20">
        <v>8560</v>
      </c>
      <c r="C4718" s="21">
        <v>45143</v>
      </c>
      <c r="D4718" s="20">
        <v>2934.73</v>
      </c>
      <c r="E4718" s="22" t="s">
        <v>10</v>
      </c>
      <c r="F4718" s="22" t="s">
        <v>18</v>
      </c>
      <c r="G4718" s="22" t="s">
        <v>20</v>
      </c>
    </row>
    <row r="4719" ht="15.15" spans="1:7">
      <c r="A4719" s="20">
        <v>4718</v>
      </c>
      <c r="B4719" s="20">
        <v>8683</v>
      </c>
      <c r="C4719" s="21">
        <v>45202</v>
      </c>
      <c r="D4719" s="20">
        <v>4117.89</v>
      </c>
      <c r="E4719" s="22" t="s">
        <v>10</v>
      </c>
      <c r="F4719" s="22" t="s">
        <v>14</v>
      </c>
      <c r="G4719" s="22" t="s">
        <v>15</v>
      </c>
    </row>
    <row r="4720" ht="15.15" spans="1:7">
      <c r="A4720" s="20">
        <v>4719</v>
      </c>
      <c r="B4720" s="20">
        <v>1201</v>
      </c>
      <c r="C4720" s="21">
        <v>45188</v>
      </c>
      <c r="D4720" s="20">
        <v>443.48</v>
      </c>
      <c r="E4720" s="22" t="s">
        <v>10</v>
      </c>
      <c r="F4720" s="22" t="s">
        <v>11</v>
      </c>
      <c r="G4720" s="22" t="s">
        <v>17</v>
      </c>
    </row>
    <row r="4721" ht="15.15" spans="1:7">
      <c r="A4721" s="20">
        <v>4720</v>
      </c>
      <c r="B4721" s="20">
        <v>1257</v>
      </c>
      <c r="C4721" s="21">
        <v>45114</v>
      </c>
      <c r="D4721" s="20">
        <v>2356.41</v>
      </c>
      <c r="E4721" s="22" t="s">
        <v>10</v>
      </c>
      <c r="F4721" s="22" t="s">
        <v>13</v>
      </c>
      <c r="G4721" s="22" t="s">
        <v>12</v>
      </c>
    </row>
    <row r="4722" ht="15.15" spans="1:7">
      <c r="A4722" s="20">
        <v>4721</v>
      </c>
      <c r="B4722" s="20">
        <v>5027</v>
      </c>
      <c r="C4722" s="21">
        <v>45070</v>
      </c>
      <c r="D4722" s="20">
        <v>556.62</v>
      </c>
      <c r="E4722" s="22" t="s">
        <v>10</v>
      </c>
      <c r="F4722" s="22" t="s">
        <v>18</v>
      </c>
      <c r="G4722" s="22" t="s">
        <v>12</v>
      </c>
    </row>
    <row r="4723" ht="15.15" spans="1:7">
      <c r="A4723" s="20">
        <v>4722</v>
      </c>
      <c r="B4723" s="20">
        <v>6379</v>
      </c>
      <c r="C4723" s="21">
        <v>45018</v>
      </c>
      <c r="D4723" s="20">
        <v>643.49</v>
      </c>
      <c r="E4723" s="22" t="s">
        <v>10</v>
      </c>
      <c r="F4723" s="22" t="s">
        <v>13</v>
      </c>
      <c r="G4723" s="22" t="s">
        <v>15</v>
      </c>
    </row>
    <row r="4724" ht="15.15" spans="1:7">
      <c r="A4724" s="20">
        <v>4723</v>
      </c>
      <c r="B4724" s="20">
        <v>1759</v>
      </c>
      <c r="C4724" s="21">
        <v>45272</v>
      </c>
      <c r="D4724" s="20">
        <v>1501.51</v>
      </c>
      <c r="E4724" s="22" t="s">
        <v>10</v>
      </c>
      <c r="F4724" s="22" t="s">
        <v>16</v>
      </c>
      <c r="G4724" s="22" t="s">
        <v>12</v>
      </c>
    </row>
    <row r="4725" ht="15.15" spans="1:7">
      <c r="A4725" s="20">
        <v>4724</v>
      </c>
      <c r="B4725" s="20">
        <v>4602</v>
      </c>
      <c r="C4725" s="21">
        <v>45212</v>
      </c>
      <c r="D4725" s="20">
        <v>899.2</v>
      </c>
      <c r="E4725" s="22" t="s">
        <v>10</v>
      </c>
      <c r="F4725" s="22" t="s">
        <v>14</v>
      </c>
      <c r="G4725" s="22" t="s">
        <v>12</v>
      </c>
    </row>
    <row r="4726" ht="15.15" spans="1:7">
      <c r="A4726" s="20">
        <v>4725</v>
      </c>
      <c r="B4726" s="20">
        <v>2240</v>
      </c>
      <c r="C4726" s="21">
        <v>44937</v>
      </c>
      <c r="D4726" s="20">
        <v>555</v>
      </c>
      <c r="E4726" s="22" t="s">
        <v>10</v>
      </c>
      <c r="F4726" s="22" t="s">
        <v>18</v>
      </c>
      <c r="G4726" s="22" t="s">
        <v>15</v>
      </c>
    </row>
    <row r="4727" ht="15.15" spans="1:7">
      <c r="A4727" s="20">
        <v>4726</v>
      </c>
      <c r="B4727" s="20">
        <v>6325</v>
      </c>
      <c r="C4727" s="21">
        <v>45021</v>
      </c>
      <c r="D4727" s="20">
        <v>1408.55</v>
      </c>
      <c r="E4727" s="22" t="s">
        <v>10</v>
      </c>
      <c r="F4727" s="22" t="s">
        <v>14</v>
      </c>
      <c r="G4727" s="22" t="s">
        <v>15</v>
      </c>
    </row>
    <row r="4728" ht="15.15" spans="1:7">
      <c r="A4728" s="20">
        <v>4727</v>
      </c>
      <c r="B4728" s="20">
        <v>775</v>
      </c>
      <c r="C4728" s="21">
        <v>45290</v>
      </c>
      <c r="D4728" s="20">
        <v>2783.86</v>
      </c>
      <c r="E4728" s="22" t="s">
        <v>10</v>
      </c>
      <c r="F4728" s="22" t="s">
        <v>16</v>
      </c>
      <c r="G4728" s="22" t="s">
        <v>17</v>
      </c>
    </row>
    <row r="4729" ht="15.15" spans="1:7">
      <c r="A4729" s="20">
        <v>4728</v>
      </c>
      <c r="B4729" s="20">
        <v>5841</v>
      </c>
      <c r="C4729" s="21">
        <v>45112</v>
      </c>
      <c r="D4729" s="20">
        <v>1883.19</v>
      </c>
      <c r="E4729" s="22" t="s">
        <v>10</v>
      </c>
      <c r="F4729" s="22" t="s">
        <v>16</v>
      </c>
      <c r="G4729" s="22" t="s">
        <v>20</v>
      </c>
    </row>
    <row r="4730" ht="15.15" spans="1:7">
      <c r="A4730" s="20">
        <v>4729</v>
      </c>
      <c r="B4730" s="20">
        <v>2955</v>
      </c>
      <c r="C4730" s="21">
        <v>44939</v>
      </c>
      <c r="D4730" s="20">
        <v>994.9</v>
      </c>
      <c r="E4730" s="22" t="s">
        <v>10</v>
      </c>
      <c r="F4730" s="22" t="s">
        <v>14</v>
      </c>
      <c r="G4730" s="22" t="s">
        <v>15</v>
      </c>
    </row>
    <row r="4731" ht="15.15" spans="1:7">
      <c r="A4731" s="20">
        <v>4730</v>
      </c>
      <c r="B4731" s="20">
        <v>1119</v>
      </c>
      <c r="C4731" s="21">
        <v>45067</v>
      </c>
      <c r="D4731" s="20">
        <v>428.94</v>
      </c>
      <c r="E4731" s="22" t="s">
        <v>10</v>
      </c>
      <c r="F4731" s="22" t="s">
        <v>13</v>
      </c>
      <c r="G4731" s="22" t="s">
        <v>20</v>
      </c>
    </row>
    <row r="4732" ht="15.15" spans="1:7">
      <c r="A4732" s="20">
        <v>4731</v>
      </c>
      <c r="B4732" s="20">
        <v>2782</v>
      </c>
      <c r="C4732" s="21">
        <v>45207</v>
      </c>
      <c r="D4732" s="20">
        <v>2973.98</v>
      </c>
      <c r="E4732" s="22" t="s">
        <v>10</v>
      </c>
      <c r="F4732" s="22" t="s">
        <v>16</v>
      </c>
      <c r="G4732" s="22" t="s">
        <v>15</v>
      </c>
    </row>
    <row r="4733" ht="15.15" spans="1:7">
      <c r="A4733" s="20">
        <v>4732</v>
      </c>
      <c r="B4733" s="20">
        <v>2132</v>
      </c>
      <c r="C4733" s="21">
        <v>45268</v>
      </c>
      <c r="D4733" s="20">
        <v>1816.72</v>
      </c>
      <c r="E4733" s="22" t="s">
        <v>10</v>
      </c>
      <c r="F4733" s="22" t="s">
        <v>16</v>
      </c>
      <c r="G4733" s="22" t="s">
        <v>15</v>
      </c>
    </row>
    <row r="4734" ht="15.15" spans="1:7">
      <c r="A4734" s="20">
        <v>4733</v>
      </c>
      <c r="B4734" s="20">
        <v>5091</v>
      </c>
      <c r="C4734" s="21">
        <v>45205</v>
      </c>
      <c r="D4734" s="20">
        <v>974.74</v>
      </c>
      <c r="E4734" s="22" t="s">
        <v>10</v>
      </c>
      <c r="F4734" s="22" t="s">
        <v>16</v>
      </c>
      <c r="G4734" s="22" t="s">
        <v>12</v>
      </c>
    </row>
    <row r="4735" ht="15.15" spans="1:7">
      <c r="A4735" s="20">
        <v>4734</v>
      </c>
      <c r="B4735" s="20">
        <v>2342</v>
      </c>
      <c r="C4735" s="21">
        <v>45252</v>
      </c>
      <c r="D4735" s="20">
        <v>384.94</v>
      </c>
      <c r="E4735" s="22" t="s">
        <v>10</v>
      </c>
      <c r="F4735" s="22" t="s">
        <v>16</v>
      </c>
      <c r="G4735" s="22" t="s">
        <v>20</v>
      </c>
    </row>
    <row r="4736" ht="15.15" spans="1:7">
      <c r="A4736" s="20">
        <v>4735</v>
      </c>
      <c r="B4736" s="20">
        <v>9467</v>
      </c>
      <c r="C4736" s="21">
        <v>45146</v>
      </c>
      <c r="D4736" s="20">
        <v>1366.64</v>
      </c>
      <c r="E4736" s="22" t="s">
        <v>10</v>
      </c>
      <c r="F4736" s="22" t="s">
        <v>18</v>
      </c>
      <c r="G4736" s="22" t="s">
        <v>17</v>
      </c>
    </row>
    <row r="4737" ht="15.15" spans="1:7">
      <c r="A4737" s="20">
        <v>4736</v>
      </c>
      <c r="B4737" s="20">
        <v>6170</v>
      </c>
      <c r="C4737" s="21">
        <v>44934</v>
      </c>
      <c r="D4737" s="20">
        <v>539.1</v>
      </c>
      <c r="E4737" s="22" t="s">
        <v>10</v>
      </c>
      <c r="F4737" s="22" t="s">
        <v>16</v>
      </c>
      <c r="G4737" s="22" t="s">
        <v>15</v>
      </c>
    </row>
    <row r="4738" ht="15.15" spans="1:7">
      <c r="A4738" s="20">
        <v>4737</v>
      </c>
      <c r="B4738" s="20">
        <v>8053</v>
      </c>
      <c r="C4738" s="21">
        <v>45137</v>
      </c>
      <c r="D4738" s="20">
        <v>800.8</v>
      </c>
      <c r="E4738" s="22" t="s">
        <v>10</v>
      </c>
      <c r="F4738" s="22" t="s">
        <v>14</v>
      </c>
      <c r="G4738" s="22" t="s">
        <v>20</v>
      </c>
    </row>
    <row r="4739" ht="15.15" spans="1:7">
      <c r="A4739" s="20">
        <v>4738</v>
      </c>
      <c r="B4739" s="20">
        <v>4055</v>
      </c>
      <c r="C4739" s="21">
        <v>45139</v>
      </c>
      <c r="D4739" s="20">
        <v>996.68</v>
      </c>
      <c r="E4739" s="22" t="s">
        <v>10</v>
      </c>
      <c r="F4739" s="22" t="s">
        <v>11</v>
      </c>
      <c r="G4739" s="22" t="s">
        <v>20</v>
      </c>
    </row>
    <row r="4740" ht="15.15" spans="1:7">
      <c r="A4740" s="20">
        <v>4739</v>
      </c>
      <c r="B4740" s="20">
        <v>220</v>
      </c>
      <c r="C4740" s="21">
        <v>45269</v>
      </c>
      <c r="D4740" s="20">
        <v>1909.72</v>
      </c>
      <c r="E4740" s="22" t="s">
        <v>10</v>
      </c>
      <c r="F4740" s="22" t="s">
        <v>13</v>
      </c>
      <c r="G4740" s="22" t="s">
        <v>17</v>
      </c>
    </row>
    <row r="4741" ht="15.15" spans="1:7">
      <c r="A4741" s="20">
        <v>4740</v>
      </c>
      <c r="B4741" s="20">
        <v>4197</v>
      </c>
      <c r="C4741" s="21">
        <v>45046</v>
      </c>
      <c r="D4741" s="20">
        <v>824.04</v>
      </c>
      <c r="E4741" s="22" t="s">
        <v>10</v>
      </c>
      <c r="F4741" s="22" t="s">
        <v>11</v>
      </c>
      <c r="G4741" s="22" t="s">
        <v>20</v>
      </c>
    </row>
    <row r="4742" ht="15.15" spans="1:7">
      <c r="A4742" s="20">
        <v>4741</v>
      </c>
      <c r="B4742" s="20">
        <v>9688</v>
      </c>
      <c r="C4742" s="21">
        <v>45185</v>
      </c>
      <c r="D4742" s="20">
        <v>2364.93</v>
      </c>
      <c r="E4742" s="22" t="s">
        <v>10</v>
      </c>
      <c r="F4742" s="22" t="s">
        <v>13</v>
      </c>
      <c r="G4742" s="22" t="s">
        <v>17</v>
      </c>
    </row>
    <row r="4743" ht="15.15" spans="1:7">
      <c r="A4743" s="20">
        <v>4742</v>
      </c>
      <c r="B4743" s="20">
        <v>5596</v>
      </c>
      <c r="C4743" s="21">
        <v>45279</v>
      </c>
      <c r="D4743" s="20">
        <v>412.21</v>
      </c>
      <c r="E4743" s="22" t="s">
        <v>10</v>
      </c>
      <c r="F4743" s="22" t="s">
        <v>14</v>
      </c>
      <c r="G4743" s="22" t="s">
        <v>15</v>
      </c>
    </row>
    <row r="4744" ht="15.15" spans="1:7">
      <c r="A4744" s="20">
        <v>4743</v>
      </c>
      <c r="B4744" s="20">
        <v>6219</v>
      </c>
      <c r="C4744" s="21">
        <v>45096</v>
      </c>
      <c r="D4744" s="20">
        <v>497.22</v>
      </c>
      <c r="E4744" s="22" t="s">
        <v>10</v>
      </c>
      <c r="F4744" s="22" t="s">
        <v>18</v>
      </c>
      <c r="G4744" s="22" t="s">
        <v>12</v>
      </c>
    </row>
    <row r="4745" ht="15.15" spans="1:7">
      <c r="A4745" s="20">
        <v>4744</v>
      </c>
      <c r="B4745" s="20">
        <v>9029</v>
      </c>
      <c r="C4745" s="21">
        <v>45174</v>
      </c>
      <c r="D4745" s="20">
        <v>2860.75</v>
      </c>
      <c r="E4745" s="22" t="s">
        <v>10</v>
      </c>
      <c r="F4745" s="22" t="s">
        <v>11</v>
      </c>
      <c r="G4745" s="22" t="s">
        <v>20</v>
      </c>
    </row>
    <row r="4746" ht="15.15" spans="1:7">
      <c r="A4746" s="20">
        <v>4745</v>
      </c>
      <c r="B4746" s="20">
        <v>1504</v>
      </c>
      <c r="C4746" s="21">
        <v>45254</v>
      </c>
      <c r="D4746" s="20">
        <v>1855.62</v>
      </c>
      <c r="E4746" s="22" t="s">
        <v>10</v>
      </c>
      <c r="F4746" s="22" t="s">
        <v>14</v>
      </c>
      <c r="G4746" s="22" t="s">
        <v>17</v>
      </c>
    </row>
    <row r="4747" ht="15.15" spans="1:7">
      <c r="A4747" s="20">
        <v>4746</v>
      </c>
      <c r="B4747" s="20">
        <v>1413</v>
      </c>
      <c r="C4747" s="21">
        <v>45272</v>
      </c>
      <c r="D4747" s="20">
        <v>196.53</v>
      </c>
      <c r="E4747" s="22" t="s">
        <v>10</v>
      </c>
      <c r="F4747" s="22" t="s">
        <v>11</v>
      </c>
      <c r="G4747" s="22" t="s">
        <v>20</v>
      </c>
    </row>
    <row r="4748" ht="15.15" spans="1:7">
      <c r="A4748" s="20">
        <v>4747</v>
      </c>
      <c r="B4748" s="20">
        <v>6400</v>
      </c>
      <c r="C4748" s="21">
        <v>45235</v>
      </c>
      <c r="D4748" s="20">
        <v>3420.41</v>
      </c>
      <c r="E4748" s="22" t="s">
        <v>10</v>
      </c>
      <c r="F4748" s="22" t="s">
        <v>18</v>
      </c>
      <c r="G4748" s="22" t="s">
        <v>20</v>
      </c>
    </row>
    <row r="4749" ht="15.15" spans="1:7">
      <c r="A4749" s="20">
        <v>4748</v>
      </c>
      <c r="B4749" s="20">
        <v>4392</v>
      </c>
      <c r="C4749" s="21">
        <v>45237</v>
      </c>
      <c r="D4749" s="20">
        <v>266.31</v>
      </c>
      <c r="E4749" s="22" t="s">
        <v>10</v>
      </c>
      <c r="F4749" s="22" t="s">
        <v>13</v>
      </c>
      <c r="G4749" s="22" t="s">
        <v>20</v>
      </c>
    </row>
    <row r="4750" ht="15.15" spans="1:7">
      <c r="A4750" s="20">
        <v>4749</v>
      </c>
      <c r="B4750" s="20">
        <v>8737</v>
      </c>
      <c r="C4750" s="21">
        <v>44953</v>
      </c>
      <c r="D4750" s="20">
        <v>3929.21</v>
      </c>
      <c r="E4750" s="22" t="s">
        <v>10</v>
      </c>
      <c r="F4750" s="22" t="s">
        <v>16</v>
      </c>
      <c r="G4750" s="22" t="s">
        <v>20</v>
      </c>
    </row>
    <row r="4751" ht="15.15" spans="1:7">
      <c r="A4751" s="20">
        <v>4750</v>
      </c>
      <c r="B4751" s="20">
        <v>5450</v>
      </c>
      <c r="C4751" s="21">
        <v>45215</v>
      </c>
      <c r="D4751" s="20">
        <v>1353.8</v>
      </c>
      <c r="E4751" s="22" t="s">
        <v>10</v>
      </c>
      <c r="F4751" s="22" t="s">
        <v>18</v>
      </c>
      <c r="G4751" s="22" t="s">
        <v>20</v>
      </c>
    </row>
    <row r="4752" ht="15.15" spans="1:7">
      <c r="A4752" s="20">
        <v>4751</v>
      </c>
      <c r="B4752" s="20">
        <v>3650</v>
      </c>
      <c r="C4752" s="21">
        <v>45198</v>
      </c>
      <c r="D4752" s="20">
        <v>1083.48</v>
      </c>
      <c r="E4752" s="22" t="s">
        <v>22</v>
      </c>
      <c r="F4752" s="22" t="s">
        <v>13</v>
      </c>
      <c r="G4752" s="22" t="s">
        <v>20</v>
      </c>
    </row>
    <row r="4753" ht="15.15" spans="1:7">
      <c r="A4753" s="20">
        <v>4752</v>
      </c>
      <c r="B4753" s="20">
        <v>339</v>
      </c>
      <c r="C4753" s="21">
        <v>44933</v>
      </c>
      <c r="D4753" s="20">
        <v>539.1</v>
      </c>
      <c r="E4753" s="22" t="s">
        <v>10</v>
      </c>
      <c r="F4753" s="22" t="s">
        <v>14</v>
      </c>
      <c r="G4753" s="22" t="s">
        <v>12</v>
      </c>
    </row>
    <row r="4754" ht="15.15" spans="1:7">
      <c r="A4754" s="20">
        <v>4753</v>
      </c>
      <c r="B4754" s="20">
        <v>1349</v>
      </c>
      <c r="C4754" s="21">
        <v>45222</v>
      </c>
      <c r="D4754" s="20">
        <v>775.5</v>
      </c>
      <c r="E4754" s="22" t="s">
        <v>10</v>
      </c>
      <c r="F4754" s="22" t="s">
        <v>14</v>
      </c>
      <c r="G4754" s="22" t="s">
        <v>15</v>
      </c>
    </row>
    <row r="4755" ht="15.15" spans="1:7">
      <c r="A4755" s="20">
        <v>4754</v>
      </c>
      <c r="B4755" s="20">
        <v>4138</v>
      </c>
      <c r="C4755" s="21">
        <v>45073</v>
      </c>
      <c r="D4755" s="20">
        <v>667.02</v>
      </c>
      <c r="E4755" s="22" t="s">
        <v>10</v>
      </c>
      <c r="F4755" s="22" t="s">
        <v>18</v>
      </c>
      <c r="G4755" s="22" t="s">
        <v>15</v>
      </c>
    </row>
    <row r="4756" ht="15.15" spans="1:7">
      <c r="A4756" s="20">
        <v>4755</v>
      </c>
      <c r="B4756" s="20">
        <v>2495</v>
      </c>
      <c r="C4756" s="21">
        <v>45051</v>
      </c>
      <c r="D4756" s="20">
        <v>1045.44</v>
      </c>
      <c r="E4756" s="22" t="s">
        <v>10</v>
      </c>
      <c r="F4756" s="22" t="s">
        <v>13</v>
      </c>
      <c r="G4756" s="22" t="s">
        <v>20</v>
      </c>
    </row>
    <row r="4757" ht="15.15" spans="1:7">
      <c r="A4757" s="20">
        <v>4756</v>
      </c>
      <c r="B4757" s="20">
        <v>6263</v>
      </c>
      <c r="C4757" s="21">
        <v>45023</v>
      </c>
      <c r="D4757" s="20">
        <v>1144.04</v>
      </c>
      <c r="E4757" s="22" t="s">
        <v>10</v>
      </c>
      <c r="F4757" s="22" t="s">
        <v>14</v>
      </c>
      <c r="G4757" s="22" t="s">
        <v>12</v>
      </c>
    </row>
    <row r="4758" ht="15.15" spans="1:7">
      <c r="A4758" s="20">
        <v>4757</v>
      </c>
      <c r="B4758" s="20">
        <v>994</v>
      </c>
      <c r="C4758" s="21">
        <v>45162</v>
      </c>
      <c r="D4758" s="20">
        <v>187.47</v>
      </c>
      <c r="E4758" s="22" t="s">
        <v>10</v>
      </c>
      <c r="F4758" s="22" t="s">
        <v>19</v>
      </c>
      <c r="G4758" s="22" t="s">
        <v>12</v>
      </c>
    </row>
    <row r="4759" ht="15.15" spans="1:7">
      <c r="A4759" s="20">
        <v>4758</v>
      </c>
      <c r="B4759" s="20">
        <v>9603</v>
      </c>
      <c r="C4759" s="21">
        <v>44976</v>
      </c>
      <c r="D4759" s="20">
        <v>1247.52</v>
      </c>
      <c r="E4759" s="22" t="s">
        <v>22</v>
      </c>
      <c r="F4759" s="22" t="s">
        <v>14</v>
      </c>
      <c r="G4759" s="22" t="s">
        <v>15</v>
      </c>
    </row>
    <row r="4760" ht="15.15" spans="1:7">
      <c r="A4760" s="20">
        <v>4759</v>
      </c>
      <c r="B4760" s="20">
        <v>7589</v>
      </c>
      <c r="C4760" s="21">
        <v>45104</v>
      </c>
      <c r="D4760" s="20">
        <v>1153.19</v>
      </c>
      <c r="E4760" s="22" t="s">
        <v>10</v>
      </c>
      <c r="F4760" s="22" t="s">
        <v>11</v>
      </c>
      <c r="G4760" s="22" t="s">
        <v>15</v>
      </c>
    </row>
    <row r="4761" ht="15.15" spans="1:7">
      <c r="A4761" s="20">
        <v>4760</v>
      </c>
      <c r="B4761" s="20">
        <v>7748</v>
      </c>
      <c r="C4761" s="21">
        <v>45110</v>
      </c>
      <c r="D4761" s="20">
        <v>784.48</v>
      </c>
      <c r="E4761" s="22" t="s">
        <v>10</v>
      </c>
      <c r="F4761" s="22" t="s">
        <v>16</v>
      </c>
      <c r="G4761" s="22" t="s">
        <v>20</v>
      </c>
    </row>
    <row r="4762" ht="15.15" spans="1:7">
      <c r="A4762" s="20">
        <v>4761</v>
      </c>
      <c r="B4762" s="20">
        <v>7504</v>
      </c>
      <c r="C4762" s="21">
        <v>45245</v>
      </c>
      <c r="D4762" s="20">
        <v>2309.37</v>
      </c>
      <c r="E4762" s="22" t="s">
        <v>10</v>
      </c>
      <c r="F4762" s="22" t="s">
        <v>16</v>
      </c>
      <c r="G4762" s="22" t="s">
        <v>15</v>
      </c>
    </row>
    <row r="4763" ht="15.15" spans="1:7">
      <c r="A4763" s="20">
        <v>4762</v>
      </c>
      <c r="B4763" s="20">
        <v>6916</v>
      </c>
      <c r="C4763" s="21">
        <v>44967</v>
      </c>
      <c r="D4763" s="20">
        <v>2880.79</v>
      </c>
      <c r="E4763" s="22" t="s">
        <v>10</v>
      </c>
      <c r="F4763" s="22" t="s">
        <v>16</v>
      </c>
      <c r="G4763" s="22" t="s">
        <v>20</v>
      </c>
    </row>
    <row r="4764" ht="15.15" spans="1:7">
      <c r="A4764" s="20">
        <v>4763</v>
      </c>
      <c r="B4764" s="20">
        <v>4106</v>
      </c>
      <c r="C4764" s="21">
        <v>45035</v>
      </c>
      <c r="D4764" s="20">
        <v>4338.49</v>
      </c>
      <c r="E4764" s="22" t="s">
        <v>10</v>
      </c>
      <c r="F4764" s="22" t="s">
        <v>13</v>
      </c>
      <c r="G4764" s="22" t="s">
        <v>20</v>
      </c>
    </row>
    <row r="4765" ht="15.15" spans="1:7">
      <c r="A4765" s="20">
        <v>4764</v>
      </c>
      <c r="B4765" s="20">
        <v>1814</v>
      </c>
      <c r="C4765" s="21">
        <v>45152</v>
      </c>
      <c r="D4765" s="20">
        <v>208.24</v>
      </c>
      <c r="E4765" s="22" t="s">
        <v>10</v>
      </c>
      <c r="F4765" s="22" t="s">
        <v>11</v>
      </c>
      <c r="G4765" s="22" t="s">
        <v>17</v>
      </c>
    </row>
    <row r="4766" ht="15.15" spans="1:7">
      <c r="A4766" s="20">
        <v>4765</v>
      </c>
      <c r="B4766" s="20">
        <v>9124</v>
      </c>
      <c r="C4766" s="21">
        <v>45038</v>
      </c>
      <c r="D4766" s="20">
        <v>3047.75</v>
      </c>
      <c r="E4766" s="22" t="s">
        <v>10</v>
      </c>
      <c r="F4766" s="22" t="s">
        <v>18</v>
      </c>
      <c r="G4766" s="22" t="s">
        <v>15</v>
      </c>
    </row>
    <row r="4767" ht="15.15" spans="1:7">
      <c r="A4767" s="20">
        <v>4766</v>
      </c>
      <c r="B4767" s="20">
        <v>7286</v>
      </c>
      <c r="C4767" s="21">
        <v>45124</v>
      </c>
      <c r="D4767" s="20">
        <v>1569.29</v>
      </c>
      <c r="E4767" s="22" t="s">
        <v>10</v>
      </c>
      <c r="F4767" s="22" t="s">
        <v>18</v>
      </c>
      <c r="G4767" s="22" t="s">
        <v>15</v>
      </c>
    </row>
    <row r="4768" ht="15.15" spans="1:7">
      <c r="A4768" s="20">
        <v>4767</v>
      </c>
      <c r="B4768" s="20">
        <v>6553</v>
      </c>
      <c r="C4768" s="21">
        <v>45266</v>
      </c>
      <c r="D4768" s="20">
        <v>3991.44</v>
      </c>
      <c r="E4768" s="22" t="s">
        <v>10</v>
      </c>
      <c r="F4768" s="22" t="s">
        <v>11</v>
      </c>
      <c r="G4768" s="22" t="s">
        <v>20</v>
      </c>
    </row>
    <row r="4769" ht="15.15" spans="1:7">
      <c r="A4769" s="20">
        <v>4768</v>
      </c>
      <c r="B4769" s="20">
        <v>8701</v>
      </c>
      <c r="C4769" s="21">
        <v>44934</v>
      </c>
      <c r="D4769" s="20">
        <v>2710.7</v>
      </c>
      <c r="E4769" s="22" t="s">
        <v>10</v>
      </c>
      <c r="F4769" s="22" t="s">
        <v>18</v>
      </c>
      <c r="G4769" s="22" t="s">
        <v>12</v>
      </c>
    </row>
    <row r="4770" ht="15.15" spans="1:7">
      <c r="A4770" s="20">
        <v>4769</v>
      </c>
      <c r="B4770" s="20">
        <v>4669</v>
      </c>
      <c r="C4770" s="21">
        <v>45041</v>
      </c>
      <c r="D4770" s="20">
        <v>1231.64</v>
      </c>
      <c r="E4770" s="22" t="s">
        <v>10</v>
      </c>
      <c r="F4770" s="22" t="s">
        <v>18</v>
      </c>
      <c r="G4770" s="22" t="s">
        <v>12</v>
      </c>
    </row>
    <row r="4771" ht="15.15" spans="1:7">
      <c r="A4771" s="20">
        <v>4770</v>
      </c>
      <c r="B4771" s="20">
        <v>752</v>
      </c>
      <c r="C4771" s="21">
        <v>45173</v>
      </c>
      <c r="D4771" s="20">
        <v>392.24</v>
      </c>
      <c r="E4771" s="22" t="s">
        <v>10</v>
      </c>
      <c r="F4771" s="22" t="s">
        <v>11</v>
      </c>
      <c r="G4771" s="22" t="s">
        <v>12</v>
      </c>
    </row>
    <row r="4772" ht="15.15" spans="1:7">
      <c r="A4772" s="20">
        <v>4771</v>
      </c>
      <c r="B4772" s="20">
        <v>2871</v>
      </c>
      <c r="C4772" s="21">
        <v>45231</v>
      </c>
      <c r="D4772" s="20">
        <v>1603.48</v>
      </c>
      <c r="E4772" s="22" t="s">
        <v>10</v>
      </c>
      <c r="F4772" s="22" t="s">
        <v>14</v>
      </c>
      <c r="G4772" s="22" t="s">
        <v>12</v>
      </c>
    </row>
    <row r="4773" ht="15.15" spans="1:7">
      <c r="A4773" s="20">
        <v>4772</v>
      </c>
      <c r="B4773" s="20">
        <v>6434</v>
      </c>
      <c r="C4773" s="21">
        <v>45258</v>
      </c>
      <c r="D4773" s="20">
        <v>1840.89</v>
      </c>
      <c r="E4773" s="22" t="s">
        <v>10</v>
      </c>
      <c r="F4773" s="22" t="s">
        <v>14</v>
      </c>
      <c r="G4773" s="22" t="s">
        <v>12</v>
      </c>
    </row>
    <row r="4774" ht="15.15" spans="1:7">
      <c r="A4774" s="20">
        <v>4773</v>
      </c>
      <c r="B4774" s="20">
        <v>436</v>
      </c>
      <c r="C4774" s="21">
        <v>45133</v>
      </c>
      <c r="D4774" s="20">
        <v>574.78</v>
      </c>
      <c r="E4774" s="22" t="s">
        <v>10</v>
      </c>
      <c r="F4774" s="22" t="s">
        <v>18</v>
      </c>
      <c r="G4774" s="22" t="s">
        <v>17</v>
      </c>
    </row>
    <row r="4775" ht="15.15" spans="1:7">
      <c r="A4775" s="20">
        <v>4774</v>
      </c>
      <c r="B4775" s="20">
        <v>3372</v>
      </c>
      <c r="C4775" s="21">
        <v>45092</v>
      </c>
      <c r="D4775" s="20">
        <v>4549.19</v>
      </c>
      <c r="E4775" s="22" t="s">
        <v>10</v>
      </c>
      <c r="F4775" s="22" t="s">
        <v>14</v>
      </c>
      <c r="G4775" s="22" t="s">
        <v>17</v>
      </c>
    </row>
    <row r="4776" ht="15.15" spans="1:7">
      <c r="A4776" s="20">
        <v>4775</v>
      </c>
      <c r="B4776" s="20">
        <v>9200</v>
      </c>
      <c r="C4776" s="21">
        <v>45267</v>
      </c>
      <c r="D4776" s="20">
        <v>1855.98</v>
      </c>
      <c r="E4776" s="22" t="s">
        <v>10</v>
      </c>
      <c r="F4776" s="22" t="s">
        <v>13</v>
      </c>
      <c r="G4776" s="22" t="s">
        <v>12</v>
      </c>
    </row>
    <row r="4777" ht="15.15" spans="1:7">
      <c r="A4777" s="20">
        <v>4776</v>
      </c>
      <c r="B4777" s="20">
        <v>1242</v>
      </c>
      <c r="C4777" s="21">
        <v>45133</v>
      </c>
      <c r="D4777" s="20">
        <v>679.22</v>
      </c>
      <c r="E4777" s="22" t="s">
        <v>10</v>
      </c>
      <c r="F4777" s="22" t="s">
        <v>16</v>
      </c>
      <c r="G4777" s="22" t="s">
        <v>12</v>
      </c>
    </row>
    <row r="4778" ht="15.15" spans="1:7">
      <c r="A4778" s="20">
        <v>4777</v>
      </c>
      <c r="B4778" s="20">
        <v>8223</v>
      </c>
      <c r="C4778" s="21">
        <v>45237</v>
      </c>
      <c r="D4778" s="20">
        <v>947.55</v>
      </c>
      <c r="E4778" s="22" t="s">
        <v>10</v>
      </c>
      <c r="F4778" s="22" t="s">
        <v>11</v>
      </c>
      <c r="G4778" s="22" t="s">
        <v>15</v>
      </c>
    </row>
    <row r="4779" ht="15.15" spans="1:7">
      <c r="A4779" s="20">
        <v>4778</v>
      </c>
      <c r="B4779" s="20">
        <v>3500</v>
      </c>
      <c r="C4779" s="21">
        <v>45035</v>
      </c>
      <c r="D4779" s="20">
        <v>798.83</v>
      </c>
      <c r="E4779" s="22" t="s">
        <v>10</v>
      </c>
      <c r="F4779" s="22" t="s">
        <v>16</v>
      </c>
      <c r="G4779" s="22" t="s">
        <v>12</v>
      </c>
    </row>
    <row r="4780" ht="15.15" spans="1:7">
      <c r="A4780" s="20">
        <v>4779</v>
      </c>
      <c r="B4780" s="20">
        <v>8616</v>
      </c>
      <c r="C4780" s="21">
        <v>45212</v>
      </c>
      <c r="D4780" s="20">
        <v>2681.52</v>
      </c>
      <c r="E4780" s="22" t="s">
        <v>10</v>
      </c>
      <c r="F4780" s="22" t="s">
        <v>11</v>
      </c>
      <c r="G4780" s="22" t="s">
        <v>12</v>
      </c>
    </row>
    <row r="4781" ht="15.15" spans="1:7">
      <c r="A4781" s="20">
        <v>4780</v>
      </c>
      <c r="B4781" s="20">
        <v>5621</v>
      </c>
      <c r="C4781" s="21">
        <v>45245</v>
      </c>
      <c r="D4781" s="20">
        <v>406.33</v>
      </c>
      <c r="E4781" s="22" t="s">
        <v>10</v>
      </c>
      <c r="F4781" s="22" t="s">
        <v>13</v>
      </c>
      <c r="G4781" s="22" t="s">
        <v>12</v>
      </c>
    </row>
    <row r="4782" ht="15.15" spans="1:7">
      <c r="A4782" s="20">
        <v>4781</v>
      </c>
      <c r="B4782" s="20">
        <v>800</v>
      </c>
      <c r="C4782" s="21">
        <v>45204</v>
      </c>
      <c r="D4782" s="20">
        <v>4341.99</v>
      </c>
      <c r="E4782" s="22" t="s">
        <v>10</v>
      </c>
      <c r="F4782" s="22" t="s">
        <v>13</v>
      </c>
      <c r="G4782" s="22" t="s">
        <v>12</v>
      </c>
    </row>
    <row r="4783" ht="15.15" spans="1:7">
      <c r="A4783" s="20">
        <v>4782</v>
      </c>
      <c r="B4783" s="20">
        <v>3460</v>
      </c>
      <c r="C4783" s="21">
        <v>45278</v>
      </c>
      <c r="D4783" s="20">
        <v>628.59</v>
      </c>
      <c r="E4783" s="22" t="s">
        <v>10</v>
      </c>
      <c r="F4783" s="22" t="s">
        <v>13</v>
      </c>
      <c r="G4783" s="22" t="s">
        <v>15</v>
      </c>
    </row>
    <row r="4784" ht="15.15" spans="1:7">
      <c r="A4784" s="20">
        <v>4783</v>
      </c>
      <c r="B4784" s="20">
        <v>5283</v>
      </c>
      <c r="C4784" s="21">
        <v>45288</v>
      </c>
      <c r="D4784" s="20">
        <v>3640.82</v>
      </c>
      <c r="E4784" s="22" t="s">
        <v>10</v>
      </c>
      <c r="F4784" s="22" t="s">
        <v>18</v>
      </c>
      <c r="G4784" s="22" t="s">
        <v>12</v>
      </c>
    </row>
    <row r="4785" ht="15.15" spans="1:7">
      <c r="A4785" s="20">
        <v>4784</v>
      </c>
      <c r="B4785" s="20">
        <v>6520</v>
      </c>
      <c r="C4785" s="21">
        <v>45093</v>
      </c>
      <c r="D4785" s="20">
        <v>1232.78</v>
      </c>
      <c r="E4785" s="22" t="s">
        <v>10</v>
      </c>
      <c r="F4785" s="22" t="s">
        <v>11</v>
      </c>
      <c r="G4785" s="22" t="s">
        <v>15</v>
      </c>
    </row>
    <row r="4786" ht="15.15" spans="1:7">
      <c r="A4786" s="20">
        <v>4785</v>
      </c>
      <c r="B4786" s="20">
        <v>7540</v>
      </c>
      <c r="C4786" s="21">
        <v>45036</v>
      </c>
      <c r="D4786" s="20">
        <v>1034.04</v>
      </c>
      <c r="E4786" s="22" t="s">
        <v>10</v>
      </c>
      <c r="F4786" s="22" t="s">
        <v>16</v>
      </c>
      <c r="G4786" s="22" t="s">
        <v>17</v>
      </c>
    </row>
    <row r="4787" ht="15.15" spans="1:7">
      <c r="A4787" s="20">
        <v>4786</v>
      </c>
      <c r="B4787" s="20">
        <v>157</v>
      </c>
      <c r="C4787" s="21">
        <v>45257</v>
      </c>
      <c r="D4787" s="20">
        <v>3702.27</v>
      </c>
      <c r="E4787" s="22" t="s">
        <v>10</v>
      </c>
      <c r="F4787" s="22" t="s">
        <v>18</v>
      </c>
      <c r="G4787" s="22" t="s">
        <v>15</v>
      </c>
    </row>
    <row r="4788" ht="15.15" spans="1:7">
      <c r="A4788" s="20">
        <v>4787</v>
      </c>
      <c r="B4788" s="20">
        <v>9833</v>
      </c>
      <c r="C4788" s="21">
        <v>45042</v>
      </c>
      <c r="D4788" s="20">
        <v>3440.55</v>
      </c>
      <c r="E4788" s="22" t="s">
        <v>10</v>
      </c>
      <c r="F4788" s="22" t="s">
        <v>13</v>
      </c>
      <c r="G4788" s="22" t="s">
        <v>17</v>
      </c>
    </row>
    <row r="4789" ht="15.15" spans="1:7">
      <c r="A4789" s="20">
        <v>4788</v>
      </c>
      <c r="B4789" s="20">
        <v>7701</v>
      </c>
      <c r="C4789" s="21">
        <v>45242</v>
      </c>
      <c r="D4789" s="20">
        <v>787.06</v>
      </c>
      <c r="E4789" s="22" t="s">
        <v>22</v>
      </c>
      <c r="F4789" s="22" t="s">
        <v>18</v>
      </c>
      <c r="G4789" s="22" t="s">
        <v>15</v>
      </c>
    </row>
    <row r="4790" ht="15.15" spans="1:7">
      <c r="A4790" s="20">
        <v>4789</v>
      </c>
      <c r="B4790" s="20">
        <v>4026</v>
      </c>
      <c r="C4790" s="21">
        <v>45287</v>
      </c>
      <c r="D4790" s="20">
        <v>4074.46</v>
      </c>
      <c r="E4790" s="22" t="s">
        <v>10</v>
      </c>
      <c r="F4790" s="22" t="s">
        <v>16</v>
      </c>
      <c r="G4790" s="22" t="s">
        <v>17</v>
      </c>
    </row>
    <row r="4791" ht="15.15" spans="1:7">
      <c r="A4791" s="20">
        <v>4790</v>
      </c>
      <c r="B4791" s="20">
        <v>984</v>
      </c>
      <c r="C4791" s="21">
        <v>45242</v>
      </c>
      <c r="D4791" s="20">
        <v>258.66</v>
      </c>
      <c r="E4791" s="22" t="s">
        <v>10</v>
      </c>
      <c r="F4791" s="22" t="s">
        <v>14</v>
      </c>
      <c r="G4791" s="22" t="s">
        <v>20</v>
      </c>
    </row>
    <row r="4792" ht="15.15" spans="1:7">
      <c r="A4792" s="20">
        <v>4791</v>
      </c>
      <c r="B4792" s="20">
        <v>8166</v>
      </c>
      <c r="C4792" s="21">
        <v>45095</v>
      </c>
      <c r="D4792" s="20">
        <v>228.45</v>
      </c>
      <c r="E4792" s="22" t="s">
        <v>10</v>
      </c>
      <c r="F4792" s="22" t="s">
        <v>16</v>
      </c>
      <c r="G4792" s="22" t="s">
        <v>15</v>
      </c>
    </row>
    <row r="4793" ht="15.15" spans="1:7">
      <c r="A4793" s="20">
        <v>4792</v>
      </c>
      <c r="B4793" s="20">
        <v>1654</v>
      </c>
      <c r="C4793" s="21">
        <v>45177</v>
      </c>
      <c r="D4793" s="20">
        <v>1311.61</v>
      </c>
      <c r="E4793" s="22" t="s">
        <v>10</v>
      </c>
      <c r="F4793" s="22" t="s">
        <v>19</v>
      </c>
      <c r="G4793" s="22" t="s">
        <v>20</v>
      </c>
    </row>
    <row r="4794" ht="15.15" spans="1:7">
      <c r="A4794" s="20">
        <v>4793</v>
      </c>
      <c r="B4794" s="20">
        <v>394</v>
      </c>
      <c r="C4794" s="21">
        <v>45010</v>
      </c>
      <c r="D4794" s="20">
        <v>482.57</v>
      </c>
      <c r="E4794" s="22" t="s">
        <v>10</v>
      </c>
      <c r="F4794" s="22" t="s">
        <v>16</v>
      </c>
      <c r="G4794" s="22" t="s">
        <v>15</v>
      </c>
    </row>
    <row r="4795" ht="15.15" spans="1:7">
      <c r="A4795" s="20">
        <v>4794</v>
      </c>
      <c r="B4795" s="20">
        <v>6134</v>
      </c>
      <c r="C4795" s="21">
        <v>45008</v>
      </c>
      <c r="D4795" s="20">
        <v>398.58</v>
      </c>
      <c r="E4795" s="22" t="s">
        <v>10</v>
      </c>
      <c r="F4795" s="22" t="s">
        <v>11</v>
      </c>
      <c r="G4795" s="22" t="s">
        <v>17</v>
      </c>
    </row>
    <row r="4796" ht="15.15" spans="1:7">
      <c r="A4796" s="20">
        <v>4795</v>
      </c>
      <c r="B4796" s="20">
        <v>849</v>
      </c>
      <c r="C4796" s="21">
        <v>45134</v>
      </c>
      <c r="D4796" s="20">
        <v>945.87</v>
      </c>
      <c r="E4796" s="22" t="s">
        <v>10</v>
      </c>
      <c r="F4796" s="22" t="s">
        <v>13</v>
      </c>
      <c r="G4796" s="22" t="s">
        <v>12</v>
      </c>
    </row>
    <row r="4797" ht="15.15" spans="1:7">
      <c r="A4797" s="20">
        <v>4796</v>
      </c>
      <c r="B4797" s="20">
        <v>4349</v>
      </c>
      <c r="C4797" s="21">
        <v>45231</v>
      </c>
      <c r="D4797" s="20">
        <v>1146.95</v>
      </c>
      <c r="E4797" s="22" t="s">
        <v>10</v>
      </c>
      <c r="F4797" s="22" t="s">
        <v>16</v>
      </c>
      <c r="G4797" s="22" t="s">
        <v>12</v>
      </c>
    </row>
    <row r="4798" ht="15.15" spans="1:7">
      <c r="A4798" s="20">
        <v>4797</v>
      </c>
      <c r="B4798" s="20">
        <v>9796</v>
      </c>
      <c r="C4798" s="21">
        <v>45145</v>
      </c>
      <c r="D4798" s="20">
        <v>278.93</v>
      </c>
      <c r="E4798" s="22" t="s">
        <v>10</v>
      </c>
      <c r="F4798" s="22" t="s">
        <v>18</v>
      </c>
      <c r="G4798" s="22" t="s">
        <v>20</v>
      </c>
    </row>
    <row r="4799" ht="15.15" spans="1:7">
      <c r="A4799" s="20">
        <v>4798</v>
      </c>
      <c r="B4799" s="20">
        <v>1221</v>
      </c>
      <c r="C4799" s="21">
        <v>45033</v>
      </c>
      <c r="D4799" s="20">
        <v>133.03</v>
      </c>
      <c r="E4799" s="22" t="s">
        <v>10</v>
      </c>
      <c r="F4799" s="22" t="s">
        <v>13</v>
      </c>
      <c r="G4799" s="22" t="s">
        <v>20</v>
      </c>
    </row>
    <row r="4800" ht="15.15" spans="1:7">
      <c r="A4800" s="20">
        <v>4799</v>
      </c>
      <c r="B4800" s="20">
        <v>2456</v>
      </c>
      <c r="C4800" s="21">
        <v>45023</v>
      </c>
      <c r="D4800" s="20">
        <v>428.29</v>
      </c>
      <c r="E4800" s="22" t="s">
        <v>10</v>
      </c>
      <c r="F4800" s="22" t="s">
        <v>16</v>
      </c>
      <c r="G4800" s="22" t="s">
        <v>12</v>
      </c>
    </row>
    <row r="4801" ht="15.15" spans="1:7">
      <c r="A4801" s="20">
        <v>4800</v>
      </c>
      <c r="B4801" s="20">
        <v>9237</v>
      </c>
      <c r="C4801" s="21">
        <v>45111</v>
      </c>
      <c r="D4801" s="20">
        <v>2094.95</v>
      </c>
      <c r="E4801" s="22" t="s">
        <v>10</v>
      </c>
      <c r="F4801" s="22" t="s">
        <v>11</v>
      </c>
      <c r="G4801" s="22" t="s">
        <v>20</v>
      </c>
    </row>
    <row r="4802" ht="15.15" spans="1:7">
      <c r="A4802" s="20">
        <v>4801</v>
      </c>
      <c r="B4802" s="20">
        <v>7789</v>
      </c>
      <c r="C4802" s="21">
        <v>45038</v>
      </c>
      <c r="D4802" s="20">
        <v>4030.47</v>
      </c>
      <c r="E4802" s="22" t="s">
        <v>10</v>
      </c>
      <c r="F4802" s="22" t="s">
        <v>18</v>
      </c>
      <c r="G4802" s="22" t="s">
        <v>20</v>
      </c>
    </row>
    <row r="4803" ht="15.15" spans="1:7">
      <c r="A4803" s="20">
        <v>4802</v>
      </c>
      <c r="B4803" s="20">
        <v>3101</v>
      </c>
      <c r="C4803" s="21">
        <v>45063</v>
      </c>
      <c r="D4803" s="20">
        <v>2292.2</v>
      </c>
      <c r="E4803" s="22" t="s">
        <v>10</v>
      </c>
      <c r="F4803" s="22" t="s">
        <v>13</v>
      </c>
      <c r="G4803" s="22" t="s">
        <v>12</v>
      </c>
    </row>
    <row r="4804" ht="15.15" spans="1:7">
      <c r="A4804" s="20">
        <v>4803</v>
      </c>
      <c r="B4804" s="20">
        <v>6895</v>
      </c>
      <c r="C4804" s="21">
        <v>45020</v>
      </c>
      <c r="D4804" s="20">
        <v>1619.54</v>
      </c>
      <c r="E4804" s="22" t="s">
        <v>10</v>
      </c>
      <c r="F4804" s="22" t="s">
        <v>14</v>
      </c>
      <c r="G4804" s="22" t="s">
        <v>17</v>
      </c>
    </row>
    <row r="4805" ht="15.15" spans="1:7">
      <c r="A4805" s="20">
        <v>4804</v>
      </c>
      <c r="B4805" s="20">
        <v>1365</v>
      </c>
      <c r="C4805" s="21">
        <v>45168</v>
      </c>
      <c r="D4805" s="20">
        <v>1101.69</v>
      </c>
      <c r="E4805" s="22" t="s">
        <v>10</v>
      </c>
      <c r="F4805" s="22" t="s">
        <v>11</v>
      </c>
      <c r="G4805" s="22" t="s">
        <v>15</v>
      </c>
    </row>
    <row r="4806" ht="15.15" spans="1:7">
      <c r="A4806" s="20">
        <v>4805</v>
      </c>
      <c r="B4806" s="20">
        <v>4534</v>
      </c>
      <c r="C4806" s="21">
        <v>45192</v>
      </c>
      <c r="D4806" s="20">
        <v>1233.92</v>
      </c>
      <c r="E4806" s="22" t="s">
        <v>10</v>
      </c>
      <c r="F4806" s="22" t="s">
        <v>14</v>
      </c>
      <c r="G4806" s="22" t="s">
        <v>15</v>
      </c>
    </row>
    <row r="4807" ht="15.15" spans="1:7">
      <c r="A4807" s="20">
        <v>4806</v>
      </c>
      <c r="B4807" s="20">
        <v>6462</v>
      </c>
      <c r="C4807" s="21">
        <v>45039</v>
      </c>
      <c r="D4807" s="20">
        <v>1657.68</v>
      </c>
      <c r="E4807" s="22" t="s">
        <v>10</v>
      </c>
      <c r="F4807" s="22" t="s">
        <v>13</v>
      </c>
      <c r="G4807" s="22" t="s">
        <v>15</v>
      </c>
    </row>
    <row r="4808" ht="15.15" spans="1:7">
      <c r="A4808" s="20">
        <v>4807</v>
      </c>
      <c r="B4808" s="20">
        <v>9482</v>
      </c>
      <c r="C4808" s="21">
        <v>45238</v>
      </c>
      <c r="D4808" s="20">
        <v>235.13</v>
      </c>
      <c r="E4808" s="22" t="s">
        <v>10</v>
      </c>
      <c r="F4808" s="22" t="s">
        <v>11</v>
      </c>
      <c r="G4808" s="22" t="s">
        <v>17</v>
      </c>
    </row>
    <row r="4809" ht="15.15" spans="1:7">
      <c r="A4809" s="20">
        <v>4808</v>
      </c>
      <c r="B4809" s="20">
        <v>7148</v>
      </c>
      <c r="C4809" s="21">
        <v>45064</v>
      </c>
      <c r="D4809" s="20">
        <v>981.14</v>
      </c>
      <c r="E4809" s="22" t="s">
        <v>10</v>
      </c>
      <c r="F4809" s="22" t="s">
        <v>18</v>
      </c>
      <c r="G4809" s="22" t="s">
        <v>15</v>
      </c>
    </row>
    <row r="4810" ht="15.15" spans="1:7">
      <c r="A4810" s="20">
        <v>4809</v>
      </c>
      <c r="B4810" s="20">
        <v>9379</v>
      </c>
      <c r="C4810" s="21">
        <v>44965</v>
      </c>
      <c r="D4810" s="20">
        <v>1431.35</v>
      </c>
      <c r="E4810" s="22" t="s">
        <v>10</v>
      </c>
      <c r="F4810" s="22" t="s">
        <v>14</v>
      </c>
      <c r="G4810" s="22" t="s">
        <v>20</v>
      </c>
    </row>
    <row r="4811" ht="15.15" spans="1:7">
      <c r="A4811" s="20">
        <v>4810</v>
      </c>
      <c r="B4811" s="20">
        <v>1222</v>
      </c>
      <c r="C4811" s="21">
        <v>45088</v>
      </c>
      <c r="D4811" s="20">
        <v>2032.06</v>
      </c>
      <c r="E4811" s="22" t="s">
        <v>10</v>
      </c>
      <c r="F4811" s="22" t="s">
        <v>18</v>
      </c>
      <c r="G4811" s="22" t="s">
        <v>20</v>
      </c>
    </row>
    <row r="4812" ht="15.15" spans="1:7">
      <c r="A4812" s="20">
        <v>4811</v>
      </c>
      <c r="B4812" s="20">
        <v>5307</v>
      </c>
      <c r="C4812" s="21">
        <v>45112</v>
      </c>
      <c r="D4812" s="20">
        <v>722.29</v>
      </c>
      <c r="E4812" s="22" t="s">
        <v>10</v>
      </c>
      <c r="F4812" s="22" t="s">
        <v>14</v>
      </c>
      <c r="G4812" s="22" t="s">
        <v>20</v>
      </c>
    </row>
    <row r="4813" ht="15.15" spans="1:7">
      <c r="A4813" s="20">
        <v>4812</v>
      </c>
      <c r="B4813" s="20">
        <v>3997</v>
      </c>
      <c r="C4813" s="21">
        <v>45253</v>
      </c>
      <c r="D4813" s="20">
        <v>642.69</v>
      </c>
      <c r="E4813" s="22" t="s">
        <v>10</v>
      </c>
      <c r="F4813" s="22" t="s">
        <v>11</v>
      </c>
      <c r="G4813" s="22" t="s">
        <v>12</v>
      </c>
    </row>
    <row r="4814" ht="15.15" spans="1:7">
      <c r="A4814" s="20">
        <v>4813</v>
      </c>
      <c r="B4814" s="20">
        <v>4499</v>
      </c>
      <c r="C4814" s="21">
        <v>45146</v>
      </c>
      <c r="D4814" s="20">
        <v>1821.67</v>
      </c>
      <c r="E4814" s="22" t="s">
        <v>10</v>
      </c>
      <c r="F4814" s="22" t="s">
        <v>18</v>
      </c>
      <c r="G4814" s="22" t="s">
        <v>15</v>
      </c>
    </row>
    <row r="4815" ht="15.15" spans="1:7">
      <c r="A4815" s="20">
        <v>4814</v>
      </c>
      <c r="B4815" s="20">
        <v>8260</v>
      </c>
      <c r="C4815" s="21">
        <v>45068</v>
      </c>
      <c r="D4815" s="20">
        <v>883.28</v>
      </c>
      <c r="E4815" s="22" t="s">
        <v>10</v>
      </c>
      <c r="F4815" s="22" t="s">
        <v>18</v>
      </c>
      <c r="G4815" s="22" t="s">
        <v>12</v>
      </c>
    </row>
    <row r="4816" ht="15.15" spans="1:7">
      <c r="A4816" s="20">
        <v>4815</v>
      </c>
      <c r="B4816" s="20">
        <v>3540</v>
      </c>
      <c r="C4816" s="21">
        <v>45135</v>
      </c>
      <c r="D4816" s="20">
        <v>1322.57</v>
      </c>
      <c r="E4816" s="22" t="s">
        <v>10</v>
      </c>
      <c r="F4816" s="22" t="s">
        <v>13</v>
      </c>
      <c r="G4816" s="22" t="s">
        <v>15</v>
      </c>
    </row>
    <row r="4817" ht="15.15" spans="1:7">
      <c r="A4817" s="20">
        <v>4816</v>
      </c>
      <c r="B4817" s="20">
        <v>5358</v>
      </c>
      <c r="C4817" s="21">
        <v>45252</v>
      </c>
      <c r="D4817" s="20">
        <v>883.58</v>
      </c>
      <c r="E4817" s="22" t="s">
        <v>10</v>
      </c>
      <c r="F4817" s="22" t="s">
        <v>11</v>
      </c>
      <c r="G4817" s="22" t="s">
        <v>15</v>
      </c>
    </row>
    <row r="4818" ht="15.15" spans="1:7">
      <c r="A4818" s="20">
        <v>4817</v>
      </c>
      <c r="B4818" s="20">
        <v>1617</v>
      </c>
      <c r="C4818" s="21">
        <v>45016</v>
      </c>
      <c r="D4818" s="20">
        <v>718.56</v>
      </c>
      <c r="E4818" s="22" t="s">
        <v>10</v>
      </c>
      <c r="F4818" s="22" t="s">
        <v>16</v>
      </c>
      <c r="G4818" s="22" t="s">
        <v>12</v>
      </c>
    </row>
    <row r="4819" ht="15.15" spans="1:7">
      <c r="A4819" s="20">
        <v>4818</v>
      </c>
      <c r="B4819" s="20">
        <v>3547</v>
      </c>
      <c r="C4819" s="21">
        <v>44982</v>
      </c>
      <c r="D4819" s="20">
        <v>211.3</v>
      </c>
      <c r="E4819" s="22" t="s">
        <v>10</v>
      </c>
      <c r="F4819" s="22" t="s">
        <v>16</v>
      </c>
      <c r="G4819" s="22" t="s">
        <v>12</v>
      </c>
    </row>
    <row r="4820" ht="15.15" spans="1:7">
      <c r="A4820" s="20">
        <v>4819</v>
      </c>
      <c r="B4820" s="20">
        <v>9603</v>
      </c>
      <c r="C4820" s="21">
        <v>45239</v>
      </c>
      <c r="D4820" s="20">
        <v>370.82</v>
      </c>
      <c r="E4820" s="22" t="s">
        <v>10</v>
      </c>
      <c r="F4820" s="22" t="s">
        <v>14</v>
      </c>
      <c r="G4820" s="22" t="s">
        <v>17</v>
      </c>
    </row>
    <row r="4821" ht="15.15" spans="1:7">
      <c r="A4821" s="20">
        <v>4820</v>
      </c>
      <c r="B4821" s="20">
        <v>8551</v>
      </c>
      <c r="C4821" s="21">
        <v>45239</v>
      </c>
      <c r="D4821" s="20">
        <v>901.51</v>
      </c>
      <c r="E4821" s="22" t="s">
        <v>10</v>
      </c>
      <c r="F4821" s="22" t="s">
        <v>18</v>
      </c>
      <c r="G4821" s="22" t="s">
        <v>17</v>
      </c>
    </row>
    <row r="4822" ht="15.15" spans="1:7">
      <c r="A4822" s="20">
        <v>4821</v>
      </c>
      <c r="B4822" s="20">
        <v>8114</v>
      </c>
      <c r="C4822" s="21">
        <v>44974</v>
      </c>
      <c r="D4822" s="20">
        <v>1050.78</v>
      </c>
      <c r="E4822" s="22" t="s">
        <v>10</v>
      </c>
      <c r="F4822" s="22" t="s">
        <v>16</v>
      </c>
      <c r="G4822" s="22" t="s">
        <v>20</v>
      </c>
    </row>
    <row r="4823" ht="15.15" spans="1:7">
      <c r="A4823" s="20">
        <v>4822</v>
      </c>
      <c r="B4823" s="20">
        <v>430</v>
      </c>
      <c r="C4823" s="21">
        <v>44941</v>
      </c>
      <c r="D4823" s="20">
        <v>447.91</v>
      </c>
      <c r="E4823" s="22" t="s">
        <v>10</v>
      </c>
      <c r="F4823" s="22" t="s">
        <v>16</v>
      </c>
      <c r="G4823" s="22" t="s">
        <v>12</v>
      </c>
    </row>
    <row r="4824" ht="15.15" spans="1:7">
      <c r="A4824" s="20">
        <v>4823</v>
      </c>
      <c r="B4824" s="20">
        <v>356</v>
      </c>
      <c r="C4824" s="21">
        <v>45055</v>
      </c>
      <c r="D4824" s="20">
        <v>2377.88</v>
      </c>
      <c r="E4824" s="22" t="s">
        <v>22</v>
      </c>
      <c r="F4824" s="22" t="s">
        <v>18</v>
      </c>
      <c r="G4824" s="22" t="s">
        <v>20</v>
      </c>
    </row>
    <row r="4825" ht="15.15" spans="1:7">
      <c r="A4825" s="20">
        <v>4824</v>
      </c>
      <c r="B4825" s="20">
        <v>752</v>
      </c>
      <c r="C4825" s="21">
        <v>45244</v>
      </c>
      <c r="D4825" s="20">
        <v>1598.74</v>
      </c>
      <c r="E4825" s="22" t="s">
        <v>10</v>
      </c>
      <c r="F4825" s="22" t="s">
        <v>11</v>
      </c>
      <c r="G4825" s="22" t="s">
        <v>20</v>
      </c>
    </row>
    <row r="4826" ht="15.15" spans="1:7">
      <c r="A4826" s="20">
        <v>4825</v>
      </c>
      <c r="B4826" s="20">
        <v>7820</v>
      </c>
      <c r="C4826" s="21">
        <v>45049</v>
      </c>
      <c r="D4826" s="20">
        <v>1668.74</v>
      </c>
      <c r="E4826" s="22" t="s">
        <v>10</v>
      </c>
      <c r="F4826" s="22" t="s">
        <v>13</v>
      </c>
      <c r="G4826" s="22" t="s">
        <v>20</v>
      </c>
    </row>
    <row r="4827" ht="15.15" spans="1:7">
      <c r="A4827" s="20">
        <v>4826</v>
      </c>
      <c r="B4827" s="20">
        <v>3405</v>
      </c>
      <c r="C4827" s="21">
        <v>45246</v>
      </c>
      <c r="D4827" s="20">
        <v>443.6</v>
      </c>
      <c r="E4827" s="22" t="s">
        <v>10</v>
      </c>
      <c r="F4827" s="22" t="s">
        <v>14</v>
      </c>
      <c r="G4827" s="22" t="s">
        <v>15</v>
      </c>
    </row>
    <row r="4828" ht="15.15" spans="1:7">
      <c r="A4828" s="20">
        <v>4827</v>
      </c>
      <c r="B4828" s="20">
        <v>1485</v>
      </c>
      <c r="C4828" s="21">
        <v>44995</v>
      </c>
      <c r="D4828" s="20">
        <v>1629.76</v>
      </c>
      <c r="E4828" s="22" t="s">
        <v>10</v>
      </c>
      <c r="F4828" s="22" t="s">
        <v>11</v>
      </c>
      <c r="G4828" s="22" t="s">
        <v>20</v>
      </c>
    </row>
    <row r="4829" ht="15.15" spans="1:7">
      <c r="A4829" s="20">
        <v>4828</v>
      </c>
      <c r="B4829" s="20">
        <v>445</v>
      </c>
      <c r="C4829" s="21">
        <v>45261</v>
      </c>
      <c r="D4829" s="20">
        <v>8245.36</v>
      </c>
      <c r="E4829" s="22" t="s">
        <v>10</v>
      </c>
      <c r="F4829" s="22" t="s">
        <v>16</v>
      </c>
      <c r="G4829" s="22" t="s">
        <v>17</v>
      </c>
    </row>
    <row r="4830" ht="15.15" spans="1:7">
      <c r="A4830" s="20">
        <v>4829</v>
      </c>
      <c r="B4830" s="20">
        <v>1334</v>
      </c>
      <c r="C4830" s="21">
        <v>45285</v>
      </c>
      <c r="D4830" s="20">
        <v>327.46</v>
      </c>
      <c r="E4830" s="22" t="s">
        <v>10</v>
      </c>
      <c r="F4830" s="22" t="s">
        <v>14</v>
      </c>
      <c r="G4830" s="22" t="s">
        <v>12</v>
      </c>
    </row>
    <row r="4831" ht="15.15" spans="1:7">
      <c r="A4831" s="20">
        <v>4830</v>
      </c>
      <c r="B4831" s="20">
        <v>7652</v>
      </c>
      <c r="C4831" s="21">
        <v>45287</v>
      </c>
      <c r="D4831" s="20">
        <v>902.65</v>
      </c>
      <c r="E4831" s="22" t="s">
        <v>10</v>
      </c>
      <c r="F4831" s="22" t="s">
        <v>11</v>
      </c>
      <c r="G4831" s="22" t="s">
        <v>12</v>
      </c>
    </row>
    <row r="4832" ht="15.15" spans="1:7">
      <c r="A4832" s="20">
        <v>4831</v>
      </c>
      <c r="B4832" s="20">
        <v>3173</v>
      </c>
      <c r="C4832" s="21">
        <v>45227</v>
      </c>
      <c r="D4832" s="20">
        <v>720.56</v>
      </c>
      <c r="E4832" s="22" t="s">
        <v>10</v>
      </c>
      <c r="F4832" s="22" t="s">
        <v>11</v>
      </c>
      <c r="G4832" s="22" t="s">
        <v>20</v>
      </c>
    </row>
    <row r="4833" ht="15.15" spans="1:7">
      <c r="A4833" s="20">
        <v>4832</v>
      </c>
      <c r="B4833" s="20">
        <v>7206</v>
      </c>
      <c r="C4833" s="21">
        <v>45157</v>
      </c>
      <c r="D4833" s="20">
        <v>440.02</v>
      </c>
      <c r="E4833" s="22" t="s">
        <v>10</v>
      </c>
      <c r="F4833" s="22" t="s">
        <v>18</v>
      </c>
      <c r="G4833" s="22" t="s">
        <v>12</v>
      </c>
    </row>
    <row r="4834" ht="15.15" spans="1:7">
      <c r="A4834" s="20">
        <v>4833</v>
      </c>
      <c r="B4834" s="20">
        <v>6803</v>
      </c>
      <c r="C4834" s="21">
        <v>45250</v>
      </c>
      <c r="D4834" s="20">
        <v>2006.33</v>
      </c>
      <c r="E4834" s="22" t="s">
        <v>10</v>
      </c>
      <c r="F4834" s="22" t="s">
        <v>13</v>
      </c>
      <c r="G4834" s="22" t="s">
        <v>15</v>
      </c>
    </row>
    <row r="4835" ht="15.15" spans="1:7">
      <c r="A4835" s="20">
        <v>4834</v>
      </c>
      <c r="B4835" s="20">
        <v>9698</v>
      </c>
      <c r="C4835" s="21">
        <v>45212</v>
      </c>
      <c r="D4835" s="20">
        <v>449.81</v>
      </c>
      <c r="E4835" s="22" t="s">
        <v>10</v>
      </c>
      <c r="F4835" s="22" t="s">
        <v>18</v>
      </c>
      <c r="G4835" s="22" t="s">
        <v>15</v>
      </c>
    </row>
    <row r="4836" ht="15.15" spans="1:7">
      <c r="A4836" s="20">
        <v>4835</v>
      </c>
      <c r="B4836" s="20">
        <v>6765</v>
      </c>
      <c r="C4836" s="21">
        <v>45204</v>
      </c>
      <c r="D4836" s="20">
        <v>935.3</v>
      </c>
      <c r="E4836" s="22" t="s">
        <v>10</v>
      </c>
      <c r="F4836" s="22" t="s">
        <v>11</v>
      </c>
      <c r="G4836" s="22" t="s">
        <v>17</v>
      </c>
    </row>
    <row r="4837" ht="15.15" spans="1:7">
      <c r="A4837" s="20">
        <v>4836</v>
      </c>
      <c r="B4837" s="20">
        <v>2518</v>
      </c>
      <c r="C4837" s="21">
        <v>45235</v>
      </c>
      <c r="D4837" s="20">
        <v>4053.39</v>
      </c>
      <c r="E4837" s="22" t="s">
        <v>10</v>
      </c>
      <c r="F4837" s="22" t="s">
        <v>18</v>
      </c>
      <c r="G4837" s="22" t="s">
        <v>20</v>
      </c>
    </row>
    <row r="4838" ht="15.15" spans="1:7">
      <c r="A4838" s="20">
        <v>4837</v>
      </c>
      <c r="B4838" s="20">
        <v>47</v>
      </c>
      <c r="C4838" s="21">
        <v>45127</v>
      </c>
      <c r="D4838" s="20">
        <v>1041.86</v>
      </c>
      <c r="E4838" s="22" t="s">
        <v>10</v>
      </c>
      <c r="F4838" s="22" t="s">
        <v>16</v>
      </c>
      <c r="G4838" s="22" t="s">
        <v>17</v>
      </c>
    </row>
    <row r="4839" ht="15.15" spans="1:7">
      <c r="A4839" s="20">
        <v>4838</v>
      </c>
      <c r="B4839" s="20">
        <v>6431</v>
      </c>
      <c r="C4839" s="21">
        <v>45237</v>
      </c>
      <c r="D4839" s="20">
        <v>224.68</v>
      </c>
      <c r="E4839" s="22" t="s">
        <v>10</v>
      </c>
      <c r="F4839" s="22" t="s">
        <v>11</v>
      </c>
      <c r="G4839" s="22" t="s">
        <v>15</v>
      </c>
    </row>
    <row r="4840" ht="15.15" spans="1:7">
      <c r="A4840" s="20">
        <v>4839</v>
      </c>
      <c r="B4840" s="20">
        <v>7885</v>
      </c>
      <c r="C4840" s="21">
        <v>45126</v>
      </c>
      <c r="D4840" s="20">
        <v>1501.78</v>
      </c>
      <c r="E4840" s="22" t="s">
        <v>10</v>
      </c>
      <c r="F4840" s="22" t="s">
        <v>11</v>
      </c>
      <c r="G4840" s="22" t="s">
        <v>12</v>
      </c>
    </row>
    <row r="4841" ht="15.15" spans="1:7">
      <c r="A4841" s="20">
        <v>4840</v>
      </c>
      <c r="B4841" s="20">
        <v>7049</v>
      </c>
      <c r="C4841" s="21">
        <v>45200</v>
      </c>
      <c r="D4841" s="20">
        <v>366.31</v>
      </c>
      <c r="E4841" s="22" t="s">
        <v>10</v>
      </c>
      <c r="F4841" s="22" t="s">
        <v>13</v>
      </c>
      <c r="G4841" s="22" t="s">
        <v>20</v>
      </c>
    </row>
    <row r="4842" ht="15.15" spans="1:7">
      <c r="A4842" s="20">
        <v>4841</v>
      </c>
      <c r="B4842" s="20">
        <v>9374</v>
      </c>
      <c r="C4842" s="21">
        <v>45150</v>
      </c>
      <c r="D4842" s="20">
        <v>1390.98</v>
      </c>
      <c r="E4842" s="22" t="s">
        <v>10</v>
      </c>
      <c r="F4842" s="22" t="s">
        <v>14</v>
      </c>
      <c r="G4842" s="22" t="s">
        <v>15</v>
      </c>
    </row>
    <row r="4843" ht="15.15" spans="1:7">
      <c r="A4843" s="20">
        <v>4842</v>
      </c>
      <c r="B4843" s="20">
        <v>9785</v>
      </c>
      <c r="C4843" s="21">
        <v>45057</v>
      </c>
      <c r="D4843" s="20">
        <v>3340.8</v>
      </c>
      <c r="E4843" s="22" t="s">
        <v>10</v>
      </c>
      <c r="F4843" s="22" t="s">
        <v>14</v>
      </c>
      <c r="G4843" s="22" t="s">
        <v>15</v>
      </c>
    </row>
    <row r="4844" ht="15.15" spans="1:7">
      <c r="A4844" s="20">
        <v>4843</v>
      </c>
      <c r="B4844" s="20">
        <v>9534</v>
      </c>
      <c r="C4844" s="21">
        <v>45121</v>
      </c>
      <c r="D4844" s="20">
        <v>1966.53</v>
      </c>
      <c r="E4844" s="22" t="s">
        <v>10</v>
      </c>
      <c r="F4844" s="22" t="s">
        <v>18</v>
      </c>
      <c r="G4844" s="22" t="s">
        <v>12</v>
      </c>
    </row>
    <row r="4845" ht="15.15" spans="1:7">
      <c r="A4845" s="20">
        <v>4844</v>
      </c>
      <c r="B4845" s="20">
        <v>8865</v>
      </c>
      <c r="C4845" s="21">
        <v>45151</v>
      </c>
      <c r="D4845" s="20">
        <v>985.96</v>
      </c>
      <c r="E4845" s="22" t="s">
        <v>10</v>
      </c>
      <c r="F4845" s="22" t="s">
        <v>11</v>
      </c>
      <c r="G4845" s="22" t="s">
        <v>12</v>
      </c>
    </row>
    <row r="4846" ht="15.15" spans="1:7">
      <c r="A4846" s="20">
        <v>4845</v>
      </c>
      <c r="B4846" s="20">
        <v>4513</v>
      </c>
      <c r="C4846" s="21">
        <v>45117</v>
      </c>
      <c r="D4846" s="20">
        <v>2032.04</v>
      </c>
      <c r="E4846" s="22" t="s">
        <v>10</v>
      </c>
      <c r="F4846" s="22" t="s">
        <v>16</v>
      </c>
      <c r="G4846" s="22" t="s">
        <v>12</v>
      </c>
    </row>
    <row r="4847" ht="15.15" spans="1:7">
      <c r="A4847" s="20">
        <v>4846</v>
      </c>
      <c r="B4847" s="20">
        <v>4940</v>
      </c>
      <c r="C4847" s="21">
        <v>45193</v>
      </c>
      <c r="D4847" s="20">
        <v>471.55</v>
      </c>
      <c r="E4847" s="22" t="s">
        <v>10</v>
      </c>
      <c r="F4847" s="22" t="s">
        <v>13</v>
      </c>
      <c r="G4847" s="22" t="s">
        <v>17</v>
      </c>
    </row>
    <row r="4848" ht="15.15" spans="1:7">
      <c r="A4848" s="20">
        <v>4847</v>
      </c>
      <c r="B4848" s="20">
        <v>1295</v>
      </c>
      <c r="C4848" s="21">
        <v>45156</v>
      </c>
      <c r="D4848" s="20">
        <v>628.59</v>
      </c>
      <c r="E4848" s="22" t="s">
        <v>10</v>
      </c>
      <c r="F4848" s="22" t="s">
        <v>16</v>
      </c>
      <c r="G4848" s="22" t="s">
        <v>20</v>
      </c>
    </row>
    <row r="4849" ht="15.15" spans="1:7">
      <c r="A4849" s="20">
        <v>4848</v>
      </c>
      <c r="B4849" s="20">
        <v>9028</v>
      </c>
      <c r="C4849" s="21">
        <v>45191</v>
      </c>
      <c r="D4849" s="20">
        <v>910.47</v>
      </c>
      <c r="E4849" s="22" t="s">
        <v>21</v>
      </c>
      <c r="F4849" s="22" t="s">
        <v>13</v>
      </c>
      <c r="G4849" s="22" t="s">
        <v>20</v>
      </c>
    </row>
    <row r="4850" ht="15.15" spans="1:7">
      <c r="A4850" s="20">
        <v>4849</v>
      </c>
      <c r="B4850" s="20">
        <v>9586</v>
      </c>
      <c r="C4850" s="21">
        <v>45018</v>
      </c>
      <c r="D4850" s="20">
        <v>1841.64</v>
      </c>
      <c r="E4850" s="22" t="s">
        <v>10</v>
      </c>
      <c r="F4850" s="22" t="s">
        <v>11</v>
      </c>
      <c r="G4850" s="22" t="s">
        <v>15</v>
      </c>
    </row>
    <row r="4851" ht="15.15" spans="1:7">
      <c r="A4851" s="20">
        <v>4850</v>
      </c>
      <c r="B4851" s="20">
        <v>594</v>
      </c>
      <c r="C4851" s="21">
        <v>45096</v>
      </c>
      <c r="D4851" s="20">
        <v>299.56</v>
      </c>
      <c r="E4851" s="22" t="s">
        <v>10</v>
      </c>
      <c r="F4851" s="22" t="s">
        <v>18</v>
      </c>
      <c r="G4851" s="22" t="s">
        <v>12</v>
      </c>
    </row>
    <row r="4852" ht="15.15" spans="1:7">
      <c r="A4852" s="20">
        <v>4851</v>
      </c>
      <c r="B4852" s="20">
        <v>2314</v>
      </c>
      <c r="C4852" s="21">
        <v>45119</v>
      </c>
      <c r="D4852" s="20">
        <v>580</v>
      </c>
      <c r="E4852" s="22" t="s">
        <v>10</v>
      </c>
      <c r="F4852" s="22" t="s">
        <v>16</v>
      </c>
      <c r="G4852" s="22" t="s">
        <v>17</v>
      </c>
    </row>
    <row r="4853" ht="15.15" spans="1:7">
      <c r="A4853" s="20">
        <v>4852</v>
      </c>
      <c r="B4853" s="20">
        <v>7658</v>
      </c>
      <c r="C4853" s="21">
        <v>45271</v>
      </c>
      <c r="D4853" s="20">
        <v>2466.97</v>
      </c>
      <c r="E4853" s="22" t="s">
        <v>10</v>
      </c>
      <c r="F4853" s="22" t="s">
        <v>16</v>
      </c>
      <c r="G4853" s="22" t="s">
        <v>12</v>
      </c>
    </row>
    <row r="4854" ht="15.15" spans="1:7">
      <c r="A4854" s="20">
        <v>4853</v>
      </c>
      <c r="B4854" s="20">
        <v>2795</v>
      </c>
      <c r="C4854" s="21">
        <v>45232</v>
      </c>
      <c r="D4854" s="20">
        <v>1016.02</v>
      </c>
      <c r="E4854" s="22" t="s">
        <v>10</v>
      </c>
      <c r="F4854" s="22" t="s">
        <v>14</v>
      </c>
      <c r="G4854" s="22" t="s">
        <v>20</v>
      </c>
    </row>
    <row r="4855" ht="15.15" spans="1:7">
      <c r="A4855" s="20">
        <v>4854</v>
      </c>
      <c r="B4855" s="20">
        <v>534</v>
      </c>
      <c r="C4855" s="21">
        <v>45287</v>
      </c>
      <c r="D4855" s="20">
        <v>201.88</v>
      </c>
      <c r="E4855" s="22" t="s">
        <v>10</v>
      </c>
      <c r="F4855" s="22" t="s">
        <v>11</v>
      </c>
      <c r="G4855" s="22" t="s">
        <v>15</v>
      </c>
    </row>
    <row r="4856" ht="15.15" spans="1:7">
      <c r="A4856" s="20">
        <v>4855</v>
      </c>
      <c r="B4856" s="20">
        <v>8824</v>
      </c>
      <c r="C4856" s="21">
        <v>45225</v>
      </c>
      <c r="D4856" s="20">
        <v>1765.05</v>
      </c>
      <c r="E4856" s="22" t="s">
        <v>10</v>
      </c>
      <c r="F4856" s="22" t="s">
        <v>16</v>
      </c>
      <c r="G4856" s="22" t="s">
        <v>17</v>
      </c>
    </row>
    <row r="4857" ht="15.15" spans="1:7">
      <c r="A4857" s="20">
        <v>4856</v>
      </c>
      <c r="B4857" s="20">
        <v>4869</v>
      </c>
      <c r="C4857" s="21">
        <v>45194</v>
      </c>
      <c r="D4857" s="20">
        <v>359.28</v>
      </c>
      <c r="E4857" s="22" t="s">
        <v>10</v>
      </c>
      <c r="F4857" s="22" t="s">
        <v>16</v>
      </c>
      <c r="G4857" s="22" t="s">
        <v>15</v>
      </c>
    </row>
    <row r="4858" ht="15.15" spans="1:7">
      <c r="A4858" s="20">
        <v>4857</v>
      </c>
      <c r="B4858" s="20">
        <v>8043</v>
      </c>
      <c r="C4858" s="21">
        <v>45159</v>
      </c>
      <c r="D4858" s="20">
        <v>579.6</v>
      </c>
      <c r="E4858" s="22" t="s">
        <v>10</v>
      </c>
      <c r="F4858" s="22" t="s">
        <v>14</v>
      </c>
      <c r="G4858" s="22" t="s">
        <v>17</v>
      </c>
    </row>
    <row r="4859" ht="15.15" spans="1:7">
      <c r="A4859" s="20">
        <v>4858</v>
      </c>
      <c r="B4859" s="20">
        <v>8284</v>
      </c>
      <c r="C4859" s="21">
        <v>45196</v>
      </c>
      <c r="D4859" s="20">
        <v>211.3</v>
      </c>
      <c r="E4859" s="22" t="s">
        <v>10</v>
      </c>
      <c r="F4859" s="22" t="s">
        <v>11</v>
      </c>
      <c r="G4859" s="22" t="s">
        <v>17</v>
      </c>
    </row>
    <row r="4860" ht="15.15" spans="1:7">
      <c r="A4860" s="20">
        <v>4859</v>
      </c>
      <c r="B4860" s="20">
        <v>115</v>
      </c>
      <c r="C4860" s="21">
        <v>45221</v>
      </c>
      <c r="D4860" s="20">
        <v>4996.54</v>
      </c>
      <c r="E4860" s="22" t="s">
        <v>22</v>
      </c>
      <c r="F4860" s="22" t="s">
        <v>11</v>
      </c>
      <c r="G4860" s="22" t="s">
        <v>15</v>
      </c>
    </row>
    <row r="4861" ht="15.15" spans="1:7">
      <c r="A4861" s="20">
        <v>4860</v>
      </c>
      <c r="B4861" s="20">
        <v>3891</v>
      </c>
      <c r="C4861" s="21">
        <v>44953</v>
      </c>
      <c r="D4861" s="20">
        <v>3368.97</v>
      </c>
      <c r="E4861" s="22" t="s">
        <v>10</v>
      </c>
      <c r="F4861" s="22" t="s">
        <v>14</v>
      </c>
      <c r="G4861" s="22" t="s">
        <v>12</v>
      </c>
    </row>
    <row r="4862" ht="15.15" spans="1:7">
      <c r="A4862" s="20">
        <v>4861</v>
      </c>
      <c r="B4862" s="20">
        <v>3943</v>
      </c>
      <c r="C4862" s="21">
        <v>45280</v>
      </c>
      <c r="D4862" s="20">
        <v>1008.02</v>
      </c>
      <c r="E4862" s="22" t="s">
        <v>10</v>
      </c>
      <c r="F4862" s="22" t="s">
        <v>14</v>
      </c>
      <c r="G4862" s="22" t="s">
        <v>12</v>
      </c>
    </row>
    <row r="4863" ht="15.15" spans="1:7">
      <c r="A4863" s="20">
        <v>4862</v>
      </c>
      <c r="B4863" s="20">
        <v>1192</v>
      </c>
      <c r="C4863" s="21">
        <v>45237</v>
      </c>
      <c r="D4863" s="20">
        <v>1203.74</v>
      </c>
      <c r="E4863" s="22" t="s">
        <v>10</v>
      </c>
      <c r="F4863" s="22" t="s">
        <v>13</v>
      </c>
      <c r="G4863" s="22" t="s">
        <v>17</v>
      </c>
    </row>
    <row r="4864" ht="15.15" spans="1:7">
      <c r="A4864" s="20">
        <v>4863</v>
      </c>
      <c r="B4864" s="20">
        <v>1107</v>
      </c>
      <c r="C4864" s="21">
        <v>45083</v>
      </c>
      <c r="D4864" s="20">
        <v>364.61</v>
      </c>
      <c r="E4864" s="22" t="s">
        <v>10</v>
      </c>
      <c r="F4864" s="22" t="s">
        <v>11</v>
      </c>
      <c r="G4864" s="22" t="s">
        <v>15</v>
      </c>
    </row>
    <row r="4865" ht="15.15" spans="1:7">
      <c r="A4865" s="20">
        <v>4864</v>
      </c>
      <c r="B4865" s="20">
        <v>7352</v>
      </c>
      <c r="C4865" s="21">
        <v>45231</v>
      </c>
      <c r="D4865" s="20">
        <v>918.24</v>
      </c>
      <c r="E4865" s="22" t="s">
        <v>10</v>
      </c>
      <c r="F4865" s="22" t="s">
        <v>18</v>
      </c>
      <c r="G4865" s="22" t="s">
        <v>17</v>
      </c>
    </row>
    <row r="4866" ht="15.15" spans="1:7">
      <c r="A4866" s="20">
        <v>4865</v>
      </c>
      <c r="B4866" s="20">
        <v>2604</v>
      </c>
      <c r="C4866" s="21">
        <v>44948</v>
      </c>
      <c r="D4866" s="20">
        <v>578.97</v>
      </c>
      <c r="E4866" s="22" t="s">
        <v>10</v>
      </c>
      <c r="F4866" s="22" t="s">
        <v>14</v>
      </c>
      <c r="G4866" s="22" t="s">
        <v>12</v>
      </c>
    </row>
    <row r="4867" ht="15.15" spans="1:7">
      <c r="A4867" s="20">
        <v>4866</v>
      </c>
      <c r="B4867" s="20">
        <v>7882</v>
      </c>
      <c r="C4867" s="21">
        <v>45153</v>
      </c>
      <c r="D4867" s="20">
        <v>159.37</v>
      </c>
      <c r="E4867" s="22" t="s">
        <v>10</v>
      </c>
      <c r="F4867" s="22" t="s">
        <v>14</v>
      </c>
      <c r="G4867" s="22" t="s">
        <v>20</v>
      </c>
    </row>
    <row r="4868" ht="15.15" spans="1:7">
      <c r="A4868" s="20">
        <v>4867</v>
      </c>
      <c r="B4868" s="20">
        <v>1686</v>
      </c>
      <c r="C4868" s="21">
        <v>45246</v>
      </c>
      <c r="D4868" s="20">
        <v>1592.33</v>
      </c>
      <c r="E4868" s="22" t="s">
        <v>10</v>
      </c>
      <c r="F4868" s="22" t="s">
        <v>14</v>
      </c>
      <c r="G4868" s="22" t="s">
        <v>17</v>
      </c>
    </row>
    <row r="4869" ht="15.15" spans="1:7">
      <c r="A4869" s="20">
        <v>4868</v>
      </c>
      <c r="B4869" s="20">
        <v>2929</v>
      </c>
      <c r="C4869" s="21">
        <v>45207</v>
      </c>
      <c r="D4869" s="20">
        <v>1266.81</v>
      </c>
      <c r="E4869" s="22" t="s">
        <v>10</v>
      </c>
      <c r="F4869" s="22" t="s">
        <v>18</v>
      </c>
      <c r="G4869" s="22" t="s">
        <v>12</v>
      </c>
    </row>
    <row r="4870" ht="15.15" spans="1:7">
      <c r="A4870" s="20">
        <v>4869</v>
      </c>
      <c r="B4870" s="20">
        <v>4985</v>
      </c>
      <c r="C4870" s="21">
        <v>45061</v>
      </c>
      <c r="D4870" s="20">
        <v>762.88</v>
      </c>
      <c r="E4870" s="22" t="s">
        <v>10</v>
      </c>
      <c r="F4870" s="22" t="s">
        <v>16</v>
      </c>
      <c r="G4870" s="22" t="s">
        <v>20</v>
      </c>
    </row>
    <row r="4871" ht="15.15" spans="1:7">
      <c r="A4871" s="20">
        <v>4870</v>
      </c>
      <c r="B4871" s="20">
        <v>4050</v>
      </c>
      <c r="C4871" s="21">
        <v>44969</v>
      </c>
      <c r="D4871" s="20">
        <v>2161.78</v>
      </c>
      <c r="E4871" s="22" t="s">
        <v>10</v>
      </c>
      <c r="F4871" s="22" t="s">
        <v>11</v>
      </c>
      <c r="G4871" s="22" t="s">
        <v>17</v>
      </c>
    </row>
    <row r="4872" ht="15.15" spans="1:7">
      <c r="A4872" s="20">
        <v>4871</v>
      </c>
      <c r="B4872" s="20">
        <v>5449</v>
      </c>
      <c r="C4872" s="21">
        <v>45106</v>
      </c>
      <c r="D4872" s="20">
        <v>2370.67</v>
      </c>
      <c r="E4872" s="22" t="s">
        <v>10</v>
      </c>
      <c r="F4872" s="22" t="s">
        <v>13</v>
      </c>
      <c r="G4872" s="22" t="s">
        <v>20</v>
      </c>
    </row>
    <row r="4873" ht="15.15" spans="1:7">
      <c r="A4873" s="20">
        <v>4872</v>
      </c>
      <c r="B4873" s="20">
        <v>890</v>
      </c>
      <c r="C4873" s="21">
        <v>44941</v>
      </c>
      <c r="D4873" s="20">
        <v>1311.28</v>
      </c>
      <c r="E4873" s="22" t="s">
        <v>10</v>
      </c>
      <c r="F4873" s="22" t="s">
        <v>14</v>
      </c>
      <c r="G4873" s="22" t="s">
        <v>20</v>
      </c>
    </row>
    <row r="4874" ht="15.15" spans="1:7">
      <c r="A4874" s="20">
        <v>4873</v>
      </c>
      <c r="B4874" s="20">
        <v>2431</v>
      </c>
      <c r="C4874" s="21">
        <v>45090</v>
      </c>
      <c r="D4874" s="20">
        <v>439.4</v>
      </c>
      <c r="E4874" s="22" t="s">
        <v>10</v>
      </c>
      <c r="F4874" s="22" t="s">
        <v>14</v>
      </c>
      <c r="G4874" s="22" t="s">
        <v>20</v>
      </c>
    </row>
    <row r="4875" ht="15.15" spans="1:7">
      <c r="A4875" s="20">
        <v>4874</v>
      </c>
      <c r="B4875" s="20">
        <v>703</v>
      </c>
      <c r="C4875" s="21">
        <v>45165</v>
      </c>
      <c r="D4875" s="20">
        <v>1153.5</v>
      </c>
      <c r="E4875" s="22" t="s">
        <v>10</v>
      </c>
      <c r="F4875" s="22" t="s">
        <v>11</v>
      </c>
      <c r="G4875" s="22" t="s">
        <v>15</v>
      </c>
    </row>
    <row r="4876" ht="15.15" spans="1:7">
      <c r="A4876" s="20">
        <v>4875</v>
      </c>
      <c r="B4876" s="20">
        <v>4953</v>
      </c>
      <c r="C4876" s="21">
        <v>45062</v>
      </c>
      <c r="D4876" s="20">
        <v>84.52</v>
      </c>
      <c r="E4876" s="22" t="s">
        <v>10</v>
      </c>
      <c r="F4876" s="22" t="s">
        <v>11</v>
      </c>
      <c r="G4876" s="22" t="s">
        <v>15</v>
      </c>
    </row>
    <row r="4877" ht="15.15" spans="1:7">
      <c r="A4877" s="20">
        <v>4876</v>
      </c>
      <c r="B4877" s="20">
        <v>1331</v>
      </c>
      <c r="C4877" s="21">
        <v>45231</v>
      </c>
      <c r="D4877" s="20">
        <v>2515.92</v>
      </c>
      <c r="E4877" s="22" t="s">
        <v>10</v>
      </c>
      <c r="F4877" s="22" t="s">
        <v>16</v>
      </c>
      <c r="G4877" s="22" t="s">
        <v>20</v>
      </c>
    </row>
    <row r="4878" ht="15.15" spans="1:7">
      <c r="A4878" s="20">
        <v>4877</v>
      </c>
      <c r="B4878" s="20">
        <v>4639</v>
      </c>
      <c r="C4878" s="21">
        <v>45238</v>
      </c>
      <c r="D4878" s="20">
        <v>347.93</v>
      </c>
      <c r="E4878" s="22" t="s">
        <v>10</v>
      </c>
      <c r="F4878" s="22" t="s">
        <v>14</v>
      </c>
      <c r="G4878" s="22" t="s">
        <v>12</v>
      </c>
    </row>
    <row r="4879" ht="15.15" spans="1:7">
      <c r="A4879" s="20">
        <v>4878</v>
      </c>
      <c r="B4879" s="20">
        <v>8980</v>
      </c>
      <c r="C4879" s="21">
        <v>45261</v>
      </c>
      <c r="D4879" s="20">
        <v>1095.62</v>
      </c>
      <c r="E4879" s="22" t="s">
        <v>10</v>
      </c>
      <c r="F4879" s="22" t="s">
        <v>11</v>
      </c>
      <c r="G4879" s="22" t="s">
        <v>17</v>
      </c>
    </row>
    <row r="4880" ht="15.15" spans="1:7">
      <c r="A4880" s="20">
        <v>4879</v>
      </c>
      <c r="B4880" s="20">
        <v>2189</v>
      </c>
      <c r="C4880" s="21">
        <v>45217</v>
      </c>
      <c r="D4880" s="20">
        <v>529.39</v>
      </c>
      <c r="E4880" s="22" t="s">
        <v>10</v>
      </c>
      <c r="F4880" s="22" t="s">
        <v>14</v>
      </c>
      <c r="G4880" s="22" t="s">
        <v>15</v>
      </c>
    </row>
    <row r="4881" ht="15.15" spans="1:7">
      <c r="A4881" s="20">
        <v>4880</v>
      </c>
      <c r="B4881" s="20">
        <v>2368</v>
      </c>
      <c r="C4881" s="21">
        <v>45275</v>
      </c>
      <c r="D4881" s="20">
        <v>436.2</v>
      </c>
      <c r="E4881" s="22" t="s">
        <v>10</v>
      </c>
      <c r="F4881" s="22" t="s">
        <v>14</v>
      </c>
      <c r="G4881" s="22" t="s">
        <v>17</v>
      </c>
    </row>
    <row r="4882" ht="15.15" spans="1:7">
      <c r="A4882" s="20">
        <v>4881</v>
      </c>
      <c r="B4882" s="20">
        <v>7562</v>
      </c>
      <c r="C4882" s="21">
        <v>45283</v>
      </c>
      <c r="D4882" s="20">
        <v>1001.61</v>
      </c>
      <c r="E4882" s="22" t="s">
        <v>10</v>
      </c>
      <c r="F4882" s="22" t="s">
        <v>14</v>
      </c>
      <c r="G4882" s="22" t="s">
        <v>15</v>
      </c>
    </row>
    <row r="4883" ht="15.15" spans="1:7">
      <c r="A4883" s="20">
        <v>4882</v>
      </c>
      <c r="B4883" s="20">
        <v>2575</v>
      </c>
      <c r="C4883" s="21">
        <v>45201</v>
      </c>
      <c r="D4883" s="20">
        <v>240.57</v>
      </c>
      <c r="E4883" s="22" t="s">
        <v>10</v>
      </c>
      <c r="F4883" s="22" t="s">
        <v>18</v>
      </c>
      <c r="G4883" s="22" t="s">
        <v>12</v>
      </c>
    </row>
    <row r="4884" ht="15.15" spans="1:7">
      <c r="A4884" s="20">
        <v>4883</v>
      </c>
      <c r="B4884" s="20">
        <v>3379</v>
      </c>
      <c r="C4884" s="21">
        <v>45108</v>
      </c>
      <c r="D4884" s="20">
        <v>1574.87</v>
      </c>
      <c r="E4884" s="22" t="s">
        <v>10</v>
      </c>
      <c r="F4884" s="22" t="s">
        <v>13</v>
      </c>
      <c r="G4884" s="22" t="s">
        <v>15</v>
      </c>
    </row>
    <row r="4885" ht="15.15" spans="1:7">
      <c r="A4885" s="20">
        <v>4884</v>
      </c>
      <c r="B4885" s="20">
        <v>8801</v>
      </c>
      <c r="C4885" s="21">
        <v>45131</v>
      </c>
      <c r="D4885" s="20">
        <v>788.34</v>
      </c>
      <c r="E4885" s="22" t="s">
        <v>10</v>
      </c>
      <c r="F4885" s="22" t="s">
        <v>16</v>
      </c>
      <c r="G4885" s="22" t="s">
        <v>17</v>
      </c>
    </row>
    <row r="4886" ht="15.15" spans="1:7">
      <c r="A4886" s="20">
        <v>4885</v>
      </c>
      <c r="B4886" s="20">
        <v>2955</v>
      </c>
      <c r="C4886" s="21">
        <v>45240</v>
      </c>
      <c r="D4886" s="20">
        <v>1333.04</v>
      </c>
      <c r="E4886" s="22" t="s">
        <v>10</v>
      </c>
      <c r="F4886" s="22" t="s">
        <v>14</v>
      </c>
      <c r="G4886" s="22" t="s">
        <v>15</v>
      </c>
    </row>
    <row r="4887" ht="15.15" spans="1:7">
      <c r="A4887" s="20">
        <v>4886</v>
      </c>
      <c r="B4887" s="20">
        <v>1686</v>
      </c>
      <c r="C4887" s="21">
        <v>45195</v>
      </c>
      <c r="D4887" s="20">
        <v>1221.56</v>
      </c>
      <c r="E4887" s="22" t="s">
        <v>10</v>
      </c>
      <c r="F4887" s="22" t="s">
        <v>14</v>
      </c>
      <c r="G4887" s="22" t="s">
        <v>15</v>
      </c>
    </row>
    <row r="4888" ht="15.15" spans="1:7">
      <c r="A4888" s="20">
        <v>4887</v>
      </c>
      <c r="B4888" s="20">
        <v>6199</v>
      </c>
      <c r="C4888" s="21">
        <v>45226</v>
      </c>
      <c r="D4888" s="20">
        <v>475.16</v>
      </c>
      <c r="E4888" s="22" t="s">
        <v>10</v>
      </c>
      <c r="F4888" s="22" t="s">
        <v>11</v>
      </c>
      <c r="G4888" s="22" t="s">
        <v>15</v>
      </c>
    </row>
    <row r="4889" ht="15.15" spans="1:7">
      <c r="A4889" s="20">
        <v>4888</v>
      </c>
      <c r="B4889" s="20">
        <v>5793</v>
      </c>
      <c r="C4889" s="21">
        <v>45217</v>
      </c>
      <c r="D4889" s="20">
        <v>1720.28</v>
      </c>
      <c r="E4889" s="22" t="s">
        <v>10</v>
      </c>
      <c r="F4889" s="22" t="s">
        <v>18</v>
      </c>
      <c r="G4889" s="22" t="s">
        <v>20</v>
      </c>
    </row>
    <row r="4890" ht="15.15" spans="1:7">
      <c r="A4890" s="20">
        <v>4889</v>
      </c>
      <c r="B4890" s="20">
        <v>983</v>
      </c>
      <c r="C4890" s="21">
        <v>44934</v>
      </c>
      <c r="D4890" s="20">
        <v>1700.93</v>
      </c>
      <c r="E4890" s="22" t="s">
        <v>10</v>
      </c>
      <c r="F4890" s="22" t="s">
        <v>16</v>
      </c>
      <c r="G4890" s="22" t="s">
        <v>20</v>
      </c>
    </row>
    <row r="4891" ht="15.15" spans="1:7">
      <c r="A4891" s="20">
        <v>4890</v>
      </c>
      <c r="B4891" s="20">
        <v>1016</v>
      </c>
      <c r="C4891" s="21">
        <v>45163</v>
      </c>
      <c r="D4891" s="20">
        <v>4406.97</v>
      </c>
      <c r="E4891" s="22" t="s">
        <v>10</v>
      </c>
      <c r="F4891" s="22" t="s">
        <v>11</v>
      </c>
      <c r="G4891" s="22" t="s">
        <v>17</v>
      </c>
    </row>
    <row r="4892" ht="15.15" spans="1:7">
      <c r="A4892" s="20">
        <v>4891</v>
      </c>
      <c r="B4892" s="20">
        <v>1983</v>
      </c>
      <c r="C4892" s="21">
        <v>45192</v>
      </c>
      <c r="D4892" s="20">
        <v>996.68</v>
      </c>
      <c r="E4892" s="22" t="s">
        <v>10</v>
      </c>
      <c r="F4892" s="22" t="s">
        <v>18</v>
      </c>
      <c r="G4892" s="22" t="s">
        <v>17</v>
      </c>
    </row>
    <row r="4893" ht="15.15" spans="1:7">
      <c r="A4893" s="20">
        <v>4892</v>
      </c>
      <c r="B4893" s="20">
        <v>3764</v>
      </c>
      <c r="C4893" s="21">
        <v>45238</v>
      </c>
      <c r="D4893" s="20">
        <v>1629.76</v>
      </c>
      <c r="E4893" s="22" t="s">
        <v>10</v>
      </c>
      <c r="F4893" s="22" t="s">
        <v>14</v>
      </c>
      <c r="G4893" s="22" t="s">
        <v>20</v>
      </c>
    </row>
    <row r="4894" ht="15.15" spans="1:7">
      <c r="A4894" s="20">
        <v>4893</v>
      </c>
      <c r="B4894" s="20">
        <v>3741</v>
      </c>
      <c r="C4894" s="21">
        <v>45055</v>
      </c>
      <c r="D4894" s="20">
        <v>1016.65</v>
      </c>
      <c r="E4894" s="22" t="s">
        <v>10</v>
      </c>
      <c r="F4894" s="22" t="s">
        <v>16</v>
      </c>
      <c r="G4894" s="22" t="s">
        <v>12</v>
      </c>
    </row>
    <row r="4895" ht="15.15" spans="1:7">
      <c r="A4895" s="20">
        <v>4894</v>
      </c>
      <c r="B4895" s="20">
        <v>9537</v>
      </c>
      <c r="C4895" s="21">
        <v>45039</v>
      </c>
      <c r="D4895" s="20">
        <v>1839.16</v>
      </c>
      <c r="E4895" s="22" t="s">
        <v>10</v>
      </c>
      <c r="F4895" s="22" t="s">
        <v>16</v>
      </c>
      <c r="G4895" s="22" t="s">
        <v>15</v>
      </c>
    </row>
    <row r="4896" ht="15.15" spans="1:7">
      <c r="A4896" s="20">
        <v>4895</v>
      </c>
      <c r="B4896" s="20">
        <v>4019</v>
      </c>
      <c r="C4896" s="21">
        <v>45051</v>
      </c>
      <c r="D4896" s="20">
        <v>128.31</v>
      </c>
      <c r="E4896" s="22" t="s">
        <v>10</v>
      </c>
      <c r="F4896" s="22" t="s">
        <v>18</v>
      </c>
      <c r="G4896" s="22" t="s">
        <v>20</v>
      </c>
    </row>
    <row r="4897" ht="15.15" spans="1:7">
      <c r="A4897" s="20">
        <v>4896</v>
      </c>
      <c r="B4897" s="20">
        <v>2940</v>
      </c>
      <c r="C4897" s="21">
        <v>45261</v>
      </c>
      <c r="D4897" s="20">
        <v>1077.28</v>
      </c>
      <c r="E4897" s="22" t="s">
        <v>10</v>
      </c>
      <c r="F4897" s="22" t="s">
        <v>11</v>
      </c>
      <c r="G4897" s="22" t="s">
        <v>17</v>
      </c>
    </row>
    <row r="4898" ht="15.15" spans="1:7">
      <c r="A4898" s="20">
        <v>4897</v>
      </c>
      <c r="B4898" s="20">
        <v>6508</v>
      </c>
      <c r="C4898" s="21">
        <v>45172</v>
      </c>
      <c r="D4898" s="20">
        <v>1520.71</v>
      </c>
      <c r="E4898" s="22" t="s">
        <v>10</v>
      </c>
      <c r="F4898" s="22" t="s">
        <v>16</v>
      </c>
      <c r="G4898" s="22" t="s">
        <v>17</v>
      </c>
    </row>
    <row r="4899" ht="15.15" spans="1:7">
      <c r="A4899" s="20">
        <v>4898</v>
      </c>
      <c r="B4899" s="20">
        <v>7885</v>
      </c>
      <c r="C4899" s="21">
        <v>45288</v>
      </c>
      <c r="D4899" s="20">
        <v>3503.08</v>
      </c>
      <c r="E4899" s="22" t="s">
        <v>10</v>
      </c>
      <c r="F4899" s="22" t="s">
        <v>11</v>
      </c>
      <c r="G4899" s="22" t="s">
        <v>12</v>
      </c>
    </row>
    <row r="4900" ht="15.15" spans="1:7">
      <c r="A4900" s="20">
        <v>4899</v>
      </c>
      <c r="B4900" s="20">
        <v>7005</v>
      </c>
      <c r="C4900" s="21">
        <v>45040</v>
      </c>
      <c r="D4900" s="20">
        <v>1828.18</v>
      </c>
      <c r="E4900" s="22" t="s">
        <v>10</v>
      </c>
      <c r="F4900" s="22" t="s">
        <v>14</v>
      </c>
      <c r="G4900" s="22" t="s">
        <v>17</v>
      </c>
    </row>
    <row r="4901" ht="15.15" spans="1:7">
      <c r="A4901" s="20">
        <v>4900</v>
      </c>
      <c r="B4901" s="20">
        <v>4788</v>
      </c>
      <c r="C4901" s="21">
        <v>45063</v>
      </c>
      <c r="D4901" s="20">
        <v>1257.96</v>
      </c>
      <c r="E4901" s="22" t="s">
        <v>10</v>
      </c>
      <c r="F4901" s="22" t="s">
        <v>18</v>
      </c>
      <c r="G4901" s="22" t="s">
        <v>15</v>
      </c>
    </row>
    <row r="4902" ht="15.15" spans="1:7">
      <c r="A4902" s="20">
        <v>4901</v>
      </c>
      <c r="B4902" s="20">
        <v>23</v>
      </c>
      <c r="C4902" s="21">
        <v>45183</v>
      </c>
      <c r="D4902" s="20">
        <v>245.09</v>
      </c>
      <c r="E4902" s="22" t="s">
        <v>21</v>
      </c>
      <c r="F4902" s="22" t="s">
        <v>13</v>
      </c>
      <c r="G4902" s="22" t="s">
        <v>20</v>
      </c>
    </row>
    <row r="4903" ht="15.15" spans="1:7">
      <c r="A4903" s="20">
        <v>4902</v>
      </c>
      <c r="B4903" s="20">
        <v>7187</v>
      </c>
      <c r="C4903" s="21">
        <v>45060</v>
      </c>
      <c r="D4903" s="20">
        <v>2096.57</v>
      </c>
      <c r="E4903" s="22" t="s">
        <v>10</v>
      </c>
      <c r="F4903" s="22" t="s">
        <v>11</v>
      </c>
      <c r="G4903" s="22" t="s">
        <v>15</v>
      </c>
    </row>
    <row r="4904" ht="15.15" spans="1:7">
      <c r="A4904" s="20">
        <v>4903</v>
      </c>
      <c r="B4904" s="20">
        <v>5512</v>
      </c>
      <c r="C4904" s="21">
        <v>45007</v>
      </c>
      <c r="D4904" s="20">
        <v>1786.37</v>
      </c>
      <c r="E4904" s="22" t="s">
        <v>10</v>
      </c>
      <c r="F4904" s="22" t="s">
        <v>16</v>
      </c>
      <c r="G4904" s="22" t="s">
        <v>20</v>
      </c>
    </row>
    <row r="4905" ht="15.15" spans="1:7">
      <c r="A4905" s="20">
        <v>4904</v>
      </c>
      <c r="B4905" s="20">
        <v>3281</v>
      </c>
      <c r="C4905" s="21">
        <v>45203</v>
      </c>
      <c r="D4905" s="20">
        <v>539.1</v>
      </c>
      <c r="E4905" s="22" t="s">
        <v>10</v>
      </c>
      <c r="F4905" s="22" t="s">
        <v>14</v>
      </c>
      <c r="G4905" s="22" t="s">
        <v>15</v>
      </c>
    </row>
    <row r="4906" ht="15.15" spans="1:7">
      <c r="A4906" s="20">
        <v>4905</v>
      </c>
      <c r="B4906" s="20">
        <v>2671</v>
      </c>
      <c r="C4906" s="21">
        <v>44934</v>
      </c>
      <c r="D4906" s="20">
        <v>729.22</v>
      </c>
      <c r="E4906" s="22" t="s">
        <v>10</v>
      </c>
      <c r="F4906" s="22" t="s">
        <v>11</v>
      </c>
      <c r="G4906" s="22" t="s">
        <v>20</v>
      </c>
    </row>
    <row r="4907" ht="15.15" spans="1:7">
      <c r="A4907" s="20">
        <v>4906</v>
      </c>
      <c r="B4907" s="20">
        <v>2073</v>
      </c>
      <c r="C4907" s="21">
        <v>45111</v>
      </c>
      <c r="D4907" s="20">
        <v>1745.59</v>
      </c>
      <c r="E4907" s="22" t="s">
        <v>10</v>
      </c>
      <c r="F4907" s="22" t="s">
        <v>16</v>
      </c>
      <c r="G4907" s="22" t="s">
        <v>12</v>
      </c>
    </row>
    <row r="4908" ht="15.15" spans="1:7">
      <c r="A4908" s="20">
        <v>4907</v>
      </c>
      <c r="B4908" s="20">
        <v>764</v>
      </c>
      <c r="C4908" s="21">
        <v>45207</v>
      </c>
      <c r="D4908" s="20">
        <v>1356.19</v>
      </c>
      <c r="E4908" s="22" t="s">
        <v>22</v>
      </c>
      <c r="F4908" s="22" t="s">
        <v>11</v>
      </c>
      <c r="G4908" s="22" t="s">
        <v>17</v>
      </c>
    </row>
    <row r="4909" ht="15.15" spans="1:7">
      <c r="A4909" s="20">
        <v>4908</v>
      </c>
      <c r="B4909" s="20">
        <v>6372</v>
      </c>
      <c r="C4909" s="21">
        <v>45268</v>
      </c>
      <c r="D4909" s="20">
        <v>5085.27</v>
      </c>
      <c r="E4909" s="22" t="s">
        <v>10</v>
      </c>
      <c r="F4909" s="22" t="s">
        <v>16</v>
      </c>
      <c r="G4909" s="22" t="s">
        <v>20</v>
      </c>
    </row>
    <row r="4910" ht="15.15" spans="1:7">
      <c r="A4910" s="20">
        <v>4909</v>
      </c>
      <c r="B4910" s="20">
        <v>7531</v>
      </c>
      <c r="C4910" s="21">
        <v>44955</v>
      </c>
      <c r="D4910" s="20">
        <v>594.37</v>
      </c>
      <c r="E4910" s="22" t="s">
        <v>10</v>
      </c>
      <c r="F4910" s="22" t="s">
        <v>13</v>
      </c>
      <c r="G4910" s="22" t="s">
        <v>12</v>
      </c>
    </row>
    <row r="4911" ht="15.15" spans="1:7">
      <c r="A4911" s="20">
        <v>4910</v>
      </c>
      <c r="B4911" s="20">
        <v>3292</v>
      </c>
      <c r="C4911" s="21">
        <v>45011</v>
      </c>
      <c r="D4911" s="20">
        <v>3924.12</v>
      </c>
      <c r="E4911" s="22" t="s">
        <v>10</v>
      </c>
      <c r="F4911" s="22" t="s">
        <v>16</v>
      </c>
      <c r="G4911" s="22" t="s">
        <v>20</v>
      </c>
    </row>
    <row r="4912" ht="15.15" spans="1:7">
      <c r="A4912" s="20">
        <v>4911</v>
      </c>
      <c r="B4912" s="20">
        <v>4672</v>
      </c>
      <c r="C4912" s="21">
        <v>45208</v>
      </c>
      <c r="D4912" s="20">
        <v>1308.76</v>
      </c>
      <c r="E4912" s="22" t="s">
        <v>10</v>
      </c>
      <c r="F4912" s="22" t="s">
        <v>18</v>
      </c>
      <c r="G4912" s="22" t="s">
        <v>15</v>
      </c>
    </row>
    <row r="4913" ht="15.15" spans="1:7">
      <c r="A4913" s="20">
        <v>4912</v>
      </c>
      <c r="B4913" s="20">
        <v>9201</v>
      </c>
      <c r="C4913" s="21">
        <v>45130</v>
      </c>
      <c r="D4913" s="20">
        <v>1159.25</v>
      </c>
      <c r="E4913" s="22" t="s">
        <v>10</v>
      </c>
      <c r="F4913" s="22" t="s">
        <v>16</v>
      </c>
      <c r="G4913" s="22" t="s">
        <v>15</v>
      </c>
    </row>
    <row r="4914" ht="15.15" spans="1:7">
      <c r="A4914" s="20">
        <v>4913</v>
      </c>
      <c r="B4914" s="20">
        <v>217</v>
      </c>
      <c r="C4914" s="21">
        <v>44950</v>
      </c>
      <c r="D4914" s="20">
        <v>1239.3</v>
      </c>
      <c r="E4914" s="22" t="s">
        <v>10</v>
      </c>
      <c r="F4914" s="22" t="s">
        <v>13</v>
      </c>
      <c r="G4914" s="22" t="s">
        <v>15</v>
      </c>
    </row>
    <row r="4915" ht="15.15" spans="1:7">
      <c r="A4915" s="20">
        <v>4914</v>
      </c>
      <c r="B4915" s="20">
        <v>3510</v>
      </c>
      <c r="C4915" s="21">
        <v>45248</v>
      </c>
      <c r="D4915" s="20">
        <v>899.37</v>
      </c>
      <c r="E4915" s="22" t="s">
        <v>10</v>
      </c>
      <c r="F4915" s="22" t="s">
        <v>16</v>
      </c>
      <c r="G4915" s="22" t="s">
        <v>15</v>
      </c>
    </row>
    <row r="4916" ht="15.15" spans="1:7">
      <c r="A4916" s="20">
        <v>4915</v>
      </c>
      <c r="B4916" s="20">
        <v>8270</v>
      </c>
      <c r="C4916" s="21">
        <v>45276</v>
      </c>
      <c r="D4916" s="20">
        <v>578.97</v>
      </c>
      <c r="E4916" s="22" t="s">
        <v>10</v>
      </c>
      <c r="F4916" s="22" t="s">
        <v>14</v>
      </c>
      <c r="G4916" s="22" t="s">
        <v>15</v>
      </c>
    </row>
    <row r="4917" ht="15.15" spans="1:7">
      <c r="A4917" s="20">
        <v>4916</v>
      </c>
      <c r="B4917" s="20">
        <v>3156</v>
      </c>
      <c r="C4917" s="21">
        <v>44957</v>
      </c>
      <c r="D4917" s="20">
        <v>986.42</v>
      </c>
      <c r="E4917" s="22" t="s">
        <v>10</v>
      </c>
      <c r="F4917" s="22" t="s">
        <v>13</v>
      </c>
      <c r="G4917" s="22" t="s">
        <v>15</v>
      </c>
    </row>
    <row r="4918" ht="15.15" spans="1:7">
      <c r="A4918" s="20">
        <v>4917</v>
      </c>
      <c r="B4918" s="20">
        <v>1392</v>
      </c>
      <c r="C4918" s="21">
        <v>45142</v>
      </c>
      <c r="D4918" s="20">
        <v>315.29</v>
      </c>
      <c r="E4918" s="22" t="s">
        <v>22</v>
      </c>
      <c r="F4918" s="22" t="s">
        <v>14</v>
      </c>
      <c r="G4918" s="22" t="s">
        <v>15</v>
      </c>
    </row>
    <row r="4919" ht="15.15" spans="1:7">
      <c r="A4919" s="20">
        <v>4918</v>
      </c>
      <c r="B4919" s="20">
        <v>5608</v>
      </c>
      <c r="C4919" s="21">
        <v>44965</v>
      </c>
      <c r="D4919" s="20">
        <v>439.45</v>
      </c>
      <c r="E4919" s="22" t="s">
        <v>10</v>
      </c>
      <c r="F4919" s="22" t="s">
        <v>11</v>
      </c>
      <c r="G4919" s="22" t="s">
        <v>17</v>
      </c>
    </row>
    <row r="4920" ht="15.15" spans="1:7">
      <c r="A4920" s="20">
        <v>4919</v>
      </c>
      <c r="B4920" s="20">
        <v>5836</v>
      </c>
      <c r="C4920" s="21">
        <v>45226</v>
      </c>
      <c r="D4920" s="20">
        <v>667.02</v>
      </c>
      <c r="E4920" s="22" t="s">
        <v>10</v>
      </c>
      <c r="F4920" s="22" t="s">
        <v>13</v>
      </c>
      <c r="G4920" s="22" t="s">
        <v>20</v>
      </c>
    </row>
    <row r="4921" ht="15.15" spans="1:7">
      <c r="A4921" s="20">
        <v>4920</v>
      </c>
      <c r="B4921" s="20">
        <v>995</v>
      </c>
      <c r="C4921" s="21">
        <v>45125</v>
      </c>
      <c r="D4921" s="20">
        <v>283.32</v>
      </c>
      <c r="E4921" s="22" t="s">
        <v>10</v>
      </c>
      <c r="F4921" s="22" t="s">
        <v>16</v>
      </c>
      <c r="G4921" s="22" t="s">
        <v>20</v>
      </c>
    </row>
    <row r="4922" ht="15.15" spans="1:7">
      <c r="A4922" s="20">
        <v>4921</v>
      </c>
      <c r="B4922" s="20">
        <v>6219</v>
      </c>
      <c r="C4922" s="21">
        <v>45243</v>
      </c>
      <c r="D4922" s="20">
        <v>2342.04</v>
      </c>
      <c r="E4922" s="22" t="s">
        <v>10</v>
      </c>
      <c r="F4922" s="22" t="s">
        <v>18</v>
      </c>
      <c r="G4922" s="22" t="s">
        <v>20</v>
      </c>
    </row>
    <row r="4923" ht="15.15" spans="1:7">
      <c r="A4923" s="20">
        <v>4922</v>
      </c>
      <c r="B4923" s="20">
        <v>5635</v>
      </c>
      <c r="C4923" s="21">
        <v>45145</v>
      </c>
      <c r="D4923" s="20">
        <v>1056.21</v>
      </c>
      <c r="E4923" s="22" t="s">
        <v>10</v>
      </c>
      <c r="F4923" s="22" t="s">
        <v>16</v>
      </c>
      <c r="G4923" s="22" t="s">
        <v>17</v>
      </c>
    </row>
    <row r="4924" ht="15.15" spans="1:7">
      <c r="A4924" s="20">
        <v>4923</v>
      </c>
      <c r="B4924" s="20">
        <v>9271</v>
      </c>
      <c r="C4924" s="21">
        <v>45179</v>
      </c>
      <c r="D4924" s="20">
        <v>395.52</v>
      </c>
      <c r="E4924" s="22" t="s">
        <v>10</v>
      </c>
      <c r="F4924" s="22" t="s">
        <v>13</v>
      </c>
      <c r="G4924" s="22" t="s">
        <v>15</v>
      </c>
    </row>
    <row r="4925" ht="15.15" spans="1:7">
      <c r="A4925" s="20">
        <v>4924</v>
      </c>
      <c r="B4925" s="20">
        <v>328</v>
      </c>
      <c r="C4925" s="21">
        <v>44957</v>
      </c>
      <c r="D4925" s="20">
        <v>4160.26</v>
      </c>
      <c r="E4925" s="22" t="s">
        <v>10</v>
      </c>
      <c r="F4925" s="22" t="s">
        <v>14</v>
      </c>
      <c r="G4925" s="22" t="s">
        <v>20</v>
      </c>
    </row>
    <row r="4926" ht="15.15" spans="1:7">
      <c r="A4926" s="20">
        <v>4925</v>
      </c>
      <c r="B4926" s="20">
        <v>1473</v>
      </c>
      <c r="C4926" s="21">
        <v>45014</v>
      </c>
      <c r="D4926" s="20">
        <v>4446.44</v>
      </c>
      <c r="E4926" s="22" t="s">
        <v>10</v>
      </c>
      <c r="F4926" s="22" t="s">
        <v>14</v>
      </c>
      <c r="G4926" s="22" t="s">
        <v>17</v>
      </c>
    </row>
    <row r="4927" ht="15.15" spans="1:7">
      <c r="A4927" s="20">
        <v>4926</v>
      </c>
      <c r="B4927" s="20">
        <v>619</v>
      </c>
      <c r="C4927" s="21">
        <v>44930</v>
      </c>
      <c r="D4927" s="20">
        <v>1755.76</v>
      </c>
      <c r="E4927" s="22" t="s">
        <v>21</v>
      </c>
      <c r="F4927" s="22" t="s">
        <v>16</v>
      </c>
      <c r="G4927" s="22" t="s">
        <v>12</v>
      </c>
    </row>
    <row r="4928" ht="15.15" spans="1:7">
      <c r="A4928" s="20">
        <v>4927</v>
      </c>
      <c r="B4928" s="20">
        <v>1031</v>
      </c>
      <c r="C4928" s="21">
        <v>45209</v>
      </c>
      <c r="D4928" s="20">
        <v>996.68</v>
      </c>
      <c r="E4928" s="22" t="s">
        <v>10</v>
      </c>
      <c r="F4928" s="22" t="s">
        <v>18</v>
      </c>
      <c r="G4928" s="22" t="s">
        <v>15</v>
      </c>
    </row>
    <row r="4929" ht="15.15" spans="1:7">
      <c r="A4929" s="20">
        <v>4928</v>
      </c>
      <c r="B4929" s="20">
        <v>8137</v>
      </c>
      <c r="C4929" s="21">
        <v>45050</v>
      </c>
      <c r="D4929" s="20">
        <v>1354.25</v>
      </c>
      <c r="E4929" s="22" t="s">
        <v>10</v>
      </c>
      <c r="F4929" s="22" t="s">
        <v>13</v>
      </c>
      <c r="G4929" s="22" t="s">
        <v>20</v>
      </c>
    </row>
    <row r="4930" ht="15.15" spans="1:7">
      <c r="A4930" s="20">
        <v>4929</v>
      </c>
      <c r="B4930" s="20">
        <v>2140</v>
      </c>
      <c r="C4930" s="21">
        <v>45066</v>
      </c>
      <c r="D4930" s="20">
        <v>1766.06</v>
      </c>
      <c r="E4930" s="22" t="s">
        <v>10</v>
      </c>
      <c r="F4930" s="22" t="s">
        <v>11</v>
      </c>
      <c r="G4930" s="22" t="s">
        <v>20</v>
      </c>
    </row>
    <row r="4931" ht="15.15" spans="1:7">
      <c r="A4931" s="20">
        <v>4930</v>
      </c>
      <c r="B4931" s="20">
        <v>3793</v>
      </c>
      <c r="C4931" s="21">
        <v>45189</v>
      </c>
      <c r="D4931" s="20">
        <v>256.68</v>
      </c>
      <c r="E4931" s="22" t="s">
        <v>10</v>
      </c>
      <c r="F4931" s="22" t="s">
        <v>16</v>
      </c>
      <c r="G4931" s="22" t="s">
        <v>20</v>
      </c>
    </row>
    <row r="4932" ht="15.15" spans="1:7">
      <c r="A4932" s="20">
        <v>4931</v>
      </c>
      <c r="B4932" s="20">
        <v>8026</v>
      </c>
      <c r="C4932" s="21">
        <v>45212</v>
      </c>
      <c r="D4932" s="20">
        <v>788.62</v>
      </c>
      <c r="E4932" s="22" t="s">
        <v>10</v>
      </c>
      <c r="F4932" s="22" t="s">
        <v>11</v>
      </c>
      <c r="G4932" s="22" t="s">
        <v>20</v>
      </c>
    </row>
    <row r="4933" ht="15.15" spans="1:7">
      <c r="A4933" s="20">
        <v>4932</v>
      </c>
      <c r="B4933" s="20">
        <v>8036</v>
      </c>
      <c r="C4933" s="21">
        <v>45291</v>
      </c>
      <c r="D4933" s="20">
        <v>833.43</v>
      </c>
      <c r="E4933" s="22" t="s">
        <v>10</v>
      </c>
      <c r="F4933" s="22" t="s">
        <v>18</v>
      </c>
      <c r="G4933" s="22" t="s">
        <v>15</v>
      </c>
    </row>
    <row r="4934" ht="15.15" spans="1:7">
      <c r="A4934" s="20">
        <v>4933</v>
      </c>
      <c r="B4934" s="20">
        <v>6047</v>
      </c>
      <c r="C4934" s="21">
        <v>44993</v>
      </c>
      <c r="D4934" s="20">
        <v>519.42</v>
      </c>
      <c r="E4934" s="22" t="s">
        <v>10</v>
      </c>
      <c r="F4934" s="22" t="s">
        <v>11</v>
      </c>
      <c r="G4934" s="22" t="s">
        <v>15</v>
      </c>
    </row>
    <row r="4935" ht="15.15" spans="1:7">
      <c r="A4935" s="20">
        <v>4934</v>
      </c>
      <c r="B4935" s="20">
        <v>6783</v>
      </c>
      <c r="C4935" s="21">
        <v>45248</v>
      </c>
      <c r="D4935" s="20">
        <v>899.2</v>
      </c>
      <c r="E4935" s="22" t="s">
        <v>10</v>
      </c>
      <c r="F4935" s="22" t="s">
        <v>13</v>
      </c>
      <c r="G4935" s="22" t="s">
        <v>12</v>
      </c>
    </row>
    <row r="4936" ht="15.15" spans="1:7">
      <c r="A4936" s="20">
        <v>4935</v>
      </c>
      <c r="B4936" s="20">
        <v>2612</v>
      </c>
      <c r="C4936" s="21">
        <v>45186</v>
      </c>
      <c r="D4936" s="20">
        <v>377.58</v>
      </c>
      <c r="E4936" s="22" t="s">
        <v>10</v>
      </c>
      <c r="F4936" s="22" t="s">
        <v>16</v>
      </c>
      <c r="G4936" s="22" t="s">
        <v>17</v>
      </c>
    </row>
    <row r="4937" ht="15.15" spans="1:7">
      <c r="A4937" s="20">
        <v>4936</v>
      </c>
      <c r="B4937" s="20">
        <v>6420</v>
      </c>
      <c r="C4937" s="21">
        <v>45175</v>
      </c>
      <c r="D4937" s="20">
        <v>1060.95</v>
      </c>
      <c r="E4937" s="22" t="s">
        <v>10</v>
      </c>
      <c r="F4937" s="22" t="s">
        <v>11</v>
      </c>
      <c r="G4937" s="22" t="s">
        <v>17</v>
      </c>
    </row>
    <row r="4938" ht="15.15" spans="1:7">
      <c r="A4938" s="20">
        <v>4937</v>
      </c>
      <c r="B4938" s="20">
        <v>8476</v>
      </c>
      <c r="C4938" s="21">
        <v>45096</v>
      </c>
      <c r="D4938" s="20">
        <v>3263.15</v>
      </c>
      <c r="E4938" s="22" t="s">
        <v>10</v>
      </c>
      <c r="F4938" s="22" t="s">
        <v>18</v>
      </c>
      <c r="G4938" s="22" t="s">
        <v>12</v>
      </c>
    </row>
    <row r="4939" ht="15.15" spans="1:7">
      <c r="A4939" s="20">
        <v>4938</v>
      </c>
      <c r="B4939" s="20">
        <v>4676</v>
      </c>
      <c r="C4939" s="21">
        <v>45123</v>
      </c>
      <c r="D4939" s="20">
        <v>1059.89</v>
      </c>
      <c r="E4939" s="22" t="s">
        <v>10</v>
      </c>
      <c r="F4939" s="22" t="s">
        <v>18</v>
      </c>
      <c r="G4939" s="22" t="s">
        <v>20</v>
      </c>
    </row>
    <row r="4940" ht="15.15" spans="1:7">
      <c r="A4940" s="20">
        <v>4939</v>
      </c>
      <c r="B4940" s="20">
        <v>3921</v>
      </c>
      <c r="C4940" s="21">
        <v>45284</v>
      </c>
      <c r="D4940" s="20">
        <v>7351.43</v>
      </c>
      <c r="E4940" s="22" t="s">
        <v>10</v>
      </c>
      <c r="F4940" s="22" t="s">
        <v>16</v>
      </c>
      <c r="G4940" s="22" t="s">
        <v>12</v>
      </c>
    </row>
    <row r="4941" ht="15.15" spans="1:7">
      <c r="A4941" s="20">
        <v>4940</v>
      </c>
      <c r="B4941" s="20">
        <v>4437</v>
      </c>
      <c r="C4941" s="21">
        <v>45182</v>
      </c>
      <c r="D4941" s="20">
        <v>442.46</v>
      </c>
      <c r="E4941" s="22" t="s">
        <v>22</v>
      </c>
      <c r="F4941" s="22" t="s">
        <v>13</v>
      </c>
      <c r="G4941" s="22" t="s">
        <v>15</v>
      </c>
    </row>
    <row r="4942" ht="15.15" spans="1:7">
      <c r="A4942" s="20">
        <v>4941</v>
      </c>
      <c r="B4942" s="20">
        <v>9147</v>
      </c>
      <c r="C4942" s="21">
        <v>45182</v>
      </c>
      <c r="D4942" s="20">
        <v>485.89</v>
      </c>
      <c r="E4942" s="22" t="s">
        <v>10</v>
      </c>
      <c r="F4942" s="22" t="s">
        <v>14</v>
      </c>
      <c r="G4942" s="22" t="s">
        <v>15</v>
      </c>
    </row>
    <row r="4943" ht="15.15" spans="1:7">
      <c r="A4943" s="20">
        <v>4942</v>
      </c>
      <c r="B4943" s="20">
        <v>2591</v>
      </c>
      <c r="C4943" s="21">
        <v>45184</v>
      </c>
      <c r="D4943" s="20">
        <v>1243.62</v>
      </c>
      <c r="E4943" s="22" t="s">
        <v>10</v>
      </c>
      <c r="F4943" s="22" t="s">
        <v>11</v>
      </c>
      <c r="G4943" s="22" t="s">
        <v>20</v>
      </c>
    </row>
    <row r="4944" ht="15.15" spans="1:7">
      <c r="A4944" s="20">
        <v>4943</v>
      </c>
      <c r="B4944" s="20">
        <v>1735</v>
      </c>
      <c r="C4944" s="21">
        <v>45171</v>
      </c>
      <c r="D4944" s="20">
        <v>2603.97</v>
      </c>
      <c r="E4944" s="22" t="s">
        <v>10</v>
      </c>
      <c r="F4944" s="22" t="s">
        <v>13</v>
      </c>
      <c r="G4944" s="22" t="s">
        <v>12</v>
      </c>
    </row>
    <row r="4945" ht="15.15" spans="1:7">
      <c r="A4945" s="20">
        <v>4944</v>
      </c>
      <c r="B4945" s="20">
        <v>4998</v>
      </c>
      <c r="C4945" s="21">
        <v>45139</v>
      </c>
      <c r="D4945" s="20">
        <v>3497.84</v>
      </c>
      <c r="E4945" s="22" t="s">
        <v>10</v>
      </c>
      <c r="F4945" s="22" t="s">
        <v>16</v>
      </c>
      <c r="G4945" s="22" t="s">
        <v>12</v>
      </c>
    </row>
    <row r="4946" ht="15.15" spans="1:7">
      <c r="A4946" s="20">
        <v>4945</v>
      </c>
      <c r="B4946" s="20">
        <v>2296</v>
      </c>
      <c r="C4946" s="21">
        <v>45281</v>
      </c>
      <c r="D4946" s="20">
        <v>5007.46</v>
      </c>
      <c r="E4946" s="22" t="s">
        <v>10</v>
      </c>
      <c r="F4946" s="22" t="s">
        <v>13</v>
      </c>
      <c r="G4946" s="22" t="s">
        <v>17</v>
      </c>
    </row>
    <row r="4947" ht="15.15" spans="1:7">
      <c r="A4947" s="20">
        <v>4946</v>
      </c>
      <c r="B4947" s="20">
        <v>5804</v>
      </c>
      <c r="C4947" s="21">
        <v>45255</v>
      </c>
      <c r="D4947" s="20">
        <v>2179.37</v>
      </c>
      <c r="E4947" s="22" t="s">
        <v>10</v>
      </c>
      <c r="F4947" s="22" t="s">
        <v>11</v>
      </c>
      <c r="G4947" s="22" t="s">
        <v>20</v>
      </c>
    </row>
    <row r="4948" ht="15.15" spans="1:7">
      <c r="A4948" s="20">
        <v>4947</v>
      </c>
      <c r="B4948" s="20">
        <v>7028</v>
      </c>
      <c r="C4948" s="21">
        <v>45056</v>
      </c>
      <c r="D4948" s="20">
        <v>1951.38</v>
      </c>
      <c r="E4948" s="22" t="s">
        <v>10</v>
      </c>
      <c r="F4948" s="22" t="s">
        <v>13</v>
      </c>
      <c r="G4948" s="22" t="s">
        <v>20</v>
      </c>
    </row>
    <row r="4949" ht="15.15" spans="1:7">
      <c r="A4949" s="20">
        <v>4948</v>
      </c>
      <c r="B4949" s="20">
        <v>9669</v>
      </c>
      <c r="C4949" s="21">
        <v>44956</v>
      </c>
      <c r="D4949" s="20">
        <v>219.69</v>
      </c>
      <c r="E4949" s="22" t="s">
        <v>10</v>
      </c>
      <c r="F4949" s="22" t="s">
        <v>16</v>
      </c>
      <c r="G4949" s="22" t="s">
        <v>15</v>
      </c>
    </row>
    <row r="4950" ht="15.15" spans="1:7">
      <c r="A4950" s="20">
        <v>4949</v>
      </c>
      <c r="B4950" s="20">
        <v>8347</v>
      </c>
      <c r="C4950" s="21">
        <v>44935</v>
      </c>
      <c r="D4950" s="20">
        <v>169.04</v>
      </c>
      <c r="E4950" s="22" t="s">
        <v>10</v>
      </c>
      <c r="F4950" s="22" t="s">
        <v>14</v>
      </c>
      <c r="G4950" s="22" t="s">
        <v>20</v>
      </c>
    </row>
    <row r="4951" ht="15.15" spans="1:7">
      <c r="A4951" s="20">
        <v>4950</v>
      </c>
      <c r="B4951" s="20">
        <v>6242</v>
      </c>
      <c r="C4951" s="21">
        <v>45192</v>
      </c>
      <c r="D4951" s="20">
        <v>3192.64</v>
      </c>
      <c r="E4951" s="22" t="s">
        <v>10</v>
      </c>
      <c r="F4951" s="22" t="s">
        <v>16</v>
      </c>
      <c r="G4951" s="22" t="s">
        <v>12</v>
      </c>
    </row>
    <row r="4952" ht="15.15" spans="1:7">
      <c r="A4952" s="20">
        <v>4951</v>
      </c>
      <c r="B4952" s="20">
        <v>1242</v>
      </c>
      <c r="C4952" s="21">
        <v>45270</v>
      </c>
      <c r="D4952" s="20">
        <v>2451.62</v>
      </c>
      <c r="E4952" s="22" t="s">
        <v>10</v>
      </c>
      <c r="F4952" s="22" t="s">
        <v>16</v>
      </c>
      <c r="G4952" s="22" t="s">
        <v>17</v>
      </c>
    </row>
    <row r="4953" ht="15.15" spans="1:7">
      <c r="A4953" s="20">
        <v>4952</v>
      </c>
      <c r="B4953" s="20">
        <v>5017</v>
      </c>
      <c r="C4953" s="21">
        <v>45073</v>
      </c>
      <c r="D4953" s="20">
        <v>141.24</v>
      </c>
      <c r="E4953" s="22" t="s">
        <v>10</v>
      </c>
      <c r="F4953" s="22" t="s">
        <v>16</v>
      </c>
      <c r="G4953" s="22" t="s">
        <v>17</v>
      </c>
    </row>
    <row r="4954" ht="15.15" spans="1:7">
      <c r="A4954" s="20">
        <v>4953</v>
      </c>
      <c r="B4954" s="20">
        <v>720</v>
      </c>
      <c r="C4954" s="21">
        <v>45096</v>
      </c>
      <c r="D4954" s="20">
        <v>278.93</v>
      </c>
      <c r="E4954" s="22" t="s">
        <v>10</v>
      </c>
      <c r="F4954" s="22" t="s">
        <v>18</v>
      </c>
      <c r="G4954" s="22" t="s">
        <v>20</v>
      </c>
    </row>
    <row r="4955" ht="15.15" spans="1:7">
      <c r="A4955" s="20">
        <v>4954</v>
      </c>
      <c r="B4955" s="20">
        <v>8570</v>
      </c>
      <c r="C4955" s="21">
        <v>44935</v>
      </c>
      <c r="D4955" s="20">
        <v>1987.45</v>
      </c>
      <c r="E4955" s="22" t="s">
        <v>10</v>
      </c>
      <c r="F4955" s="22" t="s">
        <v>16</v>
      </c>
      <c r="G4955" s="22" t="s">
        <v>17</v>
      </c>
    </row>
    <row r="4956" ht="15.15" spans="1:7">
      <c r="A4956" s="20">
        <v>4955</v>
      </c>
      <c r="B4956" s="20">
        <v>4712</v>
      </c>
      <c r="C4956" s="21">
        <v>45244</v>
      </c>
      <c r="D4956" s="20">
        <v>301.8</v>
      </c>
      <c r="E4956" s="22" t="s">
        <v>10</v>
      </c>
      <c r="F4956" s="22" t="s">
        <v>18</v>
      </c>
      <c r="G4956" s="22" t="s">
        <v>20</v>
      </c>
    </row>
    <row r="4957" ht="15.15" spans="1:7">
      <c r="A4957" s="20">
        <v>4956</v>
      </c>
      <c r="B4957" s="20">
        <v>2163</v>
      </c>
      <c r="C4957" s="21">
        <v>45084</v>
      </c>
      <c r="D4957" s="20">
        <v>440.02</v>
      </c>
      <c r="E4957" s="22" t="s">
        <v>10</v>
      </c>
      <c r="F4957" s="22" t="s">
        <v>11</v>
      </c>
      <c r="G4957" s="22" t="s">
        <v>15</v>
      </c>
    </row>
    <row r="4958" ht="15.15" spans="1:7">
      <c r="A4958" s="20">
        <v>4957</v>
      </c>
      <c r="B4958" s="20">
        <v>2057</v>
      </c>
      <c r="C4958" s="21">
        <v>45163</v>
      </c>
      <c r="D4958" s="20">
        <v>645.61</v>
      </c>
      <c r="E4958" s="22" t="s">
        <v>10</v>
      </c>
      <c r="F4958" s="22" t="s">
        <v>11</v>
      </c>
      <c r="G4958" s="22" t="s">
        <v>12</v>
      </c>
    </row>
    <row r="4959" ht="15.15" spans="1:7">
      <c r="A4959" s="20">
        <v>4958</v>
      </c>
      <c r="B4959" s="20">
        <v>3748</v>
      </c>
      <c r="C4959" s="21">
        <v>45173</v>
      </c>
      <c r="D4959" s="20">
        <v>920.13</v>
      </c>
      <c r="E4959" s="22" t="s">
        <v>10</v>
      </c>
      <c r="F4959" s="22" t="s">
        <v>16</v>
      </c>
      <c r="G4959" s="22" t="s">
        <v>17</v>
      </c>
    </row>
    <row r="4960" ht="15.15" spans="1:7">
      <c r="A4960" s="20">
        <v>4959</v>
      </c>
      <c r="B4960" s="20">
        <v>328</v>
      </c>
      <c r="C4960" s="21">
        <v>45118</v>
      </c>
      <c r="D4960" s="20">
        <v>259.36</v>
      </c>
      <c r="E4960" s="22" t="s">
        <v>10</v>
      </c>
      <c r="F4960" s="22" t="s">
        <v>14</v>
      </c>
      <c r="G4960" s="22" t="s">
        <v>17</v>
      </c>
    </row>
    <row r="4961" ht="15.15" spans="1:7">
      <c r="A4961" s="20">
        <v>4960</v>
      </c>
      <c r="B4961" s="20">
        <v>2292</v>
      </c>
      <c r="C4961" s="21">
        <v>45160</v>
      </c>
      <c r="D4961" s="20">
        <v>996.68</v>
      </c>
      <c r="E4961" s="22" t="s">
        <v>10</v>
      </c>
      <c r="F4961" s="22" t="s">
        <v>16</v>
      </c>
      <c r="G4961" s="22" t="s">
        <v>12</v>
      </c>
    </row>
    <row r="4962" ht="15.15" spans="1:7">
      <c r="A4962" s="20">
        <v>4961</v>
      </c>
      <c r="B4962" s="20">
        <v>1413</v>
      </c>
      <c r="C4962" s="21">
        <v>45021</v>
      </c>
      <c r="D4962" s="20">
        <v>3018.96</v>
      </c>
      <c r="E4962" s="22" t="s">
        <v>21</v>
      </c>
      <c r="F4962" s="22" t="s">
        <v>11</v>
      </c>
      <c r="G4962" s="22" t="s">
        <v>20</v>
      </c>
    </row>
    <row r="4963" ht="15.15" spans="1:7">
      <c r="A4963" s="20">
        <v>4962</v>
      </c>
      <c r="B4963" s="20">
        <v>4712</v>
      </c>
      <c r="C4963" s="21">
        <v>45061</v>
      </c>
      <c r="D4963" s="20">
        <v>1323.72</v>
      </c>
      <c r="E4963" s="22" t="s">
        <v>10</v>
      </c>
      <c r="F4963" s="22" t="s">
        <v>18</v>
      </c>
      <c r="G4963" s="22" t="s">
        <v>15</v>
      </c>
    </row>
    <row r="4964" ht="15.15" spans="1:7">
      <c r="A4964" s="20">
        <v>4963</v>
      </c>
      <c r="B4964" s="20">
        <v>9090</v>
      </c>
      <c r="C4964" s="21">
        <v>45204</v>
      </c>
      <c r="D4964" s="20">
        <v>2030.43</v>
      </c>
      <c r="E4964" s="22" t="s">
        <v>10</v>
      </c>
      <c r="F4964" s="22" t="s">
        <v>11</v>
      </c>
      <c r="G4964" s="22" t="s">
        <v>20</v>
      </c>
    </row>
    <row r="4965" ht="15.15" spans="1:7">
      <c r="A4965" s="20">
        <v>4964</v>
      </c>
      <c r="B4965" s="20">
        <v>1127</v>
      </c>
      <c r="C4965" s="21">
        <v>45264</v>
      </c>
      <c r="D4965" s="20">
        <v>1321.12</v>
      </c>
      <c r="E4965" s="22" t="s">
        <v>10</v>
      </c>
      <c r="F4965" s="22" t="s">
        <v>18</v>
      </c>
      <c r="G4965" s="22" t="s">
        <v>20</v>
      </c>
    </row>
    <row r="4966" ht="15.15" spans="1:7">
      <c r="A4966" s="20">
        <v>4965</v>
      </c>
      <c r="B4966" s="20">
        <v>6754</v>
      </c>
      <c r="C4966" s="21">
        <v>45272</v>
      </c>
      <c r="D4966" s="20">
        <v>651.52</v>
      </c>
      <c r="E4966" s="22" t="s">
        <v>10</v>
      </c>
      <c r="F4966" s="22" t="s">
        <v>18</v>
      </c>
      <c r="G4966" s="22" t="s">
        <v>17</v>
      </c>
    </row>
    <row r="4967" ht="15.15" spans="1:7">
      <c r="A4967" s="20">
        <v>4966</v>
      </c>
      <c r="B4967" s="20">
        <v>1646</v>
      </c>
      <c r="C4967" s="21">
        <v>44932</v>
      </c>
      <c r="D4967" s="20">
        <v>665.9</v>
      </c>
      <c r="E4967" s="22" t="s">
        <v>10</v>
      </c>
      <c r="F4967" s="22" t="s">
        <v>14</v>
      </c>
      <c r="G4967" s="22" t="s">
        <v>15</v>
      </c>
    </row>
    <row r="4968" ht="15.15" spans="1:7">
      <c r="A4968" s="20">
        <v>4967</v>
      </c>
      <c r="B4968" s="20">
        <v>3714</v>
      </c>
      <c r="C4968" s="21">
        <v>45032</v>
      </c>
      <c r="D4968" s="20">
        <v>1777.25</v>
      </c>
      <c r="E4968" s="22" t="s">
        <v>10</v>
      </c>
      <c r="F4968" s="22" t="s">
        <v>18</v>
      </c>
      <c r="G4968" s="22" t="s">
        <v>15</v>
      </c>
    </row>
    <row r="4969" ht="15.15" spans="1:7">
      <c r="A4969" s="20">
        <v>4968</v>
      </c>
      <c r="B4969" s="20">
        <v>4759</v>
      </c>
      <c r="C4969" s="21">
        <v>45254</v>
      </c>
      <c r="D4969" s="20">
        <v>154.02</v>
      </c>
      <c r="E4969" s="22" t="s">
        <v>10</v>
      </c>
      <c r="F4969" s="22" t="s">
        <v>18</v>
      </c>
      <c r="G4969" s="22" t="s">
        <v>15</v>
      </c>
    </row>
    <row r="4970" ht="15.15" spans="1:7">
      <c r="A4970" s="20">
        <v>4969</v>
      </c>
      <c r="B4970" s="20">
        <v>5093</v>
      </c>
      <c r="C4970" s="21">
        <v>44988</v>
      </c>
      <c r="D4970" s="20">
        <v>1067.53</v>
      </c>
      <c r="E4970" s="22" t="s">
        <v>10</v>
      </c>
      <c r="F4970" s="22" t="s">
        <v>18</v>
      </c>
      <c r="G4970" s="22" t="s">
        <v>12</v>
      </c>
    </row>
    <row r="4971" ht="15.15" spans="1:7">
      <c r="A4971" s="20">
        <v>4970</v>
      </c>
      <c r="B4971" s="20">
        <v>3770</v>
      </c>
      <c r="C4971" s="21">
        <v>45077</v>
      </c>
      <c r="D4971" s="20">
        <v>2233.5</v>
      </c>
      <c r="E4971" s="22" t="s">
        <v>10</v>
      </c>
      <c r="F4971" s="22" t="s">
        <v>13</v>
      </c>
      <c r="G4971" s="22" t="s">
        <v>15</v>
      </c>
    </row>
    <row r="4972" ht="15.15" spans="1:7">
      <c r="A4972" s="20">
        <v>4971</v>
      </c>
      <c r="B4972" s="20">
        <v>4214</v>
      </c>
      <c r="C4972" s="21">
        <v>45097</v>
      </c>
      <c r="D4972" s="20">
        <v>924.06</v>
      </c>
      <c r="E4972" s="22" t="s">
        <v>10</v>
      </c>
      <c r="F4972" s="22" t="s">
        <v>19</v>
      </c>
      <c r="G4972" s="22" t="s">
        <v>20</v>
      </c>
    </row>
    <row r="4973" ht="15.15" spans="1:7">
      <c r="A4973" s="20">
        <v>4972</v>
      </c>
      <c r="B4973" s="20">
        <v>7457</v>
      </c>
      <c r="C4973" s="21">
        <v>45101</v>
      </c>
      <c r="D4973" s="20">
        <v>414.24</v>
      </c>
      <c r="E4973" s="22" t="s">
        <v>10</v>
      </c>
      <c r="F4973" s="22" t="s">
        <v>13</v>
      </c>
      <c r="G4973" s="22" t="s">
        <v>20</v>
      </c>
    </row>
    <row r="4974" ht="15.15" spans="1:7">
      <c r="A4974" s="20">
        <v>4973</v>
      </c>
      <c r="B4974" s="20">
        <v>646</v>
      </c>
      <c r="C4974" s="21">
        <v>45007</v>
      </c>
      <c r="D4974" s="20">
        <v>1623.23</v>
      </c>
      <c r="E4974" s="22" t="s">
        <v>10</v>
      </c>
      <c r="F4974" s="22" t="s">
        <v>11</v>
      </c>
      <c r="G4974" s="22" t="s">
        <v>15</v>
      </c>
    </row>
    <row r="4975" ht="15.15" spans="1:7">
      <c r="A4975" s="20">
        <v>4974</v>
      </c>
      <c r="B4975" s="20">
        <v>9546</v>
      </c>
      <c r="C4975" s="21">
        <v>45247</v>
      </c>
      <c r="D4975" s="20">
        <v>359.28</v>
      </c>
      <c r="E4975" s="22" t="s">
        <v>10</v>
      </c>
      <c r="F4975" s="22" t="s">
        <v>11</v>
      </c>
      <c r="G4975" s="22" t="s">
        <v>20</v>
      </c>
    </row>
    <row r="4976" ht="15.15" spans="1:7">
      <c r="A4976" s="20">
        <v>4975</v>
      </c>
      <c r="B4976" s="20">
        <v>9519</v>
      </c>
      <c r="C4976" s="21">
        <v>45192</v>
      </c>
      <c r="D4976" s="20">
        <v>4847.4</v>
      </c>
      <c r="E4976" s="22" t="s">
        <v>10</v>
      </c>
      <c r="F4976" s="22" t="s">
        <v>14</v>
      </c>
      <c r="G4976" s="22" t="s">
        <v>15</v>
      </c>
    </row>
    <row r="4977" ht="15.15" spans="1:7">
      <c r="A4977" s="20">
        <v>4976</v>
      </c>
      <c r="B4977" s="20">
        <v>7388</v>
      </c>
      <c r="C4977" s="21">
        <v>45266</v>
      </c>
      <c r="D4977" s="20">
        <v>187.89</v>
      </c>
      <c r="E4977" s="22" t="s">
        <v>10</v>
      </c>
      <c r="F4977" s="22" t="s">
        <v>11</v>
      </c>
      <c r="G4977" s="22" t="s">
        <v>20</v>
      </c>
    </row>
    <row r="4978" ht="15.15" spans="1:7">
      <c r="A4978" s="20">
        <v>4977</v>
      </c>
      <c r="B4978" s="20">
        <v>6287</v>
      </c>
      <c r="C4978" s="21">
        <v>45177</v>
      </c>
      <c r="D4978" s="20">
        <v>318.02</v>
      </c>
      <c r="E4978" s="22" t="s">
        <v>10</v>
      </c>
      <c r="F4978" s="22" t="s">
        <v>18</v>
      </c>
      <c r="G4978" s="22" t="s">
        <v>20</v>
      </c>
    </row>
    <row r="4979" ht="15.15" spans="1:7">
      <c r="A4979" s="20">
        <v>4978</v>
      </c>
      <c r="B4979" s="20">
        <v>1140</v>
      </c>
      <c r="C4979" s="21">
        <v>44933</v>
      </c>
      <c r="D4979" s="20">
        <v>1867.5</v>
      </c>
      <c r="E4979" s="22" t="s">
        <v>10</v>
      </c>
      <c r="F4979" s="22" t="s">
        <v>11</v>
      </c>
      <c r="G4979" s="22" t="s">
        <v>15</v>
      </c>
    </row>
    <row r="4980" ht="15.15" spans="1:7">
      <c r="A4980" s="20">
        <v>4979</v>
      </c>
      <c r="B4980" s="20">
        <v>1888</v>
      </c>
      <c r="C4980" s="21">
        <v>45051</v>
      </c>
      <c r="D4980" s="20">
        <v>1152.21</v>
      </c>
      <c r="E4980" s="22" t="s">
        <v>10</v>
      </c>
      <c r="F4980" s="22" t="s">
        <v>11</v>
      </c>
      <c r="G4980" s="22" t="s">
        <v>12</v>
      </c>
    </row>
    <row r="4981" ht="15.15" spans="1:7">
      <c r="A4981" s="20">
        <v>4980</v>
      </c>
      <c r="B4981" s="20">
        <v>4672</v>
      </c>
      <c r="C4981" s="21">
        <v>45115</v>
      </c>
      <c r="D4981" s="20">
        <v>1893.35</v>
      </c>
      <c r="E4981" s="22" t="s">
        <v>10</v>
      </c>
      <c r="F4981" s="22" t="s">
        <v>19</v>
      </c>
      <c r="G4981" s="22" t="s">
        <v>12</v>
      </c>
    </row>
    <row r="4982" ht="15.15" spans="1:7">
      <c r="A4982" s="20">
        <v>4981</v>
      </c>
      <c r="B4982" s="20">
        <v>1934</v>
      </c>
      <c r="C4982" s="21">
        <v>45101</v>
      </c>
      <c r="D4982" s="20">
        <v>1325.61</v>
      </c>
      <c r="E4982" s="22" t="s">
        <v>10</v>
      </c>
      <c r="F4982" s="22" t="s">
        <v>11</v>
      </c>
      <c r="G4982" s="22" t="s">
        <v>20</v>
      </c>
    </row>
    <row r="4983" ht="15.15" spans="1:7">
      <c r="A4983" s="20">
        <v>4982</v>
      </c>
      <c r="B4983" s="20">
        <v>8476</v>
      </c>
      <c r="C4983" s="21">
        <v>45239</v>
      </c>
      <c r="D4983" s="20">
        <v>1443.28</v>
      </c>
      <c r="E4983" s="22" t="s">
        <v>10</v>
      </c>
      <c r="F4983" s="22" t="s">
        <v>18</v>
      </c>
      <c r="G4983" s="22" t="s">
        <v>15</v>
      </c>
    </row>
    <row r="4984" ht="15.15" spans="1:7">
      <c r="A4984" s="20">
        <v>4983</v>
      </c>
      <c r="B4984" s="20">
        <v>4612</v>
      </c>
      <c r="C4984" s="21">
        <v>45246</v>
      </c>
      <c r="D4984" s="20">
        <v>1372.16</v>
      </c>
      <c r="E4984" s="22" t="s">
        <v>10</v>
      </c>
      <c r="F4984" s="22" t="s">
        <v>18</v>
      </c>
      <c r="G4984" s="22" t="s">
        <v>20</v>
      </c>
    </row>
    <row r="4985" ht="15.15" spans="1:7">
      <c r="A4985" s="20">
        <v>4984</v>
      </c>
      <c r="B4985" s="20">
        <v>5817</v>
      </c>
      <c r="C4985" s="21">
        <v>45236</v>
      </c>
      <c r="D4985" s="20">
        <v>277.46</v>
      </c>
      <c r="E4985" s="22" t="s">
        <v>10</v>
      </c>
      <c r="F4985" s="22" t="s">
        <v>11</v>
      </c>
      <c r="G4985" s="22" t="s">
        <v>12</v>
      </c>
    </row>
    <row r="4986" ht="15.15" spans="1:7">
      <c r="A4986" s="20">
        <v>4985</v>
      </c>
      <c r="B4986" s="20">
        <v>1060</v>
      </c>
      <c r="C4986" s="21">
        <v>45139</v>
      </c>
      <c r="D4986" s="20">
        <v>256.17</v>
      </c>
      <c r="E4986" s="22" t="s">
        <v>10</v>
      </c>
      <c r="F4986" s="22" t="s">
        <v>18</v>
      </c>
      <c r="G4986" s="22" t="s">
        <v>12</v>
      </c>
    </row>
    <row r="4987" ht="15.15" spans="1:7">
      <c r="A4987" s="20">
        <v>4986</v>
      </c>
      <c r="B4987" s="20">
        <v>7036</v>
      </c>
      <c r="C4987" s="21">
        <v>45278</v>
      </c>
      <c r="D4987" s="20">
        <v>5607.2</v>
      </c>
      <c r="E4987" s="22" t="s">
        <v>10</v>
      </c>
      <c r="F4987" s="22" t="s">
        <v>14</v>
      </c>
      <c r="G4987" s="22" t="s">
        <v>17</v>
      </c>
    </row>
    <row r="4988" ht="15.15" spans="1:7">
      <c r="A4988" s="20">
        <v>4987</v>
      </c>
      <c r="B4988" s="20">
        <v>2377</v>
      </c>
      <c r="C4988" s="21">
        <v>45024</v>
      </c>
      <c r="D4988" s="20">
        <v>1177.33</v>
      </c>
      <c r="E4988" s="22" t="s">
        <v>10</v>
      </c>
      <c r="F4988" s="22" t="s">
        <v>13</v>
      </c>
      <c r="G4988" s="22" t="s">
        <v>20</v>
      </c>
    </row>
    <row r="4989" ht="15.15" spans="1:7">
      <c r="A4989" s="20">
        <v>4988</v>
      </c>
      <c r="B4989" s="20">
        <v>6828</v>
      </c>
      <c r="C4989" s="21">
        <v>44927</v>
      </c>
      <c r="D4989" s="20">
        <v>1146.85</v>
      </c>
      <c r="E4989" s="22" t="s">
        <v>10</v>
      </c>
      <c r="F4989" s="22" t="s">
        <v>14</v>
      </c>
      <c r="G4989" s="22" t="s">
        <v>20</v>
      </c>
    </row>
    <row r="4990" ht="15.15" spans="1:7">
      <c r="A4990" s="20">
        <v>4989</v>
      </c>
      <c r="B4990" s="20">
        <v>223</v>
      </c>
      <c r="C4990" s="21">
        <v>45149</v>
      </c>
      <c r="D4990" s="20">
        <v>1993.79</v>
      </c>
      <c r="E4990" s="22" t="s">
        <v>22</v>
      </c>
      <c r="F4990" s="22" t="s">
        <v>11</v>
      </c>
      <c r="G4990" s="22" t="s">
        <v>15</v>
      </c>
    </row>
    <row r="4991" ht="15.15" spans="1:7">
      <c r="A4991" s="20">
        <v>4990</v>
      </c>
      <c r="B4991" s="20">
        <v>6607</v>
      </c>
      <c r="C4991" s="21">
        <v>44947</v>
      </c>
      <c r="D4991" s="20">
        <v>1865.9</v>
      </c>
      <c r="E4991" s="22" t="s">
        <v>10</v>
      </c>
      <c r="F4991" s="22" t="s">
        <v>16</v>
      </c>
      <c r="G4991" s="22" t="s">
        <v>20</v>
      </c>
    </row>
    <row r="4992" ht="15.15" spans="1:7">
      <c r="A4992" s="20">
        <v>4991</v>
      </c>
      <c r="B4992" s="20">
        <v>2861</v>
      </c>
      <c r="C4992" s="21">
        <v>45166</v>
      </c>
      <c r="D4992" s="20">
        <v>619.65</v>
      </c>
      <c r="E4992" s="22" t="s">
        <v>10</v>
      </c>
      <c r="F4992" s="22" t="s">
        <v>14</v>
      </c>
      <c r="G4992" s="22" t="s">
        <v>17</v>
      </c>
    </row>
    <row r="4993" ht="15.15" spans="1:7">
      <c r="A4993" s="20">
        <v>4992</v>
      </c>
      <c r="B4993" s="20">
        <v>5840</v>
      </c>
      <c r="C4993" s="21">
        <v>44985</v>
      </c>
      <c r="D4993" s="20">
        <v>2115.98</v>
      </c>
      <c r="E4993" s="22" t="s">
        <v>10</v>
      </c>
      <c r="F4993" s="22" t="s">
        <v>16</v>
      </c>
      <c r="G4993" s="22" t="s">
        <v>17</v>
      </c>
    </row>
    <row r="4994" ht="15.15" spans="1:7">
      <c r="A4994" s="20">
        <v>4993</v>
      </c>
      <c r="B4994" s="20">
        <v>3110</v>
      </c>
      <c r="C4994" s="21">
        <v>45252</v>
      </c>
      <c r="D4994" s="20">
        <v>140.7</v>
      </c>
      <c r="E4994" s="22" t="s">
        <v>10</v>
      </c>
      <c r="F4994" s="22" t="s">
        <v>13</v>
      </c>
      <c r="G4994" s="22" t="s">
        <v>15</v>
      </c>
    </row>
    <row r="4995" ht="15.15" spans="1:7">
      <c r="A4995" s="20">
        <v>4994</v>
      </c>
      <c r="B4995" s="20">
        <v>7197</v>
      </c>
      <c r="C4995" s="21">
        <v>45237</v>
      </c>
      <c r="D4995" s="20">
        <v>1177.96</v>
      </c>
      <c r="E4995" s="22" t="s">
        <v>10</v>
      </c>
      <c r="F4995" s="22" t="s">
        <v>16</v>
      </c>
      <c r="G4995" s="22" t="s">
        <v>17</v>
      </c>
    </row>
    <row r="4996" ht="15.15" spans="1:7">
      <c r="A4996" s="20">
        <v>4995</v>
      </c>
      <c r="B4996" s="20">
        <v>8556</v>
      </c>
      <c r="C4996" s="21">
        <v>45148</v>
      </c>
      <c r="D4996" s="20">
        <v>651.52</v>
      </c>
      <c r="E4996" s="22" t="s">
        <v>10</v>
      </c>
      <c r="F4996" s="22" t="s">
        <v>14</v>
      </c>
      <c r="G4996" s="22" t="s">
        <v>17</v>
      </c>
    </row>
    <row r="4997" ht="15.15" spans="1:7">
      <c r="A4997" s="20">
        <v>4996</v>
      </c>
      <c r="B4997" s="20">
        <v>4480</v>
      </c>
      <c r="C4997" s="21">
        <v>45162</v>
      </c>
      <c r="D4997" s="20">
        <v>1632.3</v>
      </c>
      <c r="E4997" s="22" t="s">
        <v>22</v>
      </c>
      <c r="F4997" s="22" t="s">
        <v>13</v>
      </c>
      <c r="G4997" s="22" t="s">
        <v>17</v>
      </c>
    </row>
    <row r="4998" ht="15.15" spans="1:7">
      <c r="A4998" s="20">
        <v>4997</v>
      </c>
      <c r="B4998" s="20">
        <v>5918</v>
      </c>
      <c r="C4998" s="21">
        <v>44950</v>
      </c>
      <c r="D4998" s="20">
        <v>1836.52</v>
      </c>
      <c r="E4998" s="22" t="s">
        <v>10</v>
      </c>
      <c r="F4998" s="22" t="s">
        <v>13</v>
      </c>
      <c r="G4998" s="22" t="s">
        <v>17</v>
      </c>
    </row>
    <row r="4999" ht="15.15" spans="1:7">
      <c r="A4999" s="20">
        <v>4998</v>
      </c>
      <c r="B4999" s="20">
        <v>6046</v>
      </c>
      <c r="C4999" s="21">
        <v>44950</v>
      </c>
      <c r="D4999" s="20">
        <v>1849.74</v>
      </c>
      <c r="E4999" s="22" t="s">
        <v>10</v>
      </c>
      <c r="F4999" s="22" t="s">
        <v>13</v>
      </c>
      <c r="G4999" s="22" t="s">
        <v>20</v>
      </c>
    </row>
    <row r="5000" ht="15.15" spans="1:7">
      <c r="A5000" s="20">
        <v>4999</v>
      </c>
      <c r="B5000" s="20">
        <v>2716</v>
      </c>
      <c r="C5000" s="21">
        <v>45009</v>
      </c>
      <c r="D5000" s="20">
        <v>3021.04</v>
      </c>
      <c r="E5000" s="22" t="s">
        <v>10</v>
      </c>
      <c r="F5000" s="22" t="s">
        <v>13</v>
      </c>
      <c r="G5000" s="22" t="s">
        <v>17</v>
      </c>
    </row>
    <row r="5001" ht="15.15" spans="1:7">
      <c r="A5001" s="20">
        <v>5000</v>
      </c>
      <c r="B5001" s="20">
        <v>863</v>
      </c>
      <c r="C5001" s="21">
        <v>45197</v>
      </c>
      <c r="D5001" s="20">
        <v>2575.5</v>
      </c>
      <c r="E5001" s="22" t="s">
        <v>10</v>
      </c>
      <c r="F5001" s="22" t="s">
        <v>14</v>
      </c>
      <c r="G5001" s="22" t="s">
        <v>12</v>
      </c>
    </row>
  </sheetData>
  <autoFilter xmlns:etc="http://www.wps.cn/officeDocument/2017/etCustomData" ref="A1:G5001" etc:filterBottomFollowUsedRange="0">
    <extLst/>
  </autoFilter>
  <mergeCells count="21">
    <mergeCell ref="I1:M1"/>
    <mergeCell ref="J2:M2"/>
    <mergeCell ref="J3:M3"/>
    <mergeCell ref="J4:M4"/>
    <mergeCell ref="J5:M5"/>
    <mergeCell ref="J6:M6"/>
    <mergeCell ref="J7:M7"/>
    <mergeCell ref="J8:M8"/>
    <mergeCell ref="J9:M9"/>
    <mergeCell ref="J10:M10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C3" sqref="C3"/>
    </sheetView>
  </sheetViews>
  <sheetFormatPr defaultColWidth="16.1111111111111" defaultRowHeight="19.2" customHeight="1" outlineLevelCol="7"/>
  <sheetData>
    <row r="1" ht="40.8" customHeight="1" spans="1:8">
      <c r="C1" s="17" t="s">
        <v>35</v>
      </c>
      <c r="D1" s="17"/>
      <c r="E1" s="17"/>
      <c r="F1" s="17"/>
    </row>
    <row r="3" customHeight="1" spans="1:8">
      <c r="A3" t="s">
        <v>36</v>
      </c>
      <c r="B3" t="s">
        <v>37</v>
      </c>
    </row>
    <row r="4" customHeight="1" spans="1:8">
      <c r="A4" t="s">
        <v>38</v>
      </c>
      <c r="B4" t="s">
        <v>13</v>
      </c>
      <c r="C4" t="s">
        <v>11</v>
      </c>
      <c r="D4" t="s">
        <v>14</v>
      </c>
      <c r="E4" t="s">
        <v>19</v>
      </c>
      <c r="F4" t="s">
        <v>18</v>
      </c>
      <c r="G4" t="s">
        <v>16</v>
      </c>
      <c r="H4" t="s">
        <v>39</v>
      </c>
    </row>
    <row r="5" customHeight="1" spans="1:8">
      <c r="A5" s="1" t="s">
        <v>40</v>
      </c>
      <c r="B5" s="2">
        <v>102501.09</v>
      </c>
      <c r="C5" s="2">
        <v>70384.14</v>
      </c>
      <c r="D5" s="2">
        <v>102975.45</v>
      </c>
      <c r="E5" s="2">
        <v>7026</v>
      </c>
      <c r="F5" s="2">
        <v>105939.77</v>
      </c>
      <c r="G5" s="2">
        <v>118478.88</v>
      </c>
      <c r="H5" s="2">
        <v>507305.33</v>
      </c>
    </row>
    <row r="6" customHeight="1" spans="1:8">
      <c r="A6" s="1" t="s">
        <v>41</v>
      </c>
      <c r="B6" s="2">
        <v>80622.8</v>
      </c>
      <c r="C6" s="2">
        <v>75136.97</v>
      </c>
      <c r="D6" s="2">
        <v>81941.8700000001</v>
      </c>
      <c r="E6" s="2">
        <v>7678.99</v>
      </c>
      <c r="F6" s="2">
        <v>81998.11</v>
      </c>
      <c r="G6" s="2">
        <v>118349.28</v>
      </c>
      <c r="H6" s="2">
        <v>445728.02</v>
      </c>
    </row>
    <row r="7" customHeight="1" spans="1:8">
      <c r="A7" s="1" t="s">
        <v>42</v>
      </c>
      <c r="B7" s="2">
        <v>92477.49</v>
      </c>
      <c r="C7" s="2">
        <v>80018.05</v>
      </c>
      <c r="D7" s="2">
        <v>63644.06</v>
      </c>
      <c r="E7" s="2">
        <v>6892.42</v>
      </c>
      <c r="F7" s="2">
        <v>103116.55</v>
      </c>
      <c r="G7" s="2">
        <v>87609.92</v>
      </c>
      <c r="H7" s="2">
        <v>433758.49</v>
      </c>
    </row>
    <row r="8" customHeight="1" spans="1:8">
      <c r="A8" s="1" t="s">
        <v>43</v>
      </c>
      <c r="B8" s="2">
        <v>134736.84</v>
      </c>
      <c r="C8" s="2">
        <v>117374.19</v>
      </c>
      <c r="D8" s="2">
        <v>88110.46</v>
      </c>
      <c r="E8" s="2">
        <v>8288.8</v>
      </c>
      <c r="F8" s="2">
        <v>98375.98</v>
      </c>
      <c r="G8" s="2">
        <v>87863.37</v>
      </c>
      <c r="H8" s="2">
        <v>534749.64</v>
      </c>
    </row>
    <row r="9" customHeight="1" spans="1:8">
      <c r="A9" s="1" t="s">
        <v>44</v>
      </c>
      <c r="B9" s="2">
        <v>81451.28</v>
      </c>
      <c r="C9" s="2">
        <v>78508.84</v>
      </c>
      <c r="D9" s="2">
        <v>84399.48</v>
      </c>
      <c r="E9" s="2">
        <v>11517.08</v>
      </c>
      <c r="F9" s="2">
        <v>96024.06</v>
      </c>
      <c r="G9" s="2">
        <v>92539.13</v>
      </c>
      <c r="H9" s="2">
        <v>444439.87</v>
      </c>
    </row>
    <row r="10" customHeight="1" spans="1:8">
      <c r="A10" s="1" t="s">
        <v>45</v>
      </c>
      <c r="B10" s="2">
        <v>77368.17</v>
      </c>
      <c r="C10" s="2">
        <v>93012.96</v>
      </c>
      <c r="D10" s="2">
        <v>110214.76</v>
      </c>
      <c r="E10" s="2">
        <v>8286.18</v>
      </c>
      <c r="F10" s="2">
        <v>105171.26</v>
      </c>
      <c r="G10" s="2">
        <v>69754.29</v>
      </c>
      <c r="H10" s="2">
        <v>463807.62</v>
      </c>
    </row>
    <row r="11" customHeight="1" spans="1:8">
      <c r="A11" s="1" t="s">
        <v>46</v>
      </c>
      <c r="B11" s="2">
        <v>93773.22</v>
      </c>
      <c r="C11" s="2">
        <v>105478.92</v>
      </c>
      <c r="D11" s="2">
        <v>85198.32</v>
      </c>
      <c r="E11" s="2">
        <v>18069.42</v>
      </c>
      <c r="F11" s="2">
        <v>84452.33</v>
      </c>
      <c r="G11" s="2">
        <v>132535.12</v>
      </c>
      <c r="H11" s="2">
        <v>519507.33</v>
      </c>
    </row>
    <row r="12" customHeight="1" spans="1:8">
      <c r="A12" s="1" t="s">
        <v>47</v>
      </c>
      <c r="B12" s="2">
        <v>110596.88</v>
      </c>
      <c r="C12" s="2">
        <v>101920.48</v>
      </c>
      <c r="D12" s="2">
        <v>119535.7</v>
      </c>
      <c r="E12" s="2">
        <v>11912.19</v>
      </c>
      <c r="F12" s="2">
        <v>122794.14</v>
      </c>
      <c r="G12" s="2">
        <v>114491.74</v>
      </c>
      <c r="H12" s="2">
        <v>581251.13</v>
      </c>
    </row>
    <row r="13" customHeight="1" spans="1:8">
      <c r="A13" s="1" t="s">
        <v>48</v>
      </c>
      <c r="B13" s="2">
        <v>105173.13</v>
      </c>
      <c r="C13" s="2">
        <v>122048.7</v>
      </c>
      <c r="D13" s="2">
        <v>96011.18</v>
      </c>
      <c r="E13" s="2">
        <v>16197.33</v>
      </c>
      <c r="F13" s="2">
        <v>75629.6</v>
      </c>
      <c r="G13" s="2">
        <v>119670.25</v>
      </c>
      <c r="H13" s="2">
        <v>534730.19</v>
      </c>
    </row>
    <row r="14" customHeight="1" spans="1:8">
      <c r="A14" s="1" t="s">
        <v>49</v>
      </c>
      <c r="B14" s="2">
        <v>100475.42</v>
      </c>
      <c r="C14" s="2">
        <v>168461.16</v>
      </c>
      <c r="D14" s="2">
        <v>124729.14</v>
      </c>
      <c r="E14" s="2">
        <v>12614.36</v>
      </c>
      <c r="F14" s="2">
        <v>121918.26</v>
      </c>
      <c r="G14" s="2">
        <v>152641.43</v>
      </c>
      <c r="H14" s="2">
        <v>680839.77</v>
      </c>
    </row>
    <row r="15" customHeight="1" spans="1:8">
      <c r="A15" s="1" t="s">
        <v>50</v>
      </c>
      <c r="B15" s="2">
        <v>158362.87</v>
      </c>
      <c r="C15" s="2">
        <v>175393.78</v>
      </c>
      <c r="D15" s="2">
        <v>160933.04</v>
      </c>
      <c r="E15" s="2">
        <v>13821.77</v>
      </c>
      <c r="F15" s="2">
        <v>210010.93</v>
      </c>
      <c r="G15" s="2">
        <v>203028.71</v>
      </c>
      <c r="H15" s="2">
        <v>921551.1</v>
      </c>
    </row>
    <row r="16" customHeight="1" spans="1:8">
      <c r="A16" s="1" t="s">
        <v>51</v>
      </c>
      <c r="B16" s="2">
        <v>169084.81</v>
      </c>
      <c r="C16" s="2">
        <v>224044.19</v>
      </c>
      <c r="D16" s="2">
        <v>170392.02</v>
      </c>
      <c r="E16" s="2">
        <v>25472.02</v>
      </c>
      <c r="F16" s="2">
        <v>193786.45</v>
      </c>
      <c r="G16" s="2">
        <v>214416.89</v>
      </c>
      <c r="H16" s="2">
        <v>997196.38</v>
      </c>
    </row>
    <row r="17" customHeight="1" spans="1:8">
      <c r="A17" s="1" t="s">
        <v>39</v>
      </c>
      <c r="B17" s="2">
        <v>1306624</v>
      </c>
      <c r="C17" s="2">
        <v>1411782.38</v>
      </c>
      <c r="D17" s="2">
        <v>1288085.48</v>
      </c>
      <c r="E17" s="2">
        <v>147776.56</v>
      </c>
      <c r="F17" s="2">
        <v>1399217.44</v>
      </c>
      <c r="G17" s="2">
        <v>1511379.01</v>
      </c>
      <c r="H17" s="2">
        <v>7064864.87</v>
      </c>
    </row>
  </sheetData>
  <mergeCells count="1">
    <mergeCell ref="C1:F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1"/>
  <sheetViews>
    <sheetView workbookViewId="0">
      <selection activeCell="A29" sqref="A29"/>
    </sheetView>
  </sheetViews>
  <sheetFormatPr defaultColWidth="9" defaultRowHeight="14.4" outlineLevelCol="7"/>
  <cols>
    <col min="1" max="1" width="17.7777777777778" customWidth="1"/>
    <col min="2" max="2" width="23.7777777777778" customWidth="1"/>
    <col min="3" max="3" width="13.6666666666667" customWidth="1"/>
    <col min="4" max="4" width="11.5555555555556" customWidth="1"/>
    <col min="5" max="5" width="12.4444444444444" customWidth="1"/>
    <col min="6" max="6" width="13.5555555555556" customWidth="1"/>
    <col min="7" max="7" width="16.1111111111111" customWidth="1"/>
    <col min="8" max="8" width="17.3333333333333" customWidth="1"/>
  </cols>
  <sheetData>
    <row r="1" ht="18" spans="1:8">
      <c r="A1" s="15" t="s">
        <v>8</v>
      </c>
      <c r="B1" s="15" t="s">
        <v>9</v>
      </c>
      <c r="C1" s="15" t="s">
        <v>52</v>
      </c>
      <c r="D1" s="15" t="s">
        <v>53</v>
      </c>
      <c r="E1" s="15" t="s">
        <v>54</v>
      </c>
      <c r="F1" s="15" t="s">
        <v>55</v>
      </c>
      <c r="G1" s="15" t="s">
        <v>56</v>
      </c>
      <c r="H1" s="15"/>
    </row>
    <row r="2" spans="1:8">
      <c r="A2" s="16">
        <v>1</v>
      </c>
      <c r="B2" s="16" t="s">
        <v>57</v>
      </c>
      <c r="C2" s="16" t="s">
        <v>58</v>
      </c>
      <c r="D2" s="16" t="s">
        <v>59</v>
      </c>
      <c r="E2" s="16">
        <v>440.02</v>
      </c>
      <c r="F2" s="16">
        <v>260.16</v>
      </c>
      <c r="G2" s="16">
        <v>40.88</v>
      </c>
    </row>
    <row r="3" spans="1:8">
      <c r="A3" s="16">
        <v>2</v>
      </c>
      <c r="B3" s="16" t="s">
        <v>60</v>
      </c>
      <c r="C3" s="16" t="s">
        <v>58</v>
      </c>
      <c r="D3" s="16" t="s">
        <v>61</v>
      </c>
      <c r="E3" s="16">
        <v>623.26</v>
      </c>
      <c r="F3" s="16">
        <v>352.38</v>
      </c>
      <c r="G3" s="16">
        <v>43.46</v>
      </c>
    </row>
    <row r="4" spans="1:8">
      <c r="A4" s="16">
        <v>3</v>
      </c>
      <c r="B4" s="16" t="s">
        <v>62</v>
      </c>
      <c r="C4" s="16" t="s">
        <v>58</v>
      </c>
      <c r="D4" s="16" t="s">
        <v>63</v>
      </c>
      <c r="E4" s="16">
        <v>539.1</v>
      </c>
      <c r="F4" s="16">
        <v>330.62</v>
      </c>
      <c r="G4" s="16">
        <v>38.67</v>
      </c>
    </row>
    <row r="5" spans="1:8">
      <c r="A5" s="16">
        <v>4</v>
      </c>
      <c r="B5" s="16" t="s">
        <v>64</v>
      </c>
      <c r="C5" s="16" t="s">
        <v>58</v>
      </c>
      <c r="D5" s="16" t="s">
        <v>59</v>
      </c>
      <c r="E5" s="16">
        <v>549.91</v>
      </c>
      <c r="F5" s="16">
        <v>321.64</v>
      </c>
      <c r="G5" s="16">
        <v>41.51</v>
      </c>
    </row>
    <row r="6" spans="1:8">
      <c r="A6" s="16">
        <v>5</v>
      </c>
      <c r="B6" s="16" t="s">
        <v>65</v>
      </c>
      <c r="C6" s="16" t="s">
        <v>58</v>
      </c>
      <c r="D6" s="16" t="s">
        <v>63</v>
      </c>
      <c r="E6" s="16">
        <v>442.46</v>
      </c>
      <c r="F6" s="16">
        <v>256.55</v>
      </c>
      <c r="G6" s="16">
        <v>42.02</v>
      </c>
    </row>
    <row r="7" spans="1:8">
      <c r="A7" s="16">
        <v>6</v>
      </c>
      <c r="B7" s="16" t="s">
        <v>66</v>
      </c>
      <c r="C7" s="16" t="s">
        <v>58</v>
      </c>
      <c r="D7" s="16" t="s">
        <v>63</v>
      </c>
      <c r="E7" s="16">
        <v>1071.23</v>
      </c>
      <c r="F7" s="16">
        <v>661.36</v>
      </c>
      <c r="G7" s="16">
        <v>38.26</v>
      </c>
    </row>
    <row r="8" spans="1:8">
      <c r="A8" s="16">
        <v>7</v>
      </c>
      <c r="B8" s="16" t="s">
        <v>67</v>
      </c>
      <c r="C8" s="16" t="s">
        <v>58</v>
      </c>
      <c r="D8" s="16" t="s">
        <v>68</v>
      </c>
      <c r="E8" s="16">
        <v>1695.09</v>
      </c>
      <c r="F8" s="16">
        <v>933.95</v>
      </c>
      <c r="G8" s="16">
        <v>44.9</v>
      </c>
    </row>
    <row r="9" spans="1:8">
      <c r="A9" s="16">
        <v>8</v>
      </c>
      <c r="B9" s="16" t="s">
        <v>69</v>
      </c>
      <c r="C9" s="16" t="s">
        <v>58</v>
      </c>
      <c r="D9" s="16" t="s">
        <v>61</v>
      </c>
      <c r="E9" s="16">
        <v>1517.02</v>
      </c>
      <c r="F9" s="16">
        <v>911.79</v>
      </c>
      <c r="G9" s="16">
        <v>39.9</v>
      </c>
    </row>
    <row r="10" spans="1:8">
      <c r="A10" s="16">
        <v>9</v>
      </c>
      <c r="B10" s="16" t="s">
        <v>70</v>
      </c>
      <c r="C10" s="16" t="s">
        <v>58</v>
      </c>
      <c r="D10" s="16" t="s">
        <v>61</v>
      </c>
      <c r="E10" s="16">
        <v>744.5</v>
      </c>
      <c r="F10" s="16">
        <v>494.74</v>
      </c>
      <c r="G10" s="16">
        <v>33.55</v>
      </c>
    </row>
    <row r="11" spans="1:8">
      <c r="A11" s="16">
        <v>10</v>
      </c>
      <c r="B11" s="16" t="s">
        <v>71</v>
      </c>
      <c r="C11" s="16" t="s">
        <v>58</v>
      </c>
      <c r="D11" s="16" t="s">
        <v>59</v>
      </c>
      <c r="E11" s="16">
        <v>548.39</v>
      </c>
      <c r="F11" s="16">
        <v>309.57</v>
      </c>
      <c r="G11" s="16">
        <v>43.55</v>
      </c>
    </row>
    <row r="12" spans="1:8">
      <c r="A12" s="16">
        <v>11</v>
      </c>
      <c r="B12" s="16" t="s">
        <v>72</v>
      </c>
      <c r="C12" s="16" t="s">
        <v>58</v>
      </c>
      <c r="D12" s="16" t="s">
        <v>68</v>
      </c>
      <c r="E12" s="16">
        <v>1365.96</v>
      </c>
      <c r="F12" s="16">
        <v>916.65</v>
      </c>
      <c r="G12" s="16">
        <v>32.89</v>
      </c>
    </row>
    <row r="13" spans="1:8">
      <c r="A13" s="16">
        <v>12</v>
      </c>
      <c r="B13" s="16" t="s">
        <v>73</v>
      </c>
      <c r="C13" s="16" t="s">
        <v>58</v>
      </c>
      <c r="D13" s="16" t="s">
        <v>74</v>
      </c>
      <c r="E13" s="16">
        <v>1257.96</v>
      </c>
      <c r="F13" s="16">
        <v>875.5</v>
      </c>
      <c r="G13" s="16">
        <v>30.4</v>
      </c>
    </row>
    <row r="14" spans="1:8">
      <c r="A14" s="16">
        <v>13</v>
      </c>
      <c r="B14" s="16" t="s">
        <v>75</v>
      </c>
      <c r="C14" s="16" t="s">
        <v>58</v>
      </c>
      <c r="D14" s="16" t="s">
        <v>74</v>
      </c>
      <c r="E14" s="16">
        <v>526.08</v>
      </c>
      <c r="F14" s="16">
        <v>312.48</v>
      </c>
      <c r="G14" s="16">
        <v>40.6</v>
      </c>
    </row>
    <row r="15" spans="1:8">
      <c r="A15" s="16">
        <v>14</v>
      </c>
      <c r="B15" s="16" t="s">
        <v>76</v>
      </c>
      <c r="C15" s="16" t="s">
        <v>58</v>
      </c>
      <c r="D15" s="16" t="s">
        <v>63</v>
      </c>
      <c r="E15" s="16">
        <v>1816.72</v>
      </c>
      <c r="F15" s="16">
        <v>1097.74</v>
      </c>
      <c r="G15" s="16">
        <v>39.58</v>
      </c>
    </row>
    <row r="16" spans="1:8">
      <c r="A16" s="16">
        <v>15</v>
      </c>
      <c r="B16" s="16" t="s">
        <v>77</v>
      </c>
      <c r="C16" s="16" t="s">
        <v>58</v>
      </c>
      <c r="D16" s="16" t="s">
        <v>61</v>
      </c>
      <c r="E16" s="16">
        <v>1527.31</v>
      </c>
      <c r="F16" s="16">
        <v>850.52</v>
      </c>
      <c r="G16" s="16">
        <v>44.31</v>
      </c>
    </row>
    <row r="17" spans="1:7">
      <c r="A17" s="16">
        <v>16</v>
      </c>
      <c r="B17" s="16" t="s">
        <v>78</v>
      </c>
      <c r="C17" s="16" t="s">
        <v>58</v>
      </c>
      <c r="D17" s="16" t="s">
        <v>61</v>
      </c>
      <c r="E17" s="16">
        <v>1636.91</v>
      </c>
      <c r="F17" s="16">
        <v>1142.21</v>
      </c>
      <c r="G17" s="16">
        <v>30.22</v>
      </c>
    </row>
    <row r="18" spans="1:7">
      <c r="A18" s="16">
        <v>17</v>
      </c>
      <c r="B18" s="16" t="s">
        <v>79</v>
      </c>
      <c r="C18" s="16" t="s">
        <v>58</v>
      </c>
      <c r="D18" s="16" t="s">
        <v>61</v>
      </c>
      <c r="E18" s="16">
        <v>1786.37</v>
      </c>
      <c r="F18" s="16">
        <v>1084.36</v>
      </c>
      <c r="G18" s="16">
        <v>39.3</v>
      </c>
    </row>
    <row r="19" spans="1:7">
      <c r="A19" s="16">
        <v>18</v>
      </c>
      <c r="B19" s="16" t="s">
        <v>80</v>
      </c>
      <c r="C19" s="16" t="s">
        <v>58</v>
      </c>
      <c r="D19" s="16" t="s">
        <v>74</v>
      </c>
      <c r="E19" s="16">
        <v>1417.1</v>
      </c>
      <c r="F19" s="16">
        <v>856.96</v>
      </c>
      <c r="G19" s="16">
        <v>39.53</v>
      </c>
    </row>
    <row r="20" spans="1:7">
      <c r="A20" s="16">
        <v>19</v>
      </c>
      <c r="B20" s="16" t="s">
        <v>81</v>
      </c>
      <c r="C20" s="16" t="s">
        <v>58</v>
      </c>
      <c r="D20" s="16" t="s">
        <v>68</v>
      </c>
      <c r="E20" s="16">
        <v>968.43</v>
      </c>
      <c r="F20" s="16">
        <v>629.99</v>
      </c>
      <c r="G20" s="16">
        <v>34.95</v>
      </c>
    </row>
    <row r="21" spans="1:7">
      <c r="A21" s="16">
        <v>20</v>
      </c>
      <c r="B21" s="16" t="s">
        <v>82</v>
      </c>
      <c r="C21" s="16" t="s">
        <v>58</v>
      </c>
      <c r="D21" s="16" t="s">
        <v>59</v>
      </c>
      <c r="E21" s="16">
        <v>1374.61</v>
      </c>
      <c r="F21" s="16">
        <v>791.32</v>
      </c>
      <c r="G21" s="16">
        <v>42.43</v>
      </c>
    </row>
    <row r="22" spans="1:7">
      <c r="A22" s="16">
        <v>21</v>
      </c>
      <c r="B22" s="16" t="s">
        <v>83</v>
      </c>
      <c r="C22" s="16" t="s">
        <v>58</v>
      </c>
      <c r="D22" s="16" t="s">
        <v>61</v>
      </c>
      <c r="E22" s="16">
        <v>661.44</v>
      </c>
      <c r="F22" s="16">
        <v>401.44</v>
      </c>
      <c r="G22" s="16">
        <v>39.31</v>
      </c>
    </row>
    <row r="23" spans="1:7">
      <c r="A23" s="16">
        <v>22</v>
      </c>
      <c r="B23" s="16" t="s">
        <v>84</v>
      </c>
      <c r="C23" s="16" t="s">
        <v>58</v>
      </c>
      <c r="D23" s="16" t="s">
        <v>63</v>
      </c>
      <c r="E23" s="16">
        <v>751.38</v>
      </c>
      <c r="F23" s="16">
        <v>449.81</v>
      </c>
      <c r="G23" s="16">
        <v>40.14</v>
      </c>
    </row>
    <row r="24" spans="1:7">
      <c r="A24" s="16">
        <v>23</v>
      </c>
      <c r="B24" s="16" t="s">
        <v>85</v>
      </c>
      <c r="C24" s="16" t="s">
        <v>58</v>
      </c>
      <c r="D24" s="16" t="s">
        <v>59</v>
      </c>
      <c r="E24" s="16">
        <v>766.48</v>
      </c>
      <c r="F24" s="16">
        <v>425.25</v>
      </c>
      <c r="G24" s="16">
        <v>44.52</v>
      </c>
    </row>
    <row r="25" spans="1:7">
      <c r="A25" s="16">
        <v>24</v>
      </c>
      <c r="B25" s="16" t="s">
        <v>86</v>
      </c>
      <c r="C25" s="16" t="s">
        <v>58</v>
      </c>
      <c r="D25" s="16" t="s">
        <v>68</v>
      </c>
      <c r="E25" s="16">
        <v>1041.86</v>
      </c>
      <c r="F25" s="16">
        <v>583.37</v>
      </c>
      <c r="G25" s="16">
        <v>44.01</v>
      </c>
    </row>
    <row r="26" spans="1:7">
      <c r="A26" s="16">
        <v>25</v>
      </c>
      <c r="B26" s="16" t="s">
        <v>87</v>
      </c>
      <c r="C26" s="16" t="s">
        <v>58</v>
      </c>
      <c r="D26" s="16" t="s">
        <v>63</v>
      </c>
      <c r="E26" s="16">
        <v>1802.19</v>
      </c>
      <c r="F26" s="16">
        <v>1076.27</v>
      </c>
      <c r="G26" s="16">
        <v>40.28</v>
      </c>
    </row>
    <row r="27" spans="1:7">
      <c r="A27" s="16">
        <v>26</v>
      </c>
      <c r="B27" s="16" t="s">
        <v>88</v>
      </c>
      <c r="C27" s="16" t="s">
        <v>58</v>
      </c>
      <c r="D27" s="16" t="s">
        <v>74</v>
      </c>
      <c r="E27" s="16">
        <v>1033.01</v>
      </c>
      <c r="F27" s="16">
        <v>709.87</v>
      </c>
      <c r="G27" s="16">
        <v>31.28</v>
      </c>
    </row>
    <row r="28" spans="1:7">
      <c r="A28" s="16">
        <v>27</v>
      </c>
      <c r="B28" s="16" t="s">
        <v>89</v>
      </c>
      <c r="C28" s="16" t="s">
        <v>58</v>
      </c>
      <c r="D28" s="16" t="s">
        <v>74</v>
      </c>
      <c r="E28" s="16">
        <v>628.59</v>
      </c>
      <c r="F28" s="16">
        <v>358.89</v>
      </c>
      <c r="G28" s="16">
        <v>42.91</v>
      </c>
    </row>
    <row r="29" spans="1:7">
      <c r="A29" s="16">
        <v>28</v>
      </c>
      <c r="B29" s="16" t="s">
        <v>90</v>
      </c>
      <c r="C29" s="16" t="s">
        <v>58</v>
      </c>
      <c r="D29" s="16" t="s">
        <v>63</v>
      </c>
      <c r="E29" s="16">
        <v>1262.36</v>
      </c>
      <c r="F29" s="16">
        <v>835.75</v>
      </c>
      <c r="G29" s="16">
        <v>33.79</v>
      </c>
    </row>
    <row r="30" spans="1:7">
      <c r="A30" s="16">
        <v>29</v>
      </c>
      <c r="B30" s="16" t="s">
        <v>91</v>
      </c>
      <c r="C30" s="16" t="s">
        <v>58</v>
      </c>
      <c r="D30" s="16" t="s">
        <v>74</v>
      </c>
      <c r="E30" s="16">
        <v>1836.52</v>
      </c>
      <c r="F30" s="16">
        <v>1120.11</v>
      </c>
      <c r="G30" s="16">
        <v>39.01</v>
      </c>
    </row>
    <row r="31" spans="1:7">
      <c r="A31" s="16">
        <v>30</v>
      </c>
      <c r="B31" s="16" t="s">
        <v>92</v>
      </c>
      <c r="C31" s="16" t="s">
        <v>58</v>
      </c>
      <c r="D31" s="16" t="s">
        <v>61</v>
      </c>
      <c r="E31" s="16">
        <v>1995.72</v>
      </c>
      <c r="F31" s="16">
        <v>1139.06</v>
      </c>
      <c r="G31" s="16">
        <v>42.92</v>
      </c>
    </row>
    <row r="32" spans="1:7">
      <c r="A32" s="16">
        <v>31</v>
      </c>
      <c r="B32" s="16" t="s">
        <v>93</v>
      </c>
      <c r="C32" s="16" t="s">
        <v>58</v>
      </c>
      <c r="D32" s="16" t="s">
        <v>74</v>
      </c>
      <c r="E32" s="16">
        <v>545.46</v>
      </c>
      <c r="F32" s="16">
        <v>303.86</v>
      </c>
      <c r="G32" s="16">
        <v>44.29</v>
      </c>
    </row>
    <row r="33" spans="1:7">
      <c r="A33" s="16">
        <v>32</v>
      </c>
      <c r="B33" s="16" t="s">
        <v>94</v>
      </c>
      <c r="C33" s="16" t="s">
        <v>58</v>
      </c>
      <c r="D33" s="16" t="s">
        <v>59</v>
      </c>
      <c r="E33" s="16">
        <v>644.55</v>
      </c>
      <c r="F33" s="16">
        <v>369.97</v>
      </c>
      <c r="G33" s="16">
        <v>42.6</v>
      </c>
    </row>
    <row r="34" spans="1:7">
      <c r="A34" s="16">
        <v>33</v>
      </c>
      <c r="B34" s="16" t="s">
        <v>95</v>
      </c>
      <c r="C34" s="16" t="s">
        <v>58</v>
      </c>
      <c r="D34" s="16" t="s">
        <v>74</v>
      </c>
      <c r="E34" s="16">
        <v>1354.25</v>
      </c>
      <c r="F34" s="16">
        <v>823</v>
      </c>
      <c r="G34" s="16">
        <v>39.23</v>
      </c>
    </row>
    <row r="35" spans="1:7">
      <c r="A35" s="16">
        <v>34</v>
      </c>
      <c r="B35" s="16" t="s">
        <v>96</v>
      </c>
      <c r="C35" s="16" t="s">
        <v>58</v>
      </c>
      <c r="D35" s="16" t="s">
        <v>63</v>
      </c>
      <c r="E35" s="16">
        <v>1993.79</v>
      </c>
      <c r="F35" s="16">
        <v>1254.83</v>
      </c>
      <c r="G35" s="16">
        <v>37.06</v>
      </c>
    </row>
    <row r="36" spans="1:7">
      <c r="A36" s="16">
        <v>35</v>
      </c>
      <c r="B36" s="16" t="s">
        <v>97</v>
      </c>
      <c r="C36" s="16" t="s">
        <v>58</v>
      </c>
      <c r="D36" s="16" t="s">
        <v>63</v>
      </c>
      <c r="E36" s="16">
        <v>1777.25</v>
      </c>
      <c r="F36" s="16">
        <v>980.55</v>
      </c>
      <c r="G36" s="16">
        <v>44.83</v>
      </c>
    </row>
    <row r="37" spans="1:7">
      <c r="A37" s="16">
        <v>36</v>
      </c>
      <c r="B37" s="16" t="s">
        <v>98</v>
      </c>
      <c r="C37" s="16" t="s">
        <v>58</v>
      </c>
      <c r="D37" s="16" t="s">
        <v>59</v>
      </c>
      <c r="E37" s="16">
        <v>1490.74</v>
      </c>
      <c r="F37" s="16">
        <v>939.98</v>
      </c>
      <c r="G37" s="16">
        <v>36.95</v>
      </c>
    </row>
    <row r="38" spans="1:7">
      <c r="A38" s="16">
        <v>37</v>
      </c>
      <c r="B38" s="16" t="s">
        <v>99</v>
      </c>
      <c r="C38" s="16" t="s">
        <v>58</v>
      </c>
      <c r="D38" s="16" t="s">
        <v>68</v>
      </c>
      <c r="E38" s="16">
        <v>1629.76</v>
      </c>
      <c r="F38" s="16">
        <v>979.53</v>
      </c>
      <c r="G38" s="16">
        <v>39.9</v>
      </c>
    </row>
    <row r="39" spans="1:7">
      <c r="A39" s="16">
        <v>38</v>
      </c>
      <c r="B39" s="16" t="s">
        <v>100</v>
      </c>
      <c r="C39" s="16" t="s">
        <v>58</v>
      </c>
      <c r="D39" s="16" t="s">
        <v>68</v>
      </c>
      <c r="E39" s="16">
        <v>1095.62</v>
      </c>
      <c r="F39" s="16">
        <v>677.16</v>
      </c>
      <c r="G39" s="16">
        <v>38.19</v>
      </c>
    </row>
    <row r="40" spans="1:7">
      <c r="A40" s="16">
        <v>39</v>
      </c>
      <c r="B40" s="16" t="s">
        <v>101</v>
      </c>
      <c r="C40" s="16" t="s">
        <v>58</v>
      </c>
      <c r="D40" s="16" t="s">
        <v>68</v>
      </c>
      <c r="E40" s="16">
        <v>1955.02</v>
      </c>
      <c r="F40" s="16">
        <v>1298.71</v>
      </c>
      <c r="G40" s="16">
        <v>33.57</v>
      </c>
    </row>
    <row r="41" spans="1:7">
      <c r="A41" s="16">
        <v>40</v>
      </c>
      <c r="B41" s="16" t="s">
        <v>102</v>
      </c>
      <c r="C41" s="16" t="s">
        <v>58</v>
      </c>
      <c r="D41" s="16" t="s">
        <v>63</v>
      </c>
      <c r="E41" s="16">
        <v>1860.2</v>
      </c>
      <c r="F41" s="16">
        <v>1266.01</v>
      </c>
      <c r="G41" s="16">
        <v>31.94</v>
      </c>
    </row>
    <row r="42" spans="1:7">
      <c r="A42" s="16">
        <v>41</v>
      </c>
      <c r="B42" s="16" t="s">
        <v>103</v>
      </c>
      <c r="C42" s="16" t="s">
        <v>104</v>
      </c>
      <c r="D42" s="16" t="s">
        <v>105</v>
      </c>
      <c r="E42" s="16">
        <v>1041.67</v>
      </c>
      <c r="F42" s="16">
        <v>704.32</v>
      </c>
      <c r="G42" s="16">
        <v>32.39</v>
      </c>
    </row>
    <row r="43" spans="1:7">
      <c r="A43" s="16">
        <v>42</v>
      </c>
      <c r="B43" s="16" t="s">
        <v>106</v>
      </c>
      <c r="C43" s="16" t="s">
        <v>104</v>
      </c>
      <c r="D43" s="16" t="s">
        <v>74</v>
      </c>
      <c r="E43" s="16">
        <v>352.84</v>
      </c>
      <c r="F43" s="16">
        <v>252.06</v>
      </c>
      <c r="G43" s="16">
        <v>28.56</v>
      </c>
    </row>
    <row r="44" spans="1:7">
      <c r="A44" s="16">
        <v>43</v>
      </c>
      <c r="B44" s="16" t="s">
        <v>107</v>
      </c>
      <c r="C44" s="16" t="s">
        <v>104</v>
      </c>
      <c r="D44" s="16" t="s">
        <v>108</v>
      </c>
      <c r="E44" s="16">
        <v>1153.5</v>
      </c>
      <c r="F44" s="16">
        <v>851.7</v>
      </c>
      <c r="G44" s="16">
        <v>26.16</v>
      </c>
    </row>
    <row r="45" spans="1:7">
      <c r="A45" s="16">
        <v>44</v>
      </c>
      <c r="B45" s="16" t="s">
        <v>109</v>
      </c>
      <c r="C45" s="16" t="s">
        <v>104</v>
      </c>
      <c r="D45" s="16" t="s">
        <v>110</v>
      </c>
      <c r="E45" s="16">
        <v>798.94</v>
      </c>
      <c r="F45" s="16">
        <v>537.92</v>
      </c>
      <c r="G45" s="16">
        <v>32.67</v>
      </c>
    </row>
    <row r="46" spans="1:7">
      <c r="A46" s="16">
        <v>45</v>
      </c>
      <c r="B46" s="16" t="s">
        <v>111</v>
      </c>
      <c r="C46" s="16" t="s">
        <v>104</v>
      </c>
      <c r="D46" s="16" t="s">
        <v>110</v>
      </c>
      <c r="E46" s="16">
        <v>1129.1</v>
      </c>
      <c r="F46" s="16">
        <v>826.28</v>
      </c>
      <c r="G46" s="16">
        <v>26.82</v>
      </c>
    </row>
    <row r="47" spans="1:7">
      <c r="A47" s="16">
        <v>46</v>
      </c>
      <c r="B47" s="16" t="s">
        <v>112</v>
      </c>
      <c r="C47" s="16" t="s">
        <v>104</v>
      </c>
      <c r="D47" s="16" t="s">
        <v>105</v>
      </c>
      <c r="E47" s="16">
        <v>439.45</v>
      </c>
      <c r="F47" s="16">
        <v>279.55</v>
      </c>
      <c r="G47" s="16">
        <v>36.39</v>
      </c>
    </row>
    <row r="48" spans="1:7">
      <c r="A48" s="16">
        <v>47</v>
      </c>
      <c r="B48" s="16" t="s">
        <v>113</v>
      </c>
      <c r="C48" s="16" t="s">
        <v>104</v>
      </c>
      <c r="D48" s="16" t="s">
        <v>108</v>
      </c>
      <c r="E48" s="16">
        <v>1146.95</v>
      </c>
      <c r="F48" s="16">
        <v>702.91</v>
      </c>
      <c r="G48" s="16">
        <v>38.71</v>
      </c>
    </row>
    <row r="49" spans="1:7">
      <c r="A49" s="16">
        <v>48</v>
      </c>
      <c r="B49" s="16" t="s">
        <v>114</v>
      </c>
      <c r="C49" s="16" t="s">
        <v>104</v>
      </c>
      <c r="D49" s="16" t="s">
        <v>115</v>
      </c>
      <c r="E49" s="16">
        <v>1016.02</v>
      </c>
      <c r="F49" s="16">
        <v>758.66</v>
      </c>
      <c r="G49" s="16">
        <v>25.33</v>
      </c>
    </row>
    <row r="50" spans="1:7">
      <c r="A50" s="16">
        <v>49</v>
      </c>
      <c r="B50" s="16" t="s">
        <v>116</v>
      </c>
      <c r="C50" s="16" t="s">
        <v>104</v>
      </c>
      <c r="D50" s="16" t="s">
        <v>108</v>
      </c>
      <c r="E50" s="16">
        <v>965.83</v>
      </c>
      <c r="F50" s="16">
        <v>598.1</v>
      </c>
      <c r="G50" s="16">
        <v>38.07</v>
      </c>
    </row>
    <row r="51" spans="1:7">
      <c r="A51" s="16">
        <v>50</v>
      </c>
      <c r="B51" s="16" t="s">
        <v>117</v>
      </c>
      <c r="C51" s="16" t="s">
        <v>104</v>
      </c>
      <c r="D51" s="16" t="s">
        <v>115</v>
      </c>
      <c r="E51" s="16">
        <v>1146.85</v>
      </c>
      <c r="F51" s="16">
        <v>716.52</v>
      </c>
      <c r="G51" s="16">
        <v>37.52</v>
      </c>
    </row>
    <row r="52" spans="1:7">
      <c r="A52" s="16">
        <v>51</v>
      </c>
      <c r="B52" s="16" t="s">
        <v>118</v>
      </c>
      <c r="C52" s="16" t="s">
        <v>104</v>
      </c>
      <c r="D52" s="16" t="s">
        <v>108</v>
      </c>
      <c r="E52" s="16">
        <v>1072.43</v>
      </c>
      <c r="F52" s="16">
        <v>711.53</v>
      </c>
      <c r="G52" s="16">
        <v>33.65</v>
      </c>
    </row>
    <row r="53" spans="1:7">
      <c r="A53" s="16">
        <v>52</v>
      </c>
      <c r="B53" s="16" t="s">
        <v>119</v>
      </c>
      <c r="C53" s="16" t="s">
        <v>104</v>
      </c>
      <c r="D53" s="16" t="s">
        <v>74</v>
      </c>
      <c r="E53" s="16">
        <v>1128.91</v>
      </c>
      <c r="F53" s="16">
        <v>805.24</v>
      </c>
      <c r="G53" s="16">
        <v>28.67</v>
      </c>
    </row>
    <row r="54" spans="1:7">
      <c r="A54" s="16">
        <v>53</v>
      </c>
      <c r="B54" s="16" t="s">
        <v>120</v>
      </c>
      <c r="C54" s="16" t="s">
        <v>104</v>
      </c>
      <c r="D54" s="16" t="s">
        <v>74</v>
      </c>
      <c r="E54" s="16">
        <v>912.95</v>
      </c>
      <c r="F54" s="16">
        <v>602.41</v>
      </c>
      <c r="G54" s="16">
        <v>34.02</v>
      </c>
    </row>
    <row r="55" spans="1:7">
      <c r="A55" s="16">
        <v>54</v>
      </c>
      <c r="B55" s="16" t="s">
        <v>121</v>
      </c>
      <c r="C55" s="16" t="s">
        <v>104</v>
      </c>
      <c r="D55" s="16" t="s">
        <v>105</v>
      </c>
      <c r="E55" s="16">
        <v>638.1</v>
      </c>
      <c r="F55" s="16">
        <v>432.4</v>
      </c>
      <c r="G55" s="16">
        <v>32.24</v>
      </c>
    </row>
    <row r="56" spans="1:7">
      <c r="A56" s="16">
        <v>55</v>
      </c>
      <c r="B56" s="16" t="s">
        <v>122</v>
      </c>
      <c r="C56" s="16" t="s">
        <v>104</v>
      </c>
      <c r="D56" s="16" t="s">
        <v>110</v>
      </c>
      <c r="E56" s="16">
        <v>447.91</v>
      </c>
      <c r="F56" s="16">
        <v>273.05</v>
      </c>
      <c r="G56" s="16">
        <v>39.04</v>
      </c>
    </row>
    <row r="57" spans="1:7">
      <c r="A57" s="16">
        <v>56</v>
      </c>
      <c r="B57" s="16" t="s">
        <v>123</v>
      </c>
      <c r="C57" s="16" t="s">
        <v>104</v>
      </c>
      <c r="D57" s="16" t="s">
        <v>110</v>
      </c>
      <c r="E57" s="16">
        <v>788.31</v>
      </c>
      <c r="F57" s="16">
        <v>500.2</v>
      </c>
      <c r="G57" s="16">
        <v>36.55</v>
      </c>
    </row>
    <row r="58" spans="1:7">
      <c r="A58" s="16">
        <v>57</v>
      </c>
      <c r="B58" s="16" t="s">
        <v>124</v>
      </c>
      <c r="C58" s="16" t="s">
        <v>104</v>
      </c>
      <c r="D58" s="16" t="s">
        <v>74</v>
      </c>
      <c r="E58" s="16">
        <v>207.19</v>
      </c>
      <c r="F58" s="16">
        <v>146.31</v>
      </c>
      <c r="G58" s="16">
        <v>29.38</v>
      </c>
    </row>
    <row r="59" spans="1:7">
      <c r="A59" s="16">
        <v>58</v>
      </c>
      <c r="B59" s="16" t="s">
        <v>125</v>
      </c>
      <c r="C59" s="16" t="s">
        <v>104</v>
      </c>
      <c r="D59" s="16" t="s">
        <v>110</v>
      </c>
      <c r="E59" s="16">
        <v>428.94</v>
      </c>
      <c r="F59" s="16">
        <v>315.62</v>
      </c>
      <c r="G59" s="16">
        <v>26.42</v>
      </c>
    </row>
    <row r="60" spans="1:7">
      <c r="A60" s="16">
        <v>59</v>
      </c>
      <c r="B60" s="16" t="s">
        <v>126</v>
      </c>
      <c r="C60" s="16" t="s">
        <v>104</v>
      </c>
      <c r="D60" s="16" t="s">
        <v>105</v>
      </c>
      <c r="E60" s="16">
        <v>270.86</v>
      </c>
      <c r="F60" s="16">
        <v>172.19</v>
      </c>
      <c r="G60" s="16">
        <v>36.43</v>
      </c>
    </row>
    <row r="61" spans="1:7">
      <c r="A61" s="16">
        <v>60</v>
      </c>
      <c r="B61" s="16" t="s">
        <v>127</v>
      </c>
      <c r="C61" s="16" t="s">
        <v>104</v>
      </c>
      <c r="D61" s="16" t="s">
        <v>115</v>
      </c>
      <c r="E61" s="16">
        <v>414.24</v>
      </c>
      <c r="F61" s="16">
        <v>256.77</v>
      </c>
      <c r="G61" s="16">
        <v>38.01</v>
      </c>
    </row>
    <row r="62" spans="1:7">
      <c r="A62" s="16">
        <v>61</v>
      </c>
      <c r="B62" s="16" t="s">
        <v>128</v>
      </c>
      <c r="C62" s="16" t="s">
        <v>104</v>
      </c>
      <c r="D62" s="16" t="s">
        <v>108</v>
      </c>
      <c r="E62" s="16">
        <v>776.21</v>
      </c>
      <c r="F62" s="16">
        <v>494.02</v>
      </c>
      <c r="G62" s="16">
        <v>36.35</v>
      </c>
    </row>
    <row r="63" spans="1:7">
      <c r="A63" s="16">
        <v>62</v>
      </c>
      <c r="B63" s="16" t="s">
        <v>129</v>
      </c>
      <c r="C63" s="16" t="s">
        <v>104</v>
      </c>
      <c r="D63" s="16" t="s">
        <v>115</v>
      </c>
      <c r="E63" s="16">
        <v>1007.5</v>
      </c>
      <c r="F63" s="16">
        <v>633.28</v>
      </c>
      <c r="G63" s="16">
        <v>37.14</v>
      </c>
    </row>
    <row r="64" spans="1:7">
      <c r="A64" s="16">
        <v>63</v>
      </c>
      <c r="B64" s="16" t="s">
        <v>130</v>
      </c>
      <c r="C64" s="16" t="s">
        <v>104</v>
      </c>
      <c r="D64" s="16" t="s">
        <v>110</v>
      </c>
      <c r="E64" s="16">
        <v>858.98</v>
      </c>
      <c r="F64" s="16">
        <v>561.04</v>
      </c>
      <c r="G64" s="16">
        <v>34.69</v>
      </c>
    </row>
    <row r="65" spans="1:7">
      <c r="A65" s="16">
        <v>64</v>
      </c>
      <c r="B65" s="16" t="s">
        <v>131</v>
      </c>
      <c r="C65" s="16" t="s">
        <v>104</v>
      </c>
      <c r="D65" s="16" t="s">
        <v>115</v>
      </c>
      <c r="E65" s="16">
        <v>667.02</v>
      </c>
      <c r="F65" s="16">
        <v>473.16</v>
      </c>
      <c r="G65" s="16">
        <v>29.06</v>
      </c>
    </row>
    <row r="66" spans="1:7">
      <c r="A66" s="16">
        <v>65</v>
      </c>
      <c r="B66" s="16" t="s">
        <v>132</v>
      </c>
      <c r="C66" s="16" t="s">
        <v>104</v>
      </c>
      <c r="D66" s="16" t="s">
        <v>110</v>
      </c>
      <c r="E66" s="16">
        <v>260.61</v>
      </c>
      <c r="F66" s="16">
        <v>184.83</v>
      </c>
      <c r="G66" s="16">
        <v>29.08</v>
      </c>
    </row>
    <row r="67" spans="1:7">
      <c r="A67" s="16">
        <v>66</v>
      </c>
      <c r="B67" s="16" t="s">
        <v>133</v>
      </c>
      <c r="C67" s="16" t="s">
        <v>104</v>
      </c>
      <c r="D67" s="16" t="s">
        <v>110</v>
      </c>
      <c r="E67" s="16">
        <v>448.66</v>
      </c>
      <c r="F67" s="16">
        <v>282</v>
      </c>
      <c r="G67" s="16">
        <v>37.15</v>
      </c>
    </row>
    <row r="68" spans="1:7">
      <c r="A68" s="16">
        <v>67</v>
      </c>
      <c r="B68" s="16" t="s">
        <v>134</v>
      </c>
      <c r="C68" s="16" t="s">
        <v>104</v>
      </c>
      <c r="D68" s="16" t="s">
        <v>115</v>
      </c>
      <c r="E68" s="16">
        <v>340.18</v>
      </c>
      <c r="F68" s="16">
        <v>213.47</v>
      </c>
      <c r="G68" s="16">
        <v>37.25</v>
      </c>
    </row>
    <row r="69" spans="1:7">
      <c r="A69" s="16">
        <v>68</v>
      </c>
      <c r="B69" s="16" t="s">
        <v>135</v>
      </c>
      <c r="C69" s="16" t="s">
        <v>104</v>
      </c>
      <c r="D69" s="16" t="s">
        <v>115</v>
      </c>
      <c r="E69" s="16">
        <v>449.81</v>
      </c>
      <c r="F69" s="16">
        <v>332.18</v>
      </c>
      <c r="G69" s="16">
        <v>26.15</v>
      </c>
    </row>
    <row r="70" spans="1:7">
      <c r="A70" s="16">
        <v>69</v>
      </c>
      <c r="B70" s="16" t="s">
        <v>136</v>
      </c>
      <c r="C70" s="16" t="s">
        <v>104</v>
      </c>
      <c r="D70" s="16" t="s">
        <v>115</v>
      </c>
      <c r="E70" s="16">
        <v>1008.02</v>
      </c>
      <c r="F70" s="16">
        <v>734.24</v>
      </c>
      <c r="G70" s="16">
        <v>27.16</v>
      </c>
    </row>
    <row r="71" spans="1:7">
      <c r="A71" s="16">
        <v>70</v>
      </c>
      <c r="B71" s="16" t="s">
        <v>137</v>
      </c>
      <c r="C71" s="16" t="s">
        <v>104</v>
      </c>
      <c r="D71" s="16" t="s">
        <v>110</v>
      </c>
      <c r="E71" s="16">
        <v>250.59</v>
      </c>
      <c r="F71" s="16">
        <v>187.92</v>
      </c>
      <c r="G71" s="16">
        <v>25.01</v>
      </c>
    </row>
    <row r="72" spans="1:7">
      <c r="A72" s="16">
        <v>71</v>
      </c>
      <c r="B72" s="16" t="s">
        <v>138</v>
      </c>
      <c r="C72" s="16" t="s">
        <v>104</v>
      </c>
      <c r="D72" s="16" t="s">
        <v>110</v>
      </c>
      <c r="E72" s="16">
        <v>1169</v>
      </c>
      <c r="F72" s="16">
        <v>863.84</v>
      </c>
      <c r="G72" s="16">
        <v>26.1</v>
      </c>
    </row>
    <row r="73" spans="1:7">
      <c r="A73" s="16">
        <v>72</v>
      </c>
      <c r="B73" s="16" t="s">
        <v>139</v>
      </c>
      <c r="C73" s="16" t="s">
        <v>104</v>
      </c>
      <c r="D73" s="16" t="s">
        <v>74</v>
      </c>
      <c r="E73" s="16">
        <v>366.31</v>
      </c>
      <c r="F73" s="16">
        <v>246.47</v>
      </c>
      <c r="G73" s="16">
        <v>32.72</v>
      </c>
    </row>
    <row r="74" spans="1:7">
      <c r="A74" s="16">
        <v>73</v>
      </c>
      <c r="B74" s="16" t="s">
        <v>140</v>
      </c>
      <c r="C74" s="16" t="s">
        <v>104</v>
      </c>
      <c r="D74" s="16" t="s">
        <v>74</v>
      </c>
      <c r="E74" s="16">
        <v>1064.65</v>
      </c>
      <c r="F74" s="16">
        <v>782.91</v>
      </c>
      <c r="G74" s="16">
        <v>26.46</v>
      </c>
    </row>
    <row r="75" spans="1:7">
      <c r="A75" s="16">
        <v>74</v>
      </c>
      <c r="B75" s="16" t="s">
        <v>141</v>
      </c>
      <c r="C75" s="16" t="s">
        <v>104</v>
      </c>
      <c r="D75" s="16" t="s">
        <v>74</v>
      </c>
      <c r="E75" s="16">
        <v>578.97</v>
      </c>
      <c r="F75" s="16">
        <v>432.95</v>
      </c>
      <c r="G75" s="16">
        <v>25.22</v>
      </c>
    </row>
    <row r="76" spans="1:7">
      <c r="A76" s="16">
        <v>75</v>
      </c>
      <c r="B76" s="16" t="s">
        <v>142</v>
      </c>
      <c r="C76" s="16" t="s">
        <v>104</v>
      </c>
      <c r="D76" s="16" t="s">
        <v>105</v>
      </c>
      <c r="E76" s="16">
        <v>1126.52</v>
      </c>
      <c r="F76" s="16">
        <v>808.58</v>
      </c>
      <c r="G76" s="16">
        <v>28.22</v>
      </c>
    </row>
    <row r="77" spans="1:7">
      <c r="A77" s="16">
        <v>76</v>
      </c>
      <c r="B77" s="16" t="s">
        <v>143</v>
      </c>
      <c r="C77" s="16" t="s">
        <v>104</v>
      </c>
      <c r="D77" s="16" t="s">
        <v>105</v>
      </c>
      <c r="E77" s="16">
        <v>623.01</v>
      </c>
      <c r="F77" s="16">
        <v>463.27</v>
      </c>
      <c r="G77" s="16">
        <v>25.64</v>
      </c>
    </row>
    <row r="78" spans="1:7">
      <c r="A78" s="16">
        <v>77</v>
      </c>
      <c r="B78" s="16" t="s">
        <v>144</v>
      </c>
      <c r="C78" s="16" t="s">
        <v>104</v>
      </c>
      <c r="D78" s="16" t="s">
        <v>108</v>
      </c>
      <c r="E78" s="16">
        <v>861.87</v>
      </c>
      <c r="F78" s="16">
        <v>580.04</v>
      </c>
      <c r="G78" s="16">
        <v>32.7</v>
      </c>
    </row>
    <row r="79" spans="1:7">
      <c r="A79" s="16">
        <v>78</v>
      </c>
      <c r="B79" s="16" t="s">
        <v>145</v>
      </c>
      <c r="C79" s="16" t="s">
        <v>104</v>
      </c>
      <c r="D79" s="16" t="s">
        <v>74</v>
      </c>
      <c r="E79" s="16">
        <v>496.71</v>
      </c>
      <c r="F79" s="16">
        <v>370.2</v>
      </c>
      <c r="G79" s="16">
        <v>25.47</v>
      </c>
    </row>
    <row r="80" spans="1:7">
      <c r="A80" s="16">
        <v>79</v>
      </c>
      <c r="B80" s="16" t="s">
        <v>146</v>
      </c>
      <c r="C80" s="16" t="s">
        <v>104</v>
      </c>
      <c r="D80" s="16" t="s">
        <v>108</v>
      </c>
      <c r="E80" s="16">
        <v>935.74</v>
      </c>
      <c r="F80" s="16">
        <v>570</v>
      </c>
      <c r="G80" s="16">
        <v>39.09</v>
      </c>
    </row>
    <row r="81" spans="1:7">
      <c r="A81" s="16">
        <v>80</v>
      </c>
      <c r="B81" s="16" t="s">
        <v>147</v>
      </c>
      <c r="C81" s="16" t="s">
        <v>104</v>
      </c>
      <c r="D81" s="16" t="s">
        <v>105</v>
      </c>
      <c r="E81" s="16">
        <v>257.17</v>
      </c>
      <c r="F81" s="16">
        <v>176.84</v>
      </c>
      <c r="G81" s="16">
        <v>31.24</v>
      </c>
    </row>
    <row r="82" spans="1:7">
      <c r="A82" s="16">
        <v>81</v>
      </c>
      <c r="B82" s="16" t="s">
        <v>148</v>
      </c>
      <c r="C82" s="16" t="s">
        <v>149</v>
      </c>
      <c r="D82" s="16" t="s">
        <v>68</v>
      </c>
      <c r="E82" s="16">
        <v>931.48</v>
      </c>
      <c r="F82" s="16">
        <v>618.26</v>
      </c>
      <c r="G82" s="16">
        <v>33.63</v>
      </c>
    </row>
    <row r="83" spans="1:7">
      <c r="A83" s="16">
        <v>82</v>
      </c>
      <c r="B83" s="16" t="s">
        <v>150</v>
      </c>
      <c r="C83" s="16" t="s">
        <v>149</v>
      </c>
      <c r="D83" s="16" t="s">
        <v>74</v>
      </c>
      <c r="E83" s="16">
        <v>966.66</v>
      </c>
      <c r="F83" s="16">
        <v>589.29</v>
      </c>
      <c r="G83" s="16">
        <v>39.04</v>
      </c>
    </row>
    <row r="84" spans="1:7">
      <c r="A84" s="16">
        <v>83</v>
      </c>
      <c r="B84" s="16" t="s">
        <v>151</v>
      </c>
      <c r="C84" s="16" t="s">
        <v>149</v>
      </c>
      <c r="D84" s="16" t="s">
        <v>110</v>
      </c>
      <c r="E84" s="16">
        <v>208.24</v>
      </c>
      <c r="F84" s="16">
        <v>126.64</v>
      </c>
      <c r="G84" s="16">
        <v>39.19</v>
      </c>
    </row>
    <row r="85" spans="1:7">
      <c r="A85" s="16">
        <v>84</v>
      </c>
      <c r="B85" s="16" t="s">
        <v>152</v>
      </c>
      <c r="C85" s="16" t="s">
        <v>149</v>
      </c>
      <c r="D85" s="16" t="s">
        <v>110</v>
      </c>
      <c r="E85" s="16">
        <v>493.21</v>
      </c>
      <c r="F85" s="16">
        <v>351.65</v>
      </c>
      <c r="G85" s="16">
        <v>28.7</v>
      </c>
    </row>
    <row r="86" spans="1:7">
      <c r="A86" s="16">
        <v>85</v>
      </c>
      <c r="B86" s="16" t="s">
        <v>153</v>
      </c>
      <c r="C86" s="16" t="s">
        <v>149</v>
      </c>
      <c r="D86" s="16" t="s">
        <v>68</v>
      </c>
      <c r="E86" s="16">
        <v>359.28</v>
      </c>
      <c r="F86" s="16">
        <v>241.2</v>
      </c>
      <c r="G86" s="16">
        <v>32.87</v>
      </c>
    </row>
    <row r="87" spans="1:7">
      <c r="A87" s="16">
        <v>86</v>
      </c>
      <c r="B87" s="16" t="s">
        <v>154</v>
      </c>
      <c r="C87" s="16" t="s">
        <v>149</v>
      </c>
      <c r="D87" s="16" t="s">
        <v>68</v>
      </c>
      <c r="E87" s="16">
        <v>219.69</v>
      </c>
      <c r="F87" s="16">
        <v>149.14</v>
      </c>
      <c r="G87" s="16">
        <v>32.11</v>
      </c>
    </row>
    <row r="88" spans="1:7">
      <c r="A88" s="16">
        <v>87</v>
      </c>
      <c r="B88" s="16" t="s">
        <v>155</v>
      </c>
      <c r="C88" s="16" t="s">
        <v>149</v>
      </c>
      <c r="D88" s="16" t="s">
        <v>68</v>
      </c>
      <c r="E88" s="16">
        <v>594.37</v>
      </c>
      <c r="F88" s="16">
        <v>423.29</v>
      </c>
      <c r="G88" s="16">
        <v>28.78</v>
      </c>
    </row>
    <row r="89" spans="1:7">
      <c r="A89" s="16">
        <v>88</v>
      </c>
      <c r="B89" s="16" t="s">
        <v>156</v>
      </c>
      <c r="C89" s="16" t="s">
        <v>149</v>
      </c>
      <c r="D89" s="16" t="s">
        <v>110</v>
      </c>
      <c r="E89" s="16">
        <v>719.27</v>
      </c>
      <c r="F89" s="16">
        <v>458.68</v>
      </c>
      <c r="G89" s="16">
        <v>36.23</v>
      </c>
    </row>
    <row r="90" spans="1:7">
      <c r="A90" s="16">
        <v>89</v>
      </c>
      <c r="B90" s="16" t="s">
        <v>157</v>
      </c>
      <c r="C90" s="16" t="s">
        <v>149</v>
      </c>
      <c r="D90" s="16" t="s">
        <v>158</v>
      </c>
      <c r="E90" s="16">
        <v>486.42</v>
      </c>
      <c r="F90" s="16">
        <v>331.06</v>
      </c>
      <c r="G90" s="16">
        <v>31.94</v>
      </c>
    </row>
    <row r="91" spans="1:7">
      <c r="A91" s="16">
        <v>90</v>
      </c>
      <c r="B91" s="16" t="s">
        <v>159</v>
      </c>
      <c r="C91" s="16" t="s">
        <v>149</v>
      </c>
      <c r="D91" s="16" t="s">
        <v>158</v>
      </c>
      <c r="E91" s="16">
        <v>538.64</v>
      </c>
      <c r="F91" s="16">
        <v>383.23</v>
      </c>
      <c r="G91" s="16">
        <v>28.85</v>
      </c>
    </row>
    <row r="92" spans="1:7">
      <c r="A92" s="16">
        <v>91</v>
      </c>
      <c r="B92" s="16" t="s">
        <v>160</v>
      </c>
      <c r="C92" s="16" t="s">
        <v>149</v>
      </c>
      <c r="D92" s="16" t="s">
        <v>74</v>
      </c>
      <c r="E92" s="16">
        <v>157.92</v>
      </c>
      <c r="F92" s="16">
        <v>106.52</v>
      </c>
      <c r="G92" s="16">
        <v>32.55</v>
      </c>
    </row>
    <row r="93" spans="1:7">
      <c r="A93" s="16">
        <v>92</v>
      </c>
      <c r="B93" s="16" t="s">
        <v>161</v>
      </c>
      <c r="C93" s="16" t="s">
        <v>149</v>
      </c>
      <c r="D93" s="16" t="s">
        <v>68</v>
      </c>
      <c r="E93" s="16">
        <v>996.68</v>
      </c>
      <c r="F93" s="16">
        <v>606.77</v>
      </c>
      <c r="G93" s="16">
        <v>39.12</v>
      </c>
    </row>
    <row r="94" spans="1:7">
      <c r="A94" s="16">
        <v>93</v>
      </c>
      <c r="B94" s="16" t="s">
        <v>162</v>
      </c>
      <c r="C94" s="16" t="s">
        <v>149</v>
      </c>
      <c r="D94" s="16" t="s">
        <v>110</v>
      </c>
      <c r="E94" s="16">
        <v>580</v>
      </c>
      <c r="F94" s="16">
        <v>357.22</v>
      </c>
      <c r="G94" s="16">
        <v>38.41</v>
      </c>
    </row>
    <row r="95" spans="1:7">
      <c r="A95" s="16">
        <v>94</v>
      </c>
      <c r="B95" s="16" t="s">
        <v>163</v>
      </c>
      <c r="C95" s="16" t="s">
        <v>149</v>
      </c>
      <c r="D95" s="16" t="s">
        <v>158</v>
      </c>
      <c r="E95" s="16">
        <v>898.73</v>
      </c>
      <c r="F95" s="16">
        <v>634.07</v>
      </c>
      <c r="G95" s="16">
        <v>29.45</v>
      </c>
    </row>
    <row r="96" spans="1:7">
      <c r="A96" s="16">
        <v>95</v>
      </c>
      <c r="B96" s="16" t="s">
        <v>164</v>
      </c>
      <c r="C96" s="16" t="s">
        <v>149</v>
      </c>
      <c r="D96" s="16" t="s">
        <v>158</v>
      </c>
      <c r="E96" s="16">
        <v>392.24</v>
      </c>
      <c r="F96" s="16">
        <v>255.97</v>
      </c>
      <c r="G96" s="16">
        <v>34.74</v>
      </c>
    </row>
    <row r="97" spans="1:7">
      <c r="A97" s="16">
        <v>96</v>
      </c>
      <c r="B97" s="16" t="s">
        <v>165</v>
      </c>
      <c r="C97" s="16" t="s">
        <v>149</v>
      </c>
      <c r="D97" s="16" t="s">
        <v>68</v>
      </c>
      <c r="E97" s="16">
        <v>748.01</v>
      </c>
      <c r="F97" s="16">
        <v>503.71</v>
      </c>
      <c r="G97" s="16">
        <v>32.66</v>
      </c>
    </row>
    <row r="98" spans="1:7">
      <c r="A98" s="16">
        <v>97</v>
      </c>
      <c r="B98" s="16" t="s">
        <v>166</v>
      </c>
      <c r="C98" s="16" t="s">
        <v>149</v>
      </c>
      <c r="D98" s="16" t="s">
        <v>68</v>
      </c>
      <c r="E98" s="16">
        <v>156.65</v>
      </c>
      <c r="F98" s="16">
        <v>109.35</v>
      </c>
      <c r="G98" s="16">
        <v>30.19</v>
      </c>
    </row>
    <row r="99" spans="1:7">
      <c r="A99" s="16">
        <v>98</v>
      </c>
      <c r="B99" s="16" t="s">
        <v>167</v>
      </c>
      <c r="C99" s="16" t="s">
        <v>149</v>
      </c>
      <c r="D99" s="16" t="s">
        <v>158</v>
      </c>
      <c r="E99" s="16">
        <v>941.99</v>
      </c>
      <c r="F99" s="16">
        <v>576.9</v>
      </c>
      <c r="G99" s="16">
        <v>38.76</v>
      </c>
    </row>
    <row r="100" spans="1:7">
      <c r="A100" s="16">
        <v>99</v>
      </c>
      <c r="B100" s="16" t="s">
        <v>168</v>
      </c>
      <c r="C100" s="16" t="s">
        <v>149</v>
      </c>
      <c r="D100" s="16" t="s">
        <v>110</v>
      </c>
      <c r="E100" s="16">
        <v>374.8</v>
      </c>
      <c r="F100" s="16">
        <v>264.9</v>
      </c>
      <c r="G100" s="16">
        <v>29.32</v>
      </c>
    </row>
    <row r="101" spans="1:7">
      <c r="A101" s="16">
        <v>100</v>
      </c>
      <c r="B101" s="16" t="s">
        <v>169</v>
      </c>
      <c r="C101" s="16" t="s">
        <v>149</v>
      </c>
      <c r="D101" s="16" t="s">
        <v>68</v>
      </c>
      <c r="E101" s="16">
        <v>282.13</v>
      </c>
      <c r="F101" s="16">
        <v>178.82</v>
      </c>
      <c r="G101" s="16">
        <v>36.62</v>
      </c>
    </row>
    <row r="102" spans="1:7">
      <c r="A102" s="16">
        <v>101</v>
      </c>
      <c r="B102" s="16" t="s">
        <v>170</v>
      </c>
      <c r="C102" s="16" t="s">
        <v>149</v>
      </c>
      <c r="D102" s="16" t="s">
        <v>110</v>
      </c>
      <c r="E102" s="16">
        <v>759.97</v>
      </c>
      <c r="F102" s="16">
        <v>474.55</v>
      </c>
      <c r="G102" s="16">
        <v>37.56</v>
      </c>
    </row>
    <row r="103" spans="1:7">
      <c r="A103" s="16">
        <v>102</v>
      </c>
      <c r="B103" s="16" t="s">
        <v>171</v>
      </c>
      <c r="C103" s="16" t="s">
        <v>149</v>
      </c>
      <c r="D103" s="16" t="s">
        <v>158</v>
      </c>
      <c r="E103" s="16">
        <v>579.6</v>
      </c>
      <c r="F103" s="16">
        <v>365.23</v>
      </c>
      <c r="G103" s="16">
        <v>36.99</v>
      </c>
    </row>
    <row r="104" spans="1:7">
      <c r="A104" s="16">
        <v>103</v>
      </c>
      <c r="B104" s="16" t="s">
        <v>172</v>
      </c>
      <c r="C104" s="16" t="s">
        <v>149</v>
      </c>
      <c r="D104" s="16" t="s">
        <v>74</v>
      </c>
      <c r="E104" s="16">
        <v>228.45</v>
      </c>
      <c r="F104" s="16">
        <v>148.68</v>
      </c>
      <c r="G104" s="16">
        <v>34.92</v>
      </c>
    </row>
    <row r="105" spans="1:7">
      <c r="A105" s="16">
        <v>104</v>
      </c>
      <c r="B105" s="16" t="s">
        <v>173</v>
      </c>
      <c r="C105" s="16" t="s">
        <v>149</v>
      </c>
      <c r="D105" s="16" t="s">
        <v>158</v>
      </c>
      <c r="E105" s="16">
        <v>187.47</v>
      </c>
      <c r="F105" s="16">
        <v>119.99</v>
      </c>
      <c r="G105" s="16">
        <v>36</v>
      </c>
    </row>
    <row r="106" spans="1:7">
      <c r="A106" s="16">
        <v>105</v>
      </c>
      <c r="B106" s="16" t="s">
        <v>174</v>
      </c>
      <c r="C106" s="16" t="s">
        <v>149</v>
      </c>
      <c r="D106" s="16" t="s">
        <v>110</v>
      </c>
      <c r="E106" s="16">
        <v>691.55</v>
      </c>
      <c r="F106" s="16">
        <v>436.67</v>
      </c>
      <c r="G106" s="16">
        <v>36.86</v>
      </c>
    </row>
    <row r="107" spans="1:7">
      <c r="A107" s="16">
        <v>106</v>
      </c>
      <c r="B107" s="16" t="s">
        <v>175</v>
      </c>
      <c r="C107" s="16" t="s">
        <v>149</v>
      </c>
      <c r="D107" s="16" t="s">
        <v>176</v>
      </c>
      <c r="E107" s="16">
        <v>618.93</v>
      </c>
      <c r="F107" s="16">
        <v>403.12</v>
      </c>
      <c r="G107" s="16">
        <v>34.87</v>
      </c>
    </row>
    <row r="108" spans="1:7">
      <c r="A108" s="16">
        <v>107</v>
      </c>
      <c r="B108" s="16" t="s">
        <v>177</v>
      </c>
      <c r="C108" s="16" t="s">
        <v>149</v>
      </c>
      <c r="D108" s="16" t="s">
        <v>74</v>
      </c>
      <c r="E108" s="16">
        <v>245.09</v>
      </c>
      <c r="F108" s="16">
        <v>174.85</v>
      </c>
      <c r="G108" s="16">
        <v>28.66</v>
      </c>
    </row>
    <row r="109" spans="1:7">
      <c r="A109" s="16">
        <v>108</v>
      </c>
      <c r="B109" s="16" t="s">
        <v>178</v>
      </c>
      <c r="C109" s="16" t="s">
        <v>149</v>
      </c>
      <c r="D109" s="16" t="s">
        <v>110</v>
      </c>
      <c r="E109" s="16">
        <v>613.75</v>
      </c>
      <c r="F109" s="16">
        <v>429.72</v>
      </c>
      <c r="G109" s="16">
        <v>29.98</v>
      </c>
    </row>
    <row r="110" spans="1:7">
      <c r="A110" s="16">
        <v>109</v>
      </c>
      <c r="B110" s="16" t="s">
        <v>179</v>
      </c>
      <c r="C110" s="16" t="s">
        <v>149</v>
      </c>
      <c r="D110" s="16" t="s">
        <v>68</v>
      </c>
      <c r="E110" s="16">
        <v>619.65</v>
      </c>
      <c r="F110" s="16">
        <v>403.75</v>
      </c>
      <c r="G110" s="16">
        <v>34.84</v>
      </c>
    </row>
    <row r="111" spans="1:7">
      <c r="A111" s="16">
        <v>110</v>
      </c>
      <c r="B111" s="16" t="s">
        <v>180</v>
      </c>
      <c r="C111" s="16" t="s">
        <v>149</v>
      </c>
      <c r="D111" s="16" t="s">
        <v>74</v>
      </c>
      <c r="E111" s="16">
        <v>412.02</v>
      </c>
      <c r="F111" s="16">
        <v>291.66</v>
      </c>
      <c r="G111" s="16">
        <v>29.21</v>
      </c>
    </row>
    <row r="112" spans="1:7">
      <c r="A112" s="16">
        <v>111</v>
      </c>
      <c r="B112" s="16" t="s">
        <v>181</v>
      </c>
      <c r="C112" s="16" t="s">
        <v>149</v>
      </c>
      <c r="D112" s="16" t="s">
        <v>74</v>
      </c>
      <c r="E112" s="16">
        <v>914.09</v>
      </c>
      <c r="F112" s="16">
        <v>571.5</v>
      </c>
      <c r="G112" s="16">
        <v>37.48</v>
      </c>
    </row>
    <row r="113" spans="1:7">
      <c r="A113" s="16">
        <v>112</v>
      </c>
      <c r="B113" s="16" t="s">
        <v>182</v>
      </c>
      <c r="C113" s="16" t="s">
        <v>149</v>
      </c>
      <c r="D113" s="16" t="s">
        <v>110</v>
      </c>
      <c r="E113" s="16">
        <v>716.89</v>
      </c>
      <c r="F113" s="16">
        <v>460.56</v>
      </c>
      <c r="G113" s="16">
        <v>35.76</v>
      </c>
    </row>
    <row r="114" spans="1:7">
      <c r="A114" s="16">
        <v>113</v>
      </c>
      <c r="B114" s="16" t="s">
        <v>183</v>
      </c>
      <c r="C114" s="16" t="s">
        <v>149</v>
      </c>
      <c r="D114" s="16" t="s">
        <v>68</v>
      </c>
      <c r="E114" s="16">
        <v>901.51</v>
      </c>
      <c r="F114" s="16">
        <v>584.87</v>
      </c>
      <c r="G114" s="16">
        <v>35.12</v>
      </c>
    </row>
    <row r="115" spans="1:7">
      <c r="A115" s="16">
        <v>114</v>
      </c>
      <c r="B115" s="16" t="s">
        <v>184</v>
      </c>
      <c r="C115" s="16" t="s">
        <v>149</v>
      </c>
      <c r="D115" s="16" t="s">
        <v>68</v>
      </c>
      <c r="E115" s="16">
        <v>787.06</v>
      </c>
      <c r="F115" s="16">
        <v>559.67</v>
      </c>
      <c r="G115" s="16">
        <v>28.89</v>
      </c>
    </row>
    <row r="116" spans="1:7">
      <c r="A116" s="16">
        <v>115</v>
      </c>
      <c r="B116" s="16" t="s">
        <v>185</v>
      </c>
      <c r="C116" s="16" t="s">
        <v>149</v>
      </c>
      <c r="D116" s="16" t="s">
        <v>110</v>
      </c>
      <c r="E116" s="16">
        <v>884.91</v>
      </c>
      <c r="F116" s="16">
        <v>634.61</v>
      </c>
      <c r="G116" s="16">
        <v>28.29</v>
      </c>
    </row>
    <row r="117" spans="1:7">
      <c r="A117" s="16">
        <v>116</v>
      </c>
      <c r="B117" s="16" t="s">
        <v>186</v>
      </c>
      <c r="C117" s="16" t="s">
        <v>149</v>
      </c>
      <c r="D117" s="16" t="s">
        <v>110</v>
      </c>
      <c r="E117" s="16">
        <v>899.2</v>
      </c>
      <c r="F117" s="16">
        <v>542.19</v>
      </c>
      <c r="G117" s="16">
        <v>39.7</v>
      </c>
    </row>
    <row r="118" spans="1:7">
      <c r="A118" s="16">
        <v>117</v>
      </c>
      <c r="B118" s="16" t="s">
        <v>187</v>
      </c>
      <c r="C118" s="16" t="s">
        <v>149</v>
      </c>
      <c r="D118" s="16" t="s">
        <v>158</v>
      </c>
      <c r="E118" s="16">
        <v>815.03</v>
      </c>
      <c r="F118" s="16">
        <v>529.29</v>
      </c>
      <c r="G118" s="16">
        <v>35.06</v>
      </c>
    </row>
    <row r="119" spans="1:7">
      <c r="A119" s="16">
        <v>118</v>
      </c>
      <c r="B119" s="16" t="s">
        <v>188</v>
      </c>
      <c r="C119" s="16" t="s">
        <v>149</v>
      </c>
      <c r="D119" s="16" t="s">
        <v>110</v>
      </c>
      <c r="E119" s="16">
        <v>376.78</v>
      </c>
      <c r="F119" s="16">
        <v>261.67</v>
      </c>
      <c r="G119" s="16">
        <v>30.55</v>
      </c>
    </row>
    <row r="120" spans="1:7">
      <c r="A120" s="16">
        <v>119</v>
      </c>
      <c r="B120" s="16" t="s">
        <v>189</v>
      </c>
      <c r="C120" s="16" t="s">
        <v>149</v>
      </c>
      <c r="D120" s="16" t="s">
        <v>74</v>
      </c>
      <c r="E120" s="16">
        <v>475.16</v>
      </c>
      <c r="F120" s="16">
        <v>287.3</v>
      </c>
      <c r="G120" s="16">
        <v>39.54</v>
      </c>
    </row>
    <row r="121" spans="1:7">
      <c r="A121" s="16">
        <v>120</v>
      </c>
      <c r="B121" s="16" t="s">
        <v>190</v>
      </c>
      <c r="C121" s="16" t="s">
        <v>149</v>
      </c>
      <c r="D121" s="16" t="s">
        <v>176</v>
      </c>
      <c r="E121" s="16">
        <v>339.07</v>
      </c>
      <c r="F121" s="16">
        <v>236.67</v>
      </c>
      <c r="G121" s="16">
        <v>30.2</v>
      </c>
    </row>
    <row r="122" spans="1:7">
      <c r="A122" s="16">
        <v>121</v>
      </c>
      <c r="B122" s="16" t="s">
        <v>191</v>
      </c>
      <c r="C122" s="16" t="s">
        <v>192</v>
      </c>
      <c r="D122" s="16" t="s">
        <v>74</v>
      </c>
      <c r="E122" s="16">
        <v>159.37</v>
      </c>
      <c r="F122" s="16">
        <v>99.3</v>
      </c>
      <c r="G122" s="16">
        <v>37.69</v>
      </c>
    </row>
    <row r="123" spans="1:7">
      <c r="A123" s="16">
        <v>122</v>
      </c>
      <c r="B123" s="16" t="s">
        <v>193</v>
      </c>
      <c r="C123" s="16" t="s">
        <v>192</v>
      </c>
      <c r="D123" s="16" t="s">
        <v>194</v>
      </c>
      <c r="E123" s="16">
        <v>112.48</v>
      </c>
      <c r="F123" s="16">
        <v>67.38</v>
      </c>
      <c r="G123" s="16">
        <v>40.1</v>
      </c>
    </row>
    <row r="124" spans="1:7">
      <c r="A124" s="16">
        <v>123</v>
      </c>
      <c r="B124" s="16" t="s">
        <v>195</v>
      </c>
      <c r="C124" s="16" t="s">
        <v>192</v>
      </c>
      <c r="D124" s="16" t="s">
        <v>74</v>
      </c>
      <c r="E124" s="16">
        <v>151.46</v>
      </c>
      <c r="F124" s="16">
        <v>95.37</v>
      </c>
      <c r="G124" s="16">
        <v>37.03</v>
      </c>
    </row>
    <row r="125" spans="1:7">
      <c r="A125" s="16">
        <v>124</v>
      </c>
      <c r="B125" s="16" t="s">
        <v>196</v>
      </c>
      <c r="C125" s="16" t="s">
        <v>192</v>
      </c>
      <c r="D125" s="16" t="s">
        <v>197</v>
      </c>
      <c r="E125" s="16">
        <v>159.92</v>
      </c>
      <c r="F125" s="16">
        <v>92.18</v>
      </c>
      <c r="G125" s="16">
        <v>42.36</v>
      </c>
    </row>
    <row r="126" spans="1:7">
      <c r="A126" s="16">
        <v>125</v>
      </c>
      <c r="B126" s="16" t="s">
        <v>198</v>
      </c>
      <c r="C126" s="16" t="s">
        <v>192</v>
      </c>
      <c r="D126" s="16" t="s">
        <v>199</v>
      </c>
      <c r="E126" s="16">
        <v>152.53</v>
      </c>
      <c r="F126" s="16">
        <v>76.9</v>
      </c>
      <c r="G126" s="16">
        <v>49.58</v>
      </c>
    </row>
    <row r="127" spans="1:7">
      <c r="A127" s="16">
        <v>126</v>
      </c>
      <c r="B127" s="16" t="s">
        <v>200</v>
      </c>
      <c r="C127" s="16" t="s">
        <v>192</v>
      </c>
      <c r="D127" s="16" t="s">
        <v>197</v>
      </c>
      <c r="E127" s="16">
        <v>96.07</v>
      </c>
      <c r="F127" s="16">
        <v>61.91</v>
      </c>
      <c r="G127" s="16">
        <v>35.56</v>
      </c>
    </row>
    <row r="128" spans="1:7">
      <c r="A128" s="16">
        <v>127</v>
      </c>
      <c r="B128" s="16" t="s">
        <v>201</v>
      </c>
      <c r="C128" s="16" t="s">
        <v>192</v>
      </c>
      <c r="D128" s="16" t="s">
        <v>197</v>
      </c>
      <c r="E128" s="16">
        <v>44.16</v>
      </c>
      <c r="F128" s="16">
        <v>26.03</v>
      </c>
      <c r="G128" s="16">
        <v>41.06</v>
      </c>
    </row>
    <row r="129" spans="1:7">
      <c r="A129" s="16">
        <v>128</v>
      </c>
      <c r="B129" s="16" t="s">
        <v>202</v>
      </c>
      <c r="C129" s="16" t="s">
        <v>192</v>
      </c>
      <c r="D129" s="16" t="s">
        <v>197</v>
      </c>
      <c r="E129" s="16">
        <v>299.56</v>
      </c>
      <c r="F129" s="16">
        <v>163.87</v>
      </c>
      <c r="G129" s="16">
        <v>45.3</v>
      </c>
    </row>
    <row r="130" spans="1:7">
      <c r="A130" s="16">
        <v>129</v>
      </c>
      <c r="B130" s="16" t="s">
        <v>203</v>
      </c>
      <c r="C130" s="16" t="s">
        <v>192</v>
      </c>
      <c r="D130" s="16" t="s">
        <v>199</v>
      </c>
      <c r="E130" s="16">
        <v>394.17</v>
      </c>
      <c r="F130" s="16">
        <v>203.92</v>
      </c>
      <c r="G130" s="16">
        <v>48.27</v>
      </c>
    </row>
    <row r="131" spans="1:7">
      <c r="A131" s="16">
        <v>130</v>
      </c>
      <c r="B131" s="16" t="s">
        <v>204</v>
      </c>
      <c r="C131" s="16" t="s">
        <v>192</v>
      </c>
      <c r="D131" s="16" t="s">
        <v>199</v>
      </c>
      <c r="E131" s="16">
        <v>100.33</v>
      </c>
      <c r="F131" s="16">
        <v>50.83</v>
      </c>
      <c r="G131" s="16">
        <v>49.34</v>
      </c>
    </row>
    <row r="132" spans="1:7">
      <c r="A132" s="16">
        <v>131</v>
      </c>
      <c r="B132" s="16" t="s">
        <v>205</v>
      </c>
      <c r="C132" s="16" t="s">
        <v>192</v>
      </c>
      <c r="D132" s="16" t="s">
        <v>74</v>
      </c>
      <c r="E132" s="16">
        <v>30.63</v>
      </c>
      <c r="F132" s="16">
        <v>19.57</v>
      </c>
      <c r="G132" s="16">
        <v>36.11</v>
      </c>
    </row>
    <row r="133" spans="1:7">
      <c r="A133" s="16">
        <v>132</v>
      </c>
      <c r="B133" s="16" t="s">
        <v>206</v>
      </c>
      <c r="C133" s="16" t="s">
        <v>192</v>
      </c>
      <c r="D133" s="16" t="s">
        <v>199</v>
      </c>
      <c r="E133" s="16">
        <v>284.14</v>
      </c>
      <c r="F133" s="16">
        <v>182.14</v>
      </c>
      <c r="G133" s="16">
        <v>35.9</v>
      </c>
    </row>
    <row r="134" spans="1:7">
      <c r="A134" s="16">
        <v>133</v>
      </c>
      <c r="B134" s="16" t="s">
        <v>207</v>
      </c>
      <c r="C134" s="16" t="s">
        <v>192</v>
      </c>
      <c r="D134" s="16" t="s">
        <v>194</v>
      </c>
      <c r="E134" s="16">
        <v>164.76</v>
      </c>
      <c r="F134" s="16">
        <v>84.11</v>
      </c>
      <c r="G134" s="16">
        <v>48.95</v>
      </c>
    </row>
    <row r="135" spans="1:7">
      <c r="A135" s="16">
        <v>134</v>
      </c>
      <c r="B135" s="16" t="s">
        <v>208</v>
      </c>
      <c r="C135" s="16" t="s">
        <v>192</v>
      </c>
      <c r="D135" s="16" t="s">
        <v>197</v>
      </c>
      <c r="E135" s="16">
        <v>260.57</v>
      </c>
      <c r="F135" s="16">
        <v>156.21</v>
      </c>
      <c r="G135" s="16">
        <v>40.05</v>
      </c>
    </row>
    <row r="136" spans="1:7">
      <c r="A136" s="16">
        <v>135</v>
      </c>
      <c r="B136" s="16" t="s">
        <v>209</v>
      </c>
      <c r="C136" s="16" t="s">
        <v>192</v>
      </c>
      <c r="D136" s="16" t="s">
        <v>210</v>
      </c>
      <c r="E136" s="16">
        <v>296.31</v>
      </c>
      <c r="F136" s="16">
        <v>161.5</v>
      </c>
      <c r="G136" s="16">
        <v>45.5</v>
      </c>
    </row>
    <row r="137" spans="1:7">
      <c r="A137" s="16">
        <v>136</v>
      </c>
      <c r="B137" s="16" t="s">
        <v>211</v>
      </c>
      <c r="C137" s="16" t="s">
        <v>192</v>
      </c>
      <c r="D137" s="16" t="s">
        <v>197</v>
      </c>
      <c r="E137" s="16">
        <v>276.75</v>
      </c>
      <c r="F137" s="16">
        <v>151.92</v>
      </c>
      <c r="G137" s="16">
        <v>45.11</v>
      </c>
    </row>
    <row r="138" spans="1:7">
      <c r="A138" s="16">
        <v>137</v>
      </c>
      <c r="B138" s="16" t="s">
        <v>212</v>
      </c>
      <c r="C138" s="16" t="s">
        <v>192</v>
      </c>
      <c r="D138" s="16" t="s">
        <v>197</v>
      </c>
      <c r="E138" s="16">
        <v>235.13</v>
      </c>
      <c r="F138" s="16">
        <v>124.33</v>
      </c>
      <c r="G138" s="16">
        <v>47.12</v>
      </c>
    </row>
    <row r="139" spans="1:7">
      <c r="A139" s="16">
        <v>138</v>
      </c>
      <c r="B139" s="16" t="s">
        <v>213</v>
      </c>
      <c r="C139" s="16" t="s">
        <v>192</v>
      </c>
      <c r="D139" s="16" t="s">
        <v>74</v>
      </c>
      <c r="E139" s="16">
        <v>280.61</v>
      </c>
      <c r="F139" s="16">
        <v>178.31</v>
      </c>
      <c r="G139" s="16">
        <v>36.46</v>
      </c>
    </row>
    <row r="140" spans="1:7">
      <c r="A140" s="16">
        <v>139</v>
      </c>
      <c r="B140" s="16" t="s">
        <v>214</v>
      </c>
      <c r="C140" s="16" t="s">
        <v>192</v>
      </c>
      <c r="D140" s="16" t="s">
        <v>199</v>
      </c>
      <c r="E140" s="16">
        <v>240.57</v>
      </c>
      <c r="F140" s="16">
        <v>134.94</v>
      </c>
      <c r="G140" s="16">
        <v>43.91</v>
      </c>
    </row>
    <row r="141" spans="1:7">
      <c r="A141" s="16">
        <v>140</v>
      </c>
      <c r="B141" s="16" t="s">
        <v>215</v>
      </c>
      <c r="C141" s="16" t="s">
        <v>192</v>
      </c>
      <c r="D141" s="16" t="s">
        <v>210</v>
      </c>
      <c r="E141" s="16">
        <v>142.43</v>
      </c>
      <c r="F141" s="16">
        <v>75.71</v>
      </c>
      <c r="G141" s="16">
        <v>46.84</v>
      </c>
    </row>
    <row r="142" spans="1:7">
      <c r="A142" s="16">
        <v>141</v>
      </c>
      <c r="B142" s="16" t="s">
        <v>216</v>
      </c>
      <c r="C142" s="16" t="s">
        <v>192</v>
      </c>
      <c r="D142" s="16" t="s">
        <v>199</v>
      </c>
      <c r="E142" s="16">
        <v>254.46</v>
      </c>
      <c r="F142" s="16">
        <v>139.53</v>
      </c>
      <c r="G142" s="16">
        <v>45.17</v>
      </c>
    </row>
    <row r="143" spans="1:7">
      <c r="A143" s="16">
        <v>142</v>
      </c>
      <c r="B143" s="16" t="s">
        <v>217</v>
      </c>
      <c r="C143" s="16" t="s">
        <v>192</v>
      </c>
      <c r="D143" s="16" t="s">
        <v>74</v>
      </c>
      <c r="E143" s="16">
        <v>193.6</v>
      </c>
      <c r="F143" s="16">
        <v>103.01</v>
      </c>
      <c r="G143" s="16">
        <v>46.79</v>
      </c>
    </row>
    <row r="144" spans="1:7">
      <c r="A144" s="16">
        <v>143</v>
      </c>
      <c r="B144" s="16" t="s">
        <v>218</v>
      </c>
      <c r="C144" s="16" t="s">
        <v>192</v>
      </c>
      <c r="D144" s="16" t="s">
        <v>74</v>
      </c>
      <c r="E144" s="16">
        <v>323.68</v>
      </c>
      <c r="F144" s="16">
        <v>208.44</v>
      </c>
      <c r="G144" s="16">
        <v>35.6</v>
      </c>
    </row>
    <row r="145" spans="1:7">
      <c r="A145" s="16">
        <v>144</v>
      </c>
      <c r="B145" s="16" t="s">
        <v>219</v>
      </c>
      <c r="C145" s="16" t="s">
        <v>192</v>
      </c>
      <c r="D145" s="16" t="s">
        <v>194</v>
      </c>
      <c r="E145" s="16">
        <v>273.77</v>
      </c>
      <c r="F145" s="16">
        <v>148.54</v>
      </c>
      <c r="G145" s="16">
        <v>45.74</v>
      </c>
    </row>
    <row r="146" spans="1:7">
      <c r="A146" s="16">
        <v>145</v>
      </c>
      <c r="B146" s="16" t="s">
        <v>220</v>
      </c>
      <c r="C146" s="16" t="s">
        <v>192</v>
      </c>
      <c r="D146" s="16" t="s">
        <v>199</v>
      </c>
      <c r="E146" s="16">
        <v>154.02</v>
      </c>
      <c r="F146" s="16">
        <v>95.92</v>
      </c>
      <c r="G146" s="16">
        <v>37.72</v>
      </c>
    </row>
    <row r="147" spans="1:7">
      <c r="A147" s="16">
        <v>146</v>
      </c>
      <c r="B147" s="16" t="s">
        <v>221</v>
      </c>
      <c r="C147" s="16" t="s">
        <v>192</v>
      </c>
      <c r="D147" s="16" t="s">
        <v>194</v>
      </c>
      <c r="E147" s="16">
        <v>278.93</v>
      </c>
      <c r="F147" s="16">
        <v>148.86</v>
      </c>
      <c r="G147" s="16">
        <v>46.63</v>
      </c>
    </row>
    <row r="148" spans="1:7">
      <c r="A148" s="16">
        <v>147</v>
      </c>
      <c r="B148" s="16" t="s">
        <v>222</v>
      </c>
      <c r="C148" s="16" t="s">
        <v>192</v>
      </c>
      <c r="D148" s="16" t="s">
        <v>194</v>
      </c>
      <c r="E148" s="16">
        <v>84.52</v>
      </c>
      <c r="F148" s="16">
        <v>42.85</v>
      </c>
      <c r="G148" s="16">
        <v>49.3</v>
      </c>
    </row>
    <row r="149" spans="1:7">
      <c r="A149" s="16">
        <v>148</v>
      </c>
      <c r="B149" s="16" t="s">
        <v>223</v>
      </c>
      <c r="C149" s="16" t="s">
        <v>192</v>
      </c>
      <c r="D149" s="16" t="s">
        <v>74</v>
      </c>
      <c r="E149" s="16">
        <v>256.17</v>
      </c>
      <c r="F149" s="16">
        <v>157.61</v>
      </c>
      <c r="G149" s="16">
        <v>38.47</v>
      </c>
    </row>
    <row r="150" spans="1:7">
      <c r="A150" s="16">
        <v>149</v>
      </c>
      <c r="B150" s="16" t="s">
        <v>224</v>
      </c>
      <c r="C150" s="16" t="s">
        <v>192</v>
      </c>
      <c r="D150" s="16" t="s">
        <v>74</v>
      </c>
      <c r="E150" s="16">
        <v>183.34</v>
      </c>
      <c r="F150" s="16">
        <v>108.99</v>
      </c>
      <c r="G150" s="16">
        <v>40.55</v>
      </c>
    </row>
    <row r="151" spans="1:7">
      <c r="A151" s="16">
        <v>150</v>
      </c>
      <c r="B151" s="16" t="s">
        <v>225</v>
      </c>
      <c r="C151" s="16" t="s">
        <v>192</v>
      </c>
      <c r="D151" s="16" t="s">
        <v>194</v>
      </c>
      <c r="E151" s="16">
        <v>295.79</v>
      </c>
      <c r="F151" s="16">
        <v>164.93</v>
      </c>
      <c r="G151" s="16">
        <v>44.24</v>
      </c>
    </row>
    <row r="152" spans="1:7">
      <c r="A152" s="16">
        <v>151</v>
      </c>
      <c r="B152" s="16" t="s">
        <v>226</v>
      </c>
      <c r="C152" s="16" t="s">
        <v>192</v>
      </c>
      <c r="D152" s="16" t="s">
        <v>74</v>
      </c>
      <c r="E152" s="16">
        <v>120.27</v>
      </c>
      <c r="F152" s="16">
        <v>71.97</v>
      </c>
      <c r="G152" s="16">
        <v>40.16</v>
      </c>
    </row>
    <row r="153" spans="1:7">
      <c r="A153" s="16">
        <v>152</v>
      </c>
      <c r="B153" s="16" t="s">
        <v>227</v>
      </c>
      <c r="C153" s="16" t="s">
        <v>192</v>
      </c>
      <c r="D153" s="16" t="s">
        <v>210</v>
      </c>
      <c r="E153" s="16">
        <v>360.28</v>
      </c>
      <c r="F153" s="16">
        <v>226.64</v>
      </c>
      <c r="G153" s="16">
        <v>37.09</v>
      </c>
    </row>
    <row r="154" spans="1:7">
      <c r="A154" s="16">
        <v>153</v>
      </c>
      <c r="B154" s="16" t="s">
        <v>228</v>
      </c>
      <c r="C154" s="16" t="s">
        <v>192</v>
      </c>
      <c r="D154" s="16" t="s">
        <v>210</v>
      </c>
      <c r="E154" s="16">
        <v>318.02</v>
      </c>
      <c r="F154" s="16">
        <v>169.45</v>
      </c>
      <c r="G154" s="16">
        <v>46.72</v>
      </c>
    </row>
    <row r="155" spans="1:7">
      <c r="A155" s="16">
        <v>154</v>
      </c>
      <c r="B155" s="16" t="s">
        <v>229</v>
      </c>
      <c r="C155" s="16" t="s">
        <v>192</v>
      </c>
      <c r="D155" s="16" t="s">
        <v>199</v>
      </c>
      <c r="E155" s="16">
        <v>201.88</v>
      </c>
      <c r="F155" s="16">
        <v>117.82</v>
      </c>
      <c r="G155" s="16">
        <v>41.64</v>
      </c>
    </row>
    <row r="156" spans="1:7">
      <c r="A156" s="16">
        <v>155</v>
      </c>
      <c r="B156" s="16" t="s">
        <v>230</v>
      </c>
      <c r="C156" s="16" t="s">
        <v>192</v>
      </c>
      <c r="D156" s="16" t="s">
        <v>210</v>
      </c>
      <c r="E156" s="16">
        <v>198.89</v>
      </c>
      <c r="F156" s="16">
        <v>123.35</v>
      </c>
      <c r="G156" s="16">
        <v>37.98</v>
      </c>
    </row>
    <row r="157" spans="1:7">
      <c r="A157" s="16">
        <v>156</v>
      </c>
      <c r="B157" s="16" t="s">
        <v>231</v>
      </c>
      <c r="C157" s="16" t="s">
        <v>192</v>
      </c>
      <c r="D157" s="16" t="s">
        <v>199</v>
      </c>
      <c r="E157" s="16">
        <v>395.52</v>
      </c>
      <c r="F157" s="16">
        <v>233.09</v>
      </c>
      <c r="G157" s="16">
        <v>41.07</v>
      </c>
    </row>
    <row r="158" spans="1:7">
      <c r="A158" s="16">
        <v>157</v>
      </c>
      <c r="B158" s="16" t="s">
        <v>232</v>
      </c>
      <c r="C158" s="16" t="s">
        <v>192</v>
      </c>
      <c r="D158" s="16" t="s">
        <v>74</v>
      </c>
      <c r="E158" s="16">
        <v>256.68</v>
      </c>
      <c r="F158" s="16">
        <v>156.03</v>
      </c>
      <c r="G158" s="16">
        <v>39.21</v>
      </c>
    </row>
    <row r="159" spans="1:7">
      <c r="A159" s="16">
        <v>158</v>
      </c>
      <c r="B159" s="16" t="s">
        <v>233</v>
      </c>
      <c r="C159" s="16" t="s">
        <v>192</v>
      </c>
      <c r="D159" s="16" t="s">
        <v>199</v>
      </c>
      <c r="E159" s="16">
        <v>187.89</v>
      </c>
      <c r="F159" s="16">
        <v>119.5</v>
      </c>
      <c r="G159" s="16">
        <v>36.4</v>
      </c>
    </row>
    <row r="160" spans="1:7">
      <c r="A160" s="16">
        <v>159</v>
      </c>
      <c r="B160" s="16" t="s">
        <v>234</v>
      </c>
      <c r="C160" s="16" t="s">
        <v>192</v>
      </c>
      <c r="D160" s="16" t="s">
        <v>74</v>
      </c>
      <c r="E160" s="16">
        <v>361.97</v>
      </c>
      <c r="F160" s="16">
        <v>221.36</v>
      </c>
      <c r="G160" s="16">
        <v>38.85</v>
      </c>
    </row>
    <row r="161" spans="1:7">
      <c r="A161" s="16">
        <v>160</v>
      </c>
      <c r="B161" s="16" t="s">
        <v>235</v>
      </c>
      <c r="C161" s="16" t="s">
        <v>192</v>
      </c>
      <c r="D161" s="16" t="s">
        <v>74</v>
      </c>
      <c r="E161" s="16">
        <v>196.53</v>
      </c>
      <c r="F161" s="16">
        <v>120.43</v>
      </c>
      <c r="G161" s="16">
        <v>38.72</v>
      </c>
    </row>
    <row r="162" spans="1:7">
      <c r="A162" s="16">
        <v>161</v>
      </c>
      <c r="B162" s="16" t="s">
        <v>236</v>
      </c>
      <c r="C162" s="16" t="s">
        <v>237</v>
      </c>
      <c r="D162" s="16" t="s">
        <v>238</v>
      </c>
      <c r="E162" s="16">
        <v>406.33</v>
      </c>
      <c r="F162" s="16">
        <v>255.25</v>
      </c>
      <c r="G162" s="16">
        <v>37.18</v>
      </c>
    </row>
    <row r="163" spans="1:7">
      <c r="A163" s="16">
        <v>162</v>
      </c>
      <c r="B163" s="16" t="s">
        <v>239</v>
      </c>
      <c r="C163" s="16" t="s">
        <v>237</v>
      </c>
      <c r="D163" s="16" t="s">
        <v>110</v>
      </c>
      <c r="E163" s="16">
        <v>209.84</v>
      </c>
      <c r="F163" s="16">
        <v>117.85</v>
      </c>
      <c r="G163" s="16">
        <v>43.84</v>
      </c>
    </row>
    <row r="164" spans="1:7">
      <c r="A164" s="16">
        <v>163</v>
      </c>
      <c r="B164" s="16" t="s">
        <v>240</v>
      </c>
      <c r="C164" s="16" t="s">
        <v>237</v>
      </c>
      <c r="D164" s="16" t="s">
        <v>238</v>
      </c>
      <c r="E164" s="16">
        <v>193.8</v>
      </c>
      <c r="F164" s="16">
        <v>116.35</v>
      </c>
      <c r="G164" s="16">
        <v>39.96</v>
      </c>
    </row>
    <row r="165" spans="1:7">
      <c r="A165" s="16">
        <v>164</v>
      </c>
      <c r="B165" s="16" t="s">
        <v>241</v>
      </c>
      <c r="C165" s="16" t="s">
        <v>237</v>
      </c>
      <c r="D165" s="16" t="s">
        <v>242</v>
      </c>
      <c r="E165" s="16">
        <v>132.23</v>
      </c>
      <c r="F165" s="16">
        <v>75.72</v>
      </c>
      <c r="G165" s="16">
        <v>42.74</v>
      </c>
    </row>
    <row r="166" spans="1:7">
      <c r="A166" s="16">
        <v>165</v>
      </c>
      <c r="B166" s="16" t="s">
        <v>243</v>
      </c>
      <c r="C166" s="16" t="s">
        <v>237</v>
      </c>
      <c r="D166" s="16" t="s">
        <v>244</v>
      </c>
      <c r="E166" s="16">
        <v>377.58</v>
      </c>
      <c r="F166" s="16">
        <v>247.68</v>
      </c>
      <c r="G166" s="16">
        <v>34.4</v>
      </c>
    </row>
    <row r="167" spans="1:7">
      <c r="A167" s="16">
        <v>166</v>
      </c>
      <c r="B167" s="16" t="s">
        <v>245</v>
      </c>
      <c r="C167" s="16" t="s">
        <v>237</v>
      </c>
      <c r="D167" s="16" t="s">
        <v>74</v>
      </c>
      <c r="E167" s="16">
        <v>265.95</v>
      </c>
      <c r="F167" s="16">
        <v>159.47</v>
      </c>
      <c r="G167" s="16">
        <v>40.04</v>
      </c>
    </row>
    <row r="168" spans="1:7">
      <c r="A168" s="16">
        <v>167</v>
      </c>
      <c r="B168" s="16" t="s">
        <v>246</v>
      </c>
      <c r="C168" s="16" t="s">
        <v>237</v>
      </c>
      <c r="D168" s="16" t="s">
        <v>244</v>
      </c>
      <c r="E168" s="16">
        <v>266.31</v>
      </c>
      <c r="F168" s="16">
        <v>154.73</v>
      </c>
      <c r="G168" s="16">
        <v>41.9</v>
      </c>
    </row>
    <row r="169" spans="1:7">
      <c r="A169" s="16">
        <v>168</v>
      </c>
      <c r="B169" s="16" t="s">
        <v>247</v>
      </c>
      <c r="C169" s="16" t="s">
        <v>237</v>
      </c>
      <c r="D169" s="16" t="s">
        <v>244</v>
      </c>
      <c r="E169" s="16">
        <v>255.79</v>
      </c>
      <c r="F169" s="16">
        <v>170.22</v>
      </c>
      <c r="G169" s="16">
        <v>33.45</v>
      </c>
    </row>
    <row r="170" spans="1:7">
      <c r="A170" s="16">
        <v>169</v>
      </c>
      <c r="B170" s="16" t="s">
        <v>248</v>
      </c>
      <c r="C170" s="16" t="s">
        <v>237</v>
      </c>
      <c r="D170" s="16" t="s">
        <v>74</v>
      </c>
      <c r="E170" s="16">
        <v>442.69</v>
      </c>
      <c r="F170" s="16">
        <v>294.32</v>
      </c>
      <c r="G170" s="16">
        <v>33.52</v>
      </c>
    </row>
    <row r="171" spans="1:7">
      <c r="A171" s="16">
        <v>170</v>
      </c>
      <c r="B171" s="16" t="s">
        <v>249</v>
      </c>
      <c r="C171" s="16" t="s">
        <v>237</v>
      </c>
      <c r="D171" s="16" t="s">
        <v>244</v>
      </c>
      <c r="E171" s="16">
        <v>290.79</v>
      </c>
      <c r="F171" s="16">
        <v>201.06</v>
      </c>
      <c r="G171" s="16">
        <v>30.86</v>
      </c>
    </row>
    <row r="172" spans="1:7">
      <c r="A172" s="16">
        <v>171</v>
      </c>
      <c r="B172" s="16" t="s">
        <v>250</v>
      </c>
      <c r="C172" s="16" t="s">
        <v>237</v>
      </c>
      <c r="D172" s="16" t="s">
        <v>238</v>
      </c>
      <c r="E172" s="16">
        <v>401.39</v>
      </c>
      <c r="F172" s="16">
        <v>272.15</v>
      </c>
      <c r="G172" s="16">
        <v>32.2</v>
      </c>
    </row>
    <row r="173" spans="1:7">
      <c r="A173" s="16">
        <v>172</v>
      </c>
      <c r="B173" s="16" t="s">
        <v>251</v>
      </c>
      <c r="C173" s="16" t="s">
        <v>237</v>
      </c>
      <c r="D173" s="16" t="s">
        <v>244</v>
      </c>
      <c r="E173" s="16">
        <v>315.29</v>
      </c>
      <c r="F173" s="16">
        <v>208.15</v>
      </c>
      <c r="G173" s="16">
        <v>33.98</v>
      </c>
    </row>
    <row r="174" spans="1:7">
      <c r="A174" s="16">
        <v>173</v>
      </c>
      <c r="B174" s="16" t="s">
        <v>252</v>
      </c>
      <c r="C174" s="16" t="s">
        <v>237</v>
      </c>
      <c r="D174" s="16" t="s">
        <v>242</v>
      </c>
      <c r="E174" s="16">
        <v>459.12</v>
      </c>
      <c r="F174" s="16">
        <v>286.14</v>
      </c>
      <c r="G174" s="16">
        <v>37.68</v>
      </c>
    </row>
    <row r="175" spans="1:7">
      <c r="A175" s="16">
        <v>174</v>
      </c>
      <c r="B175" s="16" t="s">
        <v>253</v>
      </c>
      <c r="C175" s="16" t="s">
        <v>237</v>
      </c>
      <c r="D175" s="16" t="s">
        <v>238</v>
      </c>
      <c r="E175" s="16">
        <v>274.33</v>
      </c>
      <c r="F175" s="16">
        <v>152.08</v>
      </c>
      <c r="G175" s="16">
        <v>44.56</v>
      </c>
    </row>
    <row r="176" spans="1:7">
      <c r="A176" s="16">
        <v>175</v>
      </c>
      <c r="B176" s="16" t="s">
        <v>254</v>
      </c>
      <c r="C176" s="16" t="s">
        <v>237</v>
      </c>
      <c r="D176" s="16" t="s">
        <v>238</v>
      </c>
      <c r="E176" s="16">
        <v>367.55</v>
      </c>
      <c r="F176" s="16">
        <v>246.16</v>
      </c>
      <c r="G176" s="16">
        <v>33.03</v>
      </c>
    </row>
    <row r="177" spans="1:7">
      <c r="A177" s="16">
        <v>176</v>
      </c>
      <c r="B177" s="16" t="s">
        <v>255</v>
      </c>
      <c r="C177" s="16" t="s">
        <v>237</v>
      </c>
      <c r="D177" s="16" t="s">
        <v>110</v>
      </c>
      <c r="E177" s="16">
        <v>436.2</v>
      </c>
      <c r="F177" s="16">
        <v>300.08</v>
      </c>
      <c r="G177" s="16">
        <v>31.21</v>
      </c>
    </row>
    <row r="178" spans="1:7">
      <c r="A178" s="16">
        <v>177</v>
      </c>
      <c r="B178" s="16" t="s">
        <v>256</v>
      </c>
      <c r="C178" s="16" t="s">
        <v>237</v>
      </c>
      <c r="D178" s="16" t="s">
        <v>242</v>
      </c>
      <c r="E178" s="16">
        <v>313.65</v>
      </c>
      <c r="F178" s="16">
        <v>215.18</v>
      </c>
      <c r="G178" s="16">
        <v>31.39</v>
      </c>
    </row>
    <row r="179" spans="1:7">
      <c r="A179" s="16">
        <v>178</v>
      </c>
      <c r="B179" s="16" t="s">
        <v>257</v>
      </c>
      <c r="C179" s="16" t="s">
        <v>237</v>
      </c>
      <c r="D179" s="16" t="s">
        <v>242</v>
      </c>
      <c r="E179" s="16">
        <v>325.76</v>
      </c>
      <c r="F179" s="16">
        <v>180.49</v>
      </c>
      <c r="G179" s="16">
        <v>44.59</v>
      </c>
    </row>
    <row r="180" spans="1:7">
      <c r="A180" s="16">
        <v>179</v>
      </c>
      <c r="B180" s="16" t="s">
        <v>258</v>
      </c>
      <c r="C180" s="16" t="s">
        <v>237</v>
      </c>
      <c r="D180" s="16" t="s">
        <v>244</v>
      </c>
      <c r="E180" s="16">
        <v>154.28</v>
      </c>
      <c r="F180" s="16">
        <v>95.54</v>
      </c>
      <c r="G180" s="16">
        <v>38.07</v>
      </c>
    </row>
    <row r="181" spans="1:7">
      <c r="A181" s="16">
        <v>180</v>
      </c>
      <c r="B181" s="16" t="s">
        <v>259</v>
      </c>
      <c r="C181" s="16" t="s">
        <v>237</v>
      </c>
      <c r="D181" s="16" t="s">
        <v>74</v>
      </c>
      <c r="E181" s="16">
        <v>204.06</v>
      </c>
      <c r="F181" s="16">
        <v>122.25</v>
      </c>
      <c r="G181" s="16">
        <v>40.09</v>
      </c>
    </row>
    <row r="182" spans="1:7">
      <c r="A182" s="16">
        <v>181</v>
      </c>
      <c r="B182" s="16" t="s">
        <v>260</v>
      </c>
      <c r="C182" s="16" t="s">
        <v>237</v>
      </c>
      <c r="D182" s="16" t="s">
        <v>244</v>
      </c>
      <c r="E182" s="16">
        <v>230.74</v>
      </c>
      <c r="F182" s="16">
        <v>153.25</v>
      </c>
      <c r="G182" s="16">
        <v>33.58</v>
      </c>
    </row>
    <row r="183" spans="1:7">
      <c r="A183" s="16">
        <v>182</v>
      </c>
      <c r="B183" s="16" t="s">
        <v>261</v>
      </c>
      <c r="C183" s="16" t="s">
        <v>237</v>
      </c>
      <c r="D183" s="16" t="s">
        <v>244</v>
      </c>
      <c r="E183" s="16">
        <v>211.3</v>
      </c>
      <c r="F183" s="16">
        <v>146.36</v>
      </c>
      <c r="G183" s="16">
        <v>30.73</v>
      </c>
    </row>
    <row r="184" spans="1:7">
      <c r="A184" s="16">
        <v>183</v>
      </c>
      <c r="B184" s="16" t="s">
        <v>262</v>
      </c>
      <c r="C184" s="16" t="s">
        <v>237</v>
      </c>
      <c r="D184" s="16" t="s">
        <v>244</v>
      </c>
      <c r="E184" s="16">
        <v>200.91</v>
      </c>
      <c r="F184" s="16">
        <v>112.97</v>
      </c>
      <c r="G184" s="16">
        <v>43.77</v>
      </c>
    </row>
    <row r="185" spans="1:7">
      <c r="A185" s="16">
        <v>184</v>
      </c>
      <c r="B185" s="16" t="s">
        <v>263</v>
      </c>
      <c r="C185" s="16" t="s">
        <v>237</v>
      </c>
      <c r="D185" s="16" t="s">
        <v>74</v>
      </c>
      <c r="E185" s="16">
        <v>399.61</v>
      </c>
      <c r="F185" s="16">
        <v>222.91</v>
      </c>
      <c r="G185" s="16">
        <v>44.22</v>
      </c>
    </row>
    <row r="186" spans="1:7">
      <c r="A186" s="16">
        <v>185</v>
      </c>
      <c r="B186" s="16" t="s">
        <v>264</v>
      </c>
      <c r="C186" s="16" t="s">
        <v>237</v>
      </c>
      <c r="D186" s="16" t="s">
        <v>238</v>
      </c>
      <c r="E186" s="16">
        <v>189.69</v>
      </c>
      <c r="F186" s="16">
        <v>106.28</v>
      </c>
      <c r="G186" s="16">
        <v>43.97</v>
      </c>
    </row>
    <row r="187" spans="1:7">
      <c r="A187" s="16">
        <v>186</v>
      </c>
      <c r="B187" s="16" t="s">
        <v>265</v>
      </c>
      <c r="C187" s="16" t="s">
        <v>237</v>
      </c>
      <c r="D187" s="16" t="s">
        <v>74</v>
      </c>
      <c r="E187" s="16">
        <v>401.69</v>
      </c>
      <c r="F187" s="16">
        <v>278.15</v>
      </c>
      <c r="G187" s="16">
        <v>30.76</v>
      </c>
    </row>
    <row r="188" spans="1:7">
      <c r="A188" s="16">
        <v>187</v>
      </c>
      <c r="B188" s="16" t="s">
        <v>266</v>
      </c>
      <c r="C188" s="16" t="s">
        <v>237</v>
      </c>
      <c r="D188" s="16" t="s">
        <v>110</v>
      </c>
      <c r="E188" s="16">
        <v>435.69</v>
      </c>
      <c r="F188" s="16">
        <v>280.24</v>
      </c>
      <c r="G188" s="16">
        <v>35.68</v>
      </c>
    </row>
    <row r="189" spans="1:7">
      <c r="A189" s="16">
        <v>188</v>
      </c>
      <c r="B189" s="16" t="s">
        <v>267</v>
      </c>
      <c r="C189" s="16" t="s">
        <v>237</v>
      </c>
      <c r="D189" s="16" t="s">
        <v>110</v>
      </c>
      <c r="E189" s="16">
        <v>150.49</v>
      </c>
      <c r="F189" s="16">
        <v>97.88</v>
      </c>
      <c r="G189" s="16">
        <v>34.96</v>
      </c>
    </row>
    <row r="190" spans="1:7">
      <c r="A190" s="16">
        <v>189</v>
      </c>
      <c r="B190" s="16" t="s">
        <v>268</v>
      </c>
      <c r="C190" s="16" t="s">
        <v>237</v>
      </c>
      <c r="D190" s="16" t="s">
        <v>242</v>
      </c>
      <c r="E190" s="16">
        <v>479.1</v>
      </c>
      <c r="F190" s="16">
        <v>296.92</v>
      </c>
      <c r="G190" s="16">
        <v>38.03</v>
      </c>
    </row>
    <row r="191" spans="1:7">
      <c r="A191" s="16">
        <v>190</v>
      </c>
      <c r="B191" s="16" t="s">
        <v>269</v>
      </c>
      <c r="C191" s="16" t="s">
        <v>237</v>
      </c>
      <c r="D191" s="16" t="s">
        <v>238</v>
      </c>
      <c r="E191" s="16">
        <v>406.76</v>
      </c>
      <c r="F191" s="16">
        <v>233.96</v>
      </c>
      <c r="G191" s="16">
        <v>42.48</v>
      </c>
    </row>
    <row r="192" spans="1:7">
      <c r="A192" s="16">
        <v>191</v>
      </c>
      <c r="B192" s="16" t="s">
        <v>270</v>
      </c>
      <c r="C192" s="16" t="s">
        <v>237</v>
      </c>
      <c r="D192" s="16" t="s">
        <v>242</v>
      </c>
      <c r="E192" s="16">
        <v>485.49</v>
      </c>
      <c r="F192" s="16">
        <v>319.33</v>
      </c>
      <c r="G192" s="16">
        <v>34.23</v>
      </c>
    </row>
    <row r="193" spans="1:7">
      <c r="A193" s="16">
        <v>192</v>
      </c>
      <c r="B193" s="16" t="s">
        <v>271</v>
      </c>
      <c r="C193" s="16" t="s">
        <v>237</v>
      </c>
      <c r="D193" s="16" t="s">
        <v>110</v>
      </c>
      <c r="E193" s="16">
        <v>485.89</v>
      </c>
      <c r="F193" s="16">
        <v>275.12</v>
      </c>
      <c r="G193" s="16">
        <v>43.38</v>
      </c>
    </row>
    <row r="194" spans="1:7">
      <c r="A194" s="16">
        <v>193</v>
      </c>
      <c r="B194" s="16" t="s">
        <v>272</v>
      </c>
      <c r="C194" s="16" t="s">
        <v>237</v>
      </c>
      <c r="D194" s="16" t="s">
        <v>74</v>
      </c>
      <c r="E194" s="16">
        <v>471.55</v>
      </c>
      <c r="F194" s="16">
        <v>300.08</v>
      </c>
      <c r="G194" s="16">
        <v>36.36</v>
      </c>
    </row>
    <row r="195" spans="1:7">
      <c r="A195" s="16">
        <v>194</v>
      </c>
      <c r="B195" s="16" t="s">
        <v>273</v>
      </c>
      <c r="C195" s="16" t="s">
        <v>237</v>
      </c>
      <c r="D195" s="16" t="s">
        <v>244</v>
      </c>
      <c r="E195" s="16">
        <v>258.66</v>
      </c>
      <c r="F195" s="16">
        <v>170</v>
      </c>
      <c r="G195" s="16">
        <v>34.28</v>
      </c>
    </row>
    <row r="196" spans="1:7">
      <c r="A196" s="16">
        <v>195</v>
      </c>
      <c r="B196" s="16" t="s">
        <v>274</v>
      </c>
      <c r="C196" s="16" t="s">
        <v>237</v>
      </c>
      <c r="D196" s="16" t="s">
        <v>74</v>
      </c>
      <c r="E196" s="16">
        <v>336.84</v>
      </c>
      <c r="F196" s="16">
        <v>227.23</v>
      </c>
      <c r="G196" s="16">
        <v>32.54</v>
      </c>
    </row>
    <row r="197" spans="1:7">
      <c r="A197" s="16">
        <v>196</v>
      </c>
      <c r="B197" s="16" t="s">
        <v>275</v>
      </c>
      <c r="C197" s="16" t="s">
        <v>237</v>
      </c>
      <c r="D197" s="16" t="s">
        <v>110</v>
      </c>
      <c r="E197" s="16">
        <v>140.76</v>
      </c>
      <c r="F197" s="16">
        <v>93.73</v>
      </c>
      <c r="G197" s="16">
        <v>33.41</v>
      </c>
    </row>
    <row r="198" spans="1:7">
      <c r="A198" s="16">
        <v>197</v>
      </c>
      <c r="B198" s="16" t="s">
        <v>276</v>
      </c>
      <c r="C198" s="16" t="s">
        <v>237</v>
      </c>
      <c r="D198" s="16" t="s">
        <v>242</v>
      </c>
      <c r="E198" s="16">
        <v>422.21</v>
      </c>
      <c r="F198" s="16">
        <v>282.64</v>
      </c>
      <c r="G198" s="16">
        <v>33.06</v>
      </c>
    </row>
    <row r="199" spans="1:7">
      <c r="A199" s="16">
        <v>198</v>
      </c>
      <c r="B199" s="16" t="s">
        <v>277</v>
      </c>
      <c r="C199" s="16" t="s">
        <v>237</v>
      </c>
      <c r="D199" s="16" t="s">
        <v>242</v>
      </c>
      <c r="E199" s="16">
        <v>413.05</v>
      </c>
      <c r="F199" s="16">
        <v>248.69</v>
      </c>
      <c r="G199" s="16">
        <v>39.79</v>
      </c>
    </row>
    <row r="200" spans="1:7">
      <c r="A200" s="16">
        <v>199</v>
      </c>
      <c r="B200" s="16" t="s">
        <v>278</v>
      </c>
      <c r="C200" s="16" t="s">
        <v>237</v>
      </c>
      <c r="D200" s="16" t="s">
        <v>244</v>
      </c>
      <c r="E200" s="16">
        <v>364.61</v>
      </c>
      <c r="F200" s="16">
        <v>204.31</v>
      </c>
      <c r="G200" s="16">
        <v>43.96</v>
      </c>
    </row>
    <row r="201" spans="1:7">
      <c r="A201" s="16">
        <v>200</v>
      </c>
      <c r="B201" s="16" t="s">
        <v>279</v>
      </c>
      <c r="C201" s="16" t="s">
        <v>237</v>
      </c>
      <c r="D201" s="16" t="s">
        <v>238</v>
      </c>
      <c r="E201" s="16">
        <v>105.06</v>
      </c>
      <c r="F201" s="16">
        <v>64.4</v>
      </c>
      <c r="G201" s="16">
        <v>38.7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9:C49"/>
  <sheetViews>
    <sheetView workbookViewId="0">
      <selection activeCell="L8" sqref="L8"/>
    </sheetView>
  </sheetViews>
  <sheetFormatPr defaultColWidth="13.4444444444444" defaultRowHeight="16.2" customHeight="1" outlineLevelCol="2"/>
  <cols>
    <col min="1" max="1" width="15.1111111111111" customWidth="1"/>
    <col min="2" max="2" width="23.6666666666667" customWidth="1"/>
  </cols>
  <sheetData>
    <row r="9" ht="18" spans="1:2">
      <c r="A9" s="3" t="s">
        <v>38</v>
      </c>
      <c r="B9" s="3" t="s">
        <v>36</v>
      </c>
    </row>
    <row r="10" ht="18" spans="1:2">
      <c r="A10" s="4" t="s">
        <v>40</v>
      </c>
      <c r="B10" s="5">
        <v>1112641.92</v>
      </c>
    </row>
    <row r="11" ht="18" spans="1:2">
      <c r="A11" s="4" t="s">
        <v>41</v>
      </c>
      <c r="B11" s="5">
        <v>1102766.4</v>
      </c>
    </row>
    <row r="12" ht="18" spans="1:2">
      <c r="A12" s="4" t="s">
        <v>42</v>
      </c>
      <c r="B12" s="5">
        <v>1083015.36</v>
      </c>
    </row>
    <row r="13" ht="18" spans="1:2">
      <c r="A13" s="4" t="s">
        <v>43</v>
      </c>
      <c r="B13" s="5">
        <v>1165311.36</v>
      </c>
    </row>
    <row r="14" ht="18" spans="1:2">
      <c r="A14" s="4" t="s">
        <v>44</v>
      </c>
      <c r="B14" s="5">
        <v>1063264.32</v>
      </c>
    </row>
    <row r="15" ht="18" spans="1:2">
      <c r="A15" s="4" t="s">
        <v>45</v>
      </c>
      <c r="B15" s="5">
        <v>1050096.96</v>
      </c>
    </row>
    <row r="16" ht="18" spans="1:2">
      <c r="A16" s="4" t="s">
        <v>46</v>
      </c>
      <c r="B16" s="5">
        <v>1300276.8</v>
      </c>
    </row>
    <row r="17" ht="18" spans="1:3">
      <c r="A17" s="4" t="s">
        <v>47</v>
      </c>
      <c r="B17" s="5">
        <v>1343070.72</v>
      </c>
    </row>
    <row r="18" ht="18" spans="1:3">
      <c r="A18" s="4" t="s">
        <v>48</v>
      </c>
      <c r="B18" s="5">
        <v>1175186.88</v>
      </c>
    </row>
    <row r="19" ht="18" spans="1:3">
      <c r="A19" s="4" t="s">
        <v>49</v>
      </c>
      <c r="B19" s="5">
        <v>1639336.32000001</v>
      </c>
    </row>
    <row r="20" ht="18" spans="1:3">
      <c r="A20" s="4" t="s">
        <v>50</v>
      </c>
      <c r="B20" s="5">
        <v>2189073.60000002</v>
      </c>
    </row>
    <row r="21" ht="18" spans="1:3">
      <c r="A21" s="4" t="s">
        <v>51</v>
      </c>
      <c r="B21" s="5">
        <v>2235159.36000002</v>
      </c>
    </row>
    <row r="22" ht="18" spans="1:3">
      <c r="A22" s="4" t="s">
        <v>39</v>
      </c>
      <c r="B22" s="5">
        <v>16459200</v>
      </c>
    </row>
    <row r="24" customHeight="1" spans="1:3">
      <c r="A24">
        <f>SUM(B10:B21)</f>
        <v>16459200</v>
      </c>
    </row>
    <row r="32" customHeight="1" spans="1:3">
      <c r="A32" s="6"/>
      <c r="B32" s="7"/>
      <c r="C32" s="8"/>
    </row>
    <row r="33" customHeight="1" spans="1:3">
      <c r="A33" s="9"/>
      <c r="B33" s="10"/>
      <c r="C33" s="11"/>
    </row>
    <row r="34" customHeight="1" spans="1:3">
      <c r="A34" s="9"/>
      <c r="B34" s="10"/>
      <c r="C34" s="11"/>
    </row>
    <row r="35" customHeight="1" spans="1:3">
      <c r="A35" s="9"/>
      <c r="B35" s="10"/>
      <c r="C35" s="11"/>
    </row>
    <row r="36" customHeight="1" spans="1:3">
      <c r="A36" s="9"/>
      <c r="B36" s="10"/>
      <c r="C36" s="11"/>
    </row>
    <row r="37" customHeight="1" spans="1:3">
      <c r="A37" s="9"/>
      <c r="B37" s="10"/>
      <c r="C37" s="11"/>
    </row>
    <row r="38" customHeight="1" spans="1:3">
      <c r="A38" s="9"/>
      <c r="B38" s="10"/>
      <c r="C38" s="11"/>
    </row>
    <row r="39" customHeight="1" spans="1:3">
      <c r="A39" s="9"/>
      <c r="B39" s="10"/>
      <c r="C39" s="11"/>
    </row>
    <row r="40" customHeight="1" spans="1:3">
      <c r="A40" s="9"/>
      <c r="B40" s="10"/>
      <c r="C40" s="11"/>
    </row>
    <row r="41" customHeight="1" spans="1:3">
      <c r="A41" s="9"/>
      <c r="B41" s="10"/>
      <c r="C41" s="11"/>
    </row>
    <row r="42" customHeight="1" spans="1:3">
      <c r="A42" s="9"/>
      <c r="B42" s="10"/>
      <c r="C42" s="11"/>
    </row>
    <row r="43" customHeight="1" spans="1:3">
      <c r="A43" s="9"/>
      <c r="B43" s="10"/>
      <c r="C43" s="11"/>
    </row>
    <row r="44" customHeight="1" spans="1:3">
      <c r="A44" s="9"/>
      <c r="B44" s="10"/>
      <c r="C44" s="11"/>
    </row>
    <row r="45" customHeight="1" spans="1:3">
      <c r="A45" s="9"/>
      <c r="B45" s="10"/>
      <c r="C45" s="11"/>
    </row>
    <row r="46" customHeight="1" spans="1:3">
      <c r="A46" s="9"/>
      <c r="B46" s="10"/>
      <c r="C46" s="11"/>
    </row>
    <row r="47" customHeight="1" spans="1:3">
      <c r="A47" s="9"/>
      <c r="B47" s="10"/>
      <c r="C47" s="11"/>
    </row>
    <row r="48" customHeight="1" spans="1:3">
      <c r="A48" s="9"/>
      <c r="B48" s="10"/>
      <c r="C48" s="11"/>
    </row>
    <row r="49" customHeight="1" spans="1:3">
      <c r="A49" s="12"/>
      <c r="B49" s="13"/>
      <c r="C49" s="14"/>
    </row>
  </sheetData>
  <pageMargins left="0.7" right="0.7" top="0.75" bottom="0.75" header="0.3" footer="0.3"/>
  <pageSetup paperSize="1" orientation="portrait"/>
  <headerFooter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G27" sqref="G27"/>
    </sheetView>
  </sheetViews>
  <sheetFormatPr defaultColWidth="9" defaultRowHeight="14.4" outlineLevelCol="1"/>
  <cols>
    <col min="1" max="1" width="27" customWidth="1"/>
    <col min="2" max="2" width="19.2222222222222" customWidth="1"/>
  </cols>
  <sheetData>
    <row r="3" spans="1:2">
      <c r="A3" t="s">
        <v>38</v>
      </c>
      <c r="B3" t="s">
        <v>36</v>
      </c>
    </row>
    <row r="4" spans="1:2">
      <c r="A4" s="1" t="s">
        <v>213</v>
      </c>
      <c r="B4" s="2">
        <v>4140.13</v>
      </c>
    </row>
    <row r="5" spans="1:2">
      <c r="A5" s="1" t="s">
        <v>95</v>
      </c>
      <c r="B5" s="2">
        <v>4384.92</v>
      </c>
    </row>
    <row r="6" spans="1:2">
      <c r="A6" s="1" t="s">
        <v>221</v>
      </c>
      <c r="B6" s="2">
        <v>8831.2</v>
      </c>
    </row>
    <row r="7" spans="1:2">
      <c r="A7" s="1" t="s">
        <v>70</v>
      </c>
      <c r="B7" s="2">
        <v>14069.29</v>
      </c>
    </row>
    <row r="8" spans="1:2">
      <c r="A8" s="1" t="s">
        <v>138</v>
      </c>
      <c r="B8" s="2">
        <v>8984.9</v>
      </c>
    </row>
    <row r="9" spans="1:2">
      <c r="A9" s="1" t="s">
        <v>39</v>
      </c>
      <c r="B9" s="2">
        <v>40410.44</v>
      </c>
    </row>
  </sheetData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Transaction table</vt:lpstr>
      <vt:lpstr>Sheet2</vt:lpstr>
      <vt:lpstr>Sheet3</vt:lpstr>
      <vt:lpstr>Product</vt:lpstr>
      <vt:lpstr> Dashboard 1</vt:lpstr>
      <vt:lpstr>Dashboard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lolitgour1234@gmail.com</dc:creator>
  <cp:lastModifiedBy>Asus</cp:lastModifiedBy>
  <dcterms:created xsi:type="dcterms:W3CDTF">2026-03-31T15:03:00Z</dcterms:created>
  <dcterms:modified xsi:type="dcterms:W3CDTF">2026-05-26T13:10:26Z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DC3B81F782A34F7186C41A0D4CA2D58E_12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